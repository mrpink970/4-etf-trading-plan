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Paper_Trades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5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5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3" fillId="7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22" t="inlineStr">
        <is>
          <t>v6 upgrades: QQQ/SMH signal tracking, trend filter, paper-trade sheet, and equity curve framework.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  <c r="P2" s="25" t="inlineStr">
        <is>
          <t>Momentum</t>
        </is>
      </c>
      <c r="X2" s="25" t="inlineStr">
        <is>
          <t>Leadership</t>
        </is>
      </c>
      <c r="AD2" s="34" t="inlineStr">
        <is>
          <t>Signal ETFs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6" t="inlineStr">
        <is>
          <t>SOXL 3D %</t>
        </is>
      </c>
      <c r="Q3" s="26" t="inlineStr">
        <is>
          <t>SOXL 5D %</t>
        </is>
      </c>
      <c r="R3" s="26" t="inlineStr">
        <is>
          <t>SOXS 3D %</t>
        </is>
      </c>
      <c r="S3" s="26" t="inlineStr">
        <is>
          <t>SOXS 5D %</t>
        </is>
      </c>
      <c r="T3" s="26" t="inlineStr">
        <is>
          <t>TQQQ 3D %</t>
        </is>
      </c>
      <c r="U3" s="26" t="inlineStr">
        <is>
          <t>TQQQ 5D %</t>
        </is>
      </c>
      <c r="V3" s="26" t="inlineStr">
        <is>
          <t>SQQQ 3D %</t>
        </is>
      </c>
      <c r="W3" s="26" t="inlineStr">
        <is>
          <t>SQQQ 5D %</t>
        </is>
      </c>
      <c r="X3" s="26" t="inlineStr">
        <is>
          <t>Bull Spread 1D</t>
        </is>
      </c>
      <c r="Y3" s="26" t="inlineStr">
        <is>
          <t>Bull Spread 3D</t>
        </is>
      </c>
      <c r="Z3" s="26" t="inlineStr">
        <is>
          <t>Bull Spread 5D</t>
        </is>
      </c>
      <c r="AA3" s="26" t="inlineStr">
        <is>
          <t>Bear Spread 1D</t>
        </is>
      </c>
      <c r="AB3" s="26" t="inlineStr">
        <is>
          <t>Bear Spread 3D</t>
        </is>
      </c>
      <c r="AC3" s="26" t="inlineStr">
        <is>
          <t>Bear Spread 5D</t>
        </is>
      </c>
      <c r="AD3" s="35" t="inlineStr">
        <is>
          <t>QQQ Close</t>
        </is>
      </c>
      <c r="AE3" s="35" t="inlineStr">
        <is>
          <t>QQQ Daily %</t>
        </is>
      </c>
      <c r="AF3" s="35" t="inlineStr">
        <is>
          <t>QQQ 3D %</t>
        </is>
      </c>
      <c r="AG3" s="35" t="inlineStr">
        <is>
          <t>QQQ 5D %</t>
        </is>
      </c>
      <c r="AH3" s="35" t="inlineStr">
        <is>
          <t>QQQ 20D MA</t>
        </is>
      </c>
      <c r="AI3" s="35" t="inlineStr">
        <is>
          <t>QQQ Trend</t>
        </is>
      </c>
      <c r="AJ3" s="35" t="inlineStr">
        <is>
          <t>SMH Close</t>
        </is>
      </c>
      <c r="AK3" s="35" t="inlineStr">
        <is>
          <t>SMH Daily %</t>
        </is>
      </c>
      <c r="AL3" s="35" t="inlineStr">
        <is>
          <t>SMH 3D %</t>
        </is>
      </c>
      <c r="AM3" s="35" t="inlineStr">
        <is>
          <t>SMH 5D %</t>
        </is>
      </c>
      <c r="AN3" s="35" t="inlineStr">
        <is>
          <t>SMH 20D MA</t>
        </is>
      </c>
      <c r="AO3" s="35" t="inlineStr">
        <is>
          <t>SMH Trend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3">
        <f>IF(OR(I4="",L4=""),"",IF(I4=0,"",(L4-I4)/I4))</f>
        <v/>
      </c>
      <c r="N4" s="27" t="n">
        <v>75.73999786376953</v>
      </c>
      <c r="O4" s="23">
        <f>""</f>
        <v/>
      </c>
      <c r="P4" s="11">
        <f>""</f>
        <v/>
      </c>
      <c r="Q4" s="24">
        <f>""</f>
        <v/>
      </c>
      <c r="R4" s="24">
        <f>""</f>
        <v/>
      </c>
      <c r="S4" s="24">
        <f>""</f>
        <v/>
      </c>
      <c r="T4" s="24">
        <f>""</f>
        <v/>
      </c>
      <c r="U4" s="24">
        <f>""</f>
        <v/>
      </c>
      <c r="V4" s="24">
        <f>""</f>
        <v/>
      </c>
      <c r="W4" s="24">
        <f>""</f>
        <v/>
      </c>
      <c r="X4" s="24">
        <f>""</f>
        <v/>
      </c>
      <c r="Y4" s="24">
        <f>""</f>
        <v/>
      </c>
      <c r="Z4" s="24">
        <f>""</f>
        <v/>
      </c>
      <c r="AA4" s="24">
        <f>""</f>
        <v/>
      </c>
      <c r="AB4" s="24">
        <f>""</f>
        <v/>
      </c>
      <c r="AC4" s="24">
        <f>""</f>
        <v/>
      </c>
      <c r="AD4" s="13" t="n">
        <v>593.719970703125</v>
      </c>
      <c r="AE4" s="24">
        <f>""</f>
        <v/>
      </c>
      <c r="AF4" s="24">
        <f>""</f>
        <v/>
      </c>
      <c r="AG4" s="24">
        <f>""</f>
        <v/>
      </c>
      <c r="AH4" s="13">
        <f>""</f>
        <v/>
      </c>
      <c r="AI4">
        <f>""</f>
        <v/>
      </c>
      <c r="AJ4" s="13" t="n">
        <v>387.3299865722656</v>
      </c>
      <c r="AK4" s="24">
        <f>""</f>
        <v/>
      </c>
      <c r="AL4" s="24">
        <f>""</f>
        <v/>
      </c>
      <c r="AM4" s="24">
        <f>""</f>
        <v/>
      </c>
      <c r="AN4" s="13">
        <f>""</f>
        <v/>
      </c>
      <c r="AO4">
        <f>""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8">
        <f>IFERROR((M5/M4)-1,"")</f>
        <v/>
      </c>
      <c r="O5" s="24">
        <f>IF(OR(N5="",N4=""),"",IF(N4=0,"",(N5/N4)-1))</f>
        <v/>
      </c>
      <c r="P5" s="11">
        <f>IF(ROW()&lt;7,"",IF(OR(E5="",E2=""),"",IF(E2=0,"",(E5/E2)-1)))</f>
        <v/>
      </c>
      <c r="Q5" s="24">
        <f>IF(ROW()&lt;9,"",IF(OR(E5="",E0=""),"",IF(E0=0,"",(E5/E0)-1)))</f>
        <v/>
      </c>
      <c r="R5" s="24">
        <f>IF(ROW()&lt;7,"",IF(OR(G5="",G2=""),"",IF(G2=0,"",(G5/G2)-1)))</f>
        <v/>
      </c>
      <c r="S5" s="24">
        <f>IF(ROW()&lt;9,"",IF(OR(G5="",G0=""),"",IF(G0=0,"",(G5/G0)-1)))</f>
        <v/>
      </c>
      <c r="T5" s="24">
        <f>IF(ROW()&lt;7,"",IF(OR(L5="",L2=""),"",IF(L2=0,"",(L5/L2)-1)))</f>
        <v/>
      </c>
      <c r="U5" s="24">
        <f>IF(ROW()&lt;9,"",IF(OR(L5="",L0=""),"",IF(L0=0,"",(L5/L0)-1)))</f>
        <v/>
      </c>
      <c r="V5" s="24">
        <f>IF(ROW()&lt;7,"",IF(OR(N5="",N2=""),"",IF(N2=0,"",(N5/N2)-1)))</f>
        <v/>
      </c>
      <c r="W5" s="24">
        <f>IF(ROW()&lt;9,"",IF(OR(N5="",N0=""),"",IF(N0=0,"",(N5/N0)-1)))</f>
        <v/>
      </c>
      <c r="X5" s="24">
        <f>IF(OR(F5="",M5=""),"",F5-M5)</f>
        <v/>
      </c>
      <c r="Y5" s="24">
        <f>IF(OR(P5="",T5=""),"",P5-T5)</f>
        <v/>
      </c>
      <c r="Z5" s="24">
        <f>IF(OR(Q5="",U5=""),"",Q5-U5)</f>
        <v/>
      </c>
      <c r="AA5" s="24">
        <f>IF(OR(H5="",O5=""),"",H5-O5)</f>
        <v/>
      </c>
      <c r="AB5" s="24">
        <f>IF(OR(R5="",V5=""),"",R5-V5)</f>
        <v/>
      </c>
      <c r="AC5" s="24">
        <f>IF(OR(S5="",W5=""),"",S5-W5)</f>
        <v/>
      </c>
      <c r="AD5" s="13" t="n"/>
      <c r="AE5" s="24">
        <f>IF(OR(AD5="",AD4=""),"",IF(AD4=0,"",(AD5/AD4)-1))</f>
        <v/>
      </c>
      <c r="AF5" s="24">
        <f>IF(ROW()&lt;7,"",IF(OR(AD5="",AD2=""),"",IF(AD2=0,"",(AD5/AD2)-1)))</f>
        <v/>
      </c>
      <c r="AG5" s="24">
        <f>IF(ROW()&lt;9,"",IF(OR(AD5="",AD0=""),"",IF(AD0=0,"",(AD5/AD0)-1)))</f>
        <v/>
      </c>
      <c r="AH5" s="13">
        <f>IF(ROW()&lt;23,"",AVERAGE(AD-14:AD5))</f>
        <v/>
      </c>
      <c r="AI5">
        <f>IF(OR(AD5="",AH5=""),"",IF(AD5&gt;AH5,"Bull","Bear"))</f>
        <v/>
      </c>
      <c r="AJ5" s="13" t="n"/>
      <c r="AK5" s="24">
        <f>IF(OR(AJ5="",AJ4=""),"",IF(AJ4=0,"",(AJ5/AJ4)-1))</f>
        <v/>
      </c>
      <c r="AL5" s="24">
        <f>IF(ROW()&lt;7,"",IF(OR(AJ5="",AJ2=""),"",IF(AJ2=0,"",(AJ5/AJ2)-1)))</f>
        <v/>
      </c>
      <c r="AM5" s="24">
        <f>IF(ROW()&lt;9,"",IF(OR(AJ5="",AJ0=""),"",IF(AJ0=0,"",(AJ5/AJ0)-1)))</f>
        <v/>
      </c>
      <c r="AN5" s="13">
        <f>IF(ROW()&lt;23,"",AVERAGE(AJ-14:AJ5))</f>
        <v/>
      </c>
      <c r="AO5">
        <f>IF(OR(AJ5="",AN5=""),"",IF(AJ5&gt;AN5,"Bull","Bear"))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8">
        <f>IFERROR((M6/M5)-1,"")</f>
        <v/>
      </c>
      <c r="O6" s="24">
        <f>IF(OR(N6="",N5=""),"",IF(N5=0,"",(N6/N5)-1))</f>
        <v/>
      </c>
      <c r="P6" s="11">
        <f>IF(ROW()&lt;7,"",IF(OR(E6="",E3=""),"",IF(E3=0,"",(E6/E3)-1)))</f>
        <v/>
      </c>
      <c r="Q6" s="24">
        <f>IF(ROW()&lt;9,"",IF(OR(E6="",E1=""),"",IF(E1=0,"",(E6/E1)-1)))</f>
        <v/>
      </c>
      <c r="R6" s="24">
        <f>IF(ROW()&lt;7,"",IF(OR(G6="",G3=""),"",IF(G3=0,"",(G6/G3)-1)))</f>
        <v/>
      </c>
      <c r="S6" s="24">
        <f>IF(ROW()&lt;9,"",IF(OR(G6="",G1=""),"",IF(G1=0,"",(G6/G1)-1)))</f>
        <v/>
      </c>
      <c r="T6" s="24">
        <f>IF(ROW()&lt;7,"",IF(OR(L6="",L3=""),"",IF(L3=0,"",(L6/L3)-1)))</f>
        <v/>
      </c>
      <c r="U6" s="24">
        <f>IF(ROW()&lt;9,"",IF(OR(L6="",L1=""),"",IF(L1=0,"",(L6/L1)-1)))</f>
        <v/>
      </c>
      <c r="V6" s="24">
        <f>IF(ROW()&lt;7,"",IF(OR(N6="",N3=""),"",IF(N3=0,"",(N6/N3)-1)))</f>
        <v/>
      </c>
      <c r="W6" s="24">
        <f>IF(ROW()&lt;9,"",IF(OR(N6="",N1=""),"",IF(N1=0,"",(N6/N1)-1)))</f>
        <v/>
      </c>
      <c r="X6" s="24">
        <f>IF(OR(F6="",M6=""),"",F6-M6)</f>
        <v/>
      </c>
      <c r="Y6" s="24">
        <f>IF(OR(P6="",T6=""),"",P6-T6)</f>
        <v/>
      </c>
      <c r="Z6" s="24">
        <f>IF(OR(Q6="",U6=""),"",Q6-U6)</f>
        <v/>
      </c>
      <c r="AA6" s="24">
        <f>IF(OR(H6="",O6=""),"",H6-O6)</f>
        <v/>
      </c>
      <c r="AB6" s="24">
        <f>IF(OR(R6="",V6=""),"",R6-V6)</f>
        <v/>
      </c>
      <c r="AC6" s="24">
        <f>IF(OR(S6="",W6=""),"",S6-W6)</f>
        <v/>
      </c>
      <c r="AD6" s="13" t="n"/>
      <c r="AE6" s="24">
        <f>IF(OR(AD6="",AD5=""),"",IF(AD5=0,"",(AD6/AD5)-1))</f>
        <v/>
      </c>
      <c r="AF6" s="24">
        <f>IF(ROW()&lt;7,"",IF(OR(AD6="",AD3=""),"",IF(AD3=0,"",(AD6/AD3)-1)))</f>
        <v/>
      </c>
      <c r="AG6" s="24">
        <f>IF(ROW()&lt;9,"",IF(OR(AD6="",AD1=""),"",IF(AD1=0,"",(AD6/AD1)-1)))</f>
        <v/>
      </c>
      <c r="AH6" s="13">
        <f>IF(ROW()&lt;23,"",AVERAGE(AD-13:AD6))</f>
        <v/>
      </c>
      <c r="AI6">
        <f>IF(OR(AD6="",AH6=""),"",IF(AD6&gt;AH6,"Bull","Bear"))</f>
        <v/>
      </c>
      <c r="AJ6" s="13" t="n"/>
      <c r="AK6" s="24">
        <f>IF(OR(AJ6="",AJ5=""),"",IF(AJ5=0,"",(AJ6/AJ5)-1))</f>
        <v/>
      </c>
      <c r="AL6" s="24">
        <f>IF(ROW()&lt;7,"",IF(OR(AJ6="",AJ3=""),"",IF(AJ3=0,"",(AJ6/AJ3)-1)))</f>
        <v/>
      </c>
      <c r="AM6" s="24">
        <f>IF(ROW()&lt;9,"",IF(OR(AJ6="",AJ1=""),"",IF(AJ1=0,"",(AJ6/AJ1)-1)))</f>
        <v/>
      </c>
      <c r="AN6" s="13">
        <f>IF(ROW()&lt;23,"",AVERAGE(AJ-13:AJ6))</f>
        <v/>
      </c>
      <c r="AO6">
        <f>IF(OR(AJ6="",AN6=""),"",IF(AJ6&gt;AN6,"Bull","Bear"))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8">
        <f>IFERROR((M7/M6)-1,"")</f>
        <v/>
      </c>
      <c r="O7" s="24">
        <f>IF(OR(N7="",N6=""),"",IF(N6=0,"",(N7/N6)-1))</f>
        <v/>
      </c>
      <c r="P7" s="11">
        <f>IF(ROW()&lt;7,"",IF(OR(E7="",E4=""),"",IF(E4=0,"",(E7/E4)-1)))</f>
        <v/>
      </c>
      <c r="Q7" s="24">
        <f>IF(ROW()&lt;9,"",IF(OR(E7="",E2=""),"",IF(E2=0,"",(E7/E2)-1)))</f>
        <v/>
      </c>
      <c r="R7" s="24">
        <f>IF(ROW()&lt;7,"",IF(OR(G7="",G4=""),"",IF(G4=0,"",(G7/G4)-1)))</f>
        <v/>
      </c>
      <c r="S7" s="24">
        <f>IF(ROW()&lt;9,"",IF(OR(G7="",G2=""),"",IF(G2=0,"",(G7/G2)-1)))</f>
        <v/>
      </c>
      <c r="T7" s="24">
        <f>IF(ROW()&lt;7,"",IF(OR(L7="",L4=""),"",IF(L4=0,"",(L7/L4)-1)))</f>
        <v/>
      </c>
      <c r="U7" s="24">
        <f>IF(ROW()&lt;9,"",IF(OR(L7="",L2=""),"",IF(L2=0,"",(L7/L2)-1)))</f>
        <v/>
      </c>
      <c r="V7" s="24">
        <f>IF(ROW()&lt;7,"",IF(OR(N7="",N4=""),"",IF(N4=0,"",(N7/N4)-1)))</f>
        <v/>
      </c>
      <c r="W7" s="24">
        <f>IF(ROW()&lt;9,"",IF(OR(N7="",N2=""),"",IF(N2=0,"",(N7/N2)-1)))</f>
        <v/>
      </c>
      <c r="X7" s="24">
        <f>IF(OR(F7="",M7=""),"",F7-M7)</f>
        <v/>
      </c>
      <c r="Y7" s="24">
        <f>IF(OR(P7="",T7=""),"",P7-T7)</f>
        <v/>
      </c>
      <c r="Z7" s="24">
        <f>IF(OR(Q7="",U7=""),"",Q7-U7)</f>
        <v/>
      </c>
      <c r="AA7" s="24">
        <f>IF(OR(H7="",O7=""),"",H7-O7)</f>
        <v/>
      </c>
      <c r="AB7" s="24">
        <f>IF(OR(R7="",V7=""),"",R7-V7)</f>
        <v/>
      </c>
      <c r="AC7" s="24">
        <f>IF(OR(S7="",W7=""),"",S7-W7)</f>
        <v/>
      </c>
      <c r="AD7" s="13" t="n"/>
      <c r="AE7" s="24">
        <f>IF(OR(AD7="",AD6=""),"",IF(AD6=0,"",(AD7/AD6)-1))</f>
        <v/>
      </c>
      <c r="AF7" s="24">
        <f>IF(ROW()&lt;7,"",IF(OR(AD7="",AD4=""),"",IF(AD4=0,"",(AD7/AD4)-1)))</f>
        <v/>
      </c>
      <c r="AG7" s="24">
        <f>IF(ROW()&lt;9,"",IF(OR(AD7="",AD2=""),"",IF(AD2=0,"",(AD7/AD2)-1)))</f>
        <v/>
      </c>
      <c r="AH7" s="13">
        <f>IF(ROW()&lt;23,"",AVERAGE(AD-12:AD7))</f>
        <v/>
      </c>
      <c r="AI7">
        <f>IF(OR(AD7="",AH7=""),"",IF(AD7&gt;AH7,"Bull","Bear"))</f>
        <v/>
      </c>
      <c r="AJ7" s="13" t="n"/>
      <c r="AK7" s="24">
        <f>IF(OR(AJ7="",AJ6=""),"",IF(AJ6=0,"",(AJ7/AJ6)-1))</f>
        <v/>
      </c>
      <c r="AL7" s="24">
        <f>IF(ROW()&lt;7,"",IF(OR(AJ7="",AJ4=""),"",IF(AJ4=0,"",(AJ7/AJ4)-1)))</f>
        <v/>
      </c>
      <c r="AM7" s="24">
        <f>IF(ROW()&lt;9,"",IF(OR(AJ7="",AJ2=""),"",IF(AJ2=0,"",(AJ7/AJ2)-1)))</f>
        <v/>
      </c>
      <c r="AN7" s="13">
        <f>IF(ROW()&lt;23,"",AVERAGE(AJ-12:AJ7))</f>
        <v/>
      </c>
      <c r="AO7">
        <f>IF(OR(AJ7="",AN7=""),"",IF(AJ7&gt;AN7,"Bull","Bear"))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8">
        <f>IFERROR((M8/M7)-1,"")</f>
        <v/>
      </c>
      <c r="O8" s="24">
        <f>IF(OR(N8="",N7=""),"",IF(N7=0,"",(N8/N7)-1))</f>
        <v/>
      </c>
      <c r="P8" s="11">
        <f>IF(ROW()&lt;7,"",IF(OR(E8="",E5=""),"",IF(E5=0,"",(E8/E5)-1)))</f>
        <v/>
      </c>
      <c r="Q8" s="24">
        <f>IF(ROW()&lt;9,"",IF(OR(E8="",E3=""),"",IF(E3=0,"",(E8/E3)-1)))</f>
        <v/>
      </c>
      <c r="R8" s="24">
        <f>IF(ROW()&lt;7,"",IF(OR(G8="",G5=""),"",IF(G5=0,"",(G8/G5)-1)))</f>
        <v/>
      </c>
      <c r="S8" s="24">
        <f>IF(ROW()&lt;9,"",IF(OR(G8="",G3=""),"",IF(G3=0,"",(G8/G3)-1)))</f>
        <v/>
      </c>
      <c r="T8" s="24">
        <f>IF(ROW()&lt;7,"",IF(OR(L8="",L5=""),"",IF(L5=0,"",(L8/L5)-1)))</f>
        <v/>
      </c>
      <c r="U8" s="24">
        <f>IF(ROW()&lt;9,"",IF(OR(L8="",L3=""),"",IF(L3=0,"",(L8/L3)-1)))</f>
        <v/>
      </c>
      <c r="V8" s="24">
        <f>IF(ROW()&lt;7,"",IF(OR(N8="",N5=""),"",IF(N5=0,"",(N8/N5)-1)))</f>
        <v/>
      </c>
      <c r="W8" s="24">
        <f>IF(ROW()&lt;9,"",IF(OR(N8="",N3=""),"",IF(N3=0,"",(N8/N3)-1)))</f>
        <v/>
      </c>
      <c r="X8" s="24">
        <f>IF(OR(F8="",M8=""),"",F8-M8)</f>
        <v/>
      </c>
      <c r="Y8" s="24">
        <f>IF(OR(P8="",T8=""),"",P8-T8)</f>
        <v/>
      </c>
      <c r="Z8" s="24">
        <f>IF(OR(Q8="",U8=""),"",Q8-U8)</f>
        <v/>
      </c>
      <c r="AA8" s="24">
        <f>IF(OR(H8="",O8=""),"",H8-O8)</f>
        <v/>
      </c>
      <c r="AB8" s="24">
        <f>IF(OR(R8="",V8=""),"",R8-V8)</f>
        <v/>
      </c>
      <c r="AC8" s="24">
        <f>IF(OR(S8="",W8=""),"",S8-W8)</f>
        <v/>
      </c>
      <c r="AD8" s="13" t="n"/>
      <c r="AE8" s="24">
        <f>IF(OR(AD8="",AD7=""),"",IF(AD7=0,"",(AD8/AD7)-1))</f>
        <v/>
      </c>
      <c r="AF8" s="24">
        <f>IF(ROW()&lt;7,"",IF(OR(AD8="",AD5=""),"",IF(AD5=0,"",(AD8/AD5)-1)))</f>
        <v/>
      </c>
      <c r="AG8" s="24">
        <f>IF(ROW()&lt;9,"",IF(OR(AD8="",AD3=""),"",IF(AD3=0,"",(AD8/AD3)-1)))</f>
        <v/>
      </c>
      <c r="AH8" s="13">
        <f>IF(ROW()&lt;23,"",AVERAGE(AD-11:AD8))</f>
        <v/>
      </c>
      <c r="AI8">
        <f>IF(OR(AD8="",AH8=""),"",IF(AD8&gt;AH8,"Bull","Bear"))</f>
        <v/>
      </c>
      <c r="AJ8" s="13" t="n"/>
      <c r="AK8" s="24">
        <f>IF(OR(AJ8="",AJ7=""),"",IF(AJ7=0,"",(AJ8/AJ7)-1))</f>
        <v/>
      </c>
      <c r="AL8" s="24">
        <f>IF(ROW()&lt;7,"",IF(OR(AJ8="",AJ5=""),"",IF(AJ5=0,"",(AJ8/AJ5)-1)))</f>
        <v/>
      </c>
      <c r="AM8" s="24">
        <f>IF(ROW()&lt;9,"",IF(OR(AJ8="",AJ3=""),"",IF(AJ3=0,"",(AJ8/AJ3)-1)))</f>
        <v/>
      </c>
      <c r="AN8" s="13">
        <f>IF(ROW()&lt;23,"",AVERAGE(AJ-11:AJ8))</f>
        <v/>
      </c>
      <c r="AO8">
        <f>IF(OR(AJ8="",AN8=""),"",IF(AJ8&gt;AN8,"Bull","Bear"))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8">
        <f>IFERROR((M9/M8)-1,"")</f>
        <v/>
      </c>
      <c r="O9" s="24">
        <f>IF(OR(N9="",N8=""),"",IF(N8=0,"",(N9/N8)-1))</f>
        <v/>
      </c>
      <c r="P9" s="11">
        <f>IF(ROW()&lt;7,"",IF(OR(E9="",E6=""),"",IF(E6=0,"",(E9/E6)-1)))</f>
        <v/>
      </c>
      <c r="Q9" s="24">
        <f>IF(ROW()&lt;9,"",IF(OR(E9="",E4=""),"",IF(E4=0,"",(E9/E4)-1)))</f>
        <v/>
      </c>
      <c r="R9" s="24">
        <f>IF(ROW()&lt;7,"",IF(OR(G9="",G6=""),"",IF(G6=0,"",(G9/G6)-1)))</f>
        <v/>
      </c>
      <c r="S9" s="24">
        <f>IF(ROW()&lt;9,"",IF(OR(G9="",G4=""),"",IF(G4=0,"",(G9/G4)-1)))</f>
        <v/>
      </c>
      <c r="T9" s="24">
        <f>IF(ROW()&lt;7,"",IF(OR(L9="",L6=""),"",IF(L6=0,"",(L9/L6)-1)))</f>
        <v/>
      </c>
      <c r="U9" s="24">
        <f>IF(ROW()&lt;9,"",IF(OR(L9="",L4=""),"",IF(L4=0,"",(L9/L4)-1)))</f>
        <v/>
      </c>
      <c r="V9" s="24">
        <f>IF(ROW()&lt;7,"",IF(OR(N9="",N6=""),"",IF(N6=0,"",(N9/N6)-1)))</f>
        <v/>
      </c>
      <c r="W9" s="24">
        <f>IF(ROW()&lt;9,"",IF(OR(N9="",N4=""),"",IF(N4=0,"",(N9/N4)-1)))</f>
        <v/>
      </c>
      <c r="X9" s="24">
        <f>IF(OR(F9="",M9=""),"",F9-M9)</f>
        <v/>
      </c>
      <c r="Y9" s="24">
        <f>IF(OR(P9="",T9=""),"",P9-T9)</f>
        <v/>
      </c>
      <c r="Z9" s="24">
        <f>IF(OR(Q9="",U9=""),"",Q9-U9)</f>
        <v/>
      </c>
      <c r="AA9" s="24">
        <f>IF(OR(H9="",O9=""),"",H9-O9)</f>
        <v/>
      </c>
      <c r="AB9" s="24">
        <f>IF(OR(R9="",V9=""),"",R9-V9)</f>
        <v/>
      </c>
      <c r="AC9" s="24">
        <f>IF(OR(S9="",W9=""),"",S9-W9)</f>
        <v/>
      </c>
      <c r="AD9" s="13" t="n"/>
      <c r="AE9" s="24">
        <f>IF(OR(AD9="",AD8=""),"",IF(AD8=0,"",(AD9/AD8)-1))</f>
        <v/>
      </c>
      <c r="AF9" s="24">
        <f>IF(ROW()&lt;7,"",IF(OR(AD9="",AD6=""),"",IF(AD6=0,"",(AD9/AD6)-1)))</f>
        <v/>
      </c>
      <c r="AG9" s="24">
        <f>IF(ROW()&lt;9,"",IF(OR(AD9="",AD4=""),"",IF(AD4=0,"",(AD9/AD4)-1)))</f>
        <v/>
      </c>
      <c r="AH9" s="13">
        <f>IF(ROW()&lt;23,"",AVERAGE(AD-10:AD9))</f>
        <v/>
      </c>
      <c r="AI9">
        <f>IF(OR(AD9="",AH9=""),"",IF(AD9&gt;AH9,"Bull","Bear"))</f>
        <v/>
      </c>
      <c r="AJ9" s="13" t="n"/>
      <c r="AK9" s="24">
        <f>IF(OR(AJ9="",AJ8=""),"",IF(AJ8=0,"",(AJ9/AJ8)-1))</f>
        <v/>
      </c>
      <c r="AL9" s="24">
        <f>IF(ROW()&lt;7,"",IF(OR(AJ9="",AJ6=""),"",IF(AJ6=0,"",(AJ9/AJ6)-1)))</f>
        <v/>
      </c>
      <c r="AM9" s="24">
        <f>IF(ROW()&lt;9,"",IF(OR(AJ9="",AJ4=""),"",IF(AJ4=0,"",(AJ9/AJ4)-1)))</f>
        <v/>
      </c>
      <c r="AN9" s="13">
        <f>IF(ROW()&lt;23,"",AVERAGE(AJ-10:AJ9))</f>
        <v/>
      </c>
      <c r="AO9">
        <f>IF(OR(AJ9="",AN9=""),"",IF(AJ9&gt;AN9,"Bull","Bear"))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8">
        <f>IFERROR((M10/M9)-1,"")</f>
        <v/>
      </c>
      <c r="O10" s="24">
        <f>IF(OR(N10="",N9=""),"",IF(N9=0,"",(N10/N9)-1))</f>
        <v/>
      </c>
      <c r="P10" s="11">
        <f>IF(ROW()&lt;7,"",IF(OR(E10="",E7=""),"",IF(E7=0,"",(E10/E7)-1)))</f>
        <v/>
      </c>
      <c r="Q10" s="24">
        <f>IF(ROW()&lt;9,"",IF(OR(E10="",E5=""),"",IF(E5=0,"",(E10/E5)-1)))</f>
        <v/>
      </c>
      <c r="R10" s="24">
        <f>IF(ROW()&lt;7,"",IF(OR(G10="",G7=""),"",IF(G7=0,"",(G10/G7)-1)))</f>
        <v/>
      </c>
      <c r="S10" s="24">
        <f>IF(ROW()&lt;9,"",IF(OR(G10="",G5=""),"",IF(G5=0,"",(G10/G5)-1)))</f>
        <v/>
      </c>
      <c r="T10" s="24">
        <f>IF(ROW()&lt;7,"",IF(OR(L10="",L7=""),"",IF(L7=0,"",(L10/L7)-1)))</f>
        <v/>
      </c>
      <c r="U10" s="24">
        <f>IF(ROW()&lt;9,"",IF(OR(L10="",L5=""),"",IF(L5=0,"",(L10/L5)-1)))</f>
        <v/>
      </c>
      <c r="V10" s="24">
        <f>IF(ROW()&lt;7,"",IF(OR(N10="",N7=""),"",IF(N7=0,"",(N10/N7)-1)))</f>
        <v/>
      </c>
      <c r="W10" s="24">
        <f>IF(ROW()&lt;9,"",IF(OR(N10="",N5=""),"",IF(N5=0,"",(N10/N5)-1)))</f>
        <v/>
      </c>
      <c r="X10" s="24">
        <f>IF(OR(F10="",M10=""),"",F10-M10)</f>
        <v/>
      </c>
      <c r="Y10" s="24">
        <f>IF(OR(P10="",T10=""),"",P10-T10)</f>
        <v/>
      </c>
      <c r="Z10" s="24">
        <f>IF(OR(Q10="",U10=""),"",Q10-U10)</f>
        <v/>
      </c>
      <c r="AA10" s="24">
        <f>IF(OR(H10="",O10=""),"",H10-O10)</f>
        <v/>
      </c>
      <c r="AB10" s="24">
        <f>IF(OR(R10="",V10=""),"",R10-V10)</f>
        <v/>
      </c>
      <c r="AC10" s="24">
        <f>IF(OR(S10="",W10=""),"",S10-W10)</f>
        <v/>
      </c>
      <c r="AD10" s="13" t="n"/>
      <c r="AE10" s="24">
        <f>IF(OR(AD10="",AD9=""),"",IF(AD9=0,"",(AD10/AD9)-1))</f>
        <v/>
      </c>
      <c r="AF10" s="24">
        <f>IF(ROW()&lt;7,"",IF(OR(AD10="",AD7=""),"",IF(AD7=0,"",(AD10/AD7)-1)))</f>
        <v/>
      </c>
      <c r="AG10" s="24">
        <f>IF(ROW()&lt;9,"",IF(OR(AD10="",AD5=""),"",IF(AD5=0,"",(AD10/AD5)-1)))</f>
        <v/>
      </c>
      <c r="AH10" s="13">
        <f>IF(ROW()&lt;23,"",AVERAGE(AD-9:AD10))</f>
        <v/>
      </c>
      <c r="AI10">
        <f>IF(OR(AD10="",AH10=""),"",IF(AD10&gt;AH10,"Bull","Bear"))</f>
        <v/>
      </c>
      <c r="AJ10" s="13" t="n"/>
      <c r="AK10" s="24">
        <f>IF(OR(AJ10="",AJ9=""),"",IF(AJ9=0,"",(AJ10/AJ9)-1))</f>
        <v/>
      </c>
      <c r="AL10" s="24">
        <f>IF(ROW()&lt;7,"",IF(OR(AJ10="",AJ7=""),"",IF(AJ7=0,"",(AJ10/AJ7)-1)))</f>
        <v/>
      </c>
      <c r="AM10" s="24">
        <f>IF(ROW()&lt;9,"",IF(OR(AJ10="",AJ5=""),"",IF(AJ5=0,"",(AJ10/AJ5)-1)))</f>
        <v/>
      </c>
      <c r="AN10" s="13">
        <f>IF(ROW()&lt;23,"",AVERAGE(AJ-9:AJ10))</f>
        <v/>
      </c>
      <c r="AO10">
        <f>IF(OR(AJ10="",AN10=""),"",IF(AJ10&gt;AN10,"Bull","Bear"))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8">
        <f>IFERROR((M11/M10)-1,"")</f>
        <v/>
      </c>
      <c r="O11" s="24">
        <f>IF(OR(N11="",N10=""),"",IF(N10=0,"",(N11/N10)-1))</f>
        <v/>
      </c>
      <c r="P11" s="11">
        <f>IF(ROW()&lt;7,"",IF(OR(E11="",E8=""),"",IF(E8=0,"",(E11/E8)-1)))</f>
        <v/>
      </c>
      <c r="Q11" s="24">
        <f>IF(ROW()&lt;9,"",IF(OR(E11="",E6=""),"",IF(E6=0,"",(E11/E6)-1)))</f>
        <v/>
      </c>
      <c r="R11" s="24">
        <f>IF(ROW()&lt;7,"",IF(OR(G11="",G8=""),"",IF(G8=0,"",(G11/G8)-1)))</f>
        <v/>
      </c>
      <c r="S11" s="24">
        <f>IF(ROW()&lt;9,"",IF(OR(G11="",G6=""),"",IF(G6=0,"",(G11/G6)-1)))</f>
        <v/>
      </c>
      <c r="T11" s="24">
        <f>IF(ROW()&lt;7,"",IF(OR(L11="",L8=""),"",IF(L8=0,"",(L11/L8)-1)))</f>
        <v/>
      </c>
      <c r="U11" s="24">
        <f>IF(ROW()&lt;9,"",IF(OR(L11="",L6=""),"",IF(L6=0,"",(L11/L6)-1)))</f>
        <v/>
      </c>
      <c r="V11" s="24">
        <f>IF(ROW()&lt;7,"",IF(OR(N11="",N8=""),"",IF(N8=0,"",(N11/N8)-1)))</f>
        <v/>
      </c>
      <c r="W11" s="24">
        <f>IF(ROW()&lt;9,"",IF(OR(N11="",N6=""),"",IF(N6=0,"",(N11/N6)-1)))</f>
        <v/>
      </c>
      <c r="X11" s="24">
        <f>IF(OR(F11="",M11=""),"",F11-M11)</f>
        <v/>
      </c>
      <c r="Y11" s="24">
        <f>IF(OR(P11="",T11=""),"",P11-T11)</f>
        <v/>
      </c>
      <c r="Z11" s="24">
        <f>IF(OR(Q11="",U11=""),"",Q11-U11)</f>
        <v/>
      </c>
      <c r="AA11" s="24">
        <f>IF(OR(H11="",O11=""),"",H11-O11)</f>
        <v/>
      </c>
      <c r="AB11" s="24">
        <f>IF(OR(R11="",V11=""),"",R11-V11)</f>
        <v/>
      </c>
      <c r="AC11" s="24">
        <f>IF(OR(S11="",W11=""),"",S11-W11)</f>
        <v/>
      </c>
      <c r="AD11" s="13" t="n"/>
      <c r="AE11" s="24">
        <f>IF(OR(AD11="",AD10=""),"",IF(AD10=0,"",(AD11/AD10)-1))</f>
        <v/>
      </c>
      <c r="AF11" s="24">
        <f>IF(ROW()&lt;7,"",IF(OR(AD11="",AD8=""),"",IF(AD8=0,"",(AD11/AD8)-1)))</f>
        <v/>
      </c>
      <c r="AG11" s="24">
        <f>IF(ROW()&lt;9,"",IF(OR(AD11="",AD6=""),"",IF(AD6=0,"",(AD11/AD6)-1)))</f>
        <v/>
      </c>
      <c r="AH11" s="13">
        <f>IF(ROW()&lt;23,"",AVERAGE(AD-8:AD11))</f>
        <v/>
      </c>
      <c r="AI11">
        <f>IF(OR(AD11="",AH11=""),"",IF(AD11&gt;AH11,"Bull","Bear"))</f>
        <v/>
      </c>
      <c r="AJ11" s="13" t="n"/>
      <c r="AK11" s="24">
        <f>IF(OR(AJ11="",AJ10=""),"",IF(AJ10=0,"",(AJ11/AJ10)-1))</f>
        <v/>
      </c>
      <c r="AL11" s="24">
        <f>IF(ROW()&lt;7,"",IF(OR(AJ11="",AJ8=""),"",IF(AJ8=0,"",(AJ11/AJ8)-1)))</f>
        <v/>
      </c>
      <c r="AM11" s="24">
        <f>IF(ROW()&lt;9,"",IF(OR(AJ11="",AJ6=""),"",IF(AJ6=0,"",(AJ11/AJ6)-1)))</f>
        <v/>
      </c>
      <c r="AN11" s="13">
        <f>IF(ROW()&lt;23,"",AVERAGE(AJ-8:AJ11))</f>
        <v/>
      </c>
      <c r="AO11">
        <f>IF(OR(AJ11="",AN11=""),"",IF(AJ11&gt;AN11,"Bull","Bear"))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8">
        <f>IFERROR((M12/M11)-1,"")</f>
        <v/>
      </c>
      <c r="O12" s="24">
        <f>IF(OR(N12="",N11=""),"",IF(N11=0,"",(N12/N11)-1))</f>
        <v/>
      </c>
      <c r="P12" s="11">
        <f>IF(ROW()&lt;7,"",IF(OR(E12="",E9=""),"",IF(E9=0,"",(E12/E9)-1)))</f>
        <v/>
      </c>
      <c r="Q12" s="24">
        <f>IF(ROW()&lt;9,"",IF(OR(E12="",E7=""),"",IF(E7=0,"",(E12/E7)-1)))</f>
        <v/>
      </c>
      <c r="R12" s="24">
        <f>IF(ROW()&lt;7,"",IF(OR(G12="",G9=""),"",IF(G9=0,"",(G12/G9)-1)))</f>
        <v/>
      </c>
      <c r="S12" s="24">
        <f>IF(ROW()&lt;9,"",IF(OR(G12="",G7=""),"",IF(G7=0,"",(G12/G7)-1)))</f>
        <v/>
      </c>
      <c r="T12" s="24">
        <f>IF(ROW()&lt;7,"",IF(OR(L12="",L9=""),"",IF(L9=0,"",(L12/L9)-1)))</f>
        <v/>
      </c>
      <c r="U12" s="24">
        <f>IF(ROW()&lt;9,"",IF(OR(L12="",L7=""),"",IF(L7=0,"",(L12/L7)-1)))</f>
        <v/>
      </c>
      <c r="V12" s="24">
        <f>IF(ROW()&lt;7,"",IF(OR(N12="",N9=""),"",IF(N9=0,"",(N12/N9)-1)))</f>
        <v/>
      </c>
      <c r="W12" s="24">
        <f>IF(ROW()&lt;9,"",IF(OR(N12="",N7=""),"",IF(N7=0,"",(N12/N7)-1)))</f>
        <v/>
      </c>
      <c r="X12" s="24">
        <f>IF(OR(F12="",M12=""),"",F12-M12)</f>
        <v/>
      </c>
      <c r="Y12" s="24">
        <f>IF(OR(P12="",T12=""),"",P12-T12)</f>
        <v/>
      </c>
      <c r="Z12" s="24">
        <f>IF(OR(Q12="",U12=""),"",Q12-U12)</f>
        <v/>
      </c>
      <c r="AA12" s="24">
        <f>IF(OR(H12="",O12=""),"",H12-O12)</f>
        <v/>
      </c>
      <c r="AB12" s="24">
        <f>IF(OR(R12="",V12=""),"",R12-V12)</f>
        <v/>
      </c>
      <c r="AC12" s="24">
        <f>IF(OR(S12="",W12=""),"",S12-W12)</f>
        <v/>
      </c>
      <c r="AD12" s="13" t="n"/>
      <c r="AE12" s="24">
        <f>IF(OR(AD12="",AD11=""),"",IF(AD11=0,"",(AD12/AD11)-1))</f>
        <v/>
      </c>
      <c r="AF12" s="24">
        <f>IF(ROW()&lt;7,"",IF(OR(AD12="",AD9=""),"",IF(AD9=0,"",(AD12/AD9)-1)))</f>
        <v/>
      </c>
      <c r="AG12" s="24">
        <f>IF(ROW()&lt;9,"",IF(OR(AD12="",AD7=""),"",IF(AD7=0,"",(AD12/AD7)-1)))</f>
        <v/>
      </c>
      <c r="AH12" s="13">
        <f>IF(ROW()&lt;23,"",AVERAGE(AD-7:AD12))</f>
        <v/>
      </c>
      <c r="AI12">
        <f>IF(OR(AD12="",AH12=""),"",IF(AD12&gt;AH12,"Bull","Bear"))</f>
        <v/>
      </c>
      <c r="AJ12" s="13" t="n"/>
      <c r="AK12" s="24">
        <f>IF(OR(AJ12="",AJ11=""),"",IF(AJ11=0,"",(AJ12/AJ11)-1))</f>
        <v/>
      </c>
      <c r="AL12" s="24">
        <f>IF(ROW()&lt;7,"",IF(OR(AJ12="",AJ9=""),"",IF(AJ9=0,"",(AJ12/AJ9)-1)))</f>
        <v/>
      </c>
      <c r="AM12" s="24">
        <f>IF(ROW()&lt;9,"",IF(OR(AJ12="",AJ7=""),"",IF(AJ7=0,"",(AJ12/AJ7)-1)))</f>
        <v/>
      </c>
      <c r="AN12" s="13">
        <f>IF(ROW()&lt;23,"",AVERAGE(AJ-7:AJ12))</f>
        <v/>
      </c>
      <c r="AO12">
        <f>IF(OR(AJ12="",AN12=""),"",IF(AJ12&gt;AN12,"Bull","Bear"))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8">
        <f>IFERROR((M13/M12)-1,"")</f>
        <v/>
      </c>
      <c r="O13" s="24">
        <f>IF(OR(N13="",N12=""),"",IF(N12=0,"",(N13/N12)-1))</f>
        <v/>
      </c>
      <c r="P13" s="11">
        <f>IF(ROW()&lt;7,"",IF(OR(E13="",E10=""),"",IF(E10=0,"",(E13/E10)-1)))</f>
        <v/>
      </c>
      <c r="Q13" s="24">
        <f>IF(ROW()&lt;9,"",IF(OR(E13="",E8=""),"",IF(E8=0,"",(E13/E8)-1)))</f>
        <v/>
      </c>
      <c r="R13" s="24">
        <f>IF(ROW()&lt;7,"",IF(OR(G13="",G10=""),"",IF(G10=0,"",(G13/G10)-1)))</f>
        <v/>
      </c>
      <c r="S13" s="24">
        <f>IF(ROW()&lt;9,"",IF(OR(G13="",G8=""),"",IF(G8=0,"",(G13/G8)-1)))</f>
        <v/>
      </c>
      <c r="T13" s="24">
        <f>IF(ROW()&lt;7,"",IF(OR(L13="",L10=""),"",IF(L10=0,"",(L13/L10)-1)))</f>
        <v/>
      </c>
      <c r="U13" s="24">
        <f>IF(ROW()&lt;9,"",IF(OR(L13="",L8=""),"",IF(L8=0,"",(L13/L8)-1)))</f>
        <v/>
      </c>
      <c r="V13" s="24">
        <f>IF(ROW()&lt;7,"",IF(OR(N13="",N10=""),"",IF(N10=0,"",(N13/N10)-1)))</f>
        <v/>
      </c>
      <c r="W13" s="24">
        <f>IF(ROW()&lt;9,"",IF(OR(N13="",N8=""),"",IF(N8=0,"",(N13/N8)-1)))</f>
        <v/>
      </c>
      <c r="X13" s="24">
        <f>IF(OR(F13="",M13=""),"",F13-M13)</f>
        <v/>
      </c>
      <c r="Y13" s="24">
        <f>IF(OR(P13="",T13=""),"",P13-T13)</f>
        <v/>
      </c>
      <c r="Z13" s="24">
        <f>IF(OR(Q13="",U13=""),"",Q13-U13)</f>
        <v/>
      </c>
      <c r="AA13" s="24">
        <f>IF(OR(H13="",O13=""),"",H13-O13)</f>
        <v/>
      </c>
      <c r="AB13" s="24">
        <f>IF(OR(R13="",V13=""),"",R13-V13)</f>
        <v/>
      </c>
      <c r="AC13" s="24">
        <f>IF(OR(S13="",W13=""),"",S13-W13)</f>
        <v/>
      </c>
      <c r="AD13" s="13" t="n"/>
      <c r="AE13" s="24">
        <f>IF(OR(AD13="",AD12=""),"",IF(AD12=0,"",(AD13/AD12)-1))</f>
        <v/>
      </c>
      <c r="AF13" s="24">
        <f>IF(ROW()&lt;7,"",IF(OR(AD13="",AD10=""),"",IF(AD10=0,"",(AD13/AD10)-1)))</f>
        <v/>
      </c>
      <c r="AG13" s="24">
        <f>IF(ROW()&lt;9,"",IF(OR(AD13="",AD8=""),"",IF(AD8=0,"",(AD13/AD8)-1)))</f>
        <v/>
      </c>
      <c r="AH13" s="13">
        <f>IF(ROW()&lt;23,"",AVERAGE(AD-6:AD13))</f>
        <v/>
      </c>
      <c r="AI13">
        <f>IF(OR(AD13="",AH13=""),"",IF(AD13&gt;AH13,"Bull","Bear"))</f>
        <v/>
      </c>
      <c r="AJ13" s="13" t="n"/>
      <c r="AK13" s="24">
        <f>IF(OR(AJ13="",AJ12=""),"",IF(AJ12=0,"",(AJ13/AJ12)-1))</f>
        <v/>
      </c>
      <c r="AL13" s="24">
        <f>IF(ROW()&lt;7,"",IF(OR(AJ13="",AJ10=""),"",IF(AJ10=0,"",(AJ13/AJ10)-1)))</f>
        <v/>
      </c>
      <c r="AM13" s="24">
        <f>IF(ROW()&lt;9,"",IF(OR(AJ13="",AJ8=""),"",IF(AJ8=0,"",(AJ13/AJ8)-1)))</f>
        <v/>
      </c>
      <c r="AN13" s="13">
        <f>IF(ROW()&lt;23,"",AVERAGE(AJ-6:AJ13))</f>
        <v/>
      </c>
      <c r="AO13">
        <f>IF(OR(AJ13="",AN13=""),"",IF(AJ13&gt;AN13,"Bull","Bear"))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8">
        <f>IFERROR((M14/M13)-1,"")</f>
        <v/>
      </c>
      <c r="O14" s="24">
        <f>IF(OR(N14="",N13=""),"",IF(N13=0,"",(N14/N13)-1))</f>
        <v/>
      </c>
      <c r="P14" s="11">
        <f>IF(ROW()&lt;7,"",IF(OR(E14="",E11=""),"",IF(E11=0,"",(E14/E11)-1)))</f>
        <v/>
      </c>
      <c r="Q14" s="24">
        <f>IF(ROW()&lt;9,"",IF(OR(E14="",E9=""),"",IF(E9=0,"",(E14/E9)-1)))</f>
        <v/>
      </c>
      <c r="R14" s="24">
        <f>IF(ROW()&lt;7,"",IF(OR(G14="",G11=""),"",IF(G11=0,"",(G14/G11)-1)))</f>
        <v/>
      </c>
      <c r="S14" s="24">
        <f>IF(ROW()&lt;9,"",IF(OR(G14="",G9=""),"",IF(G9=0,"",(G14/G9)-1)))</f>
        <v/>
      </c>
      <c r="T14" s="24">
        <f>IF(ROW()&lt;7,"",IF(OR(L14="",L11=""),"",IF(L11=0,"",(L14/L11)-1)))</f>
        <v/>
      </c>
      <c r="U14" s="24">
        <f>IF(ROW()&lt;9,"",IF(OR(L14="",L9=""),"",IF(L9=0,"",(L14/L9)-1)))</f>
        <v/>
      </c>
      <c r="V14" s="24">
        <f>IF(ROW()&lt;7,"",IF(OR(N14="",N11=""),"",IF(N11=0,"",(N14/N11)-1)))</f>
        <v/>
      </c>
      <c r="W14" s="24">
        <f>IF(ROW()&lt;9,"",IF(OR(N14="",N9=""),"",IF(N9=0,"",(N14/N9)-1)))</f>
        <v/>
      </c>
      <c r="X14" s="24">
        <f>IF(OR(F14="",M14=""),"",F14-M14)</f>
        <v/>
      </c>
      <c r="Y14" s="24">
        <f>IF(OR(P14="",T14=""),"",P14-T14)</f>
        <v/>
      </c>
      <c r="Z14" s="24">
        <f>IF(OR(Q14="",U14=""),"",Q14-U14)</f>
        <v/>
      </c>
      <c r="AA14" s="24">
        <f>IF(OR(H14="",O14=""),"",H14-O14)</f>
        <v/>
      </c>
      <c r="AB14" s="24">
        <f>IF(OR(R14="",V14=""),"",R14-V14)</f>
        <v/>
      </c>
      <c r="AC14" s="24">
        <f>IF(OR(S14="",W14=""),"",S14-W14)</f>
        <v/>
      </c>
      <c r="AD14" s="13" t="n"/>
      <c r="AE14" s="24">
        <f>IF(OR(AD14="",AD13=""),"",IF(AD13=0,"",(AD14/AD13)-1))</f>
        <v/>
      </c>
      <c r="AF14" s="24">
        <f>IF(ROW()&lt;7,"",IF(OR(AD14="",AD11=""),"",IF(AD11=0,"",(AD14/AD11)-1)))</f>
        <v/>
      </c>
      <c r="AG14" s="24">
        <f>IF(ROW()&lt;9,"",IF(OR(AD14="",AD9=""),"",IF(AD9=0,"",(AD14/AD9)-1)))</f>
        <v/>
      </c>
      <c r="AH14" s="13">
        <f>IF(ROW()&lt;23,"",AVERAGE(AD-5:AD14))</f>
        <v/>
      </c>
      <c r="AI14">
        <f>IF(OR(AD14="",AH14=""),"",IF(AD14&gt;AH14,"Bull","Bear"))</f>
        <v/>
      </c>
      <c r="AJ14" s="13" t="n"/>
      <c r="AK14" s="24">
        <f>IF(OR(AJ14="",AJ13=""),"",IF(AJ13=0,"",(AJ14/AJ13)-1))</f>
        <v/>
      </c>
      <c r="AL14" s="24">
        <f>IF(ROW()&lt;7,"",IF(OR(AJ14="",AJ11=""),"",IF(AJ11=0,"",(AJ14/AJ11)-1)))</f>
        <v/>
      </c>
      <c r="AM14" s="24">
        <f>IF(ROW()&lt;9,"",IF(OR(AJ14="",AJ9=""),"",IF(AJ9=0,"",(AJ14/AJ9)-1)))</f>
        <v/>
      </c>
      <c r="AN14" s="13">
        <f>IF(ROW()&lt;23,"",AVERAGE(AJ-5:AJ14))</f>
        <v/>
      </c>
      <c r="AO14">
        <f>IF(OR(AJ14="",AN14=""),"",IF(AJ14&gt;AN14,"Bull","Bear"))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8">
        <f>IFERROR((M15/M14)-1,"")</f>
        <v/>
      </c>
      <c r="O15" s="24">
        <f>IF(OR(N15="",N14=""),"",IF(N14=0,"",(N15/N14)-1))</f>
        <v/>
      </c>
      <c r="P15" s="11">
        <f>IF(ROW()&lt;7,"",IF(OR(E15="",E12=""),"",IF(E12=0,"",(E15/E12)-1)))</f>
        <v/>
      </c>
      <c r="Q15" s="24">
        <f>IF(ROW()&lt;9,"",IF(OR(E15="",E10=""),"",IF(E10=0,"",(E15/E10)-1)))</f>
        <v/>
      </c>
      <c r="R15" s="24">
        <f>IF(ROW()&lt;7,"",IF(OR(G15="",G12=""),"",IF(G12=0,"",(G15/G12)-1)))</f>
        <v/>
      </c>
      <c r="S15" s="24">
        <f>IF(ROW()&lt;9,"",IF(OR(G15="",G10=""),"",IF(G10=0,"",(G15/G10)-1)))</f>
        <v/>
      </c>
      <c r="T15" s="24">
        <f>IF(ROW()&lt;7,"",IF(OR(L15="",L12=""),"",IF(L12=0,"",(L15/L12)-1)))</f>
        <v/>
      </c>
      <c r="U15" s="24">
        <f>IF(ROW()&lt;9,"",IF(OR(L15="",L10=""),"",IF(L10=0,"",(L15/L10)-1)))</f>
        <v/>
      </c>
      <c r="V15" s="24">
        <f>IF(ROW()&lt;7,"",IF(OR(N15="",N12=""),"",IF(N12=0,"",(N15/N12)-1)))</f>
        <v/>
      </c>
      <c r="W15" s="24">
        <f>IF(ROW()&lt;9,"",IF(OR(N15="",N10=""),"",IF(N10=0,"",(N15/N10)-1)))</f>
        <v/>
      </c>
      <c r="X15" s="24">
        <f>IF(OR(F15="",M15=""),"",F15-M15)</f>
        <v/>
      </c>
      <c r="Y15" s="24">
        <f>IF(OR(P15="",T15=""),"",P15-T15)</f>
        <v/>
      </c>
      <c r="Z15" s="24">
        <f>IF(OR(Q15="",U15=""),"",Q15-U15)</f>
        <v/>
      </c>
      <c r="AA15" s="24">
        <f>IF(OR(H15="",O15=""),"",H15-O15)</f>
        <v/>
      </c>
      <c r="AB15" s="24">
        <f>IF(OR(R15="",V15=""),"",R15-V15)</f>
        <v/>
      </c>
      <c r="AC15" s="24">
        <f>IF(OR(S15="",W15=""),"",S15-W15)</f>
        <v/>
      </c>
      <c r="AD15" s="13" t="n"/>
      <c r="AE15" s="24">
        <f>IF(OR(AD15="",AD14=""),"",IF(AD14=0,"",(AD15/AD14)-1))</f>
        <v/>
      </c>
      <c r="AF15" s="24">
        <f>IF(ROW()&lt;7,"",IF(OR(AD15="",AD12=""),"",IF(AD12=0,"",(AD15/AD12)-1)))</f>
        <v/>
      </c>
      <c r="AG15" s="24">
        <f>IF(ROW()&lt;9,"",IF(OR(AD15="",AD10=""),"",IF(AD10=0,"",(AD15/AD10)-1)))</f>
        <v/>
      </c>
      <c r="AH15" s="13">
        <f>IF(ROW()&lt;23,"",AVERAGE(AD-4:AD15))</f>
        <v/>
      </c>
      <c r="AI15">
        <f>IF(OR(AD15="",AH15=""),"",IF(AD15&gt;AH15,"Bull","Bear"))</f>
        <v/>
      </c>
      <c r="AJ15" s="13" t="n"/>
      <c r="AK15" s="24">
        <f>IF(OR(AJ15="",AJ14=""),"",IF(AJ14=0,"",(AJ15/AJ14)-1))</f>
        <v/>
      </c>
      <c r="AL15" s="24">
        <f>IF(ROW()&lt;7,"",IF(OR(AJ15="",AJ12=""),"",IF(AJ12=0,"",(AJ15/AJ12)-1)))</f>
        <v/>
      </c>
      <c r="AM15" s="24">
        <f>IF(ROW()&lt;9,"",IF(OR(AJ15="",AJ10=""),"",IF(AJ10=0,"",(AJ15/AJ10)-1)))</f>
        <v/>
      </c>
      <c r="AN15" s="13">
        <f>IF(ROW()&lt;23,"",AVERAGE(AJ-4:AJ15))</f>
        <v/>
      </c>
      <c r="AO15">
        <f>IF(OR(AJ15="",AN15=""),"",IF(AJ15&gt;AN15,"Bull","Bear"))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8">
        <f>IFERROR((M16/M15)-1,"")</f>
        <v/>
      </c>
      <c r="O16" s="24">
        <f>IF(OR(N16="",N15=""),"",IF(N15=0,"",(N16/N15)-1))</f>
        <v/>
      </c>
      <c r="P16" s="11">
        <f>IF(ROW()&lt;7,"",IF(OR(E16="",E13=""),"",IF(E13=0,"",(E16/E13)-1)))</f>
        <v/>
      </c>
      <c r="Q16" s="24">
        <f>IF(ROW()&lt;9,"",IF(OR(E16="",E11=""),"",IF(E11=0,"",(E16/E11)-1)))</f>
        <v/>
      </c>
      <c r="R16" s="24">
        <f>IF(ROW()&lt;7,"",IF(OR(G16="",G13=""),"",IF(G13=0,"",(G16/G13)-1)))</f>
        <v/>
      </c>
      <c r="S16" s="24">
        <f>IF(ROW()&lt;9,"",IF(OR(G16="",G11=""),"",IF(G11=0,"",(G16/G11)-1)))</f>
        <v/>
      </c>
      <c r="T16" s="24">
        <f>IF(ROW()&lt;7,"",IF(OR(L16="",L13=""),"",IF(L13=0,"",(L16/L13)-1)))</f>
        <v/>
      </c>
      <c r="U16" s="24">
        <f>IF(ROW()&lt;9,"",IF(OR(L16="",L11=""),"",IF(L11=0,"",(L16/L11)-1)))</f>
        <v/>
      </c>
      <c r="V16" s="24">
        <f>IF(ROW()&lt;7,"",IF(OR(N16="",N13=""),"",IF(N13=0,"",(N16/N13)-1)))</f>
        <v/>
      </c>
      <c r="W16" s="24">
        <f>IF(ROW()&lt;9,"",IF(OR(N16="",N11=""),"",IF(N11=0,"",(N16/N11)-1)))</f>
        <v/>
      </c>
      <c r="X16" s="24">
        <f>IF(OR(F16="",M16=""),"",F16-M16)</f>
        <v/>
      </c>
      <c r="Y16" s="24">
        <f>IF(OR(P16="",T16=""),"",P16-T16)</f>
        <v/>
      </c>
      <c r="Z16" s="24">
        <f>IF(OR(Q16="",U16=""),"",Q16-U16)</f>
        <v/>
      </c>
      <c r="AA16" s="24">
        <f>IF(OR(H16="",O16=""),"",H16-O16)</f>
        <v/>
      </c>
      <c r="AB16" s="24">
        <f>IF(OR(R16="",V16=""),"",R16-V16)</f>
        <v/>
      </c>
      <c r="AC16" s="24">
        <f>IF(OR(S16="",W16=""),"",S16-W16)</f>
        <v/>
      </c>
      <c r="AD16" s="13" t="n"/>
      <c r="AE16" s="24">
        <f>IF(OR(AD16="",AD15=""),"",IF(AD15=0,"",(AD16/AD15)-1))</f>
        <v/>
      </c>
      <c r="AF16" s="24">
        <f>IF(ROW()&lt;7,"",IF(OR(AD16="",AD13=""),"",IF(AD13=0,"",(AD16/AD13)-1)))</f>
        <v/>
      </c>
      <c r="AG16" s="24">
        <f>IF(ROW()&lt;9,"",IF(OR(AD16="",AD11=""),"",IF(AD11=0,"",(AD16/AD11)-1)))</f>
        <v/>
      </c>
      <c r="AH16" s="13">
        <f>IF(ROW()&lt;23,"",AVERAGE(AD-3:AD16))</f>
        <v/>
      </c>
      <c r="AI16">
        <f>IF(OR(AD16="",AH16=""),"",IF(AD16&gt;AH16,"Bull","Bear"))</f>
        <v/>
      </c>
      <c r="AJ16" s="13" t="n"/>
      <c r="AK16" s="24">
        <f>IF(OR(AJ16="",AJ15=""),"",IF(AJ15=0,"",(AJ16/AJ15)-1))</f>
        <v/>
      </c>
      <c r="AL16" s="24">
        <f>IF(ROW()&lt;7,"",IF(OR(AJ16="",AJ13=""),"",IF(AJ13=0,"",(AJ16/AJ13)-1)))</f>
        <v/>
      </c>
      <c r="AM16" s="24">
        <f>IF(ROW()&lt;9,"",IF(OR(AJ16="",AJ11=""),"",IF(AJ11=0,"",(AJ16/AJ11)-1)))</f>
        <v/>
      </c>
      <c r="AN16" s="13">
        <f>IF(ROW()&lt;23,"",AVERAGE(AJ-3:AJ16))</f>
        <v/>
      </c>
      <c r="AO16">
        <f>IF(OR(AJ16="",AN16=""),"",IF(AJ16&gt;AN16,"Bull","Bear"))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8">
        <f>IFERROR((M17/M16)-1,"")</f>
        <v/>
      </c>
      <c r="O17" s="24">
        <f>IF(OR(N17="",N16=""),"",IF(N16=0,"",(N17/N16)-1))</f>
        <v/>
      </c>
      <c r="P17" s="11">
        <f>IF(ROW()&lt;7,"",IF(OR(E17="",E14=""),"",IF(E14=0,"",(E17/E14)-1)))</f>
        <v/>
      </c>
      <c r="Q17" s="24">
        <f>IF(ROW()&lt;9,"",IF(OR(E17="",E12=""),"",IF(E12=0,"",(E17/E12)-1)))</f>
        <v/>
      </c>
      <c r="R17" s="24">
        <f>IF(ROW()&lt;7,"",IF(OR(G17="",G14=""),"",IF(G14=0,"",(G17/G14)-1)))</f>
        <v/>
      </c>
      <c r="S17" s="24">
        <f>IF(ROW()&lt;9,"",IF(OR(G17="",G12=""),"",IF(G12=0,"",(G17/G12)-1)))</f>
        <v/>
      </c>
      <c r="T17" s="24">
        <f>IF(ROW()&lt;7,"",IF(OR(L17="",L14=""),"",IF(L14=0,"",(L17/L14)-1)))</f>
        <v/>
      </c>
      <c r="U17" s="24">
        <f>IF(ROW()&lt;9,"",IF(OR(L17="",L12=""),"",IF(L12=0,"",(L17/L12)-1)))</f>
        <v/>
      </c>
      <c r="V17" s="24">
        <f>IF(ROW()&lt;7,"",IF(OR(N17="",N14=""),"",IF(N14=0,"",(N17/N14)-1)))</f>
        <v/>
      </c>
      <c r="W17" s="24">
        <f>IF(ROW()&lt;9,"",IF(OR(N17="",N12=""),"",IF(N12=0,"",(N17/N12)-1)))</f>
        <v/>
      </c>
      <c r="X17" s="24">
        <f>IF(OR(F17="",M17=""),"",F17-M17)</f>
        <v/>
      </c>
      <c r="Y17" s="24">
        <f>IF(OR(P17="",T17=""),"",P17-T17)</f>
        <v/>
      </c>
      <c r="Z17" s="24">
        <f>IF(OR(Q17="",U17=""),"",Q17-U17)</f>
        <v/>
      </c>
      <c r="AA17" s="24">
        <f>IF(OR(H17="",O17=""),"",H17-O17)</f>
        <v/>
      </c>
      <c r="AB17" s="24">
        <f>IF(OR(R17="",V17=""),"",R17-V17)</f>
        <v/>
      </c>
      <c r="AC17" s="24">
        <f>IF(OR(S17="",W17=""),"",S17-W17)</f>
        <v/>
      </c>
      <c r="AD17" s="13" t="n"/>
      <c r="AE17" s="24">
        <f>IF(OR(AD17="",AD16=""),"",IF(AD16=0,"",(AD17/AD16)-1))</f>
        <v/>
      </c>
      <c r="AF17" s="24">
        <f>IF(ROW()&lt;7,"",IF(OR(AD17="",AD14=""),"",IF(AD14=0,"",(AD17/AD14)-1)))</f>
        <v/>
      </c>
      <c r="AG17" s="24">
        <f>IF(ROW()&lt;9,"",IF(OR(AD17="",AD12=""),"",IF(AD12=0,"",(AD17/AD12)-1)))</f>
        <v/>
      </c>
      <c r="AH17" s="13">
        <f>IF(ROW()&lt;23,"",AVERAGE(AD-2:AD17))</f>
        <v/>
      </c>
      <c r="AI17">
        <f>IF(OR(AD17="",AH17=""),"",IF(AD17&gt;AH17,"Bull","Bear"))</f>
        <v/>
      </c>
      <c r="AJ17" s="13" t="n"/>
      <c r="AK17" s="24">
        <f>IF(OR(AJ17="",AJ16=""),"",IF(AJ16=0,"",(AJ17/AJ16)-1))</f>
        <v/>
      </c>
      <c r="AL17" s="24">
        <f>IF(ROW()&lt;7,"",IF(OR(AJ17="",AJ14=""),"",IF(AJ14=0,"",(AJ17/AJ14)-1)))</f>
        <v/>
      </c>
      <c r="AM17" s="24">
        <f>IF(ROW()&lt;9,"",IF(OR(AJ17="",AJ12=""),"",IF(AJ12=0,"",(AJ17/AJ12)-1)))</f>
        <v/>
      </c>
      <c r="AN17" s="13">
        <f>IF(ROW()&lt;23,"",AVERAGE(AJ-2:AJ17))</f>
        <v/>
      </c>
      <c r="AO17">
        <f>IF(OR(AJ17="",AN17=""),"",IF(AJ17&gt;AN17,"Bull","Bear"))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8">
        <f>IFERROR((M18/M17)-1,"")</f>
        <v/>
      </c>
      <c r="O18" s="24">
        <f>IF(OR(N18="",N17=""),"",IF(N17=0,"",(N18/N17)-1))</f>
        <v/>
      </c>
      <c r="P18" s="11">
        <f>IF(ROW()&lt;7,"",IF(OR(E18="",E15=""),"",IF(E15=0,"",(E18/E15)-1)))</f>
        <v/>
      </c>
      <c r="Q18" s="24">
        <f>IF(ROW()&lt;9,"",IF(OR(E18="",E13=""),"",IF(E13=0,"",(E18/E13)-1)))</f>
        <v/>
      </c>
      <c r="R18" s="24">
        <f>IF(ROW()&lt;7,"",IF(OR(G18="",G15=""),"",IF(G15=0,"",(G18/G15)-1)))</f>
        <v/>
      </c>
      <c r="S18" s="24">
        <f>IF(ROW()&lt;9,"",IF(OR(G18="",G13=""),"",IF(G13=0,"",(G18/G13)-1)))</f>
        <v/>
      </c>
      <c r="T18" s="24">
        <f>IF(ROW()&lt;7,"",IF(OR(L18="",L15=""),"",IF(L15=0,"",(L18/L15)-1)))</f>
        <v/>
      </c>
      <c r="U18" s="24">
        <f>IF(ROW()&lt;9,"",IF(OR(L18="",L13=""),"",IF(L13=0,"",(L18/L13)-1)))</f>
        <v/>
      </c>
      <c r="V18" s="24">
        <f>IF(ROW()&lt;7,"",IF(OR(N18="",N15=""),"",IF(N15=0,"",(N18/N15)-1)))</f>
        <v/>
      </c>
      <c r="W18" s="24">
        <f>IF(ROW()&lt;9,"",IF(OR(N18="",N13=""),"",IF(N13=0,"",(N18/N13)-1)))</f>
        <v/>
      </c>
      <c r="X18" s="24">
        <f>IF(OR(F18="",M18=""),"",F18-M18)</f>
        <v/>
      </c>
      <c r="Y18" s="24">
        <f>IF(OR(P18="",T18=""),"",P18-T18)</f>
        <v/>
      </c>
      <c r="Z18" s="24">
        <f>IF(OR(Q18="",U18=""),"",Q18-U18)</f>
        <v/>
      </c>
      <c r="AA18" s="24">
        <f>IF(OR(H18="",O18=""),"",H18-O18)</f>
        <v/>
      </c>
      <c r="AB18" s="24">
        <f>IF(OR(R18="",V18=""),"",R18-V18)</f>
        <v/>
      </c>
      <c r="AC18" s="24">
        <f>IF(OR(S18="",W18=""),"",S18-W18)</f>
        <v/>
      </c>
      <c r="AD18" s="13" t="n"/>
      <c r="AE18" s="24">
        <f>IF(OR(AD18="",AD17=""),"",IF(AD17=0,"",(AD18/AD17)-1))</f>
        <v/>
      </c>
      <c r="AF18" s="24">
        <f>IF(ROW()&lt;7,"",IF(OR(AD18="",AD15=""),"",IF(AD15=0,"",(AD18/AD15)-1)))</f>
        <v/>
      </c>
      <c r="AG18" s="24">
        <f>IF(ROW()&lt;9,"",IF(OR(AD18="",AD13=""),"",IF(AD13=0,"",(AD18/AD13)-1)))</f>
        <v/>
      </c>
      <c r="AH18" s="13">
        <f>IF(ROW()&lt;23,"",AVERAGE(AD-1:AD18))</f>
        <v/>
      </c>
      <c r="AI18">
        <f>IF(OR(AD18="",AH18=""),"",IF(AD18&gt;AH18,"Bull","Bear"))</f>
        <v/>
      </c>
      <c r="AJ18" s="13" t="n"/>
      <c r="AK18" s="24">
        <f>IF(OR(AJ18="",AJ17=""),"",IF(AJ17=0,"",(AJ18/AJ17)-1))</f>
        <v/>
      </c>
      <c r="AL18" s="24">
        <f>IF(ROW()&lt;7,"",IF(OR(AJ18="",AJ15=""),"",IF(AJ15=0,"",(AJ18/AJ15)-1)))</f>
        <v/>
      </c>
      <c r="AM18" s="24">
        <f>IF(ROW()&lt;9,"",IF(OR(AJ18="",AJ13=""),"",IF(AJ13=0,"",(AJ18/AJ13)-1)))</f>
        <v/>
      </c>
      <c r="AN18" s="13">
        <f>IF(ROW()&lt;23,"",AVERAGE(AJ-1:AJ18))</f>
        <v/>
      </c>
      <c r="AO18">
        <f>IF(OR(AJ18="",AN18=""),"",IF(AJ18&gt;AN18,"Bull","Bear"))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8">
        <f>IFERROR((M19/M18)-1,"")</f>
        <v/>
      </c>
      <c r="O19" s="24">
        <f>IF(OR(N19="",N18=""),"",IF(N18=0,"",(N19/N18)-1))</f>
        <v/>
      </c>
      <c r="P19" s="11">
        <f>IF(ROW()&lt;7,"",IF(OR(E19="",E16=""),"",IF(E16=0,"",(E19/E16)-1)))</f>
        <v/>
      </c>
      <c r="Q19" s="24">
        <f>IF(ROW()&lt;9,"",IF(OR(E19="",E14=""),"",IF(E14=0,"",(E19/E14)-1)))</f>
        <v/>
      </c>
      <c r="R19" s="24">
        <f>IF(ROW()&lt;7,"",IF(OR(G19="",G16=""),"",IF(G16=0,"",(G19/G16)-1)))</f>
        <v/>
      </c>
      <c r="S19" s="24">
        <f>IF(ROW()&lt;9,"",IF(OR(G19="",G14=""),"",IF(G14=0,"",(G19/G14)-1)))</f>
        <v/>
      </c>
      <c r="T19" s="24">
        <f>IF(ROW()&lt;7,"",IF(OR(L19="",L16=""),"",IF(L16=0,"",(L19/L16)-1)))</f>
        <v/>
      </c>
      <c r="U19" s="24">
        <f>IF(ROW()&lt;9,"",IF(OR(L19="",L14=""),"",IF(L14=0,"",(L19/L14)-1)))</f>
        <v/>
      </c>
      <c r="V19" s="24">
        <f>IF(ROW()&lt;7,"",IF(OR(N19="",N16=""),"",IF(N16=0,"",(N19/N16)-1)))</f>
        <v/>
      </c>
      <c r="W19" s="24">
        <f>IF(ROW()&lt;9,"",IF(OR(N19="",N14=""),"",IF(N14=0,"",(N19/N14)-1)))</f>
        <v/>
      </c>
      <c r="X19" s="24">
        <f>IF(OR(F19="",M19=""),"",F19-M19)</f>
        <v/>
      </c>
      <c r="Y19" s="24">
        <f>IF(OR(P19="",T19=""),"",P19-T19)</f>
        <v/>
      </c>
      <c r="Z19" s="24">
        <f>IF(OR(Q19="",U19=""),"",Q19-U19)</f>
        <v/>
      </c>
      <c r="AA19" s="24">
        <f>IF(OR(H19="",O19=""),"",H19-O19)</f>
        <v/>
      </c>
      <c r="AB19" s="24">
        <f>IF(OR(R19="",V19=""),"",R19-V19)</f>
        <v/>
      </c>
      <c r="AC19" s="24">
        <f>IF(OR(S19="",W19=""),"",S19-W19)</f>
        <v/>
      </c>
      <c r="AD19" s="13" t="n"/>
      <c r="AE19" s="24">
        <f>IF(OR(AD19="",AD18=""),"",IF(AD18=0,"",(AD19/AD18)-1))</f>
        <v/>
      </c>
      <c r="AF19" s="24">
        <f>IF(ROW()&lt;7,"",IF(OR(AD19="",AD16=""),"",IF(AD16=0,"",(AD19/AD16)-1)))</f>
        <v/>
      </c>
      <c r="AG19" s="24">
        <f>IF(ROW()&lt;9,"",IF(OR(AD19="",AD14=""),"",IF(AD14=0,"",(AD19/AD14)-1)))</f>
        <v/>
      </c>
      <c r="AH19" s="13">
        <f>IF(ROW()&lt;23,"",AVERAGE(AD0:AD19))</f>
        <v/>
      </c>
      <c r="AI19">
        <f>IF(OR(AD19="",AH19=""),"",IF(AD19&gt;AH19,"Bull","Bear"))</f>
        <v/>
      </c>
      <c r="AJ19" s="13" t="n"/>
      <c r="AK19" s="24">
        <f>IF(OR(AJ19="",AJ18=""),"",IF(AJ18=0,"",(AJ19/AJ18)-1))</f>
        <v/>
      </c>
      <c r="AL19" s="24">
        <f>IF(ROW()&lt;7,"",IF(OR(AJ19="",AJ16=""),"",IF(AJ16=0,"",(AJ19/AJ16)-1)))</f>
        <v/>
      </c>
      <c r="AM19" s="24">
        <f>IF(ROW()&lt;9,"",IF(OR(AJ19="",AJ14=""),"",IF(AJ14=0,"",(AJ19/AJ14)-1)))</f>
        <v/>
      </c>
      <c r="AN19" s="13">
        <f>IF(ROW()&lt;23,"",AVERAGE(AJ0:AJ19))</f>
        <v/>
      </c>
      <c r="AO19">
        <f>IF(OR(AJ19="",AN19=""),"",IF(AJ19&gt;AN19,"Bull","Bear"))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8">
        <f>IFERROR((M20/M19)-1,"")</f>
        <v/>
      </c>
      <c r="O20" s="24">
        <f>IF(OR(N20="",N19=""),"",IF(N19=0,"",(N20/N19)-1))</f>
        <v/>
      </c>
      <c r="P20" s="11">
        <f>IF(ROW()&lt;7,"",IF(OR(E20="",E17=""),"",IF(E17=0,"",(E20/E17)-1)))</f>
        <v/>
      </c>
      <c r="Q20" s="24">
        <f>IF(ROW()&lt;9,"",IF(OR(E20="",E15=""),"",IF(E15=0,"",(E20/E15)-1)))</f>
        <v/>
      </c>
      <c r="R20" s="24">
        <f>IF(ROW()&lt;7,"",IF(OR(G20="",G17=""),"",IF(G17=0,"",(G20/G17)-1)))</f>
        <v/>
      </c>
      <c r="S20" s="24">
        <f>IF(ROW()&lt;9,"",IF(OR(G20="",G15=""),"",IF(G15=0,"",(G20/G15)-1)))</f>
        <v/>
      </c>
      <c r="T20" s="24">
        <f>IF(ROW()&lt;7,"",IF(OR(L20="",L17=""),"",IF(L17=0,"",(L20/L17)-1)))</f>
        <v/>
      </c>
      <c r="U20" s="24">
        <f>IF(ROW()&lt;9,"",IF(OR(L20="",L15=""),"",IF(L15=0,"",(L20/L15)-1)))</f>
        <v/>
      </c>
      <c r="V20" s="24">
        <f>IF(ROW()&lt;7,"",IF(OR(N20="",N17=""),"",IF(N17=0,"",(N20/N17)-1)))</f>
        <v/>
      </c>
      <c r="W20" s="24">
        <f>IF(ROW()&lt;9,"",IF(OR(N20="",N15=""),"",IF(N15=0,"",(N20/N15)-1)))</f>
        <v/>
      </c>
      <c r="X20" s="24">
        <f>IF(OR(F20="",M20=""),"",F20-M20)</f>
        <v/>
      </c>
      <c r="Y20" s="24">
        <f>IF(OR(P20="",T20=""),"",P20-T20)</f>
        <v/>
      </c>
      <c r="Z20" s="24">
        <f>IF(OR(Q20="",U20=""),"",Q20-U20)</f>
        <v/>
      </c>
      <c r="AA20" s="24">
        <f>IF(OR(H20="",O20=""),"",H20-O20)</f>
        <v/>
      </c>
      <c r="AB20" s="24">
        <f>IF(OR(R20="",V20=""),"",R20-V20)</f>
        <v/>
      </c>
      <c r="AC20" s="24">
        <f>IF(OR(S20="",W20=""),"",S20-W20)</f>
        <v/>
      </c>
      <c r="AD20" s="13" t="n"/>
      <c r="AE20" s="24">
        <f>IF(OR(AD20="",AD19=""),"",IF(AD19=0,"",(AD20/AD19)-1))</f>
        <v/>
      </c>
      <c r="AF20" s="24">
        <f>IF(ROW()&lt;7,"",IF(OR(AD20="",AD17=""),"",IF(AD17=0,"",(AD20/AD17)-1)))</f>
        <v/>
      </c>
      <c r="AG20" s="24">
        <f>IF(ROW()&lt;9,"",IF(OR(AD20="",AD15=""),"",IF(AD15=0,"",(AD20/AD15)-1)))</f>
        <v/>
      </c>
      <c r="AH20" s="13">
        <f>IF(ROW()&lt;23,"",AVERAGE(AD1:AD20))</f>
        <v/>
      </c>
      <c r="AI20">
        <f>IF(OR(AD20="",AH20=""),"",IF(AD20&gt;AH20,"Bull","Bear"))</f>
        <v/>
      </c>
      <c r="AJ20" s="13" t="n"/>
      <c r="AK20" s="24">
        <f>IF(OR(AJ20="",AJ19=""),"",IF(AJ19=0,"",(AJ20/AJ19)-1))</f>
        <v/>
      </c>
      <c r="AL20" s="24">
        <f>IF(ROW()&lt;7,"",IF(OR(AJ20="",AJ17=""),"",IF(AJ17=0,"",(AJ20/AJ17)-1)))</f>
        <v/>
      </c>
      <c r="AM20" s="24">
        <f>IF(ROW()&lt;9,"",IF(OR(AJ20="",AJ15=""),"",IF(AJ15=0,"",(AJ20/AJ15)-1)))</f>
        <v/>
      </c>
      <c r="AN20" s="13">
        <f>IF(ROW()&lt;23,"",AVERAGE(AJ1:AJ20))</f>
        <v/>
      </c>
      <c r="AO20">
        <f>IF(OR(AJ20="",AN20=""),"",IF(AJ20&gt;AN20,"Bull","Bear"))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8">
        <f>IFERROR((M21/M20)-1,"")</f>
        <v/>
      </c>
      <c r="O21" s="24">
        <f>IF(OR(N21="",N20=""),"",IF(N20=0,"",(N21/N20)-1))</f>
        <v/>
      </c>
      <c r="P21" s="11">
        <f>IF(ROW()&lt;7,"",IF(OR(E21="",E18=""),"",IF(E18=0,"",(E21/E18)-1)))</f>
        <v/>
      </c>
      <c r="Q21" s="24">
        <f>IF(ROW()&lt;9,"",IF(OR(E21="",E16=""),"",IF(E16=0,"",(E21/E16)-1)))</f>
        <v/>
      </c>
      <c r="R21" s="24">
        <f>IF(ROW()&lt;7,"",IF(OR(G21="",G18=""),"",IF(G18=0,"",(G21/G18)-1)))</f>
        <v/>
      </c>
      <c r="S21" s="24">
        <f>IF(ROW()&lt;9,"",IF(OR(G21="",G16=""),"",IF(G16=0,"",(G21/G16)-1)))</f>
        <v/>
      </c>
      <c r="T21" s="24">
        <f>IF(ROW()&lt;7,"",IF(OR(L21="",L18=""),"",IF(L18=0,"",(L21/L18)-1)))</f>
        <v/>
      </c>
      <c r="U21" s="24">
        <f>IF(ROW()&lt;9,"",IF(OR(L21="",L16=""),"",IF(L16=0,"",(L21/L16)-1)))</f>
        <v/>
      </c>
      <c r="V21" s="24">
        <f>IF(ROW()&lt;7,"",IF(OR(N21="",N18=""),"",IF(N18=0,"",(N21/N18)-1)))</f>
        <v/>
      </c>
      <c r="W21" s="24">
        <f>IF(ROW()&lt;9,"",IF(OR(N21="",N16=""),"",IF(N16=0,"",(N21/N16)-1)))</f>
        <v/>
      </c>
      <c r="X21" s="24">
        <f>IF(OR(F21="",M21=""),"",F21-M21)</f>
        <v/>
      </c>
      <c r="Y21" s="24">
        <f>IF(OR(P21="",T21=""),"",P21-T21)</f>
        <v/>
      </c>
      <c r="Z21" s="24">
        <f>IF(OR(Q21="",U21=""),"",Q21-U21)</f>
        <v/>
      </c>
      <c r="AA21" s="24">
        <f>IF(OR(H21="",O21=""),"",H21-O21)</f>
        <v/>
      </c>
      <c r="AB21" s="24">
        <f>IF(OR(R21="",V21=""),"",R21-V21)</f>
        <v/>
      </c>
      <c r="AC21" s="24">
        <f>IF(OR(S21="",W21=""),"",S21-W21)</f>
        <v/>
      </c>
      <c r="AD21" s="13" t="n"/>
      <c r="AE21" s="24">
        <f>IF(OR(AD21="",AD20=""),"",IF(AD20=0,"",(AD21/AD20)-1))</f>
        <v/>
      </c>
      <c r="AF21" s="24">
        <f>IF(ROW()&lt;7,"",IF(OR(AD21="",AD18=""),"",IF(AD18=0,"",(AD21/AD18)-1)))</f>
        <v/>
      </c>
      <c r="AG21" s="24">
        <f>IF(ROW()&lt;9,"",IF(OR(AD21="",AD16=""),"",IF(AD16=0,"",(AD21/AD16)-1)))</f>
        <v/>
      </c>
      <c r="AH21" s="13">
        <f>IF(ROW()&lt;23,"",AVERAGE(AD2:AD21))</f>
        <v/>
      </c>
      <c r="AI21">
        <f>IF(OR(AD21="",AH21=""),"",IF(AD21&gt;AH21,"Bull","Bear"))</f>
        <v/>
      </c>
      <c r="AJ21" s="13" t="n"/>
      <c r="AK21" s="24">
        <f>IF(OR(AJ21="",AJ20=""),"",IF(AJ20=0,"",(AJ21/AJ20)-1))</f>
        <v/>
      </c>
      <c r="AL21" s="24">
        <f>IF(ROW()&lt;7,"",IF(OR(AJ21="",AJ18=""),"",IF(AJ18=0,"",(AJ21/AJ18)-1)))</f>
        <v/>
      </c>
      <c r="AM21" s="24">
        <f>IF(ROW()&lt;9,"",IF(OR(AJ21="",AJ16=""),"",IF(AJ16=0,"",(AJ21/AJ16)-1)))</f>
        <v/>
      </c>
      <c r="AN21" s="13">
        <f>IF(ROW()&lt;23,"",AVERAGE(AJ2:AJ21))</f>
        <v/>
      </c>
      <c r="AO21">
        <f>IF(OR(AJ21="",AN21=""),"",IF(AJ21&gt;AN21,"Bull","Bear"))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8">
        <f>IFERROR((M22/M21)-1,"")</f>
        <v/>
      </c>
      <c r="O22" s="24">
        <f>IF(OR(N22="",N21=""),"",IF(N21=0,"",(N22/N21)-1))</f>
        <v/>
      </c>
      <c r="P22" s="11">
        <f>IF(ROW()&lt;7,"",IF(OR(E22="",E19=""),"",IF(E19=0,"",(E22/E19)-1)))</f>
        <v/>
      </c>
      <c r="Q22" s="24">
        <f>IF(ROW()&lt;9,"",IF(OR(E22="",E17=""),"",IF(E17=0,"",(E22/E17)-1)))</f>
        <v/>
      </c>
      <c r="R22" s="24">
        <f>IF(ROW()&lt;7,"",IF(OR(G22="",G19=""),"",IF(G19=0,"",(G22/G19)-1)))</f>
        <v/>
      </c>
      <c r="S22" s="24">
        <f>IF(ROW()&lt;9,"",IF(OR(G22="",G17=""),"",IF(G17=0,"",(G22/G17)-1)))</f>
        <v/>
      </c>
      <c r="T22" s="24">
        <f>IF(ROW()&lt;7,"",IF(OR(L22="",L19=""),"",IF(L19=0,"",(L22/L19)-1)))</f>
        <v/>
      </c>
      <c r="U22" s="24">
        <f>IF(ROW()&lt;9,"",IF(OR(L22="",L17=""),"",IF(L17=0,"",(L22/L17)-1)))</f>
        <v/>
      </c>
      <c r="V22" s="24">
        <f>IF(ROW()&lt;7,"",IF(OR(N22="",N19=""),"",IF(N19=0,"",(N22/N19)-1)))</f>
        <v/>
      </c>
      <c r="W22" s="24">
        <f>IF(ROW()&lt;9,"",IF(OR(N22="",N17=""),"",IF(N17=0,"",(N22/N17)-1)))</f>
        <v/>
      </c>
      <c r="X22" s="24">
        <f>IF(OR(F22="",M22=""),"",F22-M22)</f>
        <v/>
      </c>
      <c r="Y22" s="24">
        <f>IF(OR(P22="",T22=""),"",P22-T22)</f>
        <v/>
      </c>
      <c r="Z22" s="24">
        <f>IF(OR(Q22="",U22=""),"",Q22-U22)</f>
        <v/>
      </c>
      <c r="AA22" s="24">
        <f>IF(OR(H22="",O22=""),"",H22-O22)</f>
        <v/>
      </c>
      <c r="AB22" s="24">
        <f>IF(OR(R22="",V22=""),"",R22-V22)</f>
        <v/>
      </c>
      <c r="AC22" s="24">
        <f>IF(OR(S22="",W22=""),"",S22-W22)</f>
        <v/>
      </c>
      <c r="AD22" s="13" t="n"/>
      <c r="AE22" s="24">
        <f>IF(OR(AD22="",AD21=""),"",IF(AD21=0,"",(AD22/AD21)-1))</f>
        <v/>
      </c>
      <c r="AF22" s="24">
        <f>IF(ROW()&lt;7,"",IF(OR(AD22="",AD19=""),"",IF(AD19=0,"",(AD22/AD19)-1)))</f>
        <v/>
      </c>
      <c r="AG22" s="24">
        <f>IF(ROW()&lt;9,"",IF(OR(AD22="",AD17=""),"",IF(AD17=0,"",(AD22/AD17)-1)))</f>
        <v/>
      </c>
      <c r="AH22" s="13">
        <f>IF(ROW()&lt;23,"",AVERAGE(AD3:AD22))</f>
        <v/>
      </c>
      <c r="AI22">
        <f>IF(OR(AD22="",AH22=""),"",IF(AD22&gt;AH22,"Bull","Bear"))</f>
        <v/>
      </c>
      <c r="AJ22" s="13" t="n"/>
      <c r="AK22" s="24">
        <f>IF(OR(AJ22="",AJ21=""),"",IF(AJ21=0,"",(AJ22/AJ21)-1))</f>
        <v/>
      </c>
      <c r="AL22" s="24">
        <f>IF(ROW()&lt;7,"",IF(OR(AJ22="",AJ19=""),"",IF(AJ19=0,"",(AJ22/AJ19)-1)))</f>
        <v/>
      </c>
      <c r="AM22" s="24">
        <f>IF(ROW()&lt;9,"",IF(OR(AJ22="",AJ17=""),"",IF(AJ17=0,"",(AJ22/AJ17)-1)))</f>
        <v/>
      </c>
      <c r="AN22" s="13">
        <f>IF(ROW()&lt;23,"",AVERAGE(AJ3:AJ22))</f>
        <v/>
      </c>
      <c r="AO22">
        <f>IF(OR(AJ22="",AN22=""),"",IF(AJ22&gt;AN22,"Bull","Bear"))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8">
        <f>IFERROR((M23/M22)-1,"")</f>
        <v/>
      </c>
      <c r="O23" s="24">
        <f>IF(OR(N23="",N22=""),"",IF(N22=0,"",(N23/N22)-1))</f>
        <v/>
      </c>
      <c r="P23" s="11">
        <f>IF(ROW()&lt;7,"",IF(OR(E23="",E20=""),"",IF(E20=0,"",(E23/E20)-1)))</f>
        <v/>
      </c>
      <c r="Q23" s="24">
        <f>IF(ROW()&lt;9,"",IF(OR(E23="",E18=""),"",IF(E18=0,"",(E23/E18)-1)))</f>
        <v/>
      </c>
      <c r="R23" s="24">
        <f>IF(ROW()&lt;7,"",IF(OR(G23="",G20=""),"",IF(G20=0,"",(G23/G20)-1)))</f>
        <v/>
      </c>
      <c r="S23" s="24">
        <f>IF(ROW()&lt;9,"",IF(OR(G23="",G18=""),"",IF(G18=0,"",(G23/G18)-1)))</f>
        <v/>
      </c>
      <c r="T23" s="24">
        <f>IF(ROW()&lt;7,"",IF(OR(L23="",L20=""),"",IF(L20=0,"",(L23/L20)-1)))</f>
        <v/>
      </c>
      <c r="U23" s="24">
        <f>IF(ROW()&lt;9,"",IF(OR(L23="",L18=""),"",IF(L18=0,"",(L23/L18)-1)))</f>
        <v/>
      </c>
      <c r="V23" s="24">
        <f>IF(ROW()&lt;7,"",IF(OR(N23="",N20=""),"",IF(N20=0,"",(N23/N20)-1)))</f>
        <v/>
      </c>
      <c r="W23" s="24">
        <f>IF(ROW()&lt;9,"",IF(OR(N23="",N18=""),"",IF(N18=0,"",(N23/N18)-1)))</f>
        <v/>
      </c>
      <c r="X23" s="24">
        <f>IF(OR(F23="",M23=""),"",F23-M23)</f>
        <v/>
      </c>
      <c r="Y23" s="24">
        <f>IF(OR(P23="",T23=""),"",P23-T23)</f>
        <v/>
      </c>
      <c r="Z23" s="24">
        <f>IF(OR(Q23="",U23=""),"",Q23-U23)</f>
        <v/>
      </c>
      <c r="AA23" s="24">
        <f>IF(OR(H23="",O23=""),"",H23-O23)</f>
        <v/>
      </c>
      <c r="AB23" s="24">
        <f>IF(OR(R23="",V23=""),"",R23-V23)</f>
        <v/>
      </c>
      <c r="AC23" s="24">
        <f>IF(OR(S23="",W23=""),"",S23-W23)</f>
        <v/>
      </c>
      <c r="AD23" s="13" t="n"/>
      <c r="AE23" s="24">
        <f>IF(OR(AD23="",AD22=""),"",IF(AD22=0,"",(AD23/AD22)-1))</f>
        <v/>
      </c>
      <c r="AF23" s="24">
        <f>IF(ROW()&lt;7,"",IF(OR(AD23="",AD20=""),"",IF(AD20=0,"",(AD23/AD20)-1)))</f>
        <v/>
      </c>
      <c r="AG23" s="24">
        <f>IF(ROW()&lt;9,"",IF(OR(AD23="",AD18=""),"",IF(AD18=0,"",(AD23/AD18)-1)))</f>
        <v/>
      </c>
      <c r="AH23" s="13">
        <f>IF(ROW()&lt;23,"",AVERAGE(AD4:AD23))</f>
        <v/>
      </c>
      <c r="AI23">
        <f>IF(OR(AD23="",AH23=""),"",IF(AD23&gt;AH23,"Bull","Bear"))</f>
        <v/>
      </c>
      <c r="AJ23" s="13" t="n"/>
      <c r="AK23" s="24">
        <f>IF(OR(AJ23="",AJ22=""),"",IF(AJ22=0,"",(AJ23/AJ22)-1))</f>
        <v/>
      </c>
      <c r="AL23" s="24">
        <f>IF(ROW()&lt;7,"",IF(OR(AJ23="",AJ20=""),"",IF(AJ20=0,"",(AJ23/AJ20)-1)))</f>
        <v/>
      </c>
      <c r="AM23" s="24">
        <f>IF(ROW()&lt;9,"",IF(OR(AJ23="",AJ18=""),"",IF(AJ18=0,"",(AJ23/AJ18)-1)))</f>
        <v/>
      </c>
      <c r="AN23" s="13">
        <f>IF(ROW()&lt;23,"",AVERAGE(AJ4:AJ23))</f>
        <v/>
      </c>
      <c r="AO23">
        <f>IF(OR(AJ23="",AN23=""),"",IF(AJ23&gt;AN23,"Bull","Bear"))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8">
        <f>IFERROR((M24/M23)-1,"")</f>
        <v/>
      </c>
      <c r="O24" s="24">
        <f>IF(OR(N24="",N23=""),"",IF(N23=0,"",(N24/N23)-1))</f>
        <v/>
      </c>
      <c r="P24" s="11">
        <f>IF(ROW()&lt;7,"",IF(OR(E24="",E21=""),"",IF(E21=0,"",(E24/E21)-1)))</f>
        <v/>
      </c>
      <c r="Q24" s="24">
        <f>IF(ROW()&lt;9,"",IF(OR(E24="",E19=""),"",IF(E19=0,"",(E24/E19)-1)))</f>
        <v/>
      </c>
      <c r="R24" s="24">
        <f>IF(ROW()&lt;7,"",IF(OR(G24="",G21=""),"",IF(G21=0,"",(G24/G21)-1)))</f>
        <v/>
      </c>
      <c r="S24" s="24">
        <f>IF(ROW()&lt;9,"",IF(OR(G24="",G19=""),"",IF(G19=0,"",(G24/G19)-1)))</f>
        <v/>
      </c>
      <c r="T24" s="24">
        <f>IF(ROW()&lt;7,"",IF(OR(L24="",L21=""),"",IF(L21=0,"",(L24/L21)-1)))</f>
        <v/>
      </c>
      <c r="U24" s="24">
        <f>IF(ROW()&lt;9,"",IF(OR(L24="",L19=""),"",IF(L19=0,"",(L24/L19)-1)))</f>
        <v/>
      </c>
      <c r="V24" s="24">
        <f>IF(ROW()&lt;7,"",IF(OR(N24="",N21=""),"",IF(N21=0,"",(N24/N21)-1)))</f>
        <v/>
      </c>
      <c r="W24" s="24">
        <f>IF(ROW()&lt;9,"",IF(OR(N24="",N19=""),"",IF(N19=0,"",(N24/N19)-1)))</f>
        <v/>
      </c>
      <c r="X24" s="24">
        <f>IF(OR(F24="",M24=""),"",F24-M24)</f>
        <v/>
      </c>
      <c r="Y24" s="24">
        <f>IF(OR(P24="",T24=""),"",P24-T24)</f>
        <v/>
      </c>
      <c r="Z24" s="24">
        <f>IF(OR(Q24="",U24=""),"",Q24-U24)</f>
        <v/>
      </c>
      <c r="AA24" s="24">
        <f>IF(OR(H24="",O24=""),"",H24-O24)</f>
        <v/>
      </c>
      <c r="AB24" s="24">
        <f>IF(OR(R24="",V24=""),"",R24-V24)</f>
        <v/>
      </c>
      <c r="AC24" s="24">
        <f>IF(OR(S24="",W24=""),"",S24-W24)</f>
        <v/>
      </c>
      <c r="AD24" s="13" t="n"/>
      <c r="AE24" s="24">
        <f>IF(OR(AD24="",AD23=""),"",IF(AD23=0,"",(AD24/AD23)-1))</f>
        <v/>
      </c>
      <c r="AF24" s="24">
        <f>IF(ROW()&lt;7,"",IF(OR(AD24="",AD21=""),"",IF(AD21=0,"",(AD24/AD21)-1)))</f>
        <v/>
      </c>
      <c r="AG24" s="24">
        <f>IF(ROW()&lt;9,"",IF(OR(AD24="",AD19=""),"",IF(AD19=0,"",(AD24/AD19)-1)))</f>
        <v/>
      </c>
      <c r="AH24" s="13">
        <f>IF(ROW()&lt;23,"",AVERAGE(AD5:AD24))</f>
        <v/>
      </c>
      <c r="AI24">
        <f>IF(OR(AD24="",AH24=""),"",IF(AD24&gt;AH24,"Bull","Bear"))</f>
        <v/>
      </c>
      <c r="AJ24" s="13" t="n"/>
      <c r="AK24" s="24">
        <f>IF(OR(AJ24="",AJ23=""),"",IF(AJ23=0,"",(AJ24/AJ23)-1))</f>
        <v/>
      </c>
      <c r="AL24" s="24">
        <f>IF(ROW()&lt;7,"",IF(OR(AJ24="",AJ21=""),"",IF(AJ21=0,"",(AJ24/AJ21)-1)))</f>
        <v/>
      </c>
      <c r="AM24" s="24">
        <f>IF(ROW()&lt;9,"",IF(OR(AJ24="",AJ19=""),"",IF(AJ19=0,"",(AJ24/AJ19)-1)))</f>
        <v/>
      </c>
      <c r="AN24" s="13">
        <f>IF(ROW()&lt;23,"",AVERAGE(AJ5:AJ24))</f>
        <v/>
      </c>
      <c r="AO24">
        <f>IF(OR(AJ24="",AN24=""),"",IF(AJ24&gt;AN24,"Bull","Bear"))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8">
        <f>IFERROR((M25/M24)-1,"")</f>
        <v/>
      </c>
      <c r="O25" s="24">
        <f>IF(OR(N25="",N24=""),"",IF(N24=0,"",(N25/N24)-1))</f>
        <v/>
      </c>
      <c r="P25" s="11">
        <f>IF(ROW()&lt;7,"",IF(OR(E25="",E22=""),"",IF(E22=0,"",(E25/E22)-1)))</f>
        <v/>
      </c>
      <c r="Q25" s="24">
        <f>IF(ROW()&lt;9,"",IF(OR(E25="",E20=""),"",IF(E20=0,"",(E25/E20)-1)))</f>
        <v/>
      </c>
      <c r="R25" s="24">
        <f>IF(ROW()&lt;7,"",IF(OR(G25="",G22=""),"",IF(G22=0,"",(G25/G22)-1)))</f>
        <v/>
      </c>
      <c r="S25" s="24">
        <f>IF(ROW()&lt;9,"",IF(OR(G25="",G20=""),"",IF(G20=0,"",(G25/G20)-1)))</f>
        <v/>
      </c>
      <c r="T25" s="24">
        <f>IF(ROW()&lt;7,"",IF(OR(L25="",L22=""),"",IF(L22=0,"",(L25/L22)-1)))</f>
        <v/>
      </c>
      <c r="U25" s="24">
        <f>IF(ROW()&lt;9,"",IF(OR(L25="",L20=""),"",IF(L20=0,"",(L25/L20)-1)))</f>
        <v/>
      </c>
      <c r="V25" s="24">
        <f>IF(ROW()&lt;7,"",IF(OR(N25="",N22=""),"",IF(N22=0,"",(N25/N22)-1)))</f>
        <v/>
      </c>
      <c r="W25" s="24">
        <f>IF(ROW()&lt;9,"",IF(OR(N25="",N20=""),"",IF(N20=0,"",(N25/N20)-1)))</f>
        <v/>
      </c>
      <c r="X25" s="24">
        <f>IF(OR(F25="",M25=""),"",F25-M25)</f>
        <v/>
      </c>
      <c r="Y25" s="24">
        <f>IF(OR(P25="",T25=""),"",P25-T25)</f>
        <v/>
      </c>
      <c r="Z25" s="24">
        <f>IF(OR(Q25="",U25=""),"",Q25-U25)</f>
        <v/>
      </c>
      <c r="AA25" s="24">
        <f>IF(OR(H25="",O25=""),"",H25-O25)</f>
        <v/>
      </c>
      <c r="AB25" s="24">
        <f>IF(OR(R25="",V25=""),"",R25-V25)</f>
        <v/>
      </c>
      <c r="AC25" s="24">
        <f>IF(OR(S25="",W25=""),"",S25-W25)</f>
        <v/>
      </c>
      <c r="AD25" s="13" t="n"/>
      <c r="AE25" s="24">
        <f>IF(OR(AD25="",AD24=""),"",IF(AD24=0,"",(AD25/AD24)-1))</f>
        <v/>
      </c>
      <c r="AF25" s="24">
        <f>IF(ROW()&lt;7,"",IF(OR(AD25="",AD22=""),"",IF(AD22=0,"",(AD25/AD22)-1)))</f>
        <v/>
      </c>
      <c r="AG25" s="24">
        <f>IF(ROW()&lt;9,"",IF(OR(AD25="",AD20=""),"",IF(AD20=0,"",(AD25/AD20)-1)))</f>
        <v/>
      </c>
      <c r="AH25" s="13">
        <f>IF(ROW()&lt;23,"",AVERAGE(AD6:AD25))</f>
        <v/>
      </c>
      <c r="AI25">
        <f>IF(OR(AD25="",AH25=""),"",IF(AD25&gt;AH25,"Bull","Bear"))</f>
        <v/>
      </c>
      <c r="AJ25" s="13" t="n"/>
      <c r="AK25" s="24">
        <f>IF(OR(AJ25="",AJ24=""),"",IF(AJ24=0,"",(AJ25/AJ24)-1))</f>
        <v/>
      </c>
      <c r="AL25" s="24">
        <f>IF(ROW()&lt;7,"",IF(OR(AJ25="",AJ22=""),"",IF(AJ22=0,"",(AJ25/AJ22)-1)))</f>
        <v/>
      </c>
      <c r="AM25" s="24">
        <f>IF(ROW()&lt;9,"",IF(OR(AJ25="",AJ20=""),"",IF(AJ20=0,"",(AJ25/AJ20)-1)))</f>
        <v/>
      </c>
      <c r="AN25" s="13">
        <f>IF(ROW()&lt;23,"",AVERAGE(AJ6:AJ25))</f>
        <v/>
      </c>
      <c r="AO25">
        <f>IF(OR(AJ25="",AN25=""),"",IF(AJ25&gt;AN25,"Bull","Bear"))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8">
        <f>IFERROR((M26/M25)-1,"")</f>
        <v/>
      </c>
      <c r="O26" s="24">
        <f>IF(OR(N26="",N25=""),"",IF(N25=0,"",(N26/N25)-1))</f>
        <v/>
      </c>
      <c r="P26" s="11">
        <f>IF(ROW()&lt;7,"",IF(OR(E26="",E23=""),"",IF(E23=0,"",(E26/E23)-1)))</f>
        <v/>
      </c>
      <c r="Q26" s="24">
        <f>IF(ROW()&lt;9,"",IF(OR(E26="",E21=""),"",IF(E21=0,"",(E26/E21)-1)))</f>
        <v/>
      </c>
      <c r="R26" s="24">
        <f>IF(ROW()&lt;7,"",IF(OR(G26="",G23=""),"",IF(G23=0,"",(G26/G23)-1)))</f>
        <v/>
      </c>
      <c r="S26" s="24">
        <f>IF(ROW()&lt;9,"",IF(OR(G26="",G21=""),"",IF(G21=0,"",(G26/G21)-1)))</f>
        <v/>
      </c>
      <c r="T26" s="24">
        <f>IF(ROW()&lt;7,"",IF(OR(L26="",L23=""),"",IF(L23=0,"",(L26/L23)-1)))</f>
        <v/>
      </c>
      <c r="U26" s="24">
        <f>IF(ROW()&lt;9,"",IF(OR(L26="",L21=""),"",IF(L21=0,"",(L26/L21)-1)))</f>
        <v/>
      </c>
      <c r="V26" s="24">
        <f>IF(ROW()&lt;7,"",IF(OR(N26="",N23=""),"",IF(N23=0,"",(N26/N23)-1)))</f>
        <v/>
      </c>
      <c r="W26" s="24">
        <f>IF(ROW()&lt;9,"",IF(OR(N26="",N21=""),"",IF(N21=0,"",(N26/N21)-1)))</f>
        <v/>
      </c>
      <c r="X26" s="24">
        <f>IF(OR(F26="",M26=""),"",F26-M26)</f>
        <v/>
      </c>
      <c r="Y26" s="24">
        <f>IF(OR(P26="",T26=""),"",P26-T26)</f>
        <v/>
      </c>
      <c r="Z26" s="24">
        <f>IF(OR(Q26="",U26=""),"",Q26-U26)</f>
        <v/>
      </c>
      <c r="AA26" s="24">
        <f>IF(OR(H26="",O26=""),"",H26-O26)</f>
        <v/>
      </c>
      <c r="AB26" s="24">
        <f>IF(OR(R26="",V26=""),"",R26-V26)</f>
        <v/>
      </c>
      <c r="AC26" s="24">
        <f>IF(OR(S26="",W26=""),"",S26-W26)</f>
        <v/>
      </c>
      <c r="AD26" s="13" t="n"/>
      <c r="AE26" s="24">
        <f>IF(OR(AD26="",AD25=""),"",IF(AD25=0,"",(AD26/AD25)-1))</f>
        <v/>
      </c>
      <c r="AF26" s="24">
        <f>IF(ROW()&lt;7,"",IF(OR(AD26="",AD23=""),"",IF(AD23=0,"",(AD26/AD23)-1)))</f>
        <v/>
      </c>
      <c r="AG26" s="24">
        <f>IF(ROW()&lt;9,"",IF(OR(AD26="",AD21=""),"",IF(AD21=0,"",(AD26/AD21)-1)))</f>
        <v/>
      </c>
      <c r="AH26" s="13">
        <f>IF(ROW()&lt;23,"",AVERAGE(AD7:AD26))</f>
        <v/>
      </c>
      <c r="AI26">
        <f>IF(OR(AD26="",AH26=""),"",IF(AD26&gt;AH26,"Bull","Bear"))</f>
        <v/>
      </c>
      <c r="AJ26" s="13" t="n"/>
      <c r="AK26" s="24">
        <f>IF(OR(AJ26="",AJ25=""),"",IF(AJ25=0,"",(AJ26/AJ25)-1))</f>
        <v/>
      </c>
      <c r="AL26" s="24">
        <f>IF(ROW()&lt;7,"",IF(OR(AJ26="",AJ23=""),"",IF(AJ23=0,"",(AJ26/AJ23)-1)))</f>
        <v/>
      </c>
      <c r="AM26" s="24">
        <f>IF(ROW()&lt;9,"",IF(OR(AJ26="",AJ21=""),"",IF(AJ21=0,"",(AJ26/AJ21)-1)))</f>
        <v/>
      </c>
      <c r="AN26" s="13">
        <f>IF(ROW()&lt;23,"",AVERAGE(AJ7:AJ26))</f>
        <v/>
      </c>
      <c r="AO26">
        <f>IF(OR(AJ26="",AN26=""),"",IF(AJ26&gt;AN26,"Bull","Bear"))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8">
        <f>IFERROR((M27/M26)-1,"")</f>
        <v/>
      </c>
      <c r="O27" s="24">
        <f>IF(OR(N27="",N26=""),"",IF(N26=0,"",(N27/N26)-1))</f>
        <v/>
      </c>
      <c r="P27" s="11">
        <f>IF(ROW()&lt;7,"",IF(OR(E27="",E24=""),"",IF(E24=0,"",(E27/E24)-1)))</f>
        <v/>
      </c>
      <c r="Q27" s="24">
        <f>IF(ROW()&lt;9,"",IF(OR(E27="",E22=""),"",IF(E22=0,"",(E27/E22)-1)))</f>
        <v/>
      </c>
      <c r="R27" s="24">
        <f>IF(ROW()&lt;7,"",IF(OR(G27="",G24=""),"",IF(G24=0,"",(G27/G24)-1)))</f>
        <v/>
      </c>
      <c r="S27" s="24">
        <f>IF(ROW()&lt;9,"",IF(OR(G27="",G22=""),"",IF(G22=0,"",(G27/G22)-1)))</f>
        <v/>
      </c>
      <c r="T27" s="24">
        <f>IF(ROW()&lt;7,"",IF(OR(L27="",L24=""),"",IF(L24=0,"",(L27/L24)-1)))</f>
        <v/>
      </c>
      <c r="U27" s="24">
        <f>IF(ROW()&lt;9,"",IF(OR(L27="",L22=""),"",IF(L22=0,"",(L27/L22)-1)))</f>
        <v/>
      </c>
      <c r="V27" s="24">
        <f>IF(ROW()&lt;7,"",IF(OR(N27="",N24=""),"",IF(N24=0,"",(N27/N24)-1)))</f>
        <v/>
      </c>
      <c r="W27" s="24">
        <f>IF(ROW()&lt;9,"",IF(OR(N27="",N22=""),"",IF(N22=0,"",(N27/N22)-1)))</f>
        <v/>
      </c>
      <c r="X27" s="24">
        <f>IF(OR(F27="",M27=""),"",F27-M27)</f>
        <v/>
      </c>
      <c r="Y27" s="24">
        <f>IF(OR(P27="",T27=""),"",P27-T27)</f>
        <v/>
      </c>
      <c r="Z27" s="24">
        <f>IF(OR(Q27="",U27=""),"",Q27-U27)</f>
        <v/>
      </c>
      <c r="AA27" s="24">
        <f>IF(OR(H27="",O27=""),"",H27-O27)</f>
        <v/>
      </c>
      <c r="AB27" s="24">
        <f>IF(OR(R27="",V27=""),"",R27-V27)</f>
        <v/>
      </c>
      <c r="AC27" s="24">
        <f>IF(OR(S27="",W27=""),"",S27-W27)</f>
        <v/>
      </c>
      <c r="AD27" s="13" t="n"/>
      <c r="AE27" s="24">
        <f>IF(OR(AD27="",AD26=""),"",IF(AD26=0,"",(AD27/AD26)-1))</f>
        <v/>
      </c>
      <c r="AF27" s="24">
        <f>IF(ROW()&lt;7,"",IF(OR(AD27="",AD24=""),"",IF(AD24=0,"",(AD27/AD24)-1)))</f>
        <v/>
      </c>
      <c r="AG27" s="24">
        <f>IF(ROW()&lt;9,"",IF(OR(AD27="",AD22=""),"",IF(AD22=0,"",(AD27/AD22)-1)))</f>
        <v/>
      </c>
      <c r="AH27" s="13">
        <f>IF(ROW()&lt;23,"",AVERAGE(AD8:AD27))</f>
        <v/>
      </c>
      <c r="AI27">
        <f>IF(OR(AD27="",AH27=""),"",IF(AD27&gt;AH27,"Bull","Bear"))</f>
        <v/>
      </c>
      <c r="AJ27" s="13" t="n"/>
      <c r="AK27" s="24">
        <f>IF(OR(AJ27="",AJ26=""),"",IF(AJ26=0,"",(AJ27/AJ26)-1))</f>
        <v/>
      </c>
      <c r="AL27" s="24">
        <f>IF(ROW()&lt;7,"",IF(OR(AJ27="",AJ24=""),"",IF(AJ24=0,"",(AJ27/AJ24)-1)))</f>
        <v/>
      </c>
      <c r="AM27" s="24">
        <f>IF(ROW()&lt;9,"",IF(OR(AJ27="",AJ22=""),"",IF(AJ22=0,"",(AJ27/AJ22)-1)))</f>
        <v/>
      </c>
      <c r="AN27" s="13">
        <f>IF(ROW()&lt;23,"",AVERAGE(AJ8:AJ27))</f>
        <v/>
      </c>
      <c r="AO27">
        <f>IF(OR(AJ27="",AN27=""),"",IF(AJ27&gt;AN27,"Bull","Bear"))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8">
        <f>IFERROR((M28/M27)-1,"")</f>
        <v/>
      </c>
      <c r="O28" s="24">
        <f>IF(OR(N28="",N27=""),"",IF(N27=0,"",(N28/N27)-1))</f>
        <v/>
      </c>
      <c r="P28" s="11">
        <f>IF(ROW()&lt;7,"",IF(OR(E28="",E25=""),"",IF(E25=0,"",(E28/E25)-1)))</f>
        <v/>
      </c>
      <c r="Q28" s="24">
        <f>IF(ROW()&lt;9,"",IF(OR(E28="",E23=""),"",IF(E23=0,"",(E28/E23)-1)))</f>
        <v/>
      </c>
      <c r="R28" s="24">
        <f>IF(ROW()&lt;7,"",IF(OR(G28="",G25=""),"",IF(G25=0,"",(G28/G25)-1)))</f>
        <v/>
      </c>
      <c r="S28" s="24">
        <f>IF(ROW()&lt;9,"",IF(OR(G28="",G23=""),"",IF(G23=0,"",(G28/G23)-1)))</f>
        <v/>
      </c>
      <c r="T28" s="24">
        <f>IF(ROW()&lt;7,"",IF(OR(L28="",L25=""),"",IF(L25=0,"",(L28/L25)-1)))</f>
        <v/>
      </c>
      <c r="U28" s="24">
        <f>IF(ROW()&lt;9,"",IF(OR(L28="",L23=""),"",IF(L23=0,"",(L28/L23)-1)))</f>
        <v/>
      </c>
      <c r="V28" s="24">
        <f>IF(ROW()&lt;7,"",IF(OR(N28="",N25=""),"",IF(N25=0,"",(N28/N25)-1)))</f>
        <v/>
      </c>
      <c r="W28" s="24">
        <f>IF(ROW()&lt;9,"",IF(OR(N28="",N23=""),"",IF(N23=0,"",(N28/N23)-1)))</f>
        <v/>
      </c>
      <c r="X28" s="24">
        <f>IF(OR(F28="",M28=""),"",F28-M28)</f>
        <v/>
      </c>
      <c r="Y28" s="24">
        <f>IF(OR(P28="",T28=""),"",P28-T28)</f>
        <v/>
      </c>
      <c r="Z28" s="24">
        <f>IF(OR(Q28="",U28=""),"",Q28-U28)</f>
        <v/>
      </c>
      <c r="AA28" s="24">
        <f>IF(OR(H28="",O28=""),"",H28-O28)</f>
        <v/>
      </c>
      <c r="AB28" s="24">
        <f>IF(OR(R28="",V28=""),"",R28-V28)</f>
        <v/>
      </c>
      <c r="AC28" s="24">
        <f>IF(OR(S28="",W28=""),"",S28-W28)</f>
        <v/>
      </c>
      <c r="AD28" s="13" t="n"/>
      <c r="AE28" s="24">
        <f>IF(OR(AD28="",AD27=""),"",IF(AD27=0,"",(AD28/AD27)-1))</f>
        <v/>
      </c>
      <c r="AF28" s="24">
        <f>IF(ROW()&lt;7,"",IF(OR(AD28="",AD25=""),"",IF(AD25=0,"",(AD28/AD25)-1)))</f>
        <v/>
      </c>
      <c r="AG28" s="24">
        <f>IF(ROW()&lt;9,"",IF(OR(AD28="",AD23=""),"",IF(AD23=0,"",(AD28/AD23)-1)))</f>
        <v/>
      </c>
      <c r="AH28" s="13">
        <f>IF(ROW()&lt;23,"",AVERAGE(AD9:AD28))</f>
        <v/>
      </c>
      <c r="AI28">
        <f>IF(OR(AD28="",AH28=""),"",IF(AD28&gt;AH28,"Bull","Bear"))</f>
        <v/>
      </c>
      <c r="AJ28" s="13" t="n"/>
      <c r="AK28" s="24">
        <f>IF(OR(AJ28="",AJ27=""),"",IF(AJ27=0,"",(AJ28/AJ27)-1))</f>
        <v/>
      </c>
      <c r="AL28" s="24">
        <f>IF(ROW()&lt;7,"",IF(OR(AJ28="",AJ25=""),"",IF(AJ25=0,"",(AJ28/AJ25)-1)))</f>
        <v/>
      </c>
      <c r="AM28" s="24">
        <f>IF(ROW()&lt;9,"",IF(OR(AJ28="",AJ23=""),"",IF(AJ23=0,"",(AJ28/AJ23)-1)))</f>
        <v/>
      </c>
      <c r="AN28" s="13">
        <f>IF(ROW()&lt;23,"",AVERAGE(AJ9:AJ28))</f>
        <v/>
      </c>
      <c r="AO28">
        <f>IF(OR(AJ28="",AN28=""),"",IF(AJ28&gt;AN28,"Bull","Bear"))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8">
        <f>IFERROR((M29/M28)-1,"")</f>
        <v/>
      </c>
      <c r="O29" s="24">
        <f>IF(OR(N29="",N28=""),"",IF(N28=0,"",(N29/N28)-1))</f>
        <v/>
      </c>
      <c r="P29" s="11">
        <f>IF(ROW()&lt;7,"",IF(OR(E29="",E26=""),"",IF(E26=0,"",(E29/E26)-1)))</f>
        <v/>
      </c>
      <c r="Q29" s="24">
        <f>IF(ROW()&lt;9,"",IF(OR(E29="",E24=""),"",IF(E24=0,"",(E29/E24)-1)))</f>
        <v/>
      </c>
      <c r="R29" s="24">
        <f>IF(ROW()&lt;7,"",IF(OR(G29="",G26=""),"",IF(G26=0,"",(G29/G26)-1)))</f>
        <v/>
      </c>
      <c r="S29" s="24">
        <f>IF(ROW()&lt;9,"",IF(OR(G29="",G24=""),"",IF(G24=0,"",(G29/G24)-1)))</f>
        <v/>
      </c>
      <c r="T29" s="24">
        <f>IF(ROW()&lt;7,"",IF(OR(L29="",L26=""),"",IF(L26=0,"",(L29/L26)-1)))</f>
        <v/>
      </c>
      <c r="U29" s="24">
        <f>IF(ROW()&lt;9,"",IF(OR(L29="",L24=""),"",IF(L24=0,"",(L29/L24)-1)))</f>
        <v/>
      </c>
      <c r="V29" s="24">
        <f>IF(ROW()&lt;7,"",IF(OR(N29="",N26=""),"",IF(N26=0,"",(N29/N26)-1)))</f>
        <v/>
      </c>
      <c r="W29" s="24">
        <f>IF(ROW()&lt;9,"",IF(OR(N29="",N24=""),"",IF(N24=0,"",(N29/N24)-1)))</f>
        <v/>
      </c>
      <c r="X29" s="24">
        <f>IF(OR(F29="",M29=""),"",F29-M29)</f>
        <v/>
      </c>
      <c r="Y29" s="24">
        <f>IF(OR(P29="",T29=""),"",P29-T29)</f>
        <v/>
      </c>
      <c r="Z29" s="24">
        <f>IF(OR(Q29="",U29=""),"",Q29-U29)</f>
        <v/>
      </c>
      <c r="AA29" s="24">
        <f>IF(OR(H29="",O29=""),"",H29-O29)</f>
        <v/>
      </c>
      <c r="AB29" s="24">
        <f>IF(OR(R29="",V29=""),"",R29-V29)</f>
        <v/>
      </c>
      <c r="AC29" s="24">
        <f>IF(OR(S29="",W29=""),"",S29-W29)</f>
        <v/>
      </c>
      <c r="AD29" s="13" t="n"/>
      <c r="AE29" s="24">
        <f>IF(OR(AD29="",AD28=""),"",IF(AD28=0,"",(AD29/AD28)-1))</f>
        <v/>
      </c>
      <c r="AF29" s="24">
        <f>IF(ROW()&lt;7,"",IF(OR(AD29="",AD26=""),"",IF(AD26=0,"",(AD29/AD26)-1)))</f>
        <v/>
      </c>
      <c r="AG29" s="24">
        <f>IF(ROW()&lt;9,"",IF(OR(AD29="",AD24=""),"",IF(AD24=0,"",(AD29/AD24)-1)))</f>
        <v/>
      </c>
      <c r="AH29" s="13">
        <f>IF(ROW()&lt;23,"",AVERAGE(AD10:AD29))</f>
        <v/>
      </c>
      <c r="AI29">
        <f>IF(OR(AD29="",AH29=""),"",IF(AD29&gt;AH29,"Bull","Bear"))</f>
        <v/>
      </c>
      <c r="AJ29" s="13" t="n"/>
      <c r="AK29" s="24">
        <f>IF(OR(AJ29="",AJ28=""),"",IF(AJ28=0,"",(AJ29/AJ28)-1))</f>
        <v/>
      </c>
      <c r="AL29" s="24">
        <f>IF(ROW()&lt;7,"",IF(OR(AJ29="",AJ26=""),"",IF(AJ26=0,"",(AJ29/AJ26)-1)))</f>
        <v/>
      </c>
      <c r="AM29" s="24">
        <f>IF(ROW()&lt;9,"",IF(OR(AJ29="",AJ24=""),"",IF(AJ24=0,"",(AJ29/AJ24)-1)))</f>
        <v/>
      </c>
      <c r="AN29" s="13">
        <f>IF(ROW()&lt;23,"",AVERAGE(AJ10:AJ29))</f>
        <v/>
      </c>
      <c r="AO29">
        <f>IF(OR(AJ29="",AN29=""),"",IF(AJ29&gt;AN29,"Bull","Bear"))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8">
        <f>IFERROR((M30/M29)-1,"")</f>
        <v/>
      </c>
      <c r="O30" s="24">
        <f>IF(OR(N30="",N29=""),"",IF(N29=0,"",(N30/N29)-1))</f>
        <v/>
      </c>
      <c r="P30" s="11">
        <f>IF(ROW()&lt;7,"",IF(OR(E30="",E27=""),"",IF(E27=0,"",(E30/E27)-1)))</f>
        <v/>
      </c>
      <c r="Q30" s="24">
        <f>IF(ROW()&lt;9,"",IF(OR(E30="",E25=""),"",IF(E25=0,"",(E30/E25)-1)))</f>
        <v/>
      </c>
      <c r="R30" s="24">
        <f>IF(ROW()&lt;7,"",IF(OR(G30="",G27=""),"",IF(G27=0,"",(G30/G27)-1)))</f>
        <v/>
      </c>
      <c r="S30" s="24">
        <f>IF(ROW()&lt;9,"",IF(OR(G30="",G25=""),"",IF(G25=0,"",(G30/G25)-1)))</f>
        <v/>
      </c>
      <c r="T30" s="24">
        <f>IF(ROW()&lt;7,"",IF(OR(L30="",L27=""),"",IF(L27=0,"",(L30/L27)-1)))</f>
        <v/>
      </c>
      <c r="U30" s="24">
        <f>IF(ROW()&lt;9,"",IF(OR(L30="",L25=""),"",IF(L25=0,"",(L30/L25)-1)))</f>
        <v/>
      </c>
      <c r="V30" s="24">
        <f>IF(ROW()&lt;7,"",IF(OR(N30="",N27=""),"",IF(N27=0,"",(N30/N27)-1)))</f>
        <v/>
      </c>
      <c r="W30" s="24">
        <f>IF(ROW()&lt;9,"",IF(OR(N30="",N25=""),"",IF(N25=0,"",(N30/N25)-1)))</f>
        <v/>
      </c>
      <c r="X30" s="24">
        <f>IF(OR(F30="",M30=""),"",F30-M30)</f>
        <v/>
      </c>
      <c r="Y30" s="24">
        <f>IF(OR(P30="",T30=""),"",P30-T30)</f>
        <v/>
      </c>
      <c r="Z30" s="24">
        <f>IF(OR(Q30="",U30=""),"",Q30-U30)</f>
        <v/>
      </c>
      <c r="AA30" s="24">
        <f>IF(OR(H30="",O30=""),"",H30-O30)</f>
        <v/>
      </c>
      <c r="AB30" s="24">
        <f>IF(OR(R30="",V30=""),"",R30-V30)</f>
        <v/>
      </c>
      <c r="AC30" s="24">
        <f>IF(OR(S30="",W30=""),"",S30-W30)</f>
        <v/>
      </c>
      <c r="AD30" s="13" t="n"/>
      <c r="AE30" s="24">
        <f>IF(OR(AD30="",AD29=""),"",IF(AD29=0,"",(AD30/AD29)-1))</f>
        <v/>
      </c>
      <c r="AF30" s="24">
        <f>IF(ROW()&lt;7,"",IF(OR(AD30="",AD27=""),"",IF(AD27=0,"",(AD30/AD27)-1)))</f>
        <v/>
      </c>
      <c r="AG30" s="24">
        <f>IF(ROW()&lt;9,"",IF(OR(AD30="",AD25=""),"",IF(AD25=0,"",(AD30/AD25)-1)))</f>
        <v/>
      </c>
      <c r="AH30" s="13">
        <f>IF(ROW()&lt;23,"",AVERAGE(AD11:AD30))</f>
        <v/>
      </c>
      <c r="AI30">
        <f>IF(OR(AD30="",AH30=""),"",IF(AD30&gt;AH30,"Bull","Bear"))</f>
        <v/>
      </c>
      <c r="AJ30" s="13" t="n"/>
      <c r="AK30" s="24">
        <f>IF(OR(AJ30="",AJ29=""),"",IF(AJ29=0,"",(AJ30/AJ29)-1))</f>
        <v/>
      </c>
      <c r="AL30" s="24">
        <f>IF(ROW()&lt;7,"",IF(OR(AJ30="",AJ27=""),"",IF(AJ27=0,"",(AJ30/AJ27)-1)))</f>
        <v/>
      </c>
      <c r="AM30" s="24">
        <f>IF(ROW()&lt;9,"",IF(OR(AJ30="",AJ25=""),"",IF(AJ25=0,"",(AJ30/AJ25)-1)))</f>
        <v/>
      </c>
      <c r="AN30" s="13">
        <f>IF(ROW()&lt;23,"",AVERAGE(AJ11:AJ30))</f>
        <v/>
      </c>
      <c r="AO30">
        <f>IF(OR(AJ30="",AN30=""),"",IF(AJ30&gt;AN30,"Bull","Bear"))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8">
        <f>IFERROR((M31/M30)-1,"")</f>
        <v/>
      </c>
      <c r="O31" s="24">
        <f>IF(OR(N31="",N30=""),"",IF(N30=0,"",(N31/N30)-1))</f>
        <v/>
      </c>
      <c r="P31" s="11">
        <f>IF(ROW()&lt;7,"",IF(OR(E31="",E28=""),"",IF(E28=0,"",(E31/E28)-1)))</f>
        <v/>
      </c>
      <c r="Q31" s="24">
        <f>IF(ROW()&lt;9,"",IF(OR(E31="",E26=""),"",IF(E26=0,"",(E31/E26)-1)))</f>
        <v/>
      </c>
      <c r="R31" s="24">
        <f>IF(ROW()&lt;7,"",IF(OR(G31="",G28=""),"",IF(G28=0,"",(G31/G28)-1)))</f>
        <v/>
      </c>
      <c r="S31" s="24">
        <f>IF(ROW()&lt;9,"",IF(OR(G31="",G26=""),"",IF(G26=0,"",(G31/G26)-1)))</f>
        <v/>
      </c>
      <c r="T31" s="24">
        <f>IF(ROW()&lt;7,"",IF(OR(L31="",L28=""),"",IF(L28=0,"",(L31/L28)-1)))</f>
        <v/>
      </c>
      <c r="U31" s="24">
        <f>IF(ROW()&lt;9,"",IF(OR(L31="",L26=""),"",IF(L26=0,"",(L31/L26)-1)))</f>
        <v/>
      </c>
      <c r="V31" s="24">
        <f>IF(ROW()&lt;7,"",IF(OR(N31="",N28=""),"",IF(N28=0,"",(N31/N28)-1)))</f>
        <v/>
      </c>
      <c r="W31" s="24">
        <f>IF(ROW()&lt;9,"",IF(OR(N31="",N26=""),"",IF(N26=0,"",(N31/N26)-1)))</f>
        <v/>
      </c>
      <c r="X31" s="24">
        <f>IF(OR(F31="",M31=""),"",F31-M31)</f>
        <v/>
      </c>
      <c r="Y31" s="24">
        <f>IF(OR(P31="",T31=""),"",P31-T31)</f>
        <v/>
      </c>
      <c r="Z31" s="24">
        <f>IF(OR(Q31="",U31=""),"",Q31-U31)</f>
        <v/>
      </c>
      <c r="AA31" s="24">
        <f>IF(OR(H31="",O31=""),"",H31-O31)</f>
        <v/>
      </c>
      <c r="AB31" s="24">
        <f>IF(OR(R31="",V31=""),"",R31-V31)</f>
        <v/>
      </c>
      <c r="AC31" s="24">
        <f>IF(OR(S31="",W31=""),"",S31-W31)</f>
        <v/>
      </c>
      <c r="AD31" s="13" t="n"/>
      <c r="AE31" s="24">
        <f>IF(OR(AD31="",AD30=""),"",IF(AD30=0,"",(AD31/AD30)-1))</f>
        <v/>
      </c>
      <c r="AF31" s="24">
        <f>IF(ROW()&lt;7,"",IF(OR(AD31="",AD28=""),"",IF(AD28=0,"",(AD31/AD28)-1)))</f>
        <v/>
      </c>
      <c r="AG31" s="24">
        <f>IF(ROW()&lt;9,"",IF(OR(AD31="",AD26=""),"",IF(AD26=0,"",(AD31/AD26)-1)))</f>
        <v/>
      </c>
      <c r="AH31" s="13">
        <f>IF(ROW()&lt;23,"",AVERAGE(AD12:AD31))</f>
        <v/>
      </c>
      <c r="AI31">
        <f>IF(OR(AD31="",AH31=""),"",IF(AD31&gt;AH31,"Bull","Bear"))</f>
        <v/>
      </c>
      <c r="AJ31" s="13" t="n"/>
      <c r="AK31" s="24">
        <f>IF(OR(AJ31="",AJ30=""),"",IF(AJ30=0,"",(AJ31/AJ30)-1))</f>
        <v/>
      </c>
      <c r="AL31" s="24">
        <f>IF(ROW()&lt;7,"",IF(OR(AJ31="",AJ28=""),"",IF(AJ28=0,"",(AJ31/AJ28)-1)))</f>
        <v/>
      </c>
      <c r="AM31" s="24">
        <f>IF(ROW()&lt;9,"",IF(OR(AJ31="",AJ26=""),"",IF(AJ26=0,"",(AJ31/AJ26)-1)))</f>
        <v/>
      </c>
      <c r="AN31" s="13">
        <f>IF(ROW()&lt;23,"",AVERAGE(AJ12:AJ31))</f>
        <v/>
      </c>
      <c r="AO31">
        <f>IF(OR(AJ31="",AN31=""),"",IF(AJ31&gt;AN31,"Bull","Bear"))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8">
        <f>IFERROR((M32/M31)-1,"")</f>
        <v/>
      </c>
      <c r="O32" s="24">
        <f>IF(OR(N32="",N31=""),"",IF(N31=0,"",(N32/N31)-1))</f>
        <v/>
      </c>
      <c r="P32" s="11">
        <f>IF(ROW()&lt;7,"",IF(OR(E32="",E29=""),"",IF(E29=0,"",(E32/E29)-1)))</f>
        <v/>
      </c>
      <c r="Q32" s="24">
        <f>IF(ROW()&lt;9,"",IF(OR(E32="",E27=""),"",IF(E27=0,"",(E32/E27)-1)))</f>
        <v/>
      </c>
      <c r="R32" s="24">
        <f>IF(ROW()&lt;7,"",IF(OR(G32="",G29=""),"",IF(G29=0,"",(G32/G29)-1)))</f>
        <v/>
      </c>
      <c r="S32" s="24">
        <f>IF(ROW()&lt;9,"",IF(OR(G32="",G27=""),"",IF(G27=0,"",(G32/G27)-1)))</f>
        <v/>
      </c>
      <c r="T32" s="24">
        <f>IF(ROW()&lt;7,"",IF(OR(L32="",L29=""),"",IF(L29=0,"",(L32/L29)-1)))</f>
        <v/>
      </c>
      <c r="U32" s="24">
        <f>IF(ROW()&lt;9,"",IF(OR(L32="",L27=""),"",IF(L27=0,"",(L32/L27)-1)))</f>
        <v/>
      </c>
      <c r="V32" s="24">
        <f>IF(ROW()&lt;7,"",IF(OR(N32="",N29=""),"",IF(N29=0,"",(N32/N29)-1)))</f>
        <v/>
      </c>
      <c r="W32" s="24">
        <f>IF(ROW()&lt;9,"",IF(OR(N32="",N27=""),"",IF(N27=0,"",(N32/N27)-1)))</f>
        <v/>
      </c>
      <c r="X32" s="24">
        <f>IF(OR(F32="",M32=""),"",F32-M32)</f>
        <v/>
      </c>
      <c r="Y32" s="24">
        <f>IF(OR(P32="",T32=""),"",P32-T32)</f>
        <v/>
      </c>
      <c r="Z32" s="24">
        <f>IF(OR(Q32="",U32=""),"",Q32-U32)</f>
        <v/>
      </c>
      <c r="AA32" s="24">
        <f>IF(OR(H32="",O32=""),"",H32-O32)</f>
        <v/>
      </c>
      <c r="AB32" s="24">
        <f>IF(OR(R32="",V32=""),"",R32-V32)</f>
        <v/>
      </c>
      <c r="AC32" s="24">
        <f>IF(OR(S32="",W32=""),"",S32-W32)</f>
        <v/>
      </c>
      <c r="AD32" s="13" t="n"/>
      <c r="AE32" s="24">
        <f>IF(OR(AD32="",AD31=""),"",IF(AD31=0,"",(AD32/AD31)-1))</f>
        <v/>
      </c>
      <c r="AF32" s="24">
        <f>IF(ROW()&lt;7,"",IF(OR(AD32="",AD29=""),"",IF(AD29=0,"",(AD32/AD29)-1)))</f>
        <v/>
      </c>
      <c r="AG32" s="24">
        <f>IF(ROW()&lt;9,"",IF(OR(AD32="",AD27=""),"",IF(AD27=0,"",(AD32/AD27)-1)))</f>
        <v/>
      </c>
      <c r="AH32" s="13">
        <f>IF(ROW()&lt;23,"",AVERAGE(AD13:AD32))</f>
        <v/>
      </c>
      <c r="AI32">
        <f>IF(OR(AD32="",AH32=""),"",IF(AD32&gt;AH32,"Bull","Bear"))</f>
        <v/>
      </c>
      <c r="AJ32" s="13" t="n"/>
      <c r="AK32" s="24">
        <f>IF(OR(AJ32="",AJ31=""),"",IF(AJ31=0,"",(AJ32/AJ31)-1))</f>
        <v/>
      </c>
      <c r="AL32" s="24">
        <f>IF(ROW()&lt;7,"",IF(OR(AJ32="",AJ29=""),"",IF(AJ29=0,"",(AJ32/AJ29)-1)))</f>
        <v/>
      </c>
      <c r="AM32" s="24">
        <f>IF(ROW()&lt;9,"",IF(OR(AJ32="",AJ27=""),"",IF(AJ27=0,"",(AJ32/AJ27)-1)))</f>
        <v/>
      </c>
      <c r="AN32" s="13">
        <f>IF(ROW()&lt;23,"",AVERAGE(AJ13:AJ32))</f>
        <v/>
      </c>
      <c r="AO32">
        <f>IF(OR(AJ32="",AN32=""),"",IF(AJ32&gt;AN32,"Bull","Bear"))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8">
        <f>IFERROR((M33/M32)-1,"")</f>
        <v/>
      </c>
      <c r="O33" s="24">
        <f>IF(OR(N33="",N32=""),"",IF(N32=0,"",(N33/N32)-1))</f>
        <v/>
      </c>
      <c r="P33" s="11">
        <f>IF(ROW()&lt;7,"",IF(OR(E33="",E30=""),"",IF(E30=0,"",(E33/E30)-1)))</f>
        <v/>
      </c>
      <c r="Q33" s="24">
        <f>IF(ROW()&lt;9,"",IF(OR(E33="",E28=""),"",IF(E28=0,"",(E33/E28)-1)))</f>
        <v/>
      </c>
      <c r="R33" s="24">
        <f>IF(ROW()&lt;7,"",IF(OR(G33="",G30=""),"",IF(G30=0,"",(G33/G30)-1)))</f>
        <v/>
      </c>
      <c r="S33" s="24">
        <f>IF(ROW()&lt;9,"",IF(OR(G33="",G28=""),"",IF(G28=0,"",(G33/G28)-1)))</f>
        <v/>
      </c>
      <c r="T33" s="24">
        <f>IF(ROW()&lt;7,"",IF(OR(L33="",L30=""),"",IF(L30=0,"",(L33/L30)-1)))</f>
        <v/>
      </c>
      <c r="U33" s="24">
        <f>IF(ROW()&lt;9,"",IF(OR(L33="",L28=""),"",IF(L28=0,"",(L33/L28)-1)))</f>
        <v/>
      </c>
      <c r="V33" s="24">
        <f>IF(ROW()&lt;7,"",IF(OR(N33="",N30=""),"",IF(N30=0,"",(N33/N30)-1)))</f>
        <v/>
      </c>
      <c r="W33" s="24">
        <f>IF(ROW()&lt;9,"",IF(OR(N33="",N28=""),"",IF(N28=0,"",(N33/N28)-1)))</f>
        <v/>
      </c>
      <c r="X33" s="24">
        <f>IF(OR(F33="",M33=""),"",F33-M33)</f>
        <v/>
      </c>
      <c r="Y33" s="24">
        <f>IF(OR(P33="",T33=""),"",P33-T33)</f>
        <v/>
      </c>
      <c r="Z33" s="24">
        <f>IF(OR(Q33="",U33=""),"",Q33-U33)</f>
        <v/>
      </c>
      <c r="AA33" s="24">
        <f>IF(OR(H33="",O33=""),"",H33-O33)</f>
        <v/>
      </c>
      <c r="AB33" s="24">
        <f>IF(OR(R33="",V33=""),"",R33-V33)</f>
        <v/>
      </c>
      <c r="AC33" s="24">
        <f>IF(OR(S33="",W33=""),"",S33-W33)</f>
        <v/>
      </c>
      <c r="AD33" s="13" t="n"/>
      <c r="AE33" s="24">
        <f>IF(OR(AD33="",AD32=""),"",IF(AD32=0,"",(AD33/AD32)-1))</f>
        <v/>
      </c>
      <c r="AF33" s="24">
        <f>IF(ROW()&lt;7,"",IF(OR(AD33="",AD30=""),"",IF(AD30=0,"",(AD33/AD30)-1)))</f>
        <v/>
      </c>
      <c r="AG33" s="24">
        <f>IF(ROW()&lt;9,"",IF(OR(AD33="",AD28=""),"",IF(AD28=0,"",(AD33/AD28)-1)))</f>
        <v/>
      </c>
      <c r="AH33" s="13">
        <f>IF(ROW()&lt;23,"",AVERAGE(AD14:AD33))</f>
        <v/>
      </c>
      <c r="AI33">
        <f>IF(OR(AD33="",AH33=""),"",IF(AD33&gt;AH33,"Bull","Bear"))</f>
        <v/>
      </c>
      <c r="AJ33" s="13" t="n"/>
      <c r="AK33" s="24">
        <f>IF(OR(AJ33="",AJ32=""),"",IF(AJ32=0,"",(AJ33/AJ32)-1))</f>
        <v/>
      </c>
      <c r="AL33" s="24">
        <f>IF(ROW()&lt;7,"",IF(OR(AJ33="",AJ30=""),"",IF(AJ30=0,"",(AJ33/AJ30)-1)))</f>
        <v/>
      </c>
      <c r="AM33" s="24">
        <f>IF(ROW()&lt;9,"",IF(OR(AJ33="",AJ28=""),"",IF(AJ28=0,"",(AJ33/AJ28)-1)))</f>
        <v/>
      </c>
      <c r="AN33" s="13">
        <f>IF(ROW()&lt;23,"",AVERAGE(AJ14:AJ33))</f>
        <v/>
      </c>
      <c r="AO33">
        <f>IF(OR(AJ33="",AN33=""),"",IF(AJ33&gt;AN33,"Bull","Bear"))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8">
        <f>IFERROR((M34/M33)-1,"")</f>
        <v/>
      </c>
      <c r="O34" s="24">
        <f>IF(OR(N34="",N33=""),"",IF(N33=0,"",(N34/N33)-1))</f>
        <v/>
      </c>
      <c r="P34" s="11">
        <f>IF(ROW()&lt;7,"",IF(OR(E34="",E31=""),"",IF(E31=0,"",(E34/E31)-1)))</f>
        <v/>
      </c>
      <c r="Q34" s="24">
        <f>IF(ROW()&lt;9,"",IF(OR(E34="",E29=""),"",IF(E29=0,"",(E34/E29)-1)))</f>
        <v/>
      </c>
      <c r="R34" s="24">
        <f>IF(ROW()&lt;7,"",IF(OR(G34="",G31=""),"",IF(G31=0,"",(G34/G31)-1)))</f>
        <v/>
      </c>
      <c r="S34" s="24">
        <f>IF(ROW()&lt;9,"",IF(OR(G34="",G29=""),"",IF(G29=0,"",(G34/G29)-1)))</f>
        <v/>
      </c>
      <c r="T34" s="24">
        <f>IF(ROW()&lt;7,"",IF(OR(L34="",L31=""),"",IF(L31=0,"",(L34/L31)-1)))</f>
        <v/>
      </c>
      <c r="U34" s="24">
        <f>IF(ROW()&lt;9,"",IF(OR(L34="",L29=""),"",IF(L29=0,"",(L34/L29)-1)))</f>
        <v/>
      </c>
      <c r="V34" s="24">
        <f>IF(ROW()&lt;7,"",IF(OR(N34="",N31=""),"",IF(N31=0,"",(N34/N31)-1)))</f>
        <v/>
      </c>
      <c r="W34" s="24">
        <f>IF(ROW()&lt;9,"",IF(OR(N34="",N29=""),"",IF(N29=0,"",(N34/N29)-1)))</f>
        <v/>
      </c>
      <c r="X34" s="24">
        <f>IF(OR(F34="",M34=""),"",F34-M34)</f>
        <v/>
      </c>
      <c r="Y34" s="24">
        <f>IF(OR(P34="",T34=""),"",P34-T34)</f>
        <v/>
      </c>
      <c r="Z34" s="24">
        <f>IF(OR(Q34="",U34=""),"",Q34-U34)</f>
        <v/>
      </c>
      <c r="AA34" s="24">
        <f>IF(OR(H34="",O34=""),"",H34-O34)</f>
        <v/>
      </c>
      <c r="AB34" s="24">
        <f>IF(OR(R34="",V34=""),"",R34-V34)</f>
        <v/>
      </c>
      <c r="AC34" s="24">
        <f>IF(OR(S34="",W34=""),"",S34-W34)</f>
        <v/>
      </c>
      <c r="AD34" s="13" t="n"/>
      <c r="AE34" s="24">
        <f>IF(OR(AD34="",AD33=""),"",IF(AD33=0,"",(AD34/AD33)-1))</f>
        <v/>
      </c>
      <c r="AF34" s="24">
        <f>IF(ROW()&lt;7,"",IF(OR(AD34="",AD31=""),"",IF(AD31=0,"",(AD34/AD31)-1)))</f>
        <v/>
      </c>
      <c r="AG34" s="24">
        <f>IF(ROW()&lt;9,"",IF(OR(AD34="",AD29=""),"",IF(AD29=0,"",(AD34/AD29)-1)))</f>
        <v/>
      </c>
      <c r="AH34" s="13">
        <f>IF(ROW()&lt;23,"",AVERAGE(AD15:AD34))</f>
        <v/>
      </c>
      <c r="AI34">
        <f>IF(OR(AD34="",AH34=""),"",IF(AD34&gt;AH34,"Bull","Bear"))</f>
        <v/>
      </c>
      <c r="AJ34" s="13" t="n"/>
      <c r="AK34" s="24">
        <f>IF(OR(AJ34="",AJ33=""),"",IF(AJ33=0,"",(AJ34/AJ33)-1))</f>
        <v/>
      </c>
      <c r="AL34" s="24">
        <f>IF(ROW()&lt;7,"",IF(OR(AJ34="",AJ31=""),"",IF(AJ31=0,"",(AJ34/AJ31)-1)))</f>
        <v/>
      </c>
      <c r="AM34" s="24">
        <f>IF(ROW()&lt;9,"",IF(OR(AJ34="",AJ29=""),"",IF(AJ29=0,"",(AJ34/AJ29)-1)))</f>
        <v/>
      </c>
      <c r="AN34" s="13">
        <f>IF(ROW()&lt;23,"",AVERAGE(AJ15:AJ34))</f>
        <v/>
      </c>
      <c r="AO34">
        <f>IF(OR(AJ34="",AN34=""),"",IF(AJ34&gt;AN34,"Bull","Bear"))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8">
        <f>IFERROR((M35/M34)-1,"")</f>
        <v/>
      </c>
      <c r="O35" s="24">
        <f>IF(OR(N35="",N34=""),"",IF(N34=0,"",(N35/N34)-1))</f>
        <v/>
      </c>
      <c r="P35" s="11">
        <f>IF(ROW()&lt;7,"",IF(OR(E35="",E32=""),"",IF(E32=0,"",(E35/E32)-1)))</f>
        <v/>
      </c>
      <c r="Q35" s="24">
        <f>IF(ROW()&lt;9,"",IF(OR(E35="",E30=""),"",IF(E30=0,"",(E35/E30)-1)))</f>
        <v/>
      </c>
      <c r="R35" s="24">
        <f>IF(ROW()&lt;7,"",IF(OR(G35="",G32=""),"",IF(G32=0,"",(G35/G32)-1)))</f>
        <v/>
      </c>
      <c r="S35" s="24">
        <f>IF(ROW()&lt;9,"",IF(OR(G35="",G30=""),"",IF(G30=0,"",(G35/G30)-1)))</f>
        <v/>
      </c>
      <c r="T35" s="24">
        <f>IF(ROW()&lt;7,"",IF(OR(L35="",L32=""),"",IF(L32=0,"",(L35/L32)-1)))</f>
        <v/>
      </c>
      <c r="U35" s="24">
        <f>IF(ROW()&lt;9,"",IF(OR(L35="",L30=""),"",IF(L30=0,"",(L35/L30)-1)))</f>
        <v/>
      </c>
      <c r="V35" s="24">
        <f>IF(ROW()&lt;7,"",IF(OR(N35="",N32=""),"",IF(N32=0,"",(N35/N32)-1)))</f>
        <v/>
      </c>
      <c r="W35" s="24">
        <f>IF(ROW()&lt;9,"",IF(OR(N35="",N30=""),"",IF(N30=0,"",(N35/N30)-1)))</f>
        <v/>
      </c>
      <c r="X35" s="24">
        <f>IF(OR(F35="",M35=""),"",F35-M35)</f>
        <v/>
      </c>
      <c r="Y35" s="24">
        <f>IF(OR(P35="",T35=""),"",P35-T35)</f>
        <v/>
      </c>
      <c r="Z35" s="24">
        <f>IF(OR(Q35="",U35=""),"",Q35-U35)</f>
        <v/>
      </c>
      <c r="AA35" s="24">
        <f>IF(OR(H35="",O35=""),"",H35-O35)</f>
        <v/>
      </c>
      <c r="AB35" s="24">
        <f>IF(OR(R35="",V35=""),"",R35-V35)</f>
        <v/>
      </c>
      <c r="AC35" s="24">
        <f>IF(OR(S35="",W35=""),"",S35-W35)</f>
        <v/>
      </c>
      <c r="AD35" s="13" t="n"/>
      <c r="AE35" s="24">
        <f>IF(OR(AD35="",AD34=""),"",IF(AD34=0,"",(AD35/AD34)-1))</f>
        <v/>
      </c>
      <c r="AF35" s="24">
        <f>IF(ROW()&lt;7,"",IF(OR(AD35="",AD32=""),"",IF(AD32=0,"",(AD35/AD32)-1)))</f>
        <v/>
      </c>
      <c r="AG35" s="24">
        <f>IF(ROW()&lt;9,"",IF(OR(AD35="",AD30=""),"",IF(AD30=0,"",(AD35/AD30)-1)))</f>
        <v/>
      </c>
      <c r="AH35" s="13">
        <f>IF(ROW()&lt;23,"",AVERAGE(AD16:AD35))</f>
        <v/>
      </c>
      <c r="AI35">
        <f>IF(OR(AD35="",AH35=""),"",IF(AD35&gt;AH35,"Bull","Bear"))</f>
        <v/>
      </c>
      <c r="AJ35" s="13" t="n"/>
      <c r="AK35" s="24">
        <f>IF(OR(AJ35="",AJ34=""),"",IF(AJ34=0,"",(AJ35/AJ34)-1))</f>
        <v/>
      </c>
      <c r="AL35" s="24">
        <f>IF(ROW()&lt;7,"",IF(OR(AJ35="",AJ32=""),"",IF(AJ32=0,"",(AJ35/AJ32)-1)))</f>
        <v/>
      </c>
      <c r="AM35" s="24">
        <f>IF(ROW()&lt;9,"",IF(OR(AJ35="",AJ30=""),"",IF(AJ30=0,"",(AJ35/AJ30)-1)))</f>
        <v/>
      </c>
      <c r="AN35" s="13">
        <f>IF(ROW()&lt;23,"",AVERAGE(AJ16:AJ35))</f>
        <v/>
      </c>
      <c r="AO35">
        <f>IF(OR(AJ35="",AN35=""),"",IF(AJ35&gt;AN35,"Bull","Bear"))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8">
        <f>IFERROR((M36/M35)-1,"")</f>
        <v/>
      </c>
      <c r="O36" s="24">
        <f>IF(OR(N36="",N35=""),"",IF(N35=0,"",(N36/N35)-1))</f>
        <v/>
      </c>
      <c r="P36" s="11">
        <f>IF(ROW()&lt;7,"",IF(OR(E36="",E33=""),"",IF(E33=0,"",(E36/E33)-1)))</f>
        <v/>
      </c>
      <c r="Q36" s="24">
        <f>IF(ROW()&lt;9,"",IF(OR(E36="",E31=""),"",IF(E31=0,"",(E36/E31)-1)))</f>
        <v/>
      </c>
      <c r="R36" s="24">
        <f>IF(ROW()&lt;7,"",IF(OR(G36="",G33=""),"",IF(G33=0,"",(G36/G33)-1)))</f>
        <v/>
      </c>
      <c r="S36" s="24">
        <f>IF(ROW()&lt;9,"",IF(OR(G36="",G31=""),"",IF(G31=0,"",(G36/G31)-1)))</f>
        <v/>
      </c>
      <c r="T36" s="24">
        <f>IF(ROW()&lt;7,"",IF(OR(L36="",L33=""),"",IF(L33=0,"",(L36/L33)-1)))</f>
        <v/>
      </c>
      <c r="U36" s="24">
        <f>IF(ROW()&lt;9,"",IF(OR(L36="",L31=""),"",IF(L31=0,"",(L36/L31)-1)))</f>
        <v/>
      </c>
      <c r="V36" s="24">
        <f>IF(ROW()&lt;7,"",IF(OR(N36="",N33=""),"",IF(N33=0,"",(N36/N33)-1)))</f>
        <v/>
      </c>
      <c r="W36" s="24">
        <f>IF(ROW()&lt;9,"",IF(OR(N36="",N31=""),"",IF(N31=0,"",(N36/N31)-1)))</f>
        <v/>
      </c>
      <c r="X36" s="24">
        <f>IF(OR(F36="",M36=""),"",F36-M36)</f>
        <v/>
      </c>
      <c r="Y36" s="24">
        <f>IF(OR(P36="",T36=""),"",P36-T36)</f>
        <v/>
      </c>
      <c r="Z36" s="24">
        <f>IF(OR(Q36="",U36=""),"",Q36-U36)</f>
        <v/>
      </c>
      <c r="AA36" s="24">
        <f>IF(OR(H36="",O36=""),"",H36-O36)</f>
        <v/>
      </c>
      <c r="AB36" s="24">
        <f>IF(OR(R36="",V36=""),"",R36-V36)</f>
        <v/>
      </c>
      <c r="AC36" s="24">
        <f>IF(OR(S36="",W36=""),"",S36-W36)</f>
        <v/>
      </c>
      <c r="AD36" s="13" t="n"/>
      <c r="AE36" s="24">
        <f>IF(OR(AD36="",AD35=""),"",IF(AD35=0,"",(AD36/AD35)-1))</f>
        <v/>
      </c>
      <c r="AF36" s="24">
        <f>IF(ROW()&lt;7,"",IF(OR(AD36="",AD33=""),"",IF(AD33=0,"",(AD36/AD33)-1)))</f>
        <v/>
      </c>
      <c r="AG36" s="24">
        <f>IF(ROW()&lt;9,"",IF(OR(AD36="",AD31=""),"",IF(AD31=0,"",(AD36/AD31)-1)))</f>
        <v/>
      </c>
      <c r="AH36" s="13">
        <f>IF(ROW()&lt;23,"",AVERAGE(AD17:AD36))</f>
        <v/>
      </c>
      <c r="AI36">
        <f>IF(OR(AD36="",AH36=""),"",IF(AD36&gt;AH36,"Bull","Bear"))</f>
        <v/>
      </c>
      <c r="AJ36" s="13" t="n"/>
      <c r="AK36" s="24">
        <f>IF(OR(AJ36="",AJ35=""),"",IF(AJ35=0,"",(AJ36/AJ35)-1))</f>
        <v/>
      </c>
      <c r="AL36" s="24">
        <f>IF(ROW()&lt;7,"",IF(OR(AJ36="",AJ33=""),"",IF(AJ33=0,"",(AJ36/AJ33)-1)))</f>
        <v/>
      </c>
      <c r="AM36" s="24">
        <f>IF(ROW()&lt;9,"",IF(OR(AJ36="",AJ31=""),"",IF(AJ31=0,"",(AJ36/AJ31)-1)))</f>
        <v/>
      </c>
      <c r="AN36" s="13">
        <f>IF(ROW()&lt;23,"",AVERAGE(AJ17:AJ36))</f>
        <v/>
      </c>
      <c r="AO36">
        <f>IF(OR(AJ36="",AN36=""),"",IF(AJ36&gt;AN36,"Bull","Bear"))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8">
        <f>IFERROR((M37/M36)-1,"")</f>
        <v/>
      </c>
      <c r="O37" s="24">
        <f>IF(OR(N37="",N36=""),"",IF(N36=0,"",(N37/N36)-1))</f>
        <v/>
      </c>
      <c r="P37" s="11">
        <f>IF(ROW()&lt;7,"",IF(OR(E37="",E34=""),"",IF(E34=0,"",(E37/E34)-1)))</f>
        <v/>
      </c>
      <c r="Q37" s="24">
        <f>IF(ROW()&lt;9,"",IF(OR(E37="",E32=""),"",IF(E32=0,"",(E37/E32)-1)))</f>
        <v/>
      </c>
      <c r="R37" s="24">
        <f>IF(ROW()&lt;7,"",IF(OR(G37="",G34=""),"",IF(G34=0,"",(G37/G34)-1)))</f>
        <v/>
      </c>
      <c r="S37" s="24">
        <f>IF(ROW()&lt;9,"",IF(OR(G37="",G32=""),"",IF(G32=0,"",(G37/G32)-1)))</f>
        <v/>
      </c>
      <c r="T37" s="24">
        <f>IF(ROW()&lt;7,"",IF(OR(L37="",L34=""),"",IF(L34=0,"",(L37/L34)-1)))</f>
        <v/>
      </c>
      <c r="U37" s="24">
        <f>IF(ROW()&lt;9,"",IF(OR(L37="",L32=""),"",IF(L32=0,"",(L37/L32)-1)))</f>
        <v/>
      </c>
      <c r="V37" s="24">
        <f>IF(ROW()&lt;7,"",IF(OR(N37="",N34=""),"",IF(N34=0,"",(N37/N34)-1)))</f>
        <v/>
      </c>
      <c r="W37" s="24">
        <f>IF(ROW()&lt;9,"",IF(OR(N37="",N32=""),"",IF(N32=0,"",(N37/N32)-1)))</f>
        <v/>
      </c>
      <c r="X37" s="24">
        <f>IF(OR(F37="",M37=""),"",F37-M37)</f>
        <v/>
      </c>
      <c r="Y37" s="24">
        <f>IF(OR(P37="",T37=""),"",P37-T37)</f>
        <v/>
      </c>
      <c r="Z37" s="24">
        <f>IF(OR(Q37="",U37=""),"",Q37-U37)</f>
        <v/>
      </c>
      <c r="AA37" s="24">
        <f>IF(OR(H37="",O37=""),"",H37-O37)</f>
        <v/>
      </c>
      <c r="AB37" s="24">
        <f>IF(OR(R37="",V37=""),"",R37-V37)</f>
        <v/>
      </c>
      <c r="AC37" s="24">
        <f>IF(OR(S37="",W37=""),"",S37-W37)</f>
        <v/>
      </c>
      <c r="AD37" s="13" t="n"/>
      <c r="AE37" s="24">
        <f>IF(OR(AD37="",AD36=""),"",IF(AD36=0,"",(AD37/AD36)-1))</f>
        <v/>
      </c>
      <c r="AF37" s="24">
        <f>IF(ROW()&lt;7,"",IF(OR(AD37="",AD34=""),"",IF(AD34=0,"",(AD37/AD34)-1)))</f>
        <v/>
      </c>
      <c r="AG37" s="24">
        <f>IF(ROW()&lt;9,"",IF(OR(AD37="",AD32=""),"",IF(AD32=0,"",(AD37/AD32)-1)))</f>
        <v/>
      </c>
      <c r="AH37" s="13">
        <f>IF(ROW()&lt;23,"",AVERAGE(AD18:AD37))</f>
        <v/>
      </c>
      <c r="AI37">
        <f>IF(OR(AD37="",AH37=""),"",IF(AD37&gt;AH37,"Bull","Bear"))</f>
        <v/>
      </c>
      <c r="AJ37" s="13" t="n"/>
      <c r="AK37" s="24">
        <f>IF(OR(AJ37="",AJ36=""),"",IF(AJ36=0,"",(AJ37/AJ36)-1))</f>
        <v/>
      </c>
      <c r="AL37" s="24">
        <f>IF(ROW()&lt;7,"",IF(OR(AJ37="",AJ34=""),"",IF(AJ34=0,"",(AJ37/AJ34)-1)))</f>
        <v/>
      </c>
      <c r="AM37" s="24">
        <f>IF(ROW()&lt;9,"",IF(OR(AJ37="",AJ32=""),"",IF(AJ32=0,"",(AJ37/AJ32)-1)))</f>
        <v/>
      </c>
      <c r="AN37" s="13">
        <f>IF(ROW()&lt;23,"",AVERAGE(AJ18:AJ37))</f>
        <v/>
      </c>
      <c r="AO37">
        <f>IF(OR(AJ37="",AN37=""),"",IF(AJ37&gt;AN37,"Bull","Bear"))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8">
        <f>IFERROR((M38/M37)-1,"")</f>
        <v/>
      </c>
      <c r="O38" s="24">
        <f>IF(OR(N38="",N37=""),"",IF(N37=0,"",(N38/N37)-1))</f>
        <v/>
      </c>
      <c r="P38" s="11">
        <f>IF(ROW()&lt;7,"",IF(OR(E38="",E35=""),"",IF(E35=0,"",(E38/E35)-1)))</f>
        <v/>
      </c>
      <c r="Q38" s="24">
        <f>IF(ROW()&lt;9,"",IF(OR(E38="",E33=""),"",IF(E33=0,"",(E38/E33)-1)))</f>
        <v/>
      </c>
      <c r="R38" s="24">
        <f>IF(ROW()&lt;7,"",IF(OR(G38="",G35=""),"",IF(G35=0,"",(G38/G35)-1)))</f>
        <v/>
      </c>
      <c r="S38" s="24">
        <f>IF(ROW()&lt;9,"",IF(OR(G38="",G33=""),"",IF(G33=0,"",(G38/G33)-1)))</f>
        <v/>
      </c>
      <c r="T38" s="24">
        <f>IF(ROW()&lt;7,"",IF(OR(L38="",L35=""),"",IF(L35=0,"",(L38/L35)-1)))</f>
        <v/>
      </c>
      <c r="U38" s="24">
        <f>IF(ROW()&lt;9,"",IF(OR(L38="",L33=""),"",IF(L33=0,"",(L38/L33)-1)))</f>
        <v/>
      </c>
      <c r="V38" s="24">
        <f>IF(ROW()&lt;7,"",IF(OR(N38="",N35=""),"",IF(N35=0,"",(N38/N35)-1)))</f>
        <v/>
      </c>
      <c r="W38" s="24">
        <f>IF(ROW()&lt;9,"",IF(OR(N38="",N33=""),"",IF(N33=0,"",(N38/N33)-1)))</f>
        <v/>
      </c>
      <c r="X38" s="24">
        <f>IF(OR(F38="",M38=""),"",F38-M38)</f>
        <v/>
      </c>
      <c r="Y38" s="24">
        <f>IF(OR(P38="",T38=""),"",P38-T38)</f>
        <v/>
      </c>
      <c r="Z38" s="24">
        <f>IF(OR(Q38="",U38=""),"",Q38-U38)</f>
        <v/>
      </c>
      <c r="AA38" s="24">
        <f>IF(OR(H38="",O38=""),"",H38-O38)</f>
        <v/>
      </c>
      <c r="AB38" s="24">
        <f>IF(OR(R38="",V38=""),"",R38-V38)</f>
        <v/>
      </c>
      <c r="AC38" s="24">
        <f>IF(OR(S38="",W38=""),"",S38-W38)</f>
        <v/>
      </c>
      <c r="AD38" s="13" t="n"/>
      <c r="AE38" s="24">
        <f>IF(OR(AD38="",AD37=""),"",IF(AD37=0,"",(AD38/AD37)-1))</f>
        <v/>
      </c>
      <c r="AF38" s="24">
        <f>IF(ROW()&lt;7,"",IF(OR(AD38="",AD35=""),"",IF(AD35=0,"",(AD38/AD35)-1)))</f>
        <v/>
      </c>
      <c r="AG38" s="24">
        <f>IF(ROW()&lt;9,"",IF(OR(AD38="",AD33=""),"",IF(AD33=0,"",(AD38/AD33)-1)))</f>
        <v/>
      </c>
      <c r="AH38" s="13">
        <f>IF(ROW()&lt;23,"",AVERAGE(AD19:AD38))</f>
        <v/>
      </c>
      <c r="AI38">
        <f>IF(OR(AD38="",AH38=""),"",IF(AD38&gt;AH38,"Bull","Bear"))</f>
        <v/>
      </c>
      <c r="AJ38" s="13" t="n"/>
      <c r="AK38" s="24">
        <f>IF(OR(AJ38="",AJ37=""),"",IF(AJ37=0,"",(AJ38/AJ37)-1))</f>
        <v/>
      </c>
      <c r="AL38" s="24">
        <f>IF(ROW()&lt;7,"",IF(OR(AJ38="",AJ35=""),"",IF(AJ35=0,"",(AJ38/AJ35)-1)))</f>
        <v/>
      </c>
      <c r="AM38" s="24">
        <f>IF(ROW()&lt;9,"",IF(OR(AJ38="",AJ33=""),"",IF(AJ33=0,"",(AJ38/AJ33)-1)))</f>
        <v/>
      </c>
      <c r="AN38" s="13">
        <f>IF(ROW()&lt;23,"",AVERAGE(AJ19:AJ38))</f>
        <v/>
      </c>
      <c r="AO38">
        <f>IF(OR(AJ38="",AN38=""),"",IF(AJ38&gt;AN38,"Bull","Bear"))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8">
        <f>IFERROR((M39/M38)-1,"")</f>
        <v/>
      </c>
      <c r="O39" s="24">
        <f>IF(OR(N39="",N38=""),"",IF(N38=0,"",(N39/N38)-1))</f>
        <v/>
      </c>
      <c r="P39" s="11">
        <f>IF(ROW()&lt;7,"",IF(OR(E39="",E36=""),"",IF(E36=0,"",(E39/E36)-1)))</f>
        <v/>
      </c>
      <c r="Q39" s="24">
        <f>IF(ROW()&lt;9,"",IF(OR(E39="",E34=""),"",IF(E34=0,"",(E39/E34)-1)))</f>
        <v/>
      </c>
      <c r="R39" s="24">
        <f>IF(ROW()&lt;7,"",IF(OR(G39="",G36=""),"",IF(G36=0,"",(G39/G36)-1)))</f>
        <v/>
      </c>
      <c r="S39" s="24">
        <f>IF(ROW()&lt;9,"",IF(OR(G39="",G34=""),"",IF(G34=0,"",(G39/G34)-1)))</f>
        <v/>
      </c>
      <c r="T39" s="24">
        <f>IF(ROW()&lt;7,"",IF(OR(L39="",L36=""),"",IF(L36=0,"",(L39/L36)-1)))</f>
        <v/>
      </c>
      <c r="U39" s="24">
        <f>IF(ROW()&lt;9,"",IF(OR(L39="",L34=""),"",IF(L34=0,"",(L39/L34)-1)))</f>
        <v/>
      </c>
      <c r="V39" s="24">
        <f>IF(ROW()&lt;7,"",IF(OR(N39="",N36=""),"",IF(N36=0,"",(N39/N36)-1)))</f>
        <v/>
      </c>
      <c r="W39" s="24">
        <f>IF(ROW()&lt;9,"",IF(OR(N39="",N34=""),"",IF(N34=0,"",(N39/N34)-1)))</f>
        <v/>
      </c>
      <c r="X39" s="24">
        <f>IF(OR(F39="",M39=""),"",F39-M39)</f>
        <v/>
      </c>
      <c r="Y39" s="24">
        <f>IF(OR(P39="",T39=""),"",P39-T39)</f>
        <v/>
      </c>
      <c r="Z39" s="24">
        <f>IF(OR(Q39="",U39=""),"",Q39-U39)</f>
        <v/>
      </c>
      <c r="AA39" s="24">
        <f>IF(OR(H39="",O39=""),"",H39-O39)</f>
        <v/>
      </c>
      <c r="AB39" s="24">
        <f>IF(OR(R39="",V39=""),"",R39-V39)</f>
        <v/>
      </c>
      <c r="AC39" s="24">
        <f>IF(OR(S39="",W39=""),"",S39-W39)</f>
        <v/>
      </c>
      <c r="AD39" s="13" t="n"/>
      <c r="AE39" s="24">
        <f>IF(OR(AD39="",AD38=""),"",IF(AD38=0,"",(AD39/AD38)-1))</f>
        <v/>
      </c>
      <c r="AF39" s="24">
        <f>IF(ROW()&lt;7,"",IF(OR(AD39="",AD36=""),"",IF(AD36=0,"",(AD39/AD36)-1)))</f>
        <v/>
      </c>
      <c r="AG39" s="24">
        <f>IF(ROW()&lt;9,"",IF(OR(AD39="",AD34=""),"",IF(AD34=0,"",(AD39/AD34)-1)))</f>
        <v/>
      </c>
      <c r="AH39" s="13">
        <f>IF(ROW()&lt;23,"",AVERAGE(AD20:AD39))</f>
        <v/>
      </c>
      <c r="AI39">
        <f>IF(OR(AD39="",AH39=""),"",IF(AD39&gt;AH39,"Bull","Bear"))</f>
        <v/>
      </c>
      <c r="AJ39" s="13" t="n"/>
      <c r="AK39" s="24">
        <f>IF(OR(AJ39="",AJ38=""),"",IF(AJ38=0,"",(AJ39/AJ38)-1))</f>
        <v/>
      </c>
      <c r="AL39" s="24">
        <f>IF(ROW()&lt;7,"",IF(OR(AJ39="",AJ36=""),"",IF(AJ36=0,"",(AJ39/AJ36)-1)))</f>
        <v/>
      </c>
      <c r="AM39" s="24">
        <f>IF(ROW()&lt;9,"",IF(OR(AJ39="",AJ34=""),"",IF(AJ34=0,"",(AJ39/AJ34)-1)))</f>
        <v/>
      </c>
      <c r="AN39" s="13">
        <f>IF(ROW()&lt;23,"",AVERAGE(AJ20:AJ39))</f>
        <v/>
      </c>
      <c r="AO39">
        <f>IF(OR(AJ39="",AN39=""),"",IF(AJ39&gt;AN39,"Bull","Bear"))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8">
        <f>IFERROR((M40/M39)-1,"")</f>
        <v/>
      </c>
      <c r="O40" s="24">
        <f>IF(OR(N40="",N39=""),"",IF(N39=0,"",(N40/N39)-1))</f>
        <v/>
      </c>
      <c r="P40" s="11">
        <f>IF(ROW()&lt;7,"",IF(OR(E40="",E37=""),"",IF(E37=0,"",(E40/E37)-1)))</f>
        <v/>
      </c>
      <c r="Q40" s="24">
        <f>IF(ROW()&lt;9,"",IF(OR(E40="",E35=""),"",IF(E35=0,"",(E40/E35)-1)))</f>
        <v/>
      </c>
      <c r="R40" s="24">
        <f>IF(ROW()&lt;7,"",IF(OR(G40="",G37=""),"",IF(G37=0,"",(G40/G37)-1)))</f>
        <v/>
      </c>
      <c r="S40" s="24">
        <f>IF(ROW()&lt;9,"",IF(OR(G40="",G35=""),"",IF(G35=0,"",(G40/G35)-1)))</f>
        <v/>
      </c>
      <c r="T40" s="24">
        <f>IF(ROW()&lt;7,"",IF(OR(L40="",L37=""),"",IF(L37=0,"",(L40/L37)-1)))</f>
        <v/>
      </c>
      <c r="U40" s="24">
        <f>IF(ROW()&lt;9,"",IF(OR(L40="",L35=""),"",IF(L35=0,"",(L40/L35)-1)))</f>
        <v/>
      </c>
      <c r="V40" s="24">
        <f>IF(ROW()&lt;7,"",IF(OR(N40="",N37=""),"",IF(N37=0,"",(N40/N37)-1)))</f>
        <v/>
      </c>
      <c r="W40" s="24">
        <f>IF(ROW()&lt;9,"",IF(OR(N40="",N35=""),"",IF(N35=0,"",(N40/N35)-1)))</f>
        <v/>
      </c>
      <c r="X40" s="24">
        <f>IF(OR(F40="",M40=""),"",F40-M40)</f>
        <v/>
      </c>
      <c r="Y40" s="24">
        <f>IF(OR(P40="",T40=""),"",P40-T40)</f>
        <v/>
      </c>
      <c r="Z40" s="24">
        <f>IF(OR(Q40="",U40=""),"",Q40-U40)</f>
        <v/>
      </c>
      <c r="AA40" s="24">
        <f>IF(OR(H40="",O40=""),"",H40-O40)</f>
        <v/>
      </c>
      <c r="AB40" s="24">
        <f>IF(OR(R40="",V40=""),"",R40-V40)</f>
        <v/>
      </c>
      <c r="AC40" s="24">
        <f>IF(OR(S40="",W40=""),"",S40-W40)</f>
        <v/>
      </c>
      <c r="AD40" s="13" t="n"/>
      <c r="AE40" s="24">
        <f>IF(OR(AD40="",AD39=""),"",IF(AD39=0,"",(AD40/AD39)-1))</f>
        <v/>
      </c>
      <c r="AF40" s="24">
        <f>IF(ROW()&lt;7,"",IF(OR(AD40="",AD37=""),"",IF(AD37=0,"",(AD40/AD37)-1)))</f>
        <v/>
      </c>
      <c r="AG40" s="24">
        <f>IF(ROW()&lt;9,"",IF(OR(AD40="",AD35=""),"",IF(AD35=0,"",(AD40/AD35)-1)))</f>
        <v/>
      </c>
      <c r="AH40" s="13">
        <f>IF(ROW()&lt;23,"",AVERAGE(AD21:AD40))</f>
        <v/>
      </c>
      <c r="AI40">
        <f>IF(OR(AD40="",AH40=""),"",IF(AD40&gt;AH40,"Bull","Bear"))</f>
        <v/>
      </c>
      <c r="AJ40" s="13" t="n"/>
      <c r="AK40" s="24">
        <f>IF(OR(AJ40="",AJ39=""),"",IF(AJ39=0,"",(AJ40/AJ39)-1))</f>
        <v/>
      </c>
      <c r="AL40" s="24">
        <f>IF(ROW()&lt;7,"",IF(OR(AJ40="",AJ37=""),"",IF(AJ37=0,"",(AJ40/AJ37)-1)))</f>
        <v/>
      </c>
      <c r="AM40" s="24">
        <f>IF(ROW()&lt;9,"",IF(OR(AJ40="",AJ35=""),"",IF(AJ35=0,"",(AJ40/AJ35)-1)))</f>
        <v/>
      </c>
      <c r="AN40" s="13">
        <f>IF(ROW()&lt;23,"",AVERAGE(AJ21:AJ40))</f>
        <v/>
      </c>
      <c r="AO40">
        <f>IF(OR(AJ40="",AN40=""),"",IF(AJ40&gt;AN40,"Bull","Bear"))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8">
        <f>IFERROR((M41/M40)-1,"")</f>
        <v/>
      </c>
      <c r="O41" s="24">
        <f>IF(OR(N41="",N40=""),"",IF(N40=0,"",(N41/N40)-1))</f>
        <v/>
      </c>
      <c r="P41" s="11">
        <f>IF(ROW()&lt;7,"",IF(OR(E41="",E38=""),"",IF(E38=0,"",(E41/E38)-1)))</f>
        <v/>
      </c>
      <c r="Q41" s="24">
        <f>IF(ROW()&lt;9,"",IF(OR(E41="",E36=""),"",IF(E36=0,"",(E41/E36)-1)))</f>
        <v/>
      </c>
      <c r="R41" s="24">
        <f>IF(ROW()&lt;7,"",IF(OR(G41="",G38=""),"",IF(G38=0,"",(G41/G38)-1)))</f>
        <v/>
      </c>
      <c r="S41" s="24">
        <f>IF(ROW()&lt;9,"",IF(OR(G41="",G36=""),"",IF(G36=0,"",(G41/G36)-1)))</f>
        <v/>
      </c>
      <c r="T41" s="24">
        <f>IF(ROW()&lt;7,"",IF(OR(L41="",L38=""),"",IF(L38=0,"",(L41/L38)-1)))</f>
        <v/>
      </c>
      <c r="U41" s="24">
        <f>IF(ROW()&lt;9,"",IF(OR(L41="",L36=""),"",IF(L36=0,"",(L41/L36)-1)))</f>
        <v/>
      </c>
      <c r="V41" s="24">
        <f>IF(ROW()&lt;7,"",IF(OR(N41="",N38=""),"",IF(N38=0,"",(N41/N38)-1)))</f>
        <v/>
      </c>
      <c r="W41" s="24">
        <f>IF(ROW()&lt;9,"",IF(OR(N41="",N36=""),"",IF(N36=0,"",(N41/N36)-1)))</f>
        <v/>
      </c>
      <c r="X41" s="24">
        <f>IF(OR(F41="",M41=""),"",F41-M41)</f>
        <v/>
      </c>
      <c r="Y41" s="24">
        <f>IF(OR(P41="",T41=""),"",P41-T41)</f>
        <v/>
      </c>
      <c r="Z41" s="24">
        <f>IF(OR(Q41="",U41=""),"",Q41-U41)</f>
        <v/>
      </c>
      <c r="AA41" s="24">
        <f>IF(OR(H41="",O41=""),"",H41-O41)</f>
        <v/>
      </c>
      <c r="AB41" s="24">
        <f>IF(OR(R41="",V41=""),"",R41-V41)</f>
        <v/>
      </c>
      <c r="AC41" s="24">
        <f>IF(OR(S41="",W41=""),"",S41-W41)</f>
        <v/>
      </c>
      <c r="AD41" s="13" t="n"/>
      <c r="AE41" s="24">
        <f>IF(OR(AD41="",AD40=""),"",IF(AD40=0,"",(AD41/AD40)-1))</f>
        <v/>
      </c>
      <c r="AF41" s="24">
        <f>IF(ROW()&lt;7,"",IF(OR(AD41="",AD38=""),"",IF(AD38=0,"",(AD41/AD38)-1)))</f>
        <v/>
      </c>
      <c r="AG41" s="24">
        <f>IF(ROW()&lt;9,"",IF(OR(AD41="",AD36=""),"",IF(AD36=0,"",(AD41/AD36)-1)))</f>
        <v/>
      </c>
      <c r="AH41" s="13">
        <f>IF(ROW()&lt;23,"",AVERAGE(AD22:AD41))</f>
        <v/>
      </c>
      <c r="AI41">
        <f>IF(OR(AD41="",AH41=""),"",IF(AD41&gt;AH41,"Bull","Bear"))</f>
        <v/>
      </c>
      <c r="AJ41" s="13" t="n"/>
      <c r="AK41" s="24">
        <f>IF(OR(AJ41="",AJ40=""),"",IF(AJ40=0,"",(AJ41/AJ40)-1))</f>
        <v/>
      </c>
      <c r="AL41" s="24">
        <f>IF(ROW()&lt;7,"",IF(OR(AJ41="",AJ38=""),"",IF(AJ38=0,"",(AJ41/AJ38)-1)))</f>
        <v/>
      </c>
      <c r="AM41" s="24">
        <f>IF(ROW()&lt;9,"",IF(OR(AJ41="",AJ36=""),"",IF(AJ36=0,"",(AJ41/AJ36)-1)))</f>
        <v/>
      </c>
      <c r="AN41" s="13">
        <f>IF(ROW()&lt;23,"",AVERAGE(AJ22:AJ41))</f>
        <v/>
      </c>
      <c r="AO41">
        <f>IF(OR(AJ41="",AN41=""),"",IF(AJ41&gt;AN41,"Bull","Bear"))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8">
        <f>IFERROR((M42/M41)-1,"")</f>
        <v/>
      </c>
      <c r="O42" s="24">
        <f>IF(OR(N42="",N41=""),"",IF(N41=0,"",(N42/N41)-1))</f>
        <v/>
      </c>
      <c r="P42" s="11">
        <f>IF(ROW()&lt;7,"",IF(OR(E42="",E39=""),"",IF(E39=0,"",(E42/E39)-1)))</f>
        <v/>
      </c>
      <c r="Q42" s="24">
        <f>IF(ROW()&lt;9,"",IF(OR(E42="",E37=""),"",IF(E37=0,"",(E42/E37)-1)))</f>
        <v/>
      </c>
      <c r="R42" s="24">
        <f>IF(ROW()&lt;7,"",IF(OR(G42="",G39=""),"",IF(G39=0,"",(G42/G39)-1)))</f>
        <v/>
      </c>
      <c r="S42" s="24">
        <f>IF(ROW()&lt;9,"",IF(OR(G42="",G37=""),"",IF(G37=0,"",(G42/G37)-1)))</f>
        <v/>
      </c>
      <c r="T42" s="24">
        <f>IF(ROW()&lt;7,"",IF(OR(L42="",L39=""),"",IF(L39=0,"",(L42/L39)-1)))</f>
        <v/>
      </c>
      <c r="U42" s="24">
        <f>IF(ROW()&lt;9,"",IF(OR(L42="",L37=""),"",IF(L37=0,"",(L42/L37)-1)))</f>
        <v/>
      </c>
      <c r="V42" s="24">
        <f>IF(ROW()&lt;7,"",IF(OR(N42="",N39=""),"",IF(N39=0,"",(N42/N39)-1)))</f>
        <v/>
      </c>
      <c r="W42" s="24">
        <f>IF(ROW()&lt;9,"",IF(OR(N42="",N37=""),"",IF(N37=0,"",(N42/N37)-1)))</f>
        <v/>
      </c>
      <c r="X42" s="24">
        <f>IF(OR(F42="",M42=""),"",F42-M42)</f>
        <v/>
      </c>
      <c r="Y42" s="24">
        <f>IF(OR(P42="",T42=""),"",P42-T42)</f>
        <v/>
      </c>
      <c r="Z42" s="24">
        <f>IF(OR(Q42="",U42=""),"",Q42-U42)</f>
        <v/>
      </c>
      <c r="AA42" s="24">
        <f>IF(OR(H42="",O42=""),"",H42-O42)</f>
        <v/>
      </c>
      <c r="AB42" s="24">
        <f>IF(OR(R42="",V42=""),"",R42-V42)</f>
        <v/>
      </c>
      <c r="AC42" s="24">
        <f>IF(OR(S42="",W42=""),"",S42-W42)</f>
        <v/>
      </c>
      <c r="AD42" s="13" t="n"/>
      <c r="AE42" s="24">
        <f>IF(OR(AD42="",AD41=""),"",IF(AD41=0,"",(AD42/AD41)-1))</f>
        <v/>
      </c>
      <c r="AF42" s="24">
        <f>IF(ROW()&lt;7,"",IF(OR(AD42="",AD39=""),"",IF(AD39=0,"",(AD42/AD39)-1)))</f>
        <v/>
      </c>
      <c r="AG42" s="24">
        <f>IF(ROW()&lt;9,"",IF(OR(AD42="",AD37=""),"",IF(AD37=0,"",(AD42/AD37)-1)))</f>
        <v/>
      </c>
      <c r="AH42" s="13">
        <f>IF(ROW()&lt;23,"",AVERAGE(AD23:AD42))</f>
        <v/>
      </c>
      <c r="AI42">
        <f>IF(OR(AD42="",AH42=""),"",IF(AD42&gt;AH42,"Bull","Bear"))</f>
        <v/>
      </c>
      <c r="AJ42" s="13" t="n"/>
      <c r="AK42" s="24">
        <f>IF(OR(AJ42="",AJ41=""),"",IF(AJ41=0,"",(AJ42/AJ41)-1))</f>
        <v/>
      </c>
      <c r="AL42" s="24">
        <f>IF(ROW()&lt;7,"",IF(OR(AJ42="",AJ39=""),"",IF(AJ39=0,"",(AJ42/AJ39)-1)))</f>
        <v/>
      </c>
      <c r="AM42" s="24">
        <f>IF(ROW()&lt;9,"",IF(OR(AJ42="",AJ37=""),"",IF(AJ37=0,"",(AJ42/AJ37)-1)))</f>
        <v/>
      </c>
      <c r="AN42" s="13">
        <f>IF(ROW()&lt;23,"",AVERAGE(AJ23:AJ42))</f>
        <v/>
      </c>
      <c r="AO42">
        <f>IF(OR(AJ42="",AN42=""),"",IF(AJ42&gt;AN42,"Bull","Bear"))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8">
        <f>IFERROR((M43/M42)-1,"")</f>
        <v/>
      </c>
      <c r="O43" s="24">
        <f>IF(OR(N43="",N42=""),"",IF(N42=0,"",(N43/N42)-1))</f>
        <v/>
      </c>
      <c r="P43" s="11">
        <f>IF(ROW()&lt;7,"",IF(OR(E43="",E40=""),"",IF(E40=0,"",(E43/E40)-1)))</f>
        <v/>
      </c>
      <c r="Q43" s="24">
        <f>IF(ROW()&lt;9,"",IF(OR(E43="",E38=""),"",IF(E38=0,"",(E43/E38)-1)))</f>
        <v/>
      </c>
      <c r="R43" s="24">
        <f>IF(ROW()&lt;7,"",IF(OR(G43="",G40=""),"",IF(G40=0,"",(G43/G40)-1)))</f>
        <v/>
      </c>
      <c r="S43" s="24">
        <f>IF(ROW()&lt;9,"",IF(OR(G43="",G38=""),"",IF(G38=0,"",(G43/G38)-1)))</f>
        <v/>
      </c>
      <c r="T43" s="24">
        <f>IF(ROW()&lt;7,"",IF(OR(L43="",L40=""),"",IF(L40=0,"",(L43/L40)-1)))</f>
        <v/>
      </c>
      <c r="U43" s="24">
        <f>IF(ROW()&lt;9,"",IF(OR(L43="",L38=""),"",IF(L38=0,"",(L43/L38)-1)))</f>
        <v/>
      </c>
      <c r="V43" s="24">
        <f>IF(ROW()&lt;7,"",IF(OR(N43="",N40=""),"",IF(N40=0,"",(N43/N40)-1)))</f>
        <v/>
      </c>
      <c r="W43" s="24">
        <f>IF(ROW()&lt;9,"",IF(OR(N43="",N38=""),"",IF(N38=0,"",(N43/N38)-1)))</f>
        <v/>
      </c>
      <c r="X43" s="24">
        <f>IF(OR(F43="",M43=""),"",F43-M43)</f>
        <v/>
      </c>
      <c r="Y43" s="24">
        <f>IF(OR(P43="",T43=""),"",P43-T43)</f>
        <v/>
      </c>
      <c r="Z43" s="24">
        <f>IF(OR(Q43="",U43=""),"",Q43-U43)</f>
        <v/>
      </c>
      <c r="AA43" s="24">
        <f>IF(OR(H43="",O43=""),"",H43-O43)</f>
        <v/>
      </c>
      <c r="AB43" s="24">
        <f>IF(OR(R43="",V43=""),"",R43-V43)</f>
        <v/>
      </c>
      <c r="AC43" s="24">
        <f>IF(OR(S43="",W43=""),"",S43-W43)</f>
        <v/>
      </c>
      <c r="AD43" s="13" t="n"/>
      <c r="AE43" s="24">
        <f>IF(OR(AD43="",AD42=""),"",IF(AD42=0,"",(AD43/AD42)-1))</f>
        <v/>
      </c>
      <c r="AF43" s="24">
        <f>IF(ROW()&lt;7,"",IF(OR(AD43="",AD40=""),"",IF(AD40=0,"",(AD43/AD40)-1)))</f>
        <v/>
      </c>
      <c r="AG43" s="24">
        <f>IF(ROW()&lt;9,"",IF(OR(AD43="",AD38=""),"",IF(AD38=0,"",(AD43/AD38)-1)))</f>
        <v/>
      </c>
      <c r="AH43" s="13">
        <f>IF(ROW()&lt;23,"",AVERAGE(AD24:AD43))</f>
        <v/>
      </c>
      <c r="AI43">
        <f>IF(OR(AD43="",AH43=""),"",IF(AD43&gt;AH43,"Bull","Bear"))</f>
        <v/>
      </c>
      <c r="AJ43" s="13" t="n"/>
      <c r="AK43" s="24">
        <f>IF(OR(AJ43="",AJ42=""),"",IF(AJ42=0,"",(AJ43/AJ42)-1))</f>
        <v/>
      </c>
      <c r="AL43" s="24">
        <f>IF(ROW()&lt;7,"",IF(OR(AJ43="",AJ40=""),"",IF(AJ40=0,"",(AJ43/AJ40)-1)))</f>
        <v/>
      </c>
      <c r="AM43" s="24">
        <f>IF(ROW()&lt;9,"",IF(OR(AJ43="",AJ38=""),"",IF(AJ38=0,"",(AJ43/AJ38)-1)))</f>
        <v/>
      </c>
      <c r="AN43" s="13">
        <f>IF(ROW()&lt;23,"",AVERAGE(AJ24:AJ43))</f>
        <v/>
      </c>
      <c r="AO43">
        <f>IF(OR(AJ43="",AN43=""),"",IF(AJ43&gt;AN43,"Bull","Bear"))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8">
        <f>IFERROR((M44/M43)-1,"")</f>
        <v/>
      </c>
      <c r="O44" s="24">
        <f>IF(OR(N44="",N43=""),"",IF(N43=0,"",(N44/N43)-1))</f>
        <v/>
      </c>
      <c r="P44" s="11">
        <f>IF(ROW()&lt;7,"",IF(OR(E44="",E41=""),"",IF(E41=0,"",(E44/E41)-1)))</f>
        <v/>
      </c>
      <c r="Q44" s="24">
        <f>IF(ROW()&lt;9,"",IF(OR(E44="",E39=""),"",IF(E39=0,"",(E44/E39)-1)))</f>
        <v/>
      </c>
      <c r="R44" s="24">
        <f>IF(ROW()&lt;7,"",IF(OR(G44="",G41=""),"",IF(G41=0,"",(G44/G41)-1)))</f>
        <v/>
      </c>
      <c r="S44" s="24">
        <f>IF(ROW()&lt;9,"",IF(OR(G44="",G39=""),"",IF(G39=0,"",(G44/G39)-1)))</f>
        <v/>
      </c>
      <c r="T44" s="24">
        <f>IF(ROW()&lt;7,"",IF(OR(L44="",L41=""),"",IF(L41=0,"",(L44/L41)-1)))</f>
        <v/>
      </c>
      <c r="U44" s="24">
        <f>IF(ROW()&lt;9,"",IF(OR(L44="",L39=""),"",IF(L39=0,"",(L44/L39)-1)))</f>
        <v/>
      </c>
      <c r="V44" s="24">
        <f>IF(ROW()&lt;7,"",IF(OR(N44="",N41=""),"",IF(N41=0,"",(N44/N41)-1)))</f>
        <v/>
      </c>
      <c r="W44" s="24">
        <f>IF(ROW()&lt;9,"",IF(OR(N44="",N39=""),"",IF(N39=0,"",(N44/N39)-1)))</f>
        <v/>
      </c>
      <c r="X44" s="24">
        <f>IF(OR(F44="",M44=""),"",F44-M44)</f>
        <v/>
      </c>
      <c r="Y44" s="24">
        <f>IF(OR(P44="",T44=""),"",P44-T44)</f>
        <v/>
      </c>
      <c r="Z44" s="24">
        <f>IF(OR(Q44="",U44=""),"",Q44-U44)</f>
        <v/>
      </c>
      <c r="AA44" s="24">
        <f>IF(OR(H44="",O44=""),"",H44-O44)</f>
        <v/>
      </c>
      <c r="AB44" s="24">
        <f>IF(OR(R44="",V44=""),"",R44-V44)</f>
        <v/>
      </c>
      <c r="AC44" s="24">
        <f>IF(OR(S44="",W44=""),"",S44-W44)</f>
        <v/>
      </c>
      <c r="AD44" s="13" t="n"/>
      <c r="AE44" s="24">
        <f>IF(OR(AD44="",AD43=""),"",IF(AD43=0,"",(AD44/AD43)-1))</f>
        <v/>
      </c>
      <c r="AF44" s="24">
        <f>IF(ROW()&lt;7,"",IF(OR(AD44="",AD41=""),"",IF(AD41=0,"",(AD44/AD41)-1)))</f>
        <v/>
      </c>
      <c r="AG44" s="24">
        <f>IF(ROW()&lt;9,"",IF(OR(AD44="",AD39=""),"",IF(AD39=0,"",(AD44/AD39)-1)))</f>
        <v/>
      </c>
      <c r="AH44" s="13">
        <f>IF(ROW()&lt;23,"",AVERAGE(AD25:AD44))</f>
        <v/>
      </c>
      <c r="AI44">
        <f>IF(OR(AD44="",AH44=""),"",IF(AD44&gt;AH44,"Bull","Bear"))</f>
        <v/>
      </c>
      <c r="AJ44" s="13" t="n"/>
      <c r="AK44" s="24">
        <f>IF(OR(AJ44="",AJ43=""),"",IF(AJ43=0,"",(AJ44/AJ43)-1))</f>
        <v/>
      </c>
      <c r="AL44" s="24">
        <f>IF(ROW()&lt;7,"",IF(OR(AJ44="",AJ41=""),"",IF(AJ41=0,"",(AJ44/AJ41)-1)))</f>
        <v/>
      </c>
      <c r="AM44" s="24">
        <f>IF(ROW()&lt;9,"",IF(OR(AJ44="",AJ39=""),"",IF(AJ39=0,"",(AJ44/AJ39)-1)))</f>
        <v/>
      </c>
      <c r="AN44" s="13">
        <f>IF(ROW()&lt;23,"",AVERAGE(AJ25:AJ44))</f>
        <v/>
      </c>
      <c r="AO44">
        <f>IF(OR(AJ44="",AN44=""),"",IF(AJ44&gt;AN44,"Bull","Bear"))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8">
        <f>IFERROR((M45/M44)-1,"")</f>
        <v/>
      </c>
      <c r="O45" s="24">
        <f>IF(OR(N45="",N44=""),"",IF(N44=0,"",(N45/N44)-1))</f>
        <v/>
      </c>
      <c r="P45" s="11">
        <f>IF(ROW()&lt;7,"",IF(OR(E45="",E42=""),"",IF(E42=0,"",(E45/E42)-1)))</f>
        <v/>
      </c>
      <c r="Q45" s="24">
        <f>IF(ROW()&lt;9,"",IF(OR(E45="",E40=""),"",IF(E40=0,"",(E45/E40)-1)))</f>
        <v/>
      </c>
      <c r="R45" s="24">
        <f>IF(ROW()&lt;7,"",IF(OR(G45="",G42=""),"",IF(G42=0,"",(G45/G42)-1)))</f>
        <v/>
      </c>
      <c r="S45" s="24">
        <f>IF(ROW()&lt;9,"",IF(OR(G45="",G40=""),"",IF(G40=0,"",(G45/G40)-1)))</f>
        <v/>
      </c>
      <c r="T45" s="24">
        <f>IF(ROW()&lt;7,"",IF(OR(L45="",L42=""),"",IF(L42=0,"",(L45/L42)-1)))</f>
        <v/>
      </c>
      <c r="U45" s="24">
        <f>IF(ROW()&lt;9,"",IF(OR(L45="",L40=""),"",IF(L40=0,"",(L45/L40)-1)))</f>
        <v/>
      </c>
      <c r="V45" s="24">
        <f>IF(ROW()&lt;7,"",IF(OR(N45="",N42=""),"",IF(N42=0,"",(N45/N42)-1)))</f>
        <v/>
      </c>
      <c r="W45" s="24">
        <f>IF(ROW()&lt;9,"",IF(OR(N45="",N40=""),"",IF(N40=0,"",(N45/N40)-1)))</f>
        <v/>
      </c>
      <c r="X45" s="24">
        <f>IF(OR(F45="",M45=""),"",F45-M45)</f>
        <v/>
      </c>
      <c r="Y45" s="24">
        <f>IF(OR(P45="",T45=""),"",P45-T45)</f>
        <v/>
      </c>
      <c r="Z45" s="24">
        <f>IF(OR(Q45="",U45=""),"",Q45-U45)</f>
        <v/>
      </c>
      <c r="AA45" s="24">
        <f>IF(OR(H45="",O45=""),"",H45-O45)</f>
        <v/>
      </c>
      <c r="AB45" s="24">
        <f>IF(OR(R45="",V45=""),"",R45-V45)</f>
        <v/>
      </c>
      <c r="AC45" s="24">
        <f>IF(OR(S45="",W45=""),"",S45-W45)</f>
        <v/>
      </c>
      <c r="AD45" s="13" t="n"/>
      <c r="AE45" s="24">
        <f>IF(OR(AD45="",AD44=""),"",IF(AD44=0,"",(AD45/AD44)-1))</f>
        <v/>
      </c>
      <c r="AF45" s="24">
        <f>IF(ROW()&lt;7,"",IF(OR(AD45="",AD42=""),"",IF(AD42=0,"",(AD45/AD42)-1)))</f>
        <v/>
      </c>
      <c r="AG45" s="24">
        <f>IF(ROW()&lt;9,"",IF(OR(AD45="",AD40=""),"",IF(AD40=0,"",(AD45/AD40)-1)))</f>
        <v/>
      </c>
      <c r="AH45" s="13">
        <f>IF(ROW()&lt;23,"",AVERAGE(AD26:AD45))</f>
        <v/>
      </c>
      <c r="AI45">
        <f>IF(OR(AD45="",AH45=""),"",IF(AD45&gt;AH45,"Bull","Bear"))</f>
        <v/>
      </c>
      <c r="AJ45" s="13" t="n"/>
      <c r="AK45" s="24">
        <f>IF(OR(AJ45="",AJ44=""),"",IF(AJ44=0,"",(AJ45/AJ44)-1))</f>
        <v/>
      </c>
      <c r="AL45" s="24">
        <f>IF(ROW()&lt;7,"",IF(OR(AJ45="",AJ42=""),"",IF(AJ42=0,"",(AJ45/AJ42)-1)))</f>
        <v/>
      </c>
      <c r="AM45" s="24">
        <f>IF(ROW()&lt;9,"",IF(OR(AJ45="",AJ40=""),"",IF(AJ40=0,"",(AJ45/AJ40)-1)))</f>
        <v/>
      </c>
      <c r="AN45" s="13">
        <f>IF(ROW()&lt;23,"",AVERAGE(AJ26:AJ45))</f>
        <v/>
      </c>
      <c r="AO45">
        <f>IF(OR(AJ45="",AN45=""),"",IF(AJ45&gt;AN45,"Bull","Bear"))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8">
        <f>IFERROR((M46/M45)-1,"")</f>
        <v/>
      </c>
      <c r="O46" s="24">
        <f>IF(OR(N46="",N45=""),"",IF(N45=0,"",(N46/N45)-1))</f>
        <v/>
      </c>
      <c r="P46" s="11">
        <f>IF(ROW()&lt;7,"",IF(OR(E46="",E43=""),"",IF(E43=0,"",(E46/E43)-1)))</f>
        <v/>
      </c>
      <c r="Q46" s="24">
        <f>IF(ROW()&lt;9,"",IF(OR(E46="",E41=""),"",IF(E41=0,"",(E46/E41)-1)))</f>
        <v/>
      </c>
      <c r="R46" s="24">
        <f>IF(ROW()&lt;7,"",IF(OR(G46="",G43=""),"",IF(G43=0,"",(G46/G43)-1)))</f>
        <v/>
      </c>
      <c r="S46" s="24">
        <f>IF(ROW()&lt;9,"",IF(OR(G46="",G41=""),"",IF(G41=0,"",(G46/G41)-1)))</f>
        <v/>
      </c>
      <c r="T46" s="24">
        <f>IF(ROW()&lt;7,"",IF(OR(L46="",L43=""),"",IF(L43=0,"",(L46/L43)-1)))</f>
        <v/>
      </c>
      <c r="U46" s="24">
        <f>IF(ROW()&lt;9,"",IF(OR(L46="",L41=""),"",IF(L41=0,"",(L46/L41)-1)))</f>
        <v/>
      </c>
      <c r="V46" s="24">
        <f>IF(ROW()&lt;7,"",IF(OR(N46="",N43=""),"",IF(N43=0,"",(N46/N43)-1)))</f>
        <v/>
      </c>
      <c r="W46" s="24">
        <f>IF(ROW()&lt;9,"",IF(OR(N46="",N41=""),"",IF(N41=0,"",(N46/N41)-1)))</f>
        <v/>
      </c>
      <c r="X46" s="24">
        <f>IF(OR(F46="",M46=""),"",F46-M46)</f>
        <v/>
      </c>
      <c r="Y46" s="24">
        <f>IF(OR(P46="",T46=""),"",P46-T46)</f>
        <v/>
      </c>
      <c r="Z46" s="24">
        <f>IF(OR(Q46="",U46=""),"",Q46-U46)</f>
        <v/>
      </c>
      <c r="AA46" s="24">
        <f>IF(OR(H46="",O46=""),"",H46-O46)</f>
        <v/>
      </c>
      <c r="AB46" s="24">
        <f>IF(OR(R46="",V46=""),"",R46-V46)</f>
        <v/>
      </c>
      <c r="AC46" s="24">
        <f>IF(OR(S46="",W46=""),"",S46-W46)</f>
        <v/>
      </c>
      <c r="AD46" s="13" t="n"/>
      <c r="AE46" s="24">
        <f>IF(OR(AD46="",AD45=""),"",IF(AD45=0,"",(AD46/AD45)-1))</f>
        <v/>
      </c>
      <c r="AF46" s="24">
        <f>IF(ROW()&lt;7,"",IF(OR(AD46="",AD43=""),"",IF(AD43=0,"",(AD46/AD43)-1)))</f>
        <v/>
      </c>
      <c r="AG46" s="24">
        <f>IF(ROW()&lt;9,"",IF(OR(AD46="",AD41=""),"",IF(AD41=0,"",(AD46/AD41)-1)))</f>
        <v/>
      </c>
      <c r="AH46" s="13">
        <f>IF(ROW()&lt;23,"",AVERAGE(AD27:AD46))</f>
        <v/>
      </c>
      <c r="AI46">
        <f>IF(OR(AD46="",AH46=""),"",IF(AD46&gt;AH46,"Bull","Bear"))</f>
        <v/>
      </c>
      <c r="AJ46" s="13" t="n"/>
      <c r="AK46" s="24">
        <f>IF(OR(AJ46="",AJ45=""),"",IF(AJ45=0,"",(AJ46/AJ45)-1))</f>
        <v/>
      </c>
      <c r="AL46" s="24">
        <f>IF(ROW()&lt;7,"",IF(OR(AJ46="",AJ43=""),"",IF(AJ43=0,"",(AJ46/AJ43)-1)))</f>
        <v/>
      </c>
      <c r="AM46" s="24">
        <f>IF(ROW()&lt;9,"",IF(OR(AJ46="",AJ41=""),"",IF(AJ41=0,"",(AJ46/AJ41)-1)))</f>
        <v/>
      </c>
      <c r="AN46" s="13">
        <f>IF(ROW()&lt;23,"",AVERAGE(AJ27:AJ46))</f>
        <v/>
      </c>
      <c r="AO46">
        <f>IF(OR(AJ46="",AN46=""),"",IF(AJ46&gt;AN46,"Bull","Bear"))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8">
        <f>IFERROR((M47/M46)-1,"")</f>
        <v/>
      </c>
      <c r="O47" s="24">
        <f>IF(OR(N47="",N46=""),"",IF(N46=0,"",(N47/N46)-1))</f>
        <v/>
      </c>
      <c r="P47" s="11">
        <f>IF(ROW()&lt;7,"",IF(OR(E47="",E44=""),"",IF(E44=0,"",(E47/E44)-1)))</f>
        <v/>
      </c>
      <c r="Q47" s="24">
        <f>IF(ROW()&lt;9,"",IF(OR(E47="",E42=""),"",IF(E42=0,"",(E47/E42)-1)))</f>
        <v/>
      </c>
      <c r="R47" s="24">
        <f>IF(ROW()&lt;7,"",IF(OR(G47="",G44=""),"",IF(G44=0,"",(G47/G44)-1)))</f>
        <v/>
      </c>
      <c r="S47" s="24">
        <f>IF(ROW()&lt;9,"",IF(OR(G47="",G42=""),"",IF(G42=0,"",(G47/G42)-1)))</f>
        <v/>
      </c>
      <c r="T47" s="24">
        <f>IF(ROW()&lt;7,"",IF(OR(L47="",L44=""),"",IF(L44=0,"",(L47/L44)-1)))</f>
        <v/>
      </c>
      <c r="U47" s="24">
        <f>IF(ROW()&lt;9,"",IF(OR(L47="",L42=""),"",IF(L42=0,"",(L47/L42)-1)))</f>
        <v/>
      </c>
      <c r="V47" s="24">
        <f>IF(ROW()&lt;7,"",IF(OR(N47="",N44=""),"",IF(N44=0,"",(N47/N44)-1)))</f>
        <v/>
      </c>
      <c r="W47" s="24">
        <f>IF(ROW()&lt;9,"",IF(OR(N47="",N42=""),"",IF(N42=0,"",(N47/N42)-1)))</f>
        <v/>
      </c>
      <c r="X47" s="24">
        <f>IF(OR(F47="",M47=""),"",F47-M47)</f>
        <v/>
      </c>
      <c r="Y47" s="24">
        <f>IF(OR(P47="",T47=""),"",P47-T47)</f>
        <v/>
      </c>
      <c r="Z47" s="24">
        <f>IF(OR(Q47="",U47=""),"",Q47-U47)</f>
        <v/>
      </c>
      <c r="AA47" s="24">
        <f>IF(OR(H47="",O47=""),"",H47-O47)</f>
        <v/>
      </c>
      <c r="AB47" s="24">
        <f>IF(OR(R47="",V47=""),"",R47-V47)</f>
        <v/>
      </c>
      <c r="AC47" s="24">
        <f>IF(OR(S47="",W47=""),"",S47-W47)</f>
        <v/>
      </c>
      <c r="AD47" s="13" t="n"/>
      <c r="AE47" s="24">
        <f>IF(OR(AD47="",AD46=""),"",IF(AD46=0,"",(AD47/AD46)-1))</f>
        <v/>
      </c>
      <c r="AF47" s="24">
        <f>IF(ROW()&lt;7,"",IF(OR(AD47="",AD44=""),"",IF(AD44=0,"",(AD47/AD44)-1)))</f>
        <v/>
      </c>
      <c r="AG47" s="24">
        <f>IF(ROW()&lt;9,"",IF(OR(AD47="",AD42=""),"",IF(AD42=0,"",(AD47/AD42)-1)))</f>
        <v/>
      </c>
      <c r="AH47" s="13">
        <f>IF(ROW()&lt;23,"",AVERAGE(AD28:AD47))</f>
        <v/>
      </c>
      <c r="AI47">
        <f>IF(OR(AD47="",AH47=""),"",IF(AD47&gt;AH47,"Bull","Bear"))</f>
        <v/>
      </c>
      <c r="AJ47" s="13" t="n"/>
      <c r="AK47" s="24">
        <f>IF(OR(AJ47="",AJ46=""),"",IF(AJ46=0,"",(AJ47/AJ46)-1))</f>
        <v/>
      </c>
      <c r="AL47" s="24">
        <f>IF(ROW()&lt;7,"",IF(OR(AJ47="",AJ44=""),"",IF(AJ44=0,"",(AJ47/AJ44)-1)))</f>
        <v/>
      </c>
      <c r="AM47" s="24">
        <f>IF(ROW()&lt;9,"",IF(OR(AJ47="",AJ42=""),"",IF(AJ42=0,"",(AJ47/AJ42)-1)))</f>
        <v/>
      </c>
      <c r="AN47" s="13">
        <f>IF(ROW()&lt;23,"",AVERAGE(AJ28:AJ47))</f>
        <v/>
      </c>
      <c r="AO47">
        <f>IF(OR(AJ47="",AN47=""),"",IF(AJ47&gt;AN47,"Bull","Bear"))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8">
        <f>IFERROR((M48/M47)-1,"")</f>
        <v/>
      </c>
      <c r="O48" s="24">
        <f>IF(OR(N48="",N47=""),"",IF(N47=0,"",(N48/N47)-1))</f>
        <v/>
      </c>
      <c r="P48" s="11">
        <f>IF(ROW()&lt;7,"",IF(OR(E48="",E45=""),"",IF(E45=0,"",(E48/E45)-1)))</f>
        <v/>
      </c>
      <c r="Q48" s="24">
        <f>IF(ROW()&lt;9,"",IF(OR(E48="",E43=""),"",IF(E43=0,"",(E48/E43)-1)))</f>
        <v/>
      </c>
      <c r="R48" s="24">
        <f>IF(ROW()&lt;7,"",IF(OR(G48="",G45=""),"",IF(G45=0,"",(G48/G45)-1)))</f>
        <v/>
      </c>
      <c r="S48" s="24">
        <f>IF(ROW()&lt;9,"",IF(OR(G48="",G43=""),"",IF(G43=0,"",(G48/G43)-1)))</f>
        <v/>
      </c>
      <c r="T48" s="24">
        <f>IF(ROW()&lt;7,"",IF(OR(L48="",L45=""),"",IF(L45=0,"",(L48/L45)-1)))</f>
        <v/>
      </c>
      <c r="U48" s="24">
        <f>IF(ROW()&lt;9,"",IF(OR(L48="",L43=""),"",IF(L43=0,"",(L48/L43)-1)))</f>
        <v/>
      </c>
      <c r="V48" s="24">
        <f>IF(ROW()&lt;7,"",IF(OR(N48="",N45=""),"",IF(N45=0,"",(N48/N45)-1)))</f>
        <v/>
      </c>
      <c r="W48" s="24">
        <f>IF(ROW()&lt;9,"",IF(OR(N48="",N43=""),"",IF(N43=0,"",(N48/N43)-1)))</f>
        <v/>
      </c>
      <c r="X48" s="24">
        <f>IF(OR(F48="",M48=""),"",F48-M48)</f>
        <v/>
      </c>
      <c r="Y48" s="24">
        <f>IF(OR(P48="",T48=""),"",P48-T48)</f>
        <v/>
      </c>
      <c r="Z48" s="24">
        <f>IF(OR(Q48="",U48=""),"",Q48-U48)</f>
        <v/>
      </c>
      <c r="AA48" s="24">
        <f>IF(OR(H48="",O48=""),"",H48-O48)</f>
        <v/>
      </c>
      <c r="AB48" s="24">
        <f>IF(OR(R48="",V48=""),"",R48-V48)</f>
        <v/>
      </c>
      <c r="AC48" s="24">
        <f>IF(OR(S48="",W48=""),"",S48-W48)</f>
        <v/>
      </c>
      <c r="AD48" s="13" t="n"/>
      <c r="AE48" s="24">
        <f>IF(OR(AD48="",AD47=""),"",IF(AD47=0,"",(AD48/AD47)-1))</f>
        <v/>
      </c>
      <c r="AF48" s="24">
        <f>IF(ROW()&lt;7,"",IF(OR(AD48="",AD45=""),"",IF(AD45=0,"",(AD48/AD45)-1)))</f>
        <v/>
      </c>
      <c r="AG48" s="24">
        <f>IF(ROW()&lt;9,"",IF(OR(AD48="",AD43=""),"",IF(AD43=0,"",(AD48/AD43)-1)))</f>
        <v/>
      </c>
      <c r="AH48" s="13">
        <f>IF(ROW()&lt;23,"",AVERAGE(AD29:AD48))</f>
        <v/>
      </c>
      <c r="AI48">
        <f>IF(OR(AD48="",AH48=""),"",IF(AD48&gt;AH48,"Bull","Bear"))</f>
        <v/>
      </c>
      <c r="AJ48" s="13" t="n"/>
      <c r="AK48" s="24">
        <f>IF(OR(AJ48="",AJ47=""),"",IF(AJ47=0,"",(AJ48/AJ47)-1))</f>
        <v/>
      </c>
      <c r="AL48" s="24">
        <f>IF(ROW()&lt;7,"",IF(OR(AJ48="",AJ45=""),"",IF(AJ45=0,"",(AJ48/AJ45)-1)))</f>
        <v/>
      </c>
      <c r="AM48" s="24">
        <f>IF(ROW()&lt;9,"",IF(OR(AJ48="",AJ43=""),"",IF(AJ43=0,"",(AJ48/AJ43)-1)))</f>
        <v/>
      </c>
      <c r="AN48" s="13">
        <f>IF(ROW()&lt;23,"",AVERAGE(AJ29:AJ48))</f>
        <v/>
      </c>
      <c r="AO48">
        <f>IF(OR(AJ48="",AN48=""),"",IF(AJ48&gt;AN48,"Bull","Bear"))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8">
        <f>IFERROR((M49/M48)-1,"")</f>
        <v/>
      </c>
      <c r="O49" s="24">
        <f>IF(OR(N49="",N48=""),"",IF(N48=0,"",(N49/N48)-1))</f>
        <v/>
      </c>
      <c r="P49" s="11">
        <f>IF(ROW()&lt;7,"",IF(OR(E49="",E46=""),"",IF(E46=0,"",(E49/E46)-1)))</f>
        <v/>
      </c>
      <c r="Q49" s="24">
        <f>IF(ROW()&lt;9,"",IF(OR(E49="",E44=""),"",IF(E44=0,"",(E49/E44)-1)))</f>
        <v/>
      </c>
      <c r="R49" s="24">
        <f>IF(ROW()&lt;7,"",IF(OR(G49="",G46=""),"",IF(G46=0,"",(G49/G46)-1)))</f>
        <v/>
      </c>
      <c r="S49" s="24">
        <f>IF(ROW()&lt;9,"",IF(OR(G49="",G44=""),"",IF(G44=0,"",(G49/G44)-1)))</f>
        <v/>
      </c>
      <c r="T49" s="24">
        <f>IF(ROW()&lt;7,"",IF(OR(L49="",L46=""),"",IF(L46=0,"",(L49/L46)-1)))</f>
        <v/>
      </c>
      <c r="U49" s="24">
        <f>IF(ROW()&lt;9,"",IF(OR(L49="",L44=""),"",IF(L44=0,"",(L49/L44)-1)))</f>
        <v/>
      </c>
      <c r="V49" s="24">
        <f>IF(ROW()&lt;7,"",IF(OR(N49="",N46=""),"",IF(N46=0,"",(N49/N46)-1)))</f>
        <v/>
      </c>
      <c r="W49" s="24">
        <f>IF(ROW()&lt;9,"",IF(OR(N49="",N44=""),"",IF(N44=0,"",(N49/N44)-1)))</f>
        <v/>
      </c>
      <c r="X49" s="24">
        <f>IF(OR(F49="",M49=""),"",F49-M49)</f>
        <v/>
      </c>
      <c r="Y49" s="24">
        <f>IF(OR(P49="",T49=""),"",P49-T49)</f>
        <v/>
      </c>
      <c r="Z49" s="24">
        <f>IF(OR(Q49="",U49=""),"",Q49-U49)</f>
        <v/>
      </c>
      <c r="AA49" s="24">
        <f>IF(OR(H49="",O49=""),"",H49-O49)</f>
        <v/>
      </c>
      <c r="AB49" s="24">
        <f>IF(OR(R49="",V49=""),"",R49-V49)</f>
        <v/>
      </c>
      <c r="AC49" s="24">
        <f>IF(OR(S49="",W49=""),"",S49-W49)</f>
        <v/>
      </c>
      <c r="AD49" s="13" t="n"/>
      <c r="AE49" s="24">
        <f>IF(OR(AD49="",AD48=""),"",IF(AD48=0,"",(AD49/AD48)-1))</f>
        <v/>
      </c>
      <c r="AF49" s="24">
        <f>IF(ROW()&lt;7,"",IF(OR(AD49="",AD46=""),"",IF(AD46=0,"",(AD49/AD46)-1)))</f>
        <v/>
      </c>
      <c r="AG49" s="24">
        <f>IF(ROW()&lt;9,"",IF(OR(AD49="",AD44=""),"",IF(AD44=0,"",(AD49/AD44)-1)))</f>
        <v/>
      </c>
      <c r="AH49" s="13">
        <f>IF(ROW()&lt;23,"",AVERAGE(AD30:AD49))</f>
        <v/>
      </c>
      <c r="AI49">
        <f>IF(OR(AD49="",AH49=""),"",IF(AD49&gt;AH49,"Bull","Bear"))</f>
        <v/>
      </c>
      <c r="AJ49" s="13" t="n"/>
      <c r="AK49" s="24">
        <f>IF(OR(AJ49="",AJ48=""),"",IF(AJ48=0,"",(AJ49/AJ48)-1))</f>
        <v/>
      </c>
      <c r="AL49" s="24">
        <f>IF(ROW()&lt;7,"",IF(OR(AJ49="",AJ46=""),"",IF(AJ46=0,"",(AJ49/AJ46)-1)))</f>
        <v/>
      </c>
      <c r="AM49" s="24">
        <f>IF(ROW()&lt;9,"",IF(OR(AJ49="",AJ44=""),"",IF(AJ44=0,"",(AJ49/AJ44)-1)))</f>
        <v/>
      </c>
      <c r="AN49" s="13">
        <f>IF(ROW()&lt;23,"",AVERAGE(AJ30:AJ49))</f>
        <v/>
      </c>
      <c r="AO49">
        <f>IF(OR(AJ49="",AN49=""),"",IF(AJ49&gt;AN49,"Bull","Bear"))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8">
        <f>IFERROR((M50/M49)-1,"")</f>
        <v/>
      </c>
      <c r="O50" s="24">
        <f>IF(OR(N50="",N49=""),"",IF(N49=0,"",(N50/N49)-1))</f>
        <v/>
      </c>
      <c r="P50" s="11">
        <f>IF(ROW()&lt;7,"",IF(OR(E50="",E47=""),"",IF(E47=0,"",(E50/E47)-1)))</f>
        <v/>
      </c>
      <c r="Q50" s="24">
        <f>IF(ROW()&lt;9,"",IF(OR(E50="",E45=""),"",IF(E45=0,"",(E50/E45)-1)))</f>
        <v/>
      </c>
      <c r="R50" s="24">
        <f>IF(ROW()&lt;7,"",IF(OR(G50="",G47=""),"",IF(G47=0,"",(G50/G47)-1)))</f>
        <v/>
      </c>
      <c r="S50" s="24">
        <f>IF(ROW()&lt;9,"",IF(OR(G50="",G45=""),"",IF(G45=0,"",(G50/G45)-1)))</f>
        <v/>
      </c>
      <c r="T50" s="24">
        <f>IF(ROW()&lt;7,"",IF(OR(L50="",L47=""),"",IF(L47=0,"",(L50/L47)-1)))</f>
        <v/>
      </c>
      <c r="U50" s="24">
        <f>IF(ROW()&lt;9,"",IF(OR(L50="",L45=""),"",IF(L45=0,"",(L50/L45)-1)))</f>
        <v/>
      </c>
      <c r="V50" s="24">
        <f>IF(ROW()&lt;7,"",IF(OR(N50="",N47=""),"",IF(N47=0,"",(N50/N47)-1)))</f>
        <v/>
      </c>
      <c r="W50" s="24">
        <f>IF(ROW()&lt;9,"",IF(OR(N50="",N45=""),"",IF(N45=0,"",(N50/N45)-1)))</f>
        <v/>
      </c>
      <c r="X50" s="24">
        <f>IF(OR(F50="",M50=""),"",F50-M50)</f>
        <v/>
      </c>
      <c r="Y50" s="24">
        <f>IF(OR(P50="",T50=""),"",P50-T50)</f>
        <v/>
      </c>
      <c r="Z50" s="24">
        <f>IF(OR(Q50="",U50=""),"",Q50-U50)</f>
        <v/>
      </c>
      <c r="AA50" s="24">
        <f>IF(OR(H50="",O50=""),"",H50-O50)</f>
        <v/>
      </c>
      <c r="AB50" s="24">
        <f>IF(OR(R50="",V50=""),"",R50-V50)</f>
        <v/>
      </c>
      <c r="AC50" s="24">
        <f>IF(OR(S50="",W50=""),"",S50-W50)</f>
        <v/>
      </c>
      <c r="AD50" s="13" t="n"/>
      <c r="AE50" s="24">
        <f>IF(OR(AD50="",AD49=""),"",IF(AD49=0,"",(AD50/AD49)-1))</f>
        <v/>
      </c>
      <c r="AF50" s="24">
        <f>IF(ROW()&lt;7,"",IF(OR(AD50="",AD47=""),"",IF(AD47=0,"",(AD50/AD47)-1)))</f>
        <v/>
      </c>
      <c r="AG50" s="24">
        <f>IF(ROW()&lt;9,"",IF(OR(AD50="",AD45=""),"",IF(AD45=0,"",(AD50/AD45)-1)))</f>
        <v/>
      </c>
      <c r="AH50" s="13">
        <f>IF(ROW()&lt;23,"",AVERAGE(AD31:AD50))</f>
        <v/>
      </c>
      <c r="AI50">
        <f>IF(OR(AD50="",AH50=""),"",IF(AD50&gt;AH50,"Bull","Bear"))</f>
        <v/>
      </c>
      <c r="AJ50" s="13" t="n"/>
      <c r="AK50" s="24">
        <f>IF(OR(AJ50="",AJ49=""),"",IF(AJ49=0,"",(AJ50/AJ49)-1))</f>
        <v/>
      </c>
      <c r="AL50" s="24">
        <f>IF(ROW()&lt;7,"",IF(OR(AJ50="",AJ47=""),"",IF(AJ47=0,"",(AJ50/AJ47)-1)))</f>
        <v/>
      </c>
      <c r="AM50" s="24">
        <f>IF(ROW()&lt;9,"",IF(OR(AJ50="",AJ45=""),"",IF(AJ45=0,"",(AJ50/AJ45)-1)))</f>
        <v/>
      </c>
      <c r="AN50" s="13">
        <f>IF(ROW()&lt;23,"",AVERAGE(AJ31:AJ50))</f>
        <v/>
      </c>
      <c r="AO50">
        <f>IF(OR(AJ50="",AN50=""),"",IF(AJ50&gt;AN50,"Bull","Bear"))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8">
        <f>IFERROR((M51/M50)-1,"")</f>
        <v/>
      </c>
      <c r="O51" s="24">
        <f>IF(OR(N51="",N50=""),"",IF(N50=0,"",(N51/N50)-1))</f>
        <v/>
      </c>
      <c r="P51" s="11">
        <f>IF(ROW()&lt;7,"",IF(OR(E51="",E48=""),"",IF(E48=0,"",(E51/E48)-1)))</f>
        <v/>
      </c>
      <c r="Q51" s="24">
        <f>IF(ROW()&lt;9,"",IF(OR(E51="",E46=""),"",IF(E46=0,"",(E51/E46)-1)))</f>
        <v/>
      </c>
      <c r="R51" s="24">
        <f>IF(ROW()&lt;7,"",IF(OR(G51="",G48=""),"",IF(G48=0,"",(G51/G48)-1)))</f>
        <v/>
      </c>
      <c r="S51" s="24">
        <f>IF(ROW()&lt;9,"",IF(OR(G51="",G46=""),"",IF(G46=0,"",(G51/G46)-1)))</f>
        <v/>
      </c>
      <c r="T51" s="24">
        <f>IF(ROW()&lt;7,"",IF(OR(L51="",L48=""),"",IF(L48=0,"",(L51/L48)-1)))</f>
        <v/>
      </c>
      <c r="U51" s="24">
        <f>IF(ROW()&lt;9,"",IF(OR(L51="",L46=""),"",IF(L46=0,"",(L51/L46)-1)))</f>
        <v/>
      </c>
      <c r="V51" s="24">
        <f>IF(ROW()&lt;7,"",IF(OR(N51="",N48=""),"",IF(N48=0,"",(N51/N48)-1)))</f>
        <v/>
      </c>
      <c r="W51" s="24">
        <f>IF(ROW()&lt;9,"",IF(OR(N51="",N46=""),"",IF(N46=0,"",(N51/N46)-1)))</f>
        <v/>
      </c>
      <c r="X51" s="24">
        <f>IF(OR(F51="",M51=""),"",F51-M51)</f>
        <v/>
      </c>
      <c r="Y51" s="24">
        <f>IF(OR(P51="",T51=""),"",P51-T51)</f>
        <v/>
      </c>
      <c r="Z51" s="24">
        <f>IF(OR(Q51="",U51=""),"",Q51-U51)</f>
        <v/>
      </c>
      <c r="AA51" s="24">
        <f>IF(OR(H51="",O51=""),"",H51-O51)</f>
        <v/>
      </c>
      <c r="AB51" s="24">
        <f>IF(OR(R51="",V51=""),"",R51-V51)</f>
        <v/>
      </c>
      <c r="AC51" s="24">
        <f>IF(OR(S51="",W51=""),"",S51-W51)</f>
        <v/>
      </c>
      <c r="AD51" s="13" t="n"/>
      <c r="AE51" s="24">
        <f>IF(OR(AD51="",AD50=""),"",IF(AD50=0,"",(AD51/AD50)-1))</f>
        <v/>
      </c>
      <c r="AF51" s="24">
        <f>IF(ROW()&lt;7,"",IF(OR(AD51="",AD48=""),"",IF(AD48=0,"",(AD51/AD48)-1)))</f>
        <v/>
      </c>
      <c r="AG51" s="24">
        <f>IF(ROW()&lt;9,"",IF(OR(AD51="",AD46=""),"",IF(AD46=0,"",(AD51/AD46)-1)))</f>
        <v/>
      </c>
      <c r="AH51" s="13">
        <f>IF(ROW()&lt;23,"",AVERAGE(AD32:AD51))</f>
        <v/>
      </c>
      <c r="AI51">
        <f>IF(OR(AD51="",AH51=""),"",IF(AD51&gt;AH51,"Bull","Bear"))</f>
        <v/>
      </c>
      <c r="AJ51" s="13" t="n"/>
      <c r="AK51" s="24">
        <f>IF(OR(AJ51="",AJ50=""),"",IF(AJ50=0,"",(AJ51/AJ50)-1))</f>
        <v/>
      </c>
      <c r="AL51" s="24">
        <f>IF(ROW()&lt;7,"",IF(OR(AJ51="",AJ48=""),"",IF(AJ48=0,"",(AJ51/AJ48)-1)))</f>
        <v/>
      </c>
      <c r="AM51" s="24">
        <f>IF(ROW()&lt;9,"",IF(OR(AJ51="",AJ46=""),"",IF(AJ46=0,"",(AJ51/AJ46)-1)))</f>
        <v/>
      </c>
      <c r="AN51" s="13">
        <f>IF(ROW()&lt;23,"",AVERAGE(AJ32:AJ51))</f>
        <v/>
      </c>
      <c r="AO51">
        <f>IF(OR(AJ51="",AN51=""),"",IF(AJ51&gt;AN51,"Bull","Bear"))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8">
        <f>IFERROR((M52/M51)-1,"")</f>
        <v/>
      </c>
      <c r="O52" s="24">
        <f>IF(OR(N52="",N51=""),"",IF(N51=0,"",(N52/N51)-1))</f>
        <v/>
      </c>
      <c r="P52" s="11">
        <f>IF(ROW()&lt;7,"",IF(OR(E52="",E49=""),"",IF(E49=0,"",(E52/E49)-1)))</f>
        <v/>
      </c>
      <c r="Q52" s="24">
        <f>IF(ROW()&lt;9,"",IF(OR(E52="",E47=""),"",IF(E47=0,"",(E52/E47)-1)))</f>
        <v/>
      </c>
      <c r="R52" s="24">
        <f>IF(ROW()&lt;7,"",IF(OR(G52="",G49=""),"",IF(G49=0,"",(G52/G49)-1)))</f>
        <v/>
      </c>
      <c r="S52" s="24">
        <f>IF(ROW()&lt;9,"",IF(OR(G52="",G47=""),"",IF(G47=0,"",(G52/G47)-1)))</f>
        <v/>
      </c>
      <c r="T52" s="24">
        <f>IF(ROW()&lt;7,"",IF(OR(L52="",L49=""),"",IF(L49=0,"",(L52/L49)-1)))</f>
        <v/>
      </c>
      <c r="U52" s="24">
        <f>IF(ROW()&lt;9,"",IF(OR(L52="",L47=""),"",IF(L47=0,"",(L52/L47)-1)))</f>
        <v/>
      </c>
      <c r="V52" s="24">
        <f>IF(ROW()&lt;7,"",IF(OR(N52="",N49=""),"",IF(N49=0,"",(N52/N49)-1)))</f>
        <v/>
      </c>
      <c r="W52" s="24">
        <f>IF(ROW()&lt;9,"",IF(OR(N52="",N47=""),"",IF(N47=0,"",(N52/N47)-1)))</f>
        <v/>
      </c>
      <c r="X52" s="24">
        <f>IF(OR(F52="",M52=""),"",F52-M52)</f>
        <v/>
      </c>
      <c r="Y52" s="24">
        <f>IF(OR(P52="",T52=""),"",P52-T52)</f>
        <v/>
      </c>
      <c r="Z52" s="24">
        <f>IF(OR(Q52="",U52=""),"",Q52-U52)</f>
        <v/>
      </c>
      <c r="AA52" s="24">
        <f>IF(OR(H52="",O52=""),"",H52-O52)</f>
        <v/>
      </c>
      <c r="AB52" s="24">
        <f>IF(OR(R52="",V52=""),"",R52-V52)</f>
        <v/>
      </c>
      <c r="AC52" s="24">
        <f>IF(OR(S52="",W52=""),"",S52-W52)</f>
        <v/>
      </c>
      <c r="AD52" s="13" t="n"/>
      <c r="AE52" s="24">
        <f>IF(OR(AD52="",AD51=""),"",IF(AD51=0,"",(AD52/AD51)-1))</f>
        <v/>
      </c>
      <c r="AF52" s="24">
        <f>IF(ROW()&lt;7,"",IF(OR(AD52="",AD49=""),"",IF(AD49=0,"",(AD52/AD49)-1)))</f>
        <v/>
      </c>
      <c r="AG52" s="24">
        <f>IF(ROW()&lt;9,"",IF(OR(AD52="",AD47=""),"",IF(AD47=0,"",(AD52/AD47)-1)))</f>
        <v/>
      </c>
      <c r="AH52" s="13">
        <f>IF(ROW()&lt;23,"",AVERAGE(AD33:AD52))</f>
        <v/>
      </c>
      <c r="AI52">
        <f>IF(OR(AD52="",AH52=""),"",IF(AD52&gt;AH52,"Bull","Bear"))</f>
        <v/>
      </c>
      <c r="AJ52" s="13" t="n"/>
      <c r="AK52" s="24">
        <f>IF(OR(AJ52="",AJ51=""),"",IF(AJ51=0,"",(AJ52/AJ51)-1))</f>
        <v/>
      </c>
      <c r="AL52" s="24">
        <f>IF(ROW()&lt;7,"",IF(OR(AJ52="",AJ49=""),"",IF(AJ49=0,"",(AJ52/AJ49)-1)))</f>
        <v/>
      </c>
      <c r="AM52" s="24">
        <f>IF(ROW()&lt;9,"",IF(OR(AJ52="",AJ47=""),"",IF(AJ47=0,"",(AJ52/AJ47)-1)))</f>
        <v/>
      </c>
      <c r="AN52" s="13">
        <f>IF(ROW()&lt;23,"",AVERAGE(AJ33:AJ52))</f>
        <v/>
      </c>
      <c r="AO52">
        <f>IF(OR(AJ52="",AN52=""),"",IF(AJ52&gt;AN52,"Bull","Bear"))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8">
        <f>IFERROR((M53/M52)-1,"")</f>
        <v/>
      </c>
      <c r="O53" s="24">
        <f>IF(OR(N53="",N52=""),"",IF(N52=0,"",(N53/N52)-1))</f>
        <v/>
      </c>
      <c r="P53" s="11">
        <f>IF(ROW()&lt;7,"",IF(OR(E53="",E50=""),"",IF(E50=0,"",(E53/E50)-1)))</f>
        <v/>
      </c>
      <c r="Q53" s="24">
        <f>IF(ROW()&lt;9,"",IF(OR(E53="",E48=""),"",IF(E48=0,"",(E53/E48)-1)))</f>
        <v/>
      </c>
      <c r="R53" s="24">
        <f>IF(ROW()&lt;7,"",IF(OR(G53="",G50=""),"",IF(G50=0,"",(G53/G50)-1)))</f>
        <v/>
      </c>
      <c r="S53" s="24">
        <f>IF(ROW()&lt;9,"",IF(OR(G53="",G48=""),"",IF(G48=0,"",(G53/G48)-1)))</f>
        <v/>
      </c>
      <c r="T53" s="24">
        <f>IF(ROW()&lt;7,"",IF(OR(L53="",L50=""),"",IF(L50=0,"",(L53/L50)-1)))</f>
        <v/>
      </c>
      <c r="U53" s="24">
        <f>IF(ROW()&lt;9,"",IF(OR(L53="",L48=""),"",IF(L48=0,"",(L53/L48)-1)))</f>
        <v/>
      </c>
      <c r="V53" s="24">
        <f>IF(ROW()&lt;7,"",IF(OR(N53="",N50=""),"",IF(N50=0,"",(N53/N50)-1)))</f>
        <v/>
      </c>
      <c r="W53" s="24">
        <f>IF(ROW()&lt;9,"",IF(OR(N53="",N48=""),"",IF(N48=0,"",(N53/N48)-1)))</f>
        <v/>
      </c>
      <c r="X53" s="24">
        <f>IF(OR(F53="",M53=""),"",F53-M53)</f>
        <v/>
      </c>
      <c r="Y53" s="24">
        <f>IF(OR(P53="",T53=""),"",P53-T53)</f>
        <v/>
      </c>
      <c r="Z53" s="24">
        <f>IF(OR(Q53="",U53=""),"",Q53-U53)</f>
        <v/>
      </c>
      <c r="AA53" s="24">
        <f>IF(OR(H53="",O53=""),"",H53-O53)</f>
        <v/>
      </c>
      <c r="AB53" s="24">
        <f>IF(OR(R53="",V53=""),"",R53-V53)</f>
        <v/>
      </c>
      <c r="AC53" s="24">
        <f>IF(OR(S53="",W53=""),"",S53-W53)</f>
        <v/>
      </c>
      <c r="AD53" s="13" t="n"/>
      <c r="AE53" s="24">
        <f>IF(OR(AD53="",AD52=""),"",IF(AD52=0,"",(AD53/AD52)-1))</f>
        <v/>
      </c>
      <c r="AF53" s="24">
        <f>IF(ROW()&lt;7,"",IF(OR(AD53="",AD50=""),"",IF(AD50=0,"",(AD53/AD50)-1)))</f>
        <v/>
      </c>
      <c r="AG53" s="24">
        <f>IF(ROW()&lt;9,"",IF(OR(AD53="",AD48=""),"",IF(AD48=0,"",(AD53/AD48)-1)))</f>
        <v/>
      </c>
      <c r="AH53" s="13">
        <f>IF(ROW()&lt;23,"",AVERAGE(AD34:AD53))</f>
        <v/>
      </c>
      <c r="AI53">
        <f>IF(OR(AD53="",AH53=""),"",IF(AD53&gt;AH53,"Bull","Bear"))</f>
        <v/>
      </c>
      <c r="AJ53" s="13" t="n"/>
      <c r="AK53" s="24">
        <f>IF(OR(AJ53="",AJ52=""),"",IF(AJ52=0,"",(AJ53/AJ52)-1))</f>
        <v/>
      </c>
      <c r="AL53" s="24">
        <f>IF(ROW()&lt;7,"",IF(OR(AJ53="",AJ50=""),"",IF(AJ50=0,"",(AJ53/AJ50)-1)))</f>
        <v/>
      </c>
      <c r="AM53" s="24">
        <f>IF(ROW()&lt;9,"",IF(OR(AJ53="",AJ48=""),"",IF(AJ48=0,"",(AJ53/AJ48)-1)))</f>
        <v/>
      </c>
      <c r="AN53" s="13">
        <f>IF(ROW()&lt;23,"",AVERAGE(AJ34:AJ53))</f>
        <v/>
      </c>
      <c r="AO53">
        <f>IF(OR(AJ53="",AN53=""),"",IF(AJ53&gt;AN53,"Bull","Bear"))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8">
        <f>IFERROR((M54/M53)-1,"")</f>
        <v/>
      </c>
      <c r="O54" s="24">
        <f>IF(OR(N54="",N53=""),"",IF(N53=0,"",(N54/N53)-1))</f>
        <v/>
      </c>
      <c r="P54" s="11">
        <f>IF(ROW()&lt;7,"",IF(OR(E54="",E51=""),"",IF(E51=0,"",(E54/E51)-1)))</f>
        <v/>
      </c>
      <c r="Q54" s="24">
        <f>IF(ROW()&lt;9,"",IF(OR(E54="",E49=""),"",IF(E49=0,"",(E54/E49)-1)))</f>
        <v/>
      </c>
      <c r="R54" s="24">
        <f>IF(ROW()&lt;7,"",IF(OR(G54="",G51=""),"",IF(G51=0,"",(G54/G51)-1)))</f>
        <v/>
      </c>
      <c r="S54" s="24">
        <f>IF(ROW()&lt;9,"",IF(OR(G54="",G49=""),"",IF(G49=0,"",(G54/G49)-1)))</f>
        <v/>
      </c>
      <c r="T54" s="24">
        <f>IF(ROW()&lt;7,"",IF(OR(L54="",L51=""),"",IF(L51=0,"",(L54/L51)-1)))</f>
        <v/>
      </c>
      <c r="U54" s="24">
        <f>IF(ROW()&lt;9,"",IF(OR(L54="",L49=""),"",IF(L49=0,"",(L54/L49)-1)))</f>
        <v/>
      </c>
      <c r="V54" s="24">
        <f>IF(ROW()&lt;7,"",IF(OR(N54="",N51=""),"",IF(N51=0,"",(N54/N51)-1)))</f>
        <v/>
      </c>
      <c r="W54" s="24">
        <f>IF(ROW()&lt;9,"",IF(OR(N54="",N49=""),"",IF(N49=0,"",(N54/N49)-1)))</f>
        <v/>
      </c>
      <c r="X54" s="24">
        <f>IF(OR(F54="",M54=""),"",F54-M54)</f>
        <v/>
      </c>
      <c r="Y54" s="24">
        <f>IF(OR(P54="",T54=""),"",P54-T54)</f>
        <v/>
      </c>
      <c r="Z54" s="24">
        <f>IF(OR(Q54="",U54=""),"",Q54-U54)</f>
        <v/>
      </c>
      <c r="AA54" s="24">
        <f>IF(OR(H54="",O54=""),"",H54-O54)</f>
        <v/>
      </c>
      <c r="AB54" s="24">
        <f>IF(OR(R54="",V54=""),"",R54-V54)</f>
        <v/>
      </c>
      <c r="AC54" s="24">
        <f>IF(OR(S54="",W54=""),"",S54-W54)</f>
        <v/>
      </c>
      <c r="AD54" s="13" t="n"/>
      <c r="AE54" s="24">
        <f>IF(OR(AD54="",AD53=""),"",IF(AD53=0,"",(AD54/AD53)-1))</f>
        <v/>
      </c>
      <c r="AF54" s="24">
        <f>IF(ROW()&lt;7,"",IF(OR(AD54="",AD51=""),"",IF(AD51=0,"",(AD54/AD51)-1)))</f>
        <v/>
      </c>
      <c r="AG54" s="24">
        <f>IF(ROW()&lt;9,"",IF(OR(AD54="",AD49=""),"",IF(AD49=0,"",(AD54/AD49)-1)))</f>
        <v/>
      </c>
      <c r="AH54" s="13">
        <f>IF(ROW()&lt;23,"",AVERAGE(AD35:AD54))</f>
        <v/>
      </c>
      <c r="AI54">
        <f>IF(OR(AD54="",AH54=""),"",IF(AD54&gt;AH54,"Bull","Bear"))</f>
        <v/>
      </c>
      <c r="AJ54" s="13" t="n"/>
      <c r="AK54" s="24">
        <f>IF(OR(AJ54="",AJ53=""),"",IF(AJ53=0,"",(AJ54/AJ53)-1))</f>
        <v/>
      </c>
      <c r="AL54" s="24">
        <f>IF(ROW()&lt;7,"",IF(OR(AJ54="",AJ51=""),"",IF(AJ51=0,"",(AJ54/AJ51)-1)))</f>
        <v/>
      </c>
      <c r="AM54" s="24">
        <f>IF(ROW()&lt;9,"",IF(OR(AJ54="",AJ49=""),"",IF(AJ49=0,"",(AJ54/AJ49)-1)))</f>
        <v/>
      </c>
      <c r="AN54" s="13">
        <f>IF(ROW()&lt;23,"",AVERAGE(AJ35:AJ54))</f>
        <v/>
      </c>
      <c r="AO54">
        <f>IF(OR(AJ54="",AN54=""),"",IF(AJ54&gt;AN54,"Bull","Bear"))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8">
        <f>IFERROR((M55/M54)-1,"")</f>
        <v/>
      </c>
      <c r="O55" s="24">
        <f>IF(OR(N55="",N54=""),"",IF(N54=0,"",(N55/N54)-1))</f>
        <v/>
      </c>
      <c r="P55" s="11">
        <f>IF(ROW()&lt;7,"",IF(OR(E55="",E52=""),"",IF(E52=0,"",(E55/E52)-1)))</f>
        <v/>
      </c>
      <c r="Q55" s="24">
        <f>IF(ROW()&lt;9,"",IF(OR(E55="",E50=""),"",IF(E50=0,"",(E55/E50)-1)))</f>
        <v/>
      </c>
      <c r="R55" s="24">
        <f>IF(ROW()&lt;7,"",IF(OR(G55="",G52=""),"",IF(G52=0,"",(G55/G52)-1)))</f>
        <v/>
      </c>
      <c r="S55" s="24">
        <f>IF(ROW()&lt;9,"",IF(OR(G55="",G50=""),"",IF(G50=0,"",(G55/G50)-1)))</f>
        <v/>
      </c>
      <c r="T55" s="24">
        <f>IF(ROW()&lt;7,"",IF(OR(L55="",L52=""),"",IF(L52=0,"",(L55/L52)-1)))</f>
        <v/>
      </c>
      <c r="U55" s="24">
        <f>IF(ROW()&lt;9,"",IF(OR(L55="",L50=""),"",IF(L50=0,"",(L55/L50)-1)))</f>
        <v/>
      </c>
      <c r="V55" s="24">
        <f>IF(ROW()&lt;7,"",IF(OR(N55="",N52=""),"",IF(N52=0,"",(N55/N52)-1)))</f>
        <v/>
      </c>
      <c r="W55" s="24">
        <f>IF(ROW()&lt;9,"",IF(OR(N55="",N50=""),"",IF(N50=0,"",(N55/N50)-1)))</f>
        <v/>
      </c>
      <c r="X55" s="24">
        <f>IF(OR(F55="",M55=""),"",F55-M55)</f>
        <v/>
      </c>
      <c r="Y55" s="24">
        <f>IF(OR(P55="",T55=""),"",P55-T55)</f>
        <v/>
      </c>
      <c r="Z55" s="24">
        <f>IF(OR(Q55="",U55=""),"",Q55-U55)</f>
        <v/>
      </c>
      <c r="AA55" s="24">
        <f>IF(OR(H55="",O55=""),"",H55-O55)</f>
        <v/>
      </c>
      <c r="AB55" s="24">
        <f>IF(OR(R55="",V55=""),"",R55-V55)</f>
        <v/>
      </c>
      <c r="AC55" s="24">
        <f>IF(OR(S55="",W55=""),"",S55-W55)</f>
        <v/>
      </c>
      <c r="AD55" s="13" t="n"/>
      <c r="AE55" s="24">
        <f>IF(OR(AD55="",AD54=""),"",IF(AD54=0,"",(AD55/AD54)-1))</f>
        <v/>
      </c>
      <c r="AF55" s="24">
        <f>IF(ROW()&lt;7,"",IF(OR(AD55="",AD52=""),"",IF(AD52=0,"",(AD55/AD52)-1)))</f>
        <v/>
      </c>
      <c r="AG55" s="24">
        <f>IF(ROW()&lt;9,"",IF(OR(AD55="",AD50=""),"",IF(AD50=0,"",(AD55/AD50)-1)))</f>
        <v/>
      </c>
      <c r="AH55" s="13">
        <f>IF(ROW()&lt;23,"",AVERAGE(AD36:AD55))</f>
        <v/>
      </c>
      <c r="AI55">
        <f>IF(OR(AD55="",AH55=""),"",IF(AD55&gt;AH55,"Bull","Bear"))</f>
        <v/>
      </c>
      <c r="AJ55" s="13" t="n"/>
      <c r="AK55" s="24">
        <f>IF(OR(AJ55="",AJ54=""),"",IF(AJ54=0,"",(AJ55/AJ54)-1))</f>
        <v/>
      </c>
      <c r="AL55" s="24">
        <f>IF(ROW()&lt;7,"",IF(OR(AJ55="",AJ52=""),"",IF(AJ52=0,"",(AJ55/AJ52)-1)))</f>
        <v/>
      </c>
      <c r="AM55" s="24">
        <f>IF(ROW()&lt;9,"",IF(OR(AJ55="",AJ50=""),"",IF(AJ50=0,"",(AJ55/AJ50)-1)))</f>
        <v/>
      </c>
      <c r="AN55" s="13">
        <f>IF(ROW()&lt;23,"",AVERAGE(AJ36:AJ55))</f>
        <v/>
      </c>
      <c r="AO55">
        <f>IF(OR(AJ55="",AN55=""),"",IF(AJ55&gt;AN55,"Bull","Bear"))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8">
        <f>IFERROR((M56/M55)-1,"")</f>
        <v/>
      </c>
      <c r="O56" s="24">
        <f>IF(OR(N56="",N55=""),"",IF(N55=0,"",(N56/N55)-1))</f>
        <v/>
      </c>
      <c r="P56" s="11">
        <f>IF(ROW()&lt;7,"",IF(OR(E56="",E53=""),"",IF(E53=0,"",(E56/E53)-1)))</f>
        <v/>
      </c>
      <c r="Q56" s="24">
        <f>IF(ROW()&lt;9,"",IF(OR(E56="",E51=""),"",IF(E51=0,"",(E56/E51)-1)))</f>
        <v/>
      </c>
      <c r="R56" s="24">
        <f>IF(ROW()&lt;7,"",IF(OR(G56="",G53=""),"",IF(G53=0,"",(G56/G53)-1)))</f>
        <v/>
      </c>
      <c r="S56" s="24">
        <f>IF(ROW()&lt;9,"",IF(OR(G56="",G51=""),"",IF(G51=0,"",(G56/G51)-1)))</f>
        <v/>
      </c>
      <c r="T56" s="24">
        <f>IF(ROW()&lt;7,"",IF(OR(L56="",L53=""),"",IF(L53=0,"",(L56/L53)-1)))</f>
        <v/>
      </c>
      <c r="U56" s="24">
        <f>IF(ROW()&lt;9,"",IF(OR(L56="",L51=""),"",IF(L51=0,"",(L56/L51)-1)))</f>
        <v/>
      </c>
      <c r="V56" s="24">
        <f>IF(ROW()&lt;7,"",IF(OR(N56="",N53=""),"",IF(N53=0,"",(N56/N53)-1)))</f>
        <v/>
      </c>
      <c r="W56" s="24">
        <f>IF(ROW()&lt;9,"",IF(OR(N56="",N51=""),"",IF(N51=0,"",(N56/N51)-1)))</f>
        <v/>
      </c>
      <c r="X56" s="24">
        <f>IF(OR(F56="",M56=""),"",F56-M56)</f>
        <v/>
      </c>
      <c r="Y56" s="24">
        <f>IF(OR(P56="",T56=""),"",P56-T56)</f>
        <v/>
      </c>
      <c r="Z56" s="24">
        <f>IF(OR(Q56="",U56=""),"",Q56-U56)</f>
        <v/>
      </c>
      <c r="AA56" s="24">
        <f>IF(OR(H56="",O56=""),"",H56-O56)</f>
        <v/>
      </c>
      <c r="AB56" s="24">
        <f>IF(OR(R56="",V56=""),"",R56-V56)</f>
        <v/>
      </c>
      <c r="AC56" s="24">
        <f>IF(OR(S56="",W56=""),"",S56-W56)</f>
        <v/>
      </c>
      <c r="AD56" s="13" t="n"/>
      <c r="AE56" s="24">
        <f>IF(OR(AD56="",AD55=""),"",IF(AD55=0,"",(AD56/AD55)-1))</f>
        <v/>
      </c>
      <c r="AF56" s="24">
        <f>IF(ROW()&lt;7,"",IF(OR(AD56="",AD53=""),"",IF(AD53=0,"",(AD56/AD53)-1)))</f>
        <v/>
      </c>
      <c r="AG56" s="24">
        <f>IF(ROW()&lt;9,"",IF(OR(AD56="",AD51=""),"",IF(AD51=0,"",(AD56/AD51)-1)))</f>
        <v/>
      </c>
      <c r="AH56" s="13">
        <f>IF(ROW()&lt;23,"",AVERAGE(AD37:AD56))</f>
        <v/>
      </c>
      <c r="AI56">
        <f>IF(OR(AD56="",AH56=""),"",IF(AD56&gt;AH56,"Bull","Bear"))</f>
        <v/>
      </c>
      <c r="AJ56" s="13" t="n"/>
      <c r="AK56" s="24">
        <f>IF(OR(AJ56="",AJ55=""),"",IF(AJ55=0,"",(AJ56/AJ55)-1))</f>
        <v/>
      </c>
      <c r="AL56" s="24">
        <f>IF(ROW()&lt;7,"",IF(OR(AJ56="",AJ53=""),"",IF(AJ53=0,"",(AJ56/AJ53)-1)))</f>
        <v/>
      </c>
      <c r="AM56" s="24">
        <f>IF(ROW()&lt;9,"",IF(OR(AJ56="",AJ51=""),"",IF(AJ51=0,"",(AJ56/AJ51)-1)))</f>
        <v/>
      </c>
      <c r="AN56" s="13">
        <f>IF(ROW()&lt;23,"",AVERAGE(AJ37:AJ56))</f>
        <v/>
      </c>
      <c r="AO56">
        <f>IF(OR(AJ56="",AN56=""),"",IF(AJ56&gt;AN56,"Bull","Bear"))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8">
        <f>IFERROR((M57/M56)-1,"")</f>
        <v/>
      </c>
      <c r="O57" s="24">
        <f>IF(OR(N57="",N56=""),"",IF(N56=0,"",(N57/N56)-1))</f>
        <v/>
      </c>
      <c r="P57" s="11">
        <f>IF(ROW()&lt;7,"",IF(OR(E57="",E54=""),"",IF(E54=0,"",(E57/E54)-1)))</f>
        <v/>
      </c>
      <c r="Q57" s="24">
        <f>IF(ROW()&lt;9,"",IF(OR(E57="",E52=""),"",IF(E52=0,"",(E57/E52)-1)))</f>
        <v/>
      </c>
      <c r="R57" s="24">
        <f>IF(ROW()&lt;7,"",IF(OR(G57="",G54=""),"",IF(G54=0,"",(G57/G54)-1)))</f>
        <v/>
      </c>
      <c r="S57" s="24">
        <f>IF(ROW()&lt;9,"",IF(OR(G57="",G52=""),"",IF(G52=0,"",(G57/G52)-1)))</f>
        <v/>
      </c>
      <c r="T57" s="24">
        <f>IF(ROW()&lt;7,"",IF(OR(L57="",L54=""),"",IF(L54=0,"",(L57/L54)-1)))</f>
        <v/>
      </c>
      <c r="U57" s="24">
        <f>IF(ROW()&lt;9,"",IF(OR(L57="",L52=""),"",IF(L52=0,"",(L57/L52)-1)))</f>
        <v/>
      </c>
      <c r="V57" s="24">
        <f>IF(ROW()&lt;7,"",IF(OR(N57="",N54=""),"",IF(N54=0,"",(N57/N54)-1)))</f>
        <v/>
      </c>
      <c r="W57" s="24">
        <f>IF(ROW()&lt;9,"",IF(OR(N57="",N52=""),"",IF(N52=0,"",(N57/N52)-1)))</f>
        <v/>
      </c>
      <c r="X57" s="24">
        <f>IF(OR(F57="",M57=""),"",F57-M57)</f>
        <v/>
      </c>
      <c r="Y57" s="24">
        <f>IF(OR(P57="",T57=""),"",P57-T57)</f>
        <v/>
      </c>
      <c r="Z57" s="24">
        <f>IF(OR(Q57="",U57=""),"",Q57-U57)</f>
        <v/>
      </c>
      <c r="AA57" s="24">
        <f>IF(OR(H57="",O57=""),"",H57-O57)</f>
        <v/>
      </c>
      <c r="AB57" s="24">
        <f>IF(OR(R57="",V57=""),"",R57-V57)</f>
        <v/>
      </c>
      <c r="AC57" s="24">
        <f>IF(OR(S57="",W57=""),"",S57-W57)</f>
        <v/>
      </c>
      <c r="AD57" s="13" t="n"/>
      <c r="AE57" s="24">
        <f>IF(OR(AD57="",AD56=""),"",IF(AD56=0,"",(AD57/AD56)-1))</f>
        <v/>
      </c>
      <c r="AF57" s="24">
        <f>IF(ROW()&lt;7,"",IF(OR(AD57="",AD54=""),"",IF(AD54=0,"",(AD57/AD54)-1)))</f>
        <v/>
      </c>
      <c r="AG57" s="24">
        <f>IF(ROW()&lt;9,"",IF(OR(AD57="",AD52=""),"",IF(AD52=0,"",(AD57/AD52)-1)))</f>
        <v/>
      </c>
      <c r="AH57" s="13">
        <f>IF(ROW()&lt;23,"",AVERAGE(AD38:AD57))</f>
        <v/>
      </c>
      <c r="AI57">
        <f>IF(OR(AD57="",AH57=""),"",IF(AD57&gt;AH57,"Bull","Bear"))</f>
        <v/>
      </c>
      <c r="AJ57" s="13" t="n"/>
      <c r="AK57" s="24">
        <f>IF(OR(AJ57="",AJ56=""),"",IF(AJ56=0,"",(AJ57/AJ56)-1))</f>
        <v/>
      </c>
      <c r="AL57" s="24">
        <f>IF(ROW()&lt;7,"",IF(OR(AJ57="",AJ54=""),"",IF(AJ54=0,"",(AJ57/AJ54)-1)))</f>
        <v/>
      </c>
      <c r="AM57" s="24">
        <f>IF(ROW()&lt;9,"",IF(OR(AJ57="",AJ52=""),"",IF(AJ52=0,"",(AJ57/AJ52)-1)))</f>
        <v/>
      </c>
      <c r="AN57" s="13">
        <f>IF(ROW()&lt;23,"",AVERAGE(AJ38:AJ57))</f>
        <v/>
      </c>
      <c r="AO57">
        <f>IF(OR(AJ57="",AN57=""),"",IF(AJ57&gt;AN57,"Bull","Bear"))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8">
        <f>IFERROR((M58/M57)-1,"")</f>
        <v/>
      </c>
      <c r="O58" s="24">
        <f>IF(OR(N58="",N57=""),"",IF(N57=0,"",(N58/N57)-1))</f>
        <v/>
      </c>
      <c r="P58" s="11">
        <f>IF(ROW()&lt;7,"",IF(OR(E58="",E55=""),"",IF(E55=0,"",(E58/E55)-1)))</f>
        <v/>
      </c>
      <c r="Q58" s="24">
        <f>IF(ROW()&lt;9,"",IF(OR(E58="",E53=""),"",IF(E53=0,"",(E58/E53)-1)))</f>
        <v/>
      </c>
      <c r="R58" s="24">
        <f>IF(ROW()&lt;7,"",IF(OR(G58="",G55=""),"",IF(G55=0,"",(G58/G55)-1)))</f>
        <v/>
      </c>
      <c r="S58" s="24">
        <f>IF(ROW()&lt;9,"",IF(OR(G58="",G53=""),"",IF(G53=0,"",(G58/G53)-1)))</f>
        <v/>
      </c>
      <c r="T58" s="24">
        <f>IF(ROW()&lt;7,"",IF(OR(L58="",L55=""),"",IF(L55=0,"",(L58/L55)-1)))</f>
        <v/>
      </c>
      <c r="U58" s="24">
        <f>IF(ROW()&lt;9,"",IF(OR(L58="",L53=""),"",IF(L53=0,"",(L58/L53)-1)))</f>
        <v/>
      </c>
      <c r="V58" s="24">
        <f>IF(ROW()&lt;7,"",IF(OR(N58="",N55=""),"",IF(N55=0,"",(N58/N55)-1)))</f>
        <v/>
      </c>
      <c r="W58" s="24">
        <f>IF(ROW()&lt;9,"",IF(OR(N58="",N53=""),"",IF(N53=0,"",(N58/N53)-1)))</f>
        <v/>
      </c>
      <c r="X58" s="24">
        <f>IF(OR(F58="",M58=""),"",F58-M58)</f>
        <v/>
      </c>
      <c r="Y58" s="24">
        <f>IF(OR(P58="",T58=""),"",P58-T58)</f>
        <v/>
      </c>
      <c r="Z58" s="24">
        <f>IF(OR(Q58="",U58=""),"",Q58-U58)</f>
        <v/>
      </c>
      <c r="AA58" s="24">
        <f>IF(OR(H58="",O58=""),"",H58-O58)</f>
        <v/>
      </c>
      <c r="AB58" s="24">
        <f>IF(OR(R58="",V58=""),"",R58-V58)</f>
        <v/>
      </c>
      <c r="AC58" s="24">
        <f>IF(OR(S58="",W58=""),"",S58-W58)</f>
        <v/>
      </c>
      <c r="AD58" s="13" t="n"/>
      <c r="AE58" s="24">
        <f>IF(OR(AD58="",AD57=""),"",IF(AD57=0,"",(AD58/AD57)-1))</f>
        <v/>
      </c>
      <c r="AF58" s="24">
        <f>IF(ROW()&lt;7,"",IF(OR(AD58="",AD55=""),"",IF(AD55=0,"",(AD58/AD55)-1)))</f>
        <v/>
      </c>
      <c r="AG58" s="24">
        <f>IF(ROW()&lt;9,"",IF(OR(AD58="",AD53=""),"",IF(AD53=0,"",(AD58/AD53)-1)))</f>
        <v/>
      </c>
      <c r="AH58" s="13">
        <f>IF(ROW()&lt;23,"",AVERAGE(AD39:AD58))</f>
        <v/>
      </c>
      <c r="AI58">
        <f>IF(OR(AD58="",AH58=""),"",IF(AD58&gt;AH58,"Bull","Bear"))</f>
        <v/>
      </c>
      <c r="AJ58" s="13" t="n"/>
      <c r="AK58" s="24">
        <f>IF(OR(AJ58="",AJ57=""),"",IF(AJ57=0,"",(AJ58/AJ57)-1))</f>
        <v/>
      </c>
      <c r="AL58" s="24">
        <f>IF(ROW()&lt;7,"",IF(OR(AJ58="",AJ55=""),"",IF(AJ55=0,"",(AJ58/AJ55)-1)))</f>
        <v/>
      </c>
      <c r="AM58" s="24">
        <f>IF(ROW()&lt;9,"",IF(OR(AJ58="",AJ53=""),"",IF(AJ53=0,"",(AJ58/AJ53)-1)))</f>
        <v/>
      </c>
      <c r="AN58" s="13">
        <f>IF(ROW()&lt;23,"",AVERAGE(AJ39:AJ58))</f>
        <v/>
      </c>
      <c r="AO58">
        <f>IF(OR(AJ58="",AN58=""),"",IF(AJ58&gt;AN58,"Bull","Bear"))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8">
        <f>IFERROR((M59/M58)-1,"")</f>
        <v/>
      </c>
      <c r="O59" s="24">
        <f>IF(OR(N59="",N58=""),"",IF(N58=0,"",(N59/N58)-1))</f>
        <v/>
      </c>
      <c r="P59" s="11">
        <f>IF(ROW()&lt;7,"",IF(OR(E59="",E56=""),"",IF(E56=0,"",(E59/E56)-1)))</f>
        <v/>
      </c>
      <c r="Q59" s="24">
        <f>IF(ROW()&lt;9,"",IF(OR(E59="",E54=""),"",IF(E54=0,"",(E59/E54)-1)))</f>
        <v/>
      </c>
      <c r="R59" s="24">
        <f>IF(ROW()&lt;7,"",IF(OR(G59="",G56=""),"",IF(G56=0,"",(G59/G56)-1)))</f>
        <v/>
      </c>
      <c r="S59" s="24">
        <f>IF(ROW()&lt;9,"",IF(OR(G59="",G54=""),"",IF(G54=0,"",(G59/G54)-1)))</f>
        <v/>
      </c>
      <c r="T59" s="24">
        <f>IF(ROW()&lt;7,"",IF(OR(L59="",L56=""),"",IF(L56=0,"",(L59/L56)-1)))</f>
        <v/>
      </c>
      <c r="U59" s="24">
        <f>IF(ROW()&lt;9,"",IF(OR(L59="",L54=""),"",IF(L54=0,"",(L59/L54)-1)))</f>
        <v/>
      </c>
      <c r="V59" s="24">
        <f>IF(ROW()&lt;7,"",IF(OR(N59="",N56=""),"",IF(N56=0,"",(N59/N56)-1)))</f>
        <v/>
      </c>
      <c r="W59" s="24">
        <f>IF(ROW()&lt;9,"",IF(OR(N59="",N54=""),"",IF(N54=0,"",(N59/N54)-1)))</f>
        <v/>
      </c>
      <c r="X59" s="24">
        <f>IF(OR(F59="",M59=""),"",F59-M59)</f>
        <v/>
      </c>
      <c r="Y59" s="24">
        <f>IF(OR(P59="",T59=""),"",P59-T59)</f>
        <v/>
      </c>
      <c r="Z59" s="24">
        <f>IF(OR(Q59="",U59=""),"",Q59-U59)</f>
        <v/>
      </c>
      <c r="AA59" s="24">
        <f>IF(OR(H59="",O59=""),"",H59-O59)</f>
        <v/>
      </c>
      <c r="AB59" s="24">
        <f>IF(OR(R59="",V59=""),"",R59-V59)</f>
        <v/>
      </c>
      <c r="AC59" s="24">
        <f>IF(OR(S59="",W59=""),"",S59-W59)</f>
        <v/>
      </c>
      <c r="AD59" s="13" t="n"/>
      <c r="AE59" s="24">
        <f>IF(OR(AD59="",AD58=""),"",IF(AD58=0,"",(AD59/AD58)-1))</f>
        <v/>
      </c>
      <c r="AF59" s="24">
        <f>IF(ROW()&lt;7,"",IF(OR(AD59="",AD56=""),"",IF(AD56=0,"",(AD59/AD56)-1)))</f>
        <v/>
      </c>
      <c r="AG59" s="24">
        <f>IF(ROW()&lt;9,"",IF(OR(AD59="",AD54=""),"",IF(AD54=0,"",(AD59/AD54)-1)))</f>
        <v/>
      </c>
      <c r="AH59" s="13">
        <f>IF(ROW()&lt;23,"",AVERAGE(AD40:AD59))</f>
        <v/>
      </c>
      <c r="AI59">
        <f>IF(OR(AD59="",AH59=""),"",IF(AD59&gt;AH59,"Bull","Bear"))</f>
        <v/>
      </c>
      <c r="AJ59" s="13" t="n"/>
      <c r="AK59" s="24">
        <f>IF(OR(AJ59="",AJ58=""),"",IF(AJ58=0,"",(AJ59/AJ58)-1))</f>
        <v/>
      </c>
      <c r="AL59" s="24">
        <f>IF(ROW()&lt;7,"",IF(OR(AJ59="",AJ56=""),"",IF(AJ56=0,"",(AJ59/AJ56)-1)))</f>
        <v/>
      </c>
      <c r="AM59" s="24">
        <f>IF(ROW()&lt;9,"",IF(OR(AJ59="",AJ54=""),"",IF(AJ54=0,"",(AJ59/AJ54)-1)))</f>
        <v/>
      </c>
      <c r="AN59" s="13">
        <f>IF(ROW()&lt;23,"",AVERAGE(AJ40:AJ59))</f>
        <v/>
      </c>
      <c r="AO59">
        <f>IF(OR(AJ59="",AN59=""),"",IF(AJ59&gt;AN59,"Bull","Bear"))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8">
        <f>IFERROR((M60/M59)-1,"")</f>
        <v/>
      </c>
      <c r="O60" s="24">
        <f>IF(OR(N60="",N59=""),"",IF(N59=0,"",(N60/N59)-1))</f>
        <v/>
      </c>
      <c r="P60" s="11">
        <f>IF(ROW()&lt;7,"",IF(OR(E60="",E57=""),"",IF(E57=0,"",(E60/E57)-1)))</f>
        <v/>
      </c>
      <c r="Q60" s="24">
        <f>IF(ROW()&lt;9,"",IF(OR(E60="",E55=""),"",IF(E55=0,"",(E60/E55)-1)))</f>
        <v/>
      </c>
      <c r="R60" s="24">
        <f>IF(ROW()&lt;7,"",IF(OR(G60="",G57=""),"",IF(G57=0,"",(G60/G57)-1)))</f>
        <v/>
      </c>
      <c r="S60" s="24">
        <f>IF(ROW()&lt;9,"",IF(OR(G60="",G55=""),"",IF(G55=0,"",(G60/G55)-1)))</f>
        <v/>
      </c>
      <c r="T60" s="24">
        <f>IF(ROW()&lt;7,"",IF(OR(L60="",L57=""),"",IF(L57=0,"",(L60/L57)-1)))</f>
        <v/>
      </c>
      <c r="U60" s="24">
        <f>IF(ROW()&lt;9,"",IF(OR(L60="",L55=""),"",IF(L55=0,"",(L60/L55)-1)))</f>
        <v/>
      </c>
      <c r="V60" s="24">
        <f>IF(ROW()&lt;7,"",IF(OR(N60="",N57=""),"",IF(N57=0,"",(N60/N57)-1)))</f>
        <v/>
      </c>
      <c r="W60" s="24">
        <f>IF(ROW()&lt;9,"",IF(OR(N60="",N55=""),"",IF(N55=0,"",(N60/N55)-1)))</f>
        <v/>
      </c>
      <c r="X60" s="24">
        <f>IF(OR(F60="",M60=""),"",F60-M60)</f>
        <v/>
      </c>
      <c r="Y60" s="24">
        <f>IF(OR(P60="",T60=""),"",P60-T60)</f>
        <v/>
      </c>
      <c r="Z60" s="24">
        <f>IF(OR(Q60="",U60=""),"",Q60-U60)</f>
        <v/>
      </c>
      <c r="AA60" s="24">
        <f>IF(OR(H60="",O60=""),"",H60-O60)</f>
        <v/>
      </c>
      <c r="AB60" s="24">
        <f>IF(OR(R60="",V60=""),"",R60-V60)</f>
        <v/>
      </c>
      <c r="AC60" s="24">
        <f>IF(OR(S60="",W60=""),"",S60-W60)</f>
        <v/>
      </c>
      <c r="AD60" s="13" t="n"/>
      <c r="AE60" s="24">
        <f>IF(OR(AD60="",AD59=""),"",IF(AD59=0,"",(AD60/AD59)-1))</f>
        <v/>
      </c>
      <c r="AF60" s="24">
        <f>IF(ROW()&lt;7,"",IF(OR(AD60="",AD57=""),"",IF(AD57=0,"",(AD60/AD57)-1)))</f>
        <v/>
      </c>
      <c r="AG60" s="24">
        <f>IF(ROW()&lt;9,"",IF(OR(AD60="",AD55=""),"",IF(AD55=0,"",(AD60/AD55)-1)))</f>
        <v/>
      </c>
      <c r="AH60" s="13">
        <f>IF(ROW()&lt;23,"",AVERAGE(AD41:AD60))</f>
        <v/>
      </c>
      <c r="AI60">
        <f>IF(OR(AD60="",AH60=""),"",IF(AD60&gt;AH60,"Bull","Bear"))</f>
        <v/>
      </c>
      <c r="AJ60" s="13" t="n"/>
      <c r="AK60" s="24">
        <f>IF(OR(AJ60="",AJ59=""),"",IF(AJ59=0,"",(AJ60/AJ59)-1))</f>
        <v/>
      </c>
      <c r="AL60" s="24">
        <f>IF(ROW()&lt;7,"",IF(OR(AJ60="",AJ57=""),"",IF(AJ57=0,"",(AJ60/AJ57)-1)))</f>
        <v/>
      </c>
      <c r="AM60" s="24">
        <f>IF(ROW()&lt;9,"",IF(OR(AJ60="",AJ55=""),"",IF(AJ55=0,"",(AJ60/AJ55)-1)))</f>
        <v/>
      </c>
      <c r="AN60" s="13">
        <f>IF(ROW()&lt;23,"",AVERAGE(AJ41:AJ60))</f>
        <v/>
      </c>
      <c r="AO60">
        <f>IF(OR(AJ60="",AN60=""),"",IF(AJ60&gt;AN60,"Bull","Bear"))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8">
        <f>IFERROR((M61/M60)-1,"")</f>
        <v/>
      </c>
      <c r="O61" s="24">
        <f>IF(OR(N61="",N60=""),"",IF(N60=0,"",(N61/N60)-1))</f>
        <v/>
      </c>
      <c r="P61" s="11">
        <f>IF(ROW()&lt;7,"",IF(OR(E61="",E58=""),"",IF(E58=0,"",(E61/E58)-1)))</f>
        <v/>
      </c>
      <c r="Q61" s="24">
        <f>IF(ROW()&lt;9,"",IF(OR(E61="",E56=""),"",IF(E56=0,"",(E61/E56)-1)))</f>
        <v/>
      </c>
      <c r="R61" s="24">
        <f>IF(ROW()&lt;7,"",IF(OR(G61="",G58=""),"",IF(G58=0,"",(G61/G58)-1)))</f>
        <v/>
      </c>
      <c r="S61" s="24">
        <f>IF(ROW()&lt;9,"",IF(OR(G61="",G56=""),"",IF(G56=0,"",(G61/G56)-1)))</f>
        <v/>
      </c>
      <c r="T61" s="24">
        <f>IF(ROW()&lt;7,"",IF(OR(L61="",L58=""),"",IF(L58=0,"",(L61/L58)-1)))</f>
        <v/>
      </c>
      <c r="U61" s="24">
        <f>IF(ROW()&lt;9,"",IF(OR(L61="",L56=""),"",IF(L56=0,"",(L61/L56)-1)))</f>
        <v/>
      </c>
      <c r="V61" s="24">
        <f>IF(ROW()&lt;7,"",IF(OR(N61="",N58=""),"",IF(N58=0,"",(N61/N58)-1)))</f>
        <v/>
      </c>
      <c r="W61" s="24">
        <f>IF(ROW()&lt;9,"",IF(OR(N61="",N56=""),"",IF(N56=0,"",(N61/N56)-1)))</f>
        <v/>
      </c>
      <c r="X61" s="24">
        <f>IF(OR(F61="",M61=""),"",F61-M61)</f>
        <v/>
      </c>
      <c r="Y61" s="24">
        <f>IF(OR(P61="",T61=""),"",P61-T61)</f>
        <v/>
      </c>
      <c r="Z61" s="24">
        <f>IF(OR(Q61="",U61=""),"",Q61-U61)</f>
        <v/>
      </c>
      <c r="AA61" s="24">
        <f>IF(OR(H61="",O61=""),"",H61-O61)</f>
        <v/>
      </c>
      <c r="AB61" s="24">
        <f>IF(OR(R61="",V61=""),"",R61-V61)</f>
        <v/>
      </c>
      <c r="AC61" s="24">
        <f>IF(OR(S61="",W61=""),"",S61-W61)</f>
        <v/>
      </c>
      <c r="AD61" s="13" t="n"/>
      <c r="AE61" s="24">
        <f>IF(OR(AD61="",AD60=""),"",IF(AD60=0,"",(AD61/AD60)-1))</f>
        <v/>
      </c>
      <c r="AF61" s="24">
        <f>IF(ROW()&lt;7,"",IF(OR(AD61="",AD58=""),"",IF(AD58=0,"",(AD61/AD58)-1)))</f>
        <v/>
      </c>
      <c r="AG61" s="24">
        <f>IF(ROW()&lt;9,"",IF(OR(AD61="",AD56=""),"",IF(AD56=0,"",(AD61/AD56)-1)))</f>
        <v/>
      </c>
      <c r="AH61" s="13">
        <f>IF(ROW()&lt;23,"",AVERAGE(AD42:AD61))</f>
        <v/>
      </c>
      <c r="AI61">
        <f>IF(OR(AD61="",AH61=""),"",IF(AD61&gt;AH61,"Bull","Bear"))</f>
        <v/>
      </c>
      <c r="AJ61" s="13" t="n"/>
      <c r="AK61" s="24">
        <f>IF(OR(AJ61="",AJ60=""),"",IF(AJ60=0,"",(AJ61/AJ60)-1))</f>
        <v/>
      </c>
      <c r="AL61" s="24">
        <f>IF(ROW()&lt;7,"",IF(OR(AJ61="",AJ58=""),"",IF(AJ58=0,"",(AJ61/AJ58)-1)))</f>
        <v/>
      </c>
      <c r="AM61" s="24">
        <f>IF(ROW()&lt;9,"",IF(OR(AJ61="",AJ56=""),"",IF(AJ56=0,"",(AJ61/AJ56)-1)))</f>
        <v/>
      </c>
      <c r="AN61" s="13">
        <f>IF(ROW()&lt;23,"",AVERAGE(AJ42:AJ61))</f>
        <v/>
      </c>
      <c r="AO61">
        <f>IF(OR(AJ61="",AN61=""),"",IF(AJ61&gt;AN61,"Bull","Bear"))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8">
        <f>IFERROR((M62/M61)-1,"")</f>
        <v/>
      </c>
      <c r="O62" s="24">
        <f>IF(OR(N62="",N61=""),"",IF(N61=0,"",(N62/N61)-1))</f>
        <v/>
      </c>
      <c r="P62" s="11">
        <f>IF(ROW()&lt;7,"",IF(OR(E62="",E59=""),"",IF(E59=0,"",(E62/E59)-1)))</f>
        <v/>
      </c>
      <c r="Q62" s="24">
        <f>IF(ROW()&lt;9,"",IF(OR(E62="",E57=""),"",IF(E57=0,"",(E62/E57)-1)))</f>
        <v/>
      </c>
      <c r="R62" s="24">
        <f>IF(ROW()&lt;7,"",IF(OR(G62="",G59=""),"",IF(G59=0,"",(G62/G59)-1)))</f>
        <v/>
      </c>
      <c r="S62" s="24">
        <f>IF(ROW()&lt;9,"",IF(OR(G62="",G57=""),"",IF(G57=0,"",(G62/G57)-1)))</f>
        <v/>
      </c>
      <c r="T62" s="24">
        <f>IF(ROW()&lt;7,"",IF(OR(L62="",L59=""),"",IF(L59=0,"",(L62/L59)-1)))</f>
        <v/>
      </c>
      <c r="U62" s="24">
        <f>IF(ROW()&lt;9,"",IF(OR(L62="",L57=""),"",IF(L57=0,"",(L62/L57)-1)))</f>
        <v/>
      </c>
      <c r="V62" s="24">
        <f>IF(ROW()&lt;7,"",IF(OR(N62="",N59=""),"",IF(N59=0,"",(N62/N59)-1)))</f>
        <v/>
      </c>
      <c r="W62" s="24">
        <f>IF(ROW()&lt;9,"",IF(OR(N62="",N57=""),"",IF(N57=0,"",(N62/N57)-1)))</f>
        <v/>
      </c>
      <c r="X62" s="24">
        <f>IF(OR(F62="",M62=""),"",F62-M62)</f>
        <v/>
      </c>
      <c r="Y62" s="24">
        <f>IF(OR(P62="",T62=""),"",P62-T62)</f>
        <v/>
      </c>
      <c r="Z62" s="24">
        <f>IF(OR(Q62="",U62=""),"",Q62-U62)</f>
        <v/>
      </c>
      <c r="AA62" s="24">
        <f>IF(OR(H62="",O62=""),"",H62-O62)</f>
        <v/>
      </c>
      <c r="AB62" s="24">
        <f>IF(OR(R62="",V62=""),"",R62-V62)</f>
        <v/>
      </c>
      <c r="AC62" s="24">
        <f>IF(OR(S62="",W62=""),"",S62-W62)</f>
        <v/>
      </c>
      <c r="AD62" s="13" t="n"/>
      <c r="AE62" s="24">
        <f>IF(OR(AD62="",AD61=""),"",IF(AD61=0,"",(AD62/AD61)-1))</f>
        <v/>
      </c>
      <c r="AF62" s="24">
        <f>IF(ROW()&lt;7,"",IF(OR(AD62="",AD59=""),"",IF(AD59=0,"",(AD62/AD59)-1)))</f>
        <v/>
      </c>
      <c r="AG62" s="24">
        <f>IF(ROW()&lt;9,"",IF(OR(AD62="",AD57=""),"",IF(AD57=0,"",(AD62/AD57)-1)))</f>
        <v/>
      </c>
      <c r="AH62" s="13">
        <f>IF(ROW()&lt;23,"",AVERAGE(AD43:AD62))</f>
        <v/>
      </c>
      <c r="AI62">
        <f>IF(OR(AD62="",AH62=""),"",IF(AD62&gt;AH62,"Bull","Bear"))</f>
        <v/>
      </c>
      <c r="AJ62" s="13" t="n"/>
      <c r="AK62" s="24">
        <f>IF(OR(AJ62="",AJ61=""),"",IF(AJ61=0,"",(AJ62/AJ61)-1))</f>
        <v/>
      </c>
      <c r="AL62" s="24">
        <f>IF(ROW()&lt;7,"",IF(OR(AJ62="",AJ59=""),"",IF(AJ59=0,"",(AJ62/AJ59)-1)))</f>
        <v/>
      </c>
      <c r="AM62" s="24">
        <f>IF(ROW()&lt;9,"",IF(OR(AJ62="",AJ57=""),"",IF(AJ57=0,"",(AJ62/AJ57)-1)))</f>
        <v/>
      </c>
      <c r="AN62" s="13">
        <f>IF(ROW()&lt;23,"",AVERAGE(AJ43:AJ62))</f>
        <v/>
      </c>
      <c r="AO62">
        <f>IF(OR(AJ62="",AN62=""),"",IF(AJ62&gt;AN62,"Bull","Bear"))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8">
        <f>IFERROR((M63/M62)-1,"")</f>
        <v/>
      </c>
      <c r="O63" s="24">
        <f>IF(OR(N63="",N62=""),"",IF(N62=0,"",(N63/N62)-1))</f>
        <v/>
      </c>
      <c r="P63" s="11">
        <f>IF(ROW()&lt;7,"",IF(OR(E63="",E60=""),"",IF(E60=0,"",(E63/E60)-1)))</f>
        <v/>
      </c>
      <c r="Q63" s="24">
        <f>IF(ROW()&lt;9,"",IF(OR(E63="",E58=""),"",IF(E58=0,"",(E63/E58)-1)))</f>
        <v/>
      </c>
      <c r="R63" s="24">
        <f>IF(ROW()&lt;7,"",IF(OR(G63="",G60=""),"",IF(G60=0,"",(G63/G60)-1)))</f>
        <v/>
      </c>
      <c r="S63" s="24">
        <f>IF(ROW()&lt;9,"",IF(OR(G63="",G58=""),"",IF(G58=0,"",(G63/G58)-1)))</f>
        <v/>
      </c>
      <c r="T63" s="24">
        <f>IF(ROW()&lt;7,"",IF(OR(L63="",L60=""),"",IF(L60=0,"",(L63/L60)-1)))</f>
        <v/>
      </c>
      <c r="U63" s="24">
        <f>IF(ROW()&lt;9,"",IF(OR(L63="",L58=""),"",IF(L58=0,"",(L63/L58)-1)))</f>
        <v/>
      </c>
      <c r="V63" s="24">
        <f>IF(ROW()&lt;7,"",IF(OR(N63="",N60=""),"",IF(N60=0,"",(N63/N60)-1)))</f>
        <v/>
      </c>
      <c r="W63" s="24">
        <f>IF(ROW()&lt;9,"",IF(OR(N63="",N58=""),"",IF(N58=0,"",(N63/N58)-1)))</f>
        <v/>
      </c>
      <c r="X63" s="24">
        <f>IF(OR(F63="",M63=""),"",F63-M63)</f>
        <v/>
      </c>
      <c r="Y63" s="24">
        <f>IF(OR(P63="",T63=""),"",P63-T63)</f>
        <v/>
      </c>
      <c r="Z63" s="24">
        <f>IF(OR(Q63="",U63=""),"",Q63-U63)</f>
        <v/>
      </c>
      <c r="AA63" s="24">
        <f>IF(OR(H63="",O63=""),"",H63-O63)</f>
        <v/>
      </c>
      <c r="AB63" s="24">
        <f>IF(OR(R63="",V63=""),"",R63-V63)</f>
        <v/>
      </c>
      <c r="AC63" s="24">
        <f>IF(OR(S63="",W63=""),"",S63-W63)</f>
        <v/>
      </c>
      <c r="AD63" s="13" t="n"/>
      <c r="AE63" s="24">
        <f>IF(OR(AD63="",AD62=""),"",IF(AD62=0,"",(AD63/AD62)-1))</f>
        <v/>
      </c>
      <c r="AF63" s="24">
        <f>IF(ROW()&lt;7,"",IF(OR(AD63="",AD60=""),"",IF(AD60=0,"",(AD63/AD60)-1)))</f>
        <v/>
      </c>
      <c r="AG63" s="24">
        <f>IF(ROW()&lt;9,"",IF(OR(AD63="",AD58=""),"",IF(AD58=0,"",(AD63/AD58)-1)))</f>
        <v/>
      </c>
      <c r="AH63" s="13">
        <f>IF(ROW()&lt;23,"",AVERAGE(AD44:AD63))</f>
        <v/>
      </c>
      <c r="AI63">
        <f>IF(OR(AD63="",AH63=""),"",IF(AD63&gt;AH63,"Bull","Bear"))</f>
        <v/>
      </c>
      <c r="AJ63" s="13" t="n"/>
      <c r="AK63" s="24">
        <f>IF(OR(AJ63="",AJ62=""),"",IF(AJ62=0,"",(AJ63/AJ62)-1))</f>
        <v/>
      </c>
      <c r="AL63" s="24">
        <f>IF(ROW()&lt;7,"",IF(OR(AJ63="",AJ60=""),"",IF(AJ60=0,"",(AJ63/AJ60)-1)))</f>
        <v/>
      </c>
      <c r="AM63" s="24">
        <f>IF(ROW()&lt;9,"",IF(OR(AJ63="",AJ58=""),"",IF(AJ58=0,"",(AJ63/AJ58)-1)))</f>
        <v/>
      </c>
      <c r="AN63" s="13">
        <f>IF(ROW()&lt;23,"",AVERAGE(AJ44:AJ63))</f>
        <v/>
      </c>
      <c r="AO63">
        <f>IF(OR(AJ63="",AN63=""),"",IF(AJ63&gt;AN63,"Bull","Bear"))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8">
        <f>IFERROR((M64/M63)-1,"")</f>
        <v/>
      </c>
      <c r="O64" s="24">
        <f>IF(OR(N64="",N63=""),"",IF(N63=0,"",(N64/N63)-1))</f>
        <v/>
      </c>
      <c r="P64" s="11">
        <f>IF(ROW()&lt;7,"",IF(OR(E64="",E61=""),"",IF(E61=0,"",(E64/E61)-1)))</f>
        <v/>
      </c>
      <c r="Q64" s="24">
        <f>IF(ROW()&lt;9,"",IF(OR(E64="",E59=""),"",IF(E59=0,"",(E64/E59)-1)))</f>
        <v/>
      </c>
      <c r="R64" s="24">
        <f>IF(ROW()&lt;7,"",IF(OR(G64="",G61=""),"",IF(G61=0,"",(G64/G61)-1)))</f>
        <v/>
      </c>
      <c r="S64" s="24">
        <f>IF(ROW()&lt;9,"",IF(OR(G64="",G59=""),"",IF(G59=0,"",(G64/G59)-1)))</f>
        <v/>
      </c>
      <c r="T64" s="24">
        <f>IF(ROW()&lt;7,"",IF(OR(L64="",L61=""),"",IF(L61=0,"",(L64/L61)-1)))</f>
        <v/>
      </c>
      <c r="U64" s="24">
        <f>IF(ROW()&lt;9,"",IF(OR(L64="",L59=""),"",IF(L59=0,"",(L64/L59)-1)))</f>
        <v/>
      </c>
      <c r="V64" s="24">
        <f>IF(ROW()&lt;7,"",IF(OR(N64="",N61=""),"",IF(N61=0,"",(N64/N61)-1)))</f>
        <v/>
      </c>
      <c r="W64" s="24">
        <f>IF(ROW()&lt;9,"",IF(OR(N64="",N59=""),"",IF(N59=0,"",(N64/N59)-1)))</f>
        <v/>
      </c>
      <c r="X64" s="24">
        <f>IF(OR(F64="",M64=""),"",F64-M64)</f>
        <v/>
      </c>
      <c r="Y64" s="24">
        <f>IF(OR(P64="",T64=""),"",P64-T64)</f>
        <v/>
      </c>
      <c r="Z64" s="24">
        <f>IF(OR(Q64="",U64=""),"",Q64-U64)</f>
        <v/>
      </c>
      <c r="AA64" s="24">
        <f>IF(OR(H64="",O64=""),"",H64-O64)</f>
        <v/>
      </c>
      <c r="AB64" s="24">
        <f>IF(OR(R64="",V64=""),"",R64-V64)</f>
        <v/>
      </c>
      <c r="AC64" s="24">
        <f>IF(OR(S64="",W64=""),"",S64-W64)</f>
        <v/>
      </c>
      <c r="AD64" s="13" t="n"/>
      <c r="AE64" s="24">
        <f>IF(OR(AD64="",AD63=""),"",IF(AD63=0,"",(AD64/AD63)-1))</f>
        <v/>
      </c>
      <c r="AF64" s="24">
        <f>IF(ROW()&lt;7,"",IF(OR(AD64="",AD61=""),"",IF(AD61=0,"",(AD64/AD61)-1)))</f>
        <v/>
      </c>
      <c r="AG64" s="24">
        <f>IF(ROW()&lt;9,"",IF(OR(AD64="",AD59=""),"",IF(AD59=0,"",(AD64/AD59)-1)))</f>
        <v/>
      </c>
      <c r="AH64" s="13">
        <f>IF(ROW()&lt;23,"",AVERAGE(AD45:AD64))</f>
        <v/>
      </c>
      <c r="AI64">
        <f>IF(OR(AD64="",AH64=""),"",IF(AD64&gt;AH64,"Bull","Bear"))</f>
        <v/>
      </c>
      <c r="AJ64" s="13" t="n"/>
      <c r="AK64" s="24">
        <f>IF(OR(AJ64="",AJ63=""),"",IF(AJ63=0,"",(AJ64/AJ63)-1))</f>
        <v/>
      </c>
      <c r="AL64" s="24">
        <f>IF(ROW()&lt;7,"",IF(OR(AJ64="",AJ61=""),"",IF(AJ61=0,"",(AJ64/AJ61)-1)))</f>
        <v/>
      </c>
      <c r="AM64" s="24">
        <f>IF(ROW()&lt;9,"",IF(OR(AJ64="",AJ59=""),"",IF(AJ59=0,"",(AJ64/AJ59)-1)))</f>
        <v/>
      </c>
      <c r="AN64" s="13">
        <f>IF(ROW()&lt;23,"",AVERAGE(AJ45:AJ64))</f>
        <v/>
      </c>
      <c r="AO64">
        <f>IF(OR(AJ64="",AN64=""),"",IF(AJ64&gt;AN64,"Bull","Bear"))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8">
        <f>IFERROR((M65/M64)-1,"")</f>
        <v/>
      </c>
      <c r="O65" s="24">
        <f>IF(OR(N65="",N64=""),"",IF(N64=0,"",(N65/N64)-1))</f>
        <v/>
      </c>
      <c r="P65" s="11">
        <f>IF(ROW()&lt;7,"",IF(OR(E65="",E62=""),"",IF(E62=0,"",(E65/E62)-1)))</f>
        <v/>
      </c>
      <c r="Q65" s="24">
        <f>IF(ROW()&lt;9,"",IF(OR(E65="",E60=""),"",IF(E60=0,"",(E65/E60)-1)))</f>
        <v/>
      </c>
      <c r="R65" s="24">
        <f>IF(ROW()&lt;7,"",IF(OR(G65="",G62=""),"",IF(G62=0,"",(G65/G62)-1)))</f>
        <v/>
      </c>
      <c r="S65" s="24">
        <f>IF(ROW()&lt;9,"",IF(OR(G65="",G60=""),"",IF(G60=0,"",(G65/G60)-1)))</f>
        <v/>
      </c>
      <c r="T65" s="24">
        <f>IF(ROW()&lt;7,"",IF(OR(L65="",L62=""),"",IF(L62=0,"",(L65/L62)-1)))</f>
        <v/>
      </c>
      <c r="U65" s="24">
        <f>IF(ROW()&lt;9,"",IF(OR(L65="",L60=""),"",IF(L60=0,"",(L65/L60)-1)))</f>
        <v/>
      </c>
      <c r="V65" s="24">
        <f>IF(ROW()&lt;7,"",IF(OR(N65="",N62=""),"",IF(N62=0,"",(N65/N62)-1)))</f>
        <v/>
      </c>
      <c r="W65" s="24">
        <f>IF(ROW()&lt;9,"",IF(OR(N65="",N60=""),"",IF(N60=0,"",(N65/N60)-1)))</f>
        <v/>
      </c>
      <c r="X65" s="24">
        <f>IF(OR(F65="",M65=""),"",F65-M65)</f>
        <v/>
      </c>
      <c r="Y65" s="24">
        <f>IF(OR(P65="",T65=""),"",P65-T65)</f>
        <v/>
      </c>
      <c r="Z65" s="24">
        <f>IF(OR(Q65="",U65=""),"",Q65-U65)</f>
        <v/>
      </c>
      <c r="AA65" s="24">
        <f>IF(OR(H65="",O65=""),"",H65-O65)</f>
        <v/>
      </c>
      <c r="AB65" s="24">
        <f>IF(OR(R65="",V65=""),"",R65-V65)</f>
        <v/>
      </c>
      <c r="AC65" s="24">
        <f>IF(OR(S65="",W65=""),"",S65-W65)</f>
        <v/>
      </c>
      <c r="AD65" s="13" t="n"/>
      <c r="AE65" s="24">
        <f>IF(OR(AD65="",AD64=""),"",IF(AD64=0,"",(AD65/AD64)-1))</f>
        <v/>
      </c>
      <c r="AF65" s="24">
        <f>IF(ROW()&lt;7,"",IF(OR(AD65="",AD62=""),"",IF(AD62=0,"",(AD65/AD62)-1)))</f>
        <v/>
      </c>
      <c r="AG65" s="24">
        <f>IF(ROW()&lt;9,"",IF(OR(AD65="",AD60=""),"",IF(AD60=0,"",(AD65/AD60)-1)))</f>
        <v/>
      </c>
      <c r="AH65" s="13">
        <f>IF(ROW()&lt;23,"",AVERAGE(AD46:AD65))</f>
        <v/>
      </c>
      <c r="AI65">
        <f>IF(OR(AD65="",AH65=""),"",IF(AD65&gt;AH65,"Bull","Bear"))</f>
        <v/>
      </c>
      <c r="AJ65" s="13" t="n"/>
      <c r="AK65" s="24">
        <f>IF(OR(AJ65="",AJ64=""),"",IF(AJ64=0,"",(AJ65/AJ64)-1))</f>
        <v/>
      </c>
      <c r="AL65" s="24">
        <f>IF(ROW()&lt;7,"",IF(OR(AJ65="",AJ62=""),"",IF(AJ62=0,"",(AJ65/AJ62)-1)))</f>
        <v/>
      </c>
      <c r="AM65" s="24">
        <f>IF(ROW()&lt;9,"",IF(OR(AJ65="",AJ60=""),"",IF(AJ60=0,"",(AJ65/AJ60)-1)))</f>
        <v/>
      </c>
      <c r="AN65" s="13">
        <f>IF(ROW()&lt;23,"",AVERAGE(AJ46:AJ65))</f>
        <v/>
      </c>
      <c r="AO65">
        <f>IF(OR(AJ65="",AN65=""),"",IF(AJ65&gt;AN65,"Bull","Bear"))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8">
        <f>IFERROR((M66/M65)-1,"")</f>
        <v/>
      </c>
      <c r="O66" s="24">
        <f>IF(OR(N66="",N65=""),"",IF(N65=0,"",(N66/N65)-1))</f>
        <v/>
      </c>
      <c r="P66" s="11">
        <f>IF(ROW()&lt;7,"",IF(OR(E66="",E63=""),"",IF(E63=0,"",(E66/E63)-1)))</f>
        <v/>
      </c>
      <c r="Q66" s="24">
        <f>IF(ROW()&lt;9,"",IF(OR(E66="",E61=""),"",IF(E61=0,"",(E66/E61)-1)))</f>
        <v/>
      </c>
      <c r="R66" s="24">
        <f>IF(ROW()&lt;7,"",IF(OR(G66="",G63=""),"",IF(G63=0,"",(G66/G63)-1)))</f>
        <v/>
      </c>
      <c r="S66" s="24">
        <f>IF(ROW()&lt;9,"",IF(OR(G66="",G61=""),"",IF(G61=0,"",(G66/G61)-1)))</f>
        <v/>
      </c>
      <c r="T66" s="24">
        <f>IF(ROW()&lt;7,"",IF(OR(L66="",L63=""),"",IF(L63=0,"",(L66/L63)-1)))</f>
        <v/>
      </c>
      <c r="U66" s="24">
        <f>IF(ROW()&lt;9,"",IF(OR(L66="",L61=""),"",IF(L61=0,"",(L66/L61)-1)))</f>
        <v/>
      </c>
      <c r="V66" s="24">
        <f>IF(ROW()&lt;7,"",IF(OR(N66="",N63=""),"",IF(N63=0,"",(N66/N63)-1)))</f>
        <v/>
      </c>
      <c r="W66" s="24">
        <f>IF(ROW()&lt;9,"",IF(OR(N66="",N61=""),"",IF(N61=0,"",(N66/N61)-1)))</f>
        <v/>
      </c>
      <c r="X66" s="24">
        <f>IF(OR(F66="",M66=""),"",F66-M66)</f>
        <v/>
      </c>
      <c r="Y66" s="24">
        <f>IF(OR(P66="",T66=""),"",P66-T66)</f>
        <v/>
      </c>
      <c r="Z66" s="24">
        <f>IF(OR(Q66="",U66=""),"",Q66-U66)</f>
        <v/>
      </c>
      <c r="AA66" s="24">
        <f>IF(OR(H66="",O66=""),"",H66-O66)</f>
        <v/>
      </c>
      <c r="AB66" s="24">
        <f>IF(OR(R66="",V66=""),"",R66-V66)</f>
        <v/>
      </c>
      <c r="AC66" s="24">
        <f>IF(OR(S66="",W66=""),"",S66-W66)</f>
        <v/>
      </c>
      <c r="AD66" s="13" t="n"/>
      <c r="AE66" s="24">
        <f>IF(OR(AD66="",AD65=""),"",IF(AD65=0,"",(AD66/AD65)-1))</f>
        <v/>
      </c>
      <c r="AF66" s="24">
        <f>IF(ROW()&lt;7,"",IF(OR(AD66="",AD63=""),"",IF(AD63=0,"",(AD66/AD63)-1)))</f>
        <v/>
      </c>
      <c r="AG66" s="24">
        <f>IF(ROW()&lt;9,"",IF(OR(AD66="",AD61=""),"",IF(AD61=0,"",(AD66/AD61)-1)))</f>
        <v/>
      </c>
      <c r="AH66" s="13">
        <f>IF(ROW()&lt;23,"",AVERAGE(AD47:AD66))</f>
        <v/>
      </c>
      <c r="AI66">
        <f>IF(OR(AD66="",AH66=""),"",IF(AD66&gt;AH66,"Bull","Bear"))</f>
        <v/>
      </c>
      <c r="AJ66" s="13" t="n"/>
      <c r="AK66" s="24">
        <f>IF(OR(AJ66="",AJ65=""),"",IF(AJ65=0,"",(AJ66/AJ65)-1))</f>
        <v/>
      </c>
      <c r="AL66" s="24">
        <f>IF(ROW()&lt;7,"",IF(OR(AJ66="",AJ63=""),"",IF(AJ63=0,"",(AJ66/AJ63)-1)))</f>
        <v/>
      </c>
      <c r="AM66" s="24">
        <f>IF(ROW()&lt;9,"",IF(OR(AJ66="",AJ61=""),"",IF(AJ61=0,"",(AJ66/AJ61)-1)))</f>
        <v/>
      </c>
      <c r="AN66" s="13">
        <f>IF(ROW()&lt;23,"",AVERAGE(AJ47:AJ66))</f>
        <v/>
      </c>
      <c r="AO66">
        <f>IF(OR(AJ66="",AN66=""),"",IF(AJ66&gt;AN66,"Bull","Bear"))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8">
        <f>IFERROR((M67/M66)-1,"")</f>
        <v/>
      </c>
      <c r="O67" s="24">
        <f>IF(OR(N67="",N66=""),"",IF(N66=0,"",(N67/N66)-1))</f>
        <v/>
      </c>
      <c r="P67" s="11">
        <f>IF(ROW()&lt;7,"",IF(OR(E67="",E64=""),"",IF(E64=0,"",(E67/E64)-1)))</f>
        <v/>
      </c>
      <c r="Q67" s="24">
        <f>IF(ROW()&lt;9,"",IF(OR(E67="",E62=""),"",IF(E62=0,"",(E67/E62)-1)))</f>
        <v/>
      </c>
      <c r="R67" s="24">
        <f>IF(ROW()&lt;7,"",IF(OR(G67="",G64=""),"",IF(G64=0,"",(G67/G64)-1)))</f>
        <v/>
      </c>
      <c r="S67" s="24">
        <f>IF(ROW()&lt;9,"",IF(OR(G67="",G62=""),"",IF(G62=0,"",(G67/G62)-1)))</f>
        <v/>
      </c>
      <c r="T67" s="24">
        <f>IF(ROW()&lt;7,"",IF(OR(L67="",L64=""),"",IF(L64=0,"",(L67/L64)-1)))</f>
        <v/>
      </c>
      <c r="U67" s="24">
        <f>IF(ROW()&lt;9,"",IF(OR(L67="",L62=""),"",IF(L62=0,"",(L67/L62)-1)))</f>
        <v/>
      </c>
      <c r="V67" s="24">
        <f>IF(ROW()&lt;7,"",IF(OR(N67="",N64=""),"",IF(N64=0,"",(N67/N64)-1)))</f>
        <v/>
      </c>
      <c r="W67" s="24">
        <f>IF(ROW()&lt;9,"",IF(OR(N67="",N62=""),"",IF(N62=0,"",(N67/N62)-1)))</f>
        <v/>
      </c>
      <c r="X67" s="24">
        <f>IF(OR(F67="",M67=""),"",F67-M67)</f>
        <v/>
      </c>
      <c r="Y67" s="24">
        <f>IF(OR(P67="",T67=""),"",P67-T67)</f>
        <v/>
      </c>
      <c r="Z67" s="24">
        <f>IF(OR(Q67="",U67=""),"",Q67-U67)</f>
        <v/>
      </c>
      <c r="AA67" s="24">
        <f>IF(OR(H67="",O67=""),"",H67-O67)</f>
        <v/>
      </c>
      <c r="AB67" s="24">
        <f>IF(OR(R67="",V67=""),"",R67-V67)</f>
        <v/>
      </c>
      <c r="AC67" s="24">
        <f>IF(OR(S67="",W67=""),"",S67-W67)</f>
        <v/>
      </c>
      <c r="AD67" s="13" t="n"/>
      <c r="AE67" s="24">
        <f>IF(OR(AD67="",AD66=""),"",IF(AD66=0,"",(AD67/AD66)-1))</f>
        <v/>
      </c>
      <c r="AF67" s="24">
        <f>IF(ROW()&lt;7,"",IF(OR(AD67="",AD64=""),"",IF(AD64=0,"",(AD67/AD64)-1)))</f>
        <v/>
      </c>
      <c r="AG67" s="24">
        <f>IF(ROW()&lt;9,"",IF(OR(AD67="",AD62=""),"",IF(AD62=0,"",(AD67/AD62)-1)))</f>
        <v/>
      </c>
      <c r="AH67" s="13">
        <f>IF(ROW()&lt;23,"",AVERAGE(AD48:AD67))</f>
        <v/>
      </c>
      <c r="AI67">
        <f>IF(OR(AD67="",AH67=""),"",IF(AD67&gt;AH67,"Bull","Bear"))</f>
        <v/>
      </c>
      <c r="AJ67" s="13" t="n"/>
      <c r="AK67" s="24">
        <f>IF(OR(AJ67="",AJ66=""),"",IF(AJ66=0,"",(AJ67/AJ66)-1))</f>
        <v/>
      </c>
      <c r="AL67" s="24">
        <f>IF(ROW()&lt;7,"",IF(OR(AJ67="",AJ64=""),"",IF(AJ64=0,"",(AJ67/AJ64)-1)))</f>
        <v/>
      </c>
      <c r="AM67" s="24">
        <f>IF(ROW()&lt;9,"",IF(OR(AJ67="",AJ62=""),"",IF(AJ62=0,"",(AJ67/AJ62)-1)))</f>
        <v/>
      </c>
      <c r="AN67" s="13">
        <f>IF(ROW()&lt;23,"",AVERAGE(AJ48:AJ67))</f>
        <v/>
      </c>
      <c r="AO67">
        <f>IF(OR(AJ67="",AN67=""),"",IF(AJ67&gt;AN67,"Bull","Bear"))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8">
        <f>IFERROR((M68/M67)-1,"")</f>
        <v/>
      </c>
      <c r="O68" s="24">
        <f>IF(OR(N68="",N67=""),"",IF(N67=0,"",(N68/N67)-1))</f>
        <v/>
      </c>
      <c r="P68" s="11">
        <f>IF(ROW()&lt;7,"",IF(OR(E68="",E65=""),"",IF(E65=0,"",(E68/E65)-1)))</f>
        <v/>
      </c>
      <c r="Q68" s="24">
        <f>IF(ROW()&lt;9,"",IF(OR(E68="",E63=""),"",IF(E63=0,"",(E68/E63)-1)))</f>
        <v/>
      </c>
      <c r="R68" s="24">
        <f>IF(ROW()&lt;7,"",IF(OR(G68="",G65=""),"",IF(G65=0,"",(G68/G65)-1)))</f>
        <v/>
      </c>
      <c r="S68" s="24">
        <f>IF(ROW()&lt;9,"",IF(OR(G68="",G63=""),"",IF(G63=0,"",(G68/G63)-1)))</f>
        <v/>
      </c>
      <c r="T68" s="24">
        <f>IF(ROW()&lt;7,"",IF(OR(L68="",L65=""),"",IF(L65=0,"",(L68/L65)-1)))</f>
        <v/>
      </c>
      <c r="U68" s="24">
        <f>IF(ROW()&lt;9,"",IF(OR(L68="",L63=""),"",IF(L63=0,"",(L68/L63)-1)))</f>
        <v/>
      </c>
      <c r="V68" s="24">
        <f>IF(ROW()&lt;7,"",IF(OR(N68="",N65=""),"",IF(N65=0,"",(N68/N65)-1)))</f>
        <v/>
      </c>
      <c r="W68" s="24">
        <f>IF(ROW()&lt;9,"",IF(OR(N68="",N63=""),"",IF(N63=0,"",(N68/N63)-1)))</f>
        <v/>
      </c>
      <c r="X68" s="24">
        <f>IF(OR(F68="",M68=""),"",F68-M68)</f>
        <v/>
      </c>
      <c r="Y68" s="24">
        <f>IF(OR(P68="",T68=""),"",P68-T68)</f>
        <v/>
      </c>
      <c r="Z68" s="24">
        <f>IF(OR(Q68="",U68=""),"",Q68-U68)</f>
        <v/>
      </c>
      <c r="AA68" s="24">
        <f>IF(OR(H68="",O68=""),"",H68-O68)</f>
        <v/>
      </c>
      <c r="AB68" s="24">
        <f>IF(OR(R68="",V68=""),"",R68-V68)</f>
        <v/>
      </c>
      <c r="AC68" s="24">
        <f>IF(OR(S68="",W68=""),"",S68-W68)</f>
        <v/>
      </c>
      <c r="AD68" s="13" t="n"/>
      <c r="AE68" s="24">
        <f>IF(OR(AD68="",AD67=""),"",IF(AD67=0,"",(AD68/AD67)-1))</f>
        <v/>
      </c>
      <c r="AF68" s="24">
        <f>IF(ROW()&lt;7,"",IF(OR(AD68="",AD65=""),"",IF(AD65=0,"",(AD68/AD65)-1)))</f>
        <v/>
      </c>
      <c r="AG68" s="24">
        <f>IF(ROW()&lt;9,"",IF(OR(AD68="",AD63=""),"",IF(AD63=0,"",(AD68/AD63)-1)))</f>
        <v/>
      </c>
      <c r="AH68" s="13">
        <f>IF(ROW()&lt;23,"",AVERAGE(AD49:AD68))</f>
        <v/>
      </c>
      <c r="AI68">
        <f>IF(OR(AD68="",AH68=""),"",IF(AD68&gt;AH68,"Bull","Bear"))</f>
        <v/>
      </c>
      <c r="AJ68" s="13" t="n"/>
      <c r="AK68" s="24">
        <f>IF(OR(AJ68="",AJ67=""),"",IF(AJ67=0,"",(AJ68/AJ67)-1))</f>
        <v/>
      </c>
      <c r="AL68" s="24">
        <f>IF(ROW()&lt;7,"",IF(OR(AJ68="",AJ65=""),"",IF(AJ65=0,"",(AJ68/AJ65)-1)))</f>
        <v/>
      </c>
      <c r="AM68" s="24">
        <f>IF(ROW()&lt;9,"",IF(OR(AJ68="",AJ63=""),"",IF(AJ63=0,"",(AJ68/AJ63)-1)))</f>
        <v/>
      </c>
      <c r="AN68" s="13">
        <f>IF(ROW()&lt;23,"",AVERAGE(AJ49:AJ68))</f>
        <v/>
      </c>
      <c r="AO68">
        <f>IF(OR(AJ68="",AN68=""),"",IF(AJ68&gt;AN68,"Bull","Bear"))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8">
        <f>IFERROR((M69/M68)-1,"")</f>
        <v/>
      </c>
      <c r="O69" s="24">
        <f>IF(OR(N69="",N68=""),"",IF(N68=0,"",(N69/N68)-1))</f>
        <v/>
      </c>
      <c r="P69" s="11">
        <f>IF(ROW()&lt;7,"",IF(OR(E69="",E66=""),"",IF(E66=0,"",(E69/E66)-1)))</f>
        <v/>
      </c>
      <c r="Q69" s="24">
        <f>IF(ROW()&lt;9,"",IF(OR(E69="",E64=""),"",IF(E64=0,"",(E69/E64)-1)))</f>
        <v/>
      </c>
      <c r="R69" s="24">
        <f>IF(ROW()&lt;7,"",IF(OR(G69="",G66=""),"",IF(G66=0,"",(G69/G66)-1)))</f>
        <v/>
      </c>
      <c r="S69" s="24">
        <f>IF(ROW()&lt;9,"",IF(OR(G69="",G64=""),"",IF(G64=0,"",(G69/G64)-1)))</f>
        <v/>
      </c>
      <c r="T69" s="24">
        <f>IF(ROW()&lt;7,"",IF(OR(L69="",L66=""),"",IF(L66=0,"",(L69/L66)-1)))</f>
        <v/>
      </c>
      <c r="U69" s="24">
        <f>IF(ROW()&lt;9,"",IF(OR(L69="",L64=""),"",IF(L64=0,"",(L69/L64)-1)))</f>
        <v/>
      </c>
      <c r="V69" s="24">
        <f>IF(ROW()&lt;7,"",IF(OR(N69="",N66=""),"",IF(N66=0,"",(N69/N66)-1)))</f>
        <v/>
      </c>
      <c r="W69" s="24">
        <f>IF(ROW()&lt;9,"",IF(OR(N69="",N64=""),"",IF(N64=0,"",(N69/N64)-1)))</f>
        <v/>
      </c>
      <c r="X69" s="24">
        <f>IF(OR(F69="",M69=""),"",F69-M69)</f>
        <v/>
      </c>
      <c r="Y69" s="24">
        <f>IF(OR(P69="",T69=""),"",P69-T69)</f>
        <v/>
      </c>
      <c r="Z69" s="24">
        <f>IF(OR(Q69="",U69=""),"",Q69-U69)</f>
        <v/>
      </c>
      <c r="AA69" s="24">
        <f>IF(OR(H69="",O69=""),"",H69-O69)</f>
        <v/>
      </c>
      <c r="AB69" s="24">
        <f>IF(OR(R69="",V69=""),"",R69-V69)</f>
        <v/>
      </c>
      <c r="AC69" s="24">
        <f>IF(OR(S69="",W69=""),"",S69-W69)</f>
        <v/>
      </c>
      <c r="AD69" s="13" t="n"/>
      <c r="AE69" s="24">
        <f>IF(OR(AD69="",AD68=""),"",IF(AD68=0,"",(AD69/AD68)-1))</f>
        <v/>
      </c>
      <c r="AF69" s="24">
        <f>IF(ROW()&lt;7,"",IF(OR(AD69="",AD66=""),"",IF(AD66=0,"",(AD69/AD66)-1)))</f>
        <v/>
      </c>
      <c r="AG69" s="24">
        <f>IF(ROW()&lt;9,"",IF(OR(AD69="",AD64=""),"",IF(AD64=0,"",(AD69/AD64)-1)))</f>
        <v/>
      </c>
      <c r="AH69" s="13">
        <f>IF(ROW()&lt;23,"",AVERAGE(AD50:AD69))</f>
        <v/>
      </c>
      <c r="AI69">
        <f>IF(OR(AD69="",AH69=""),"",IF(AD69&gt;AH69,"Bull","Bear"))</f>
        <v/>
      </c>
      <c r="AJ69" s="13" t="n"/>
      <c r="AK69" s="24">
        <f>IF(OR(AJ69="",AJ68=""),"",IF(AJ68=0,"",(AJ69/AJ68)-1))</f>
        <v/>
      </c>
      <c r="AL69" s="24">
        <f>IF(ROW()&lt;7,"",IF(OR(AJ69="",AJ66=""),"",IF(AJ66=0,"",(AJ69/AJ66)-1)))</f>
        <v/>
      </c>
      <c r="AM69" s="24">
        <f>IF(ROW()&lt;9,"",IF(OR(AJ69="",AJ64=""),"",IF(AJ64=0,"",(AJ69/AJ64)-1)))</f>
        <v/>
      </c>
      <c r="AN69" s="13">
        <f>IF(ROW()&lt;23,"",AVERAGE(AJ50:AJ69))</f>
        <v/>
      </c>
      <c r="AO69">
        <f>IF(OR(AJ69="",AN69=""),"",IF(AJ69&gt;AN69,"Bull","Bear"))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8">
        <f>IFERROR((M70/M69)-1,"")</f>
        <v/>
      </c>
      <c r="O70" s="24">
        <f>IF(OR(N70="",N69=""),"",IF(N69=0,"",(N70/N69)-1))</f>
        <v/>
      </c>
      <c r="P70" s="11">
        <f>IF(ROW()&lt;7,"",IF(OR(E70="",E67=""),"",IF(E67=0,"",(E70/E67)-1)))</f>
        <v/>
      </c>
      <c r="Q70" s="24">
        <f>IF(ROW()&lt;9,"",IF(OR(E70="",E65=""),"",IF(E65=0,"",(E70/E65)-1)))</f>
        <v/>
      </c>
      <c r="R70" s="24">
        <f>IF(ROW()&lt;7,"",IF(OR(G70="",G67=""),"",IF(G67=0,"",(G70/G67)-1)))</f>
        <v/>
      </c>
      <c r="S70" s="24">
        <f>IF(ROW()&lt;9,"",IF(OR(G70="",G65=""),"",IF(G65=0,"",(G70/G65)-1)))</f>
        <v/>
      </c>
      <c r="T70" s="24">
        <f>IF(ROW()&lt;7,"",IF(OR(L70="",L67=""),"",IF(L67=0,"",(L70/L67)-1)))</f>
        <v/>
      </c>
      <c r="U70" s="24">
        <f>IF(ROW()&lt;9,"",IF(OR(L70="",L65=""),"",IF(L65=0,"",(L70/L65)-1)))</f>
        <v/>
      </c>
      <c r="V70" s="24">
        <f>IF(ROW()&lt;7,"",IF(OR(N70="",N67=""),"",IF(N67=0,"",(N70/N67)-1)))</f>
        <v/>
      </c>
      <c r="W70" s="24">
        <f>IF(ROW()&lt;9,"",IF(OR(N70="",N65=""),"",IF(N65=0,"",(N70/N65)-1)))</f>
        <v/>
      </c>
      <c r="X70" s="24">
        <f>IF(OR(F70="",M70=""),"",F70-M70)</f>
        <v/>
      </c>
      <c r="Y70" s="24">
        <f>IF(OR(P70="",T70=""),"",P70-T70)</f>
        <v/>
      </c>
      <c r="Z70" s="24">
        <f>IF(OR(Q70="",U70=""),"",Q70-U70)</f>
        <v/>
      </c>
      <c r="AA70" s="24">
        <f>IF(OR(H70="",O70=""),"",H70-O70)</f>
        <v/>
      </c>
      <c r="AB70" s="24">
        <f>IF(OR(R70="",V70=""),"",R70-V70)</f>
        <v/>
      </c>
      <c r="AC70" s="24">
        <f>IF(OR(S70="",W70=""),"",S70-W70)</f>
        <v/>
      </c>
      <c r="AD70" s="13" t="n"/>
      <c r="AE70" s="24">
        <f>IF(OR(AD70="",AD69=""),"",IF(AD69=0,"",(AD70/AD69)-1))</f>
        <v/>
      </c>
      <c r="AF70" s="24">
        <f>IF(ROW()&lt;7,"",IF(OR(AD70="",AD67=""),"",IF(AD67=0,"",(AD70/AD67)-1)))</f>
        <v/>
      </c>
      <c r="AG70" s="24">
        <f>IF(ROW()&lt;9,"",IF(OR(AD70="",AD65=""),"",IF(AD65=0,"",(AD70/AD65)-1)))</f>
        <v/>
      </c>
      <c r="AH70" s="13">
        <f>IF(ROW()&lt;23,"",AVERAGE(AD51:AD70))</f>
        <v/>
      </c>
      <c r="AI70">
        <f>IF(OR(AD70="",AH70=""),"",IF(AD70&gt;AH70,"Bull","Bear"))</f>
        <v/>
      </c>
      <c r="AJ70" s="13" t="n"/>
      <c r="AK70" s="24">
        <f>IF(OR(AJ70="",AJ69=""),"",IF(AJ69=0,"",(AJ70/AJ69)-1))</f>
        <v/>
      </c>
      <c r="AL70" s="24">
        <f>IF(ROW()&lt;7,"",IF(OR(AJ70="",AJ67=""),"",IF(AJ67=0,"",(AJ70/AJ67)-1)))</f>
        <v/>
      </c>
      <c r="AM70" s="24">
        <f>IF(ROW()&lt;9,"",IF(OR(AJ70="",AJ65=""),"",IF(AJ65=0,"",(AJ70/AJ65)-1)))</f>
        <v/>
      </c>
      <c r="AN70" s="13">
        <f>IF(ROW()&lt;23,"",AVERAGE(AJ51:AJ70))</f>
        <v/>
      </c>
      <c r="AO70">
        <f>IF(OR(AJ70="",AN70=""),"",IF(AJ70&gt;AN70,"Bull","Bear"))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8">
        <f>IFERROR((M71/M70)-1,"")</f>
        <v/>
      </c>
      <c r="O71" s="24">
        <f>IF(OR(N71="",N70=""),"",IF(N70=0,"",(N71/N70)-1))</f>
        <v/>
      </c>
      <c r="P71" s="11">
        <f>IF(ROW()&lt;7,"",IF(OR(E71="",E68=""),"",IF(E68=0,"",(E71/E68)-1)))</f>
        <v/>
      </c>
      <c r="Q71" s="24">
        <f>IF(ROW()&lt;9,"",IF(OR(E71="",E66=""),"",IF(E66=0,"",(E71/E66)-1)))</f>
        <v/>
      </c>
      <c r="R71" s="24">
        <f>IF(ROW()&lt;7,"",IF(OR(G71="",G68=""),"",IF(G68=0,"",(G71/G68)-1)))</f>
        <v/>
      </c>
      <c r="S71" s="24">
        <f>IF(ROW()&lt;9,"",IF(OR(G71="",G66=""),"",IF(G66=0,"",(G71/G66)-1)))</f>
        <v/>
      </c>
      <c r="T71" s="24">
        <f>IF(ROW()&lt;7,"",IF(OR(L71="",L68=""),"",IF(L68=0,"",(L71/L68)-1)))</f>
        <v/>
      </c>
      <c r="U71" s="24">
        <f>IF(ROW()&lt;9,"",IF(OR(L71="",L66=""),"",IF(L66=0,"",(L71/L66)-1)))</f>
        <v/>
      </c>
      <c r="V71" s="24">
        <f>IF(ROW()&lt;7,"",IF(OR(N71="",N68=""),"",IF(N68=0,"",(N71/N68)-1)))</f>
        <v/>
      </c>
      <c r="W71" s="24">
        <f>IF(ROW()&lt;9,"",IF(OR(N71="",N66=""),"",IF(N66=0,"",(N71/N66)-1)))</f>
        <v/>
      </c>
      <c r="X71" s="24">
        <f>IF(OR(F71="",M71=""),"",F71-M71)</f>
        <v/>
      </c>
      <c r="Y71" s="24">
        <f>IF(OR(P71="",T71=""),"",P71-T71)</f>
        <v/>
      </c>
      <c r="Z71" s="24">
        <f>IF(OR(Q71="",U71=""),"",Q71-U71)</f>
        <v/>
      </c>
      <c r="AA71" s="24">
        <f>IF(OR(H71="",O71=""),"",H71-O71)</f>
        <v/>
      </c>
      <c r="AB71" s="24">
        <f>IF(OR(R71="",V71=""),"",R71-V71)</f>
        <v/>
      </c>
      <c r="AC71" s="24">
        <f>IF(OR(S71="",W71=""),"",S71-W71)</f>
        <v/>
      </c>
      <c r="AD71" s="13" t="n"/>
      <c r="AE71" s="24">
        <f>IF(OR(AD71="",AD70=""),"",IF(AD70=0,"",(AD71/AD70)-1))</f>
        <v/>
      </c>
      <c r="AF71" s="24">
        <f>IF(ROW()&lt;7,"",IF(OR(AD71="",AD68=""),"",IF(AD68=0,"",(AD71/AD68)-1)))</f>
        <v/>
      </c>
      <c r="AG71" s="24">
        <f>IF(ROW()&lt;9,"",IF(OR(AD71="",AD66=""),"",IF(AD66=0,"",(AD71/AD66)-1)))</f>
        <v/>
      </c>
      <c r="AH71" s="13">
        <f>IF(ROW()&lt;23,"",AVERAGE(AD52:AD71))</f>
        <v/>
      </c>
      <c r="AI71">
        <f>IF(OR(AD71="",AH71=""),"",IF(AD71&gt;AH71,"Bull","Bear"))</f>
        <v/>
      </c>
      <c r="AJ71" s="13" t="n"/>
      <c r="AK71" s="24">
        <f>IF(OR(AJ71="",AJ70=""),"",IF(AJ70=0,"",(AJ71/AJ70)-1))</f>
        <v/>
      </c>
      <c r="AL71" s="24">
        <f>IF(ROW()&lt;7,"",IF(OR(AJ71="",AJ68=""),"",IF(AJ68=0,"",(AJ71/AJ68)-1)))</f>
        <v/>
      </c>
      <c r="AM71" s="24">
        <f>IF(ROW()&lt;9,"",IF(OR(AJ71="",AJ66=""),"",IF(AJ66=0,"",(AJ71/AJ66)-1)))</f>
        <v/>
      </c>
      <c r="AN71" s="13">
        <f>IF(ROW()&lt;23,"",AVERAGE(AJ52:AJ71))</f>
        <v/>
      </c>
      <c r="AO71">
        <f>IF(OR(AJ71="",AN71=""),"",IF(AJ71&gt;AN71,"Bull","Bear"))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8">
        <f>IFERROR((M72/M71)-1,"")</f>
        <v/>
      </c>
      <c r="O72" s="24">
        <f>IF(OR(N72="",N71=""),"",IF(N71=0,"",(N72/N71)-1))</f>
        <v/>
      </c>
      <c r="P72" s="11">
        <f>IF(ROW()&lt;7,"",IF(OR(E72="",E69=""),"",IF(E69=0,"",(E72/E69)-1)))</f>
        <v/>
      </c>
      <c r="Q72" s="24">
        <f>IF(ROW()&lt;9,"",IF(OR(E72="",E67=""),"",IF(E67=0,"",(E72/E67)-1)))</f>
        <v/>
      </c>
      <c r="R72" s="24">
        <f>IF(ROW()&lt;7,"",IF(OR(G72="",G69=""),"",IF(G69=0,"",(G72/G69)-1)))</f>
        <v/>
      </c>
      <c r="S72" s="24">
        <f>IF(ROW()&lt;9,"",IF(OR(G72="",G67=""),"",IF(G67=0,"",(G72/G67)-1)))</f>
        <v/>
      </c>
      <c r="T72" s="24">
        <f>IF(ROW()&lt;7,"",IF(OR(L72="",L69=""),"",IF(L69=0,"",(L72/L69)-1)))</f>
        <v/>
      </c>
      <c r="U72" s="24">
        <f>IF(ROW()&lt;9,"",IF(OR(L72="",L67=""),"",IF(L67=0,"",(L72/L67)-1)))</f>
        <v/>
      </c>
      <c r="V72" s="24">
        <f>IF(ROW()&lt;7,"",IF(OR(N72="",N69=""),"",IF(N69=0,"",(N72/N69)-1)))</f>
        <v/>
      </c>
      <c r="W72" s="24">
        <f>IF(ROW()&lt;9,"",IF(OR(N72="",N67=""),"",IF(N67=0,"",(N72/N67)-1)))</f>
        <v/>
      </c>
      <c r="X72" s="24">
        <f>IF(OR(F72="",M72=""),"",F72-M72)</f>
        <v/>
      </c>
      <c r="Y72" s="24">
        <f>IF(OR(P72="",T72=""),"",P72-T72)</f>
        <v/>
      </c>
      <c r="Z72" s="24">
        <f>IF(OR(Q72="",U72=""),"",Q72-U72)</f>
        <v/>
      </c>
      <c r="AA72" s="24">
        <f>IF(OR(H72="",O72=""),"",H72-O72)</f>
        <v/>
      </c>
      <c r="AB72" s="24">
        <f>IF(OR(R72="",V72=""),"",R72-V72)</f>
        <v/>
      </c>
      <c r="AC72" s="24">
        <f>IF(OR(S72="",W72=""),"",S72-W72)</f>
        <v/>
      </c>
      <c r="AD72" s="13" t="n"/>
      <c r="AE72" s="24">
        <f>IF(OR(AD72="",AD71=""),"",IF(AD71=0,"",(AD72/AD71)-1))</f>
        <v/>
      </c>
      <c r="AF72" s="24">
        <f>IF(ROW()&lt;7,"",IF(OR(AD72="",AD69=""),"",IF(AD69=0,"",(AD72/AD69)-1)))</f>
        <v/>
      </c>
      <c r="AG72" s="24">
        <f>IF(ROW()&lt;9,"",IF(OR(AD72="",AD67=""),"",IF(AD67=0,"",(AD72/AD67)-1)))</f>
        <v/>
      </c>
      <c r="AH72" s="13">
        <f>IF(ROW()&lt;23,"",AVERAGE(AD53:AD72))</f>
        <v/>
      </c>
      <c r="AI72">
        <f>IF(OR(AD72="",AH72=""),"",IF(AD72&gt;AH72,"Bull","Bear"))</f>
        <v/>
      </c>
      <c r="AJ72" s="13" t="n"/>
      <c r="AK72" s="24">
        <f>IF(OR(AJ72="",AJ71=""),"",IF(AJ71=0,"",(AJ72/AJ71)-1))</f>
        <v/>
      </c>
      <c r="AL72" s="24">
        <f>IF(ROW()&lt;7,"",IF(OR(AJ72="",AJ69=""),"",IF(AJ69=0,"",(AJ72/AJ69)-1)))</f>
        <v/>
      </c>
      <c r="AM72" s="24">
        <f>IF(ROW()&lt;9,"",IF(OR(AJ72="",AJ67=""),"",IF(AJ67=0,"",(AJ72/AJ67)-1)))</f>
        <v/>
      </c>
      <c r="AN72" s="13">
        <f>IF(ROW()&lt;23,"",AVERAGE(AJ53:AJ72))</f>
        <v/>
      </c>
      <c r="AO72">
        <f>IF(OR(AJ72="",AN72=""),"",IF(AJ72&gt;AN72,"Bull","Bear"))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8">
        <f>IFERROR((M73/M72)-1,"")</f>
        <v/>
      </c>
      <c r="O73" s="24">
        <f>IF(OR(N73="",N72=""),"",IF(N72=0,"",(N73/N72)-1))</f>
        <v/>
      </c>
      <c r="P73" s="11">
        <f>IF(ROW()&lt;7,"",IF(OR(E73="",E70=""),"",IF(E70=0,"",(E73/E70)-1)))</f>
        <v/>
      </c>
      <c r="Q73" s="24">
        <f>IF(ROW()&lt;9,"",IF(OR(E73="",E68=""),"",IF(E68=0,"",(E73/E68)-1)))</f>
        <v/>
      </c>
      <c r="R73" s="24">
        <f>IF(ROW()&lt;7,"",IF(OR(G73="",G70=""),"",IF(G70=0,"",(G73/G70)-1)))</f>
        <v/>
      </c>
      <c r="S73" s="24">
        <f>IF(ROW()&lt;9,"",IF(OR(G73="",G68=""),"",IF(G68=0,"",(G73/G68)-1)))</f>
        <v/>
      </c>
      <c r="T73" s="24">
        <f>IF(ROW()&lt;7,"",IF(OR(L73="",L70=""),"",IF(L70=0,"",(L73/L70)-1)))</f>
        <v/>
      </c>
      <c r="U73" s="24">
        <f>IF(ROW()&lt;9,"",IF(OR(L73="",L68=""),"",IF(L68=0,"",(L73/L68)-1)))</f>
        <v/>
      </c>
      <c r="V73" s="24">
        <f>IF(ROW()&lt;7,"",IF(OR(N73="",N70=""),"",IF(N70=0,"",(N73/N70)-1)))</f>
        <v/>
      </c>
      <c r="W73" s="24">
        <f>IF(ROW()&lt;9,"",IF(OR(N73="",N68=""),"",IF(N68=0,"",(N73/N68)-1)))</f>
        <v/>
      </c>
      <c r="X73" s="24">
        <f>IF(OR(F73="",M73=""),"",F73-M73)</f>
        <v/>
      </c>
      <c r="Y73" s="24">
        <f>IF(OR(P73="",T73=""),"",P73-T73)</f>
        <v/>
      </c>
      <c r="Z73" s="24">
        <f>IF(OR(Q73="",U73=""),"",Q73-U73)</f>
        <v/>
      </c>
      <c r="AA73" s="24">
        <f>IF(OR(H73="",O73=""),"",H73-O73)</f>
        <v/>
      </c>
      <c r="AB73" s="24">
        <f>IF(OR(R73="",V73=""),"",R73-V73)</f>
        <v/>
      </c>
      <c r="AC73" s="24">
        <f>IF(OR(S73="",W73=""),"",S73-W73)</f>
        <v/>
      </c>
      <c r="AD73" s="13" t="n"/>
      <c r="AE73" s="24">
        <f>IF(OR(AD73="",AD72=""),"",IF(AD72=0,"",(AD73/AD72)-1))</f>
        <v/>
      </c>
      <c r="AF73" s="24">
        <f>IF(ROW()&lt;7,"",IF(OR(AD73="",AD70=""),"",IF(AD70=0,"",(AD73/AD70)-1)))</f>
        <v/>
      </c>
      <c r="AG73" s="24">
        <f>IF(ROW()&lt;9,"",IF(OR(AD73="",AD68=""),"",IF(AD68=0,"",(AD73/AD68)-1)))</f>
        <v/>
      </c>
      <c r="AH73" s="13">
        <f>IF(ROW()&lt;23,"",AVERAGE(AD54:AD73))</f>
        <v/>
      </c>
      <c r="AI73">
        <f>IF(OR(AD73="",AH73=""),"",IF(AD73&gt;AH73,"Bull","Bear"))</f>
        <v/>
      </c>
      <c r="AJ73" s="13" t="n"/>
      <c r="AK73" s="24">
        <f>IF(OR(AJ73="",AJ72=""),"",IF(AJ72=0,"",(AJ73/AJ72)-1))</f>
        <v/>
      </c>
      <c r="AL73" s="24">
        <f>IF(ROW()&lt;7,"",IF(OR(AJ73="",AJ70=""),"",IF(AJ70=0,"",(AJ73/AJ70)-1)))</f>
        <v/>
      </c>
      <c r="AM73" s="24">
        <f>IF(ROW()&lt;9,"",IF(OR(AJ73="",AJ68=""),"",IF(AJ68=0,"",(AJ73/AJ68)-1)))</f>
        <v/>
      </c>
      <c r="AN73" s="13">
        <f>IF(ROW()&lt;23,"",AVERAGE(AJ54:AJ73))</f>
        <v/>
      </c>
      <c r="AO73">
        <f>IF(OR(AJ73="",AN73=""),"",IF(AJ73&gt;AN73,"Bull","Bear"))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8">
        <f>IFERROR((M74/M73)-1,"")</f>
        <v/>
      </c>
      <c r="O74" s="24">
        <f>IF(OR(N74="",N73=""),"",IF(N73=0,"",(N74/N73)-1))</f>
        <v/>
      </c>
      <c r="P74" s="11">
        <f>IF(ROW()&lt;7,"",IF(OR(E74="",E71=""),"",IF(E71=0,"",(E74/E71)-1)))</f>
        <v/>
      </c>
      <c r="Q74" s="24">
        <f>IF(ROW()&lt;9,"",IF(OR(E74="",E69=""),"",IF(E69=0,"",(E74/E69)-1)))</f>
        <v/>
      </c>
      <c r="R74" s="24">
        <f>IF(ROW()&lt;7,"",IF(OR(G74="",G71=""),"",IF(G71=0,"",(G74/G71)-1)))</f>
        <v/>
      </c>
      <c r="S74" s="24">
        <f>IF(ROW()&lt;9,"",IF(OR(G74="",G69=""),"",IF(G69=0,"",(G74/G69)-1)))</f>
        <v/>
      </c>
      <c r="T74" s="24">
        <f>IF(ROW()&lt;7,"",IF(OR(L74="",L71=""),"",IF(L71=0,"",(L74/L71)-1)))</f>
        <v/>
      </c>
      <c r="U74" s="24">
        <f>IF(ROW()&lt;9,"",IF(OR(L74="",L69=""),"",IF(L69=0,"",(L74/L69)-1)))</f>
        <v/>
      </c>
      <c r="V74" s="24">
        <f>IF(ROW()&lt;7,"",IF(OR(N74="",N71=""),"",IF(N71=0,"",(N74/N71)-1)))</f>
        <v/>
      </c>
      <c r="W74" s="24">
        <f>IF(ROW()&lt;9,"",IF(OR(N74="",N69=""),"",IF(N69=0,"",(N74/N69)-1)))</f>
        <v/>
      </c>
      <c r="X74" s="24">
        <f>IF(OR(F74="",M74=""),"",F74-M74)</f>
        <v/>
      </c>
      <c r="Y74" s="24">
        <f>IF(OR(P74="",T74=""),"",P74-T74)</f>
        <v/>
      </c>
      <c r="Z74" s="24">
        <f>IF(OR(Q74="",U74=""),"",Q74-U74)</f>
        <v/>
      </c>
      <c r="AA74" s="24">
        <f>IF(OR(H74="",O74=""),"",H74-O74)</f>
        <v/>
      </c>
      <c r="AB74" s="24">
        <f>IF(OR(R74="",V74=""),"",R74-V74)</f>
        <v/>
      </c>
      <c r="AC74" s="24">
        <f>IF(OR(S74="",W74=""),"",S74-W74)</f>
        <v/>
      </c>
      <c r="AD74" s="13" t="n"/>
      <c r="AE74" s="24">
        <f>IF(OR(AD74="",AD73=""),"",IF(AD73=0,"",(AD74/AD73)-1))</f>
        <v/>
      </c>
      <c r="AF74" s="24">
        <f>IF(ROW()&lt;7,"",IF(OR(AD74="",AD71=""),"",IF(AD71=0,"",(AD74/AD71)-1)))</f>
        <v/>
      </c>
      <c r="AG74" s="24">
        <f>IF(ROW()&lt;9,"",IF(OR(AD74="",AD69=""),"",IF(AD69=0,"",(AD74/AD69)-1)))</f>
        <v/>
      </c>
      <c r="AH74" s="13">
        <f>IF(ROW()&lt;23,"",AVERAGE(AD55:AD74))</f>
        <v/>
      </c>
      <c r="AI74">
        <f>IF(OR(AD74="",AH74=""),"",IF(AD74&gt;AH74,"Bull","Bear"))</f>
        <v/>
      </c>
      <c r="AJ74" s="13" t="n"/>
      <c r="AK74" s="24">
        <f>IF(OR(AJ74="",AJ73=""),"",IF(AJ73=0,"",(AJ74/AJ73)-1))</f>
        <v/>
      </c>
      <c r="AL74" s="24">
        <f>IF(ROW()&lt;7,"",IF(OR(AJ74="",AJ71=""),"",IF(AJ71=0,"",(AJ74/AJ71)-1)))</f>
        <v/>
      </c>
      <c r="AM74" s="24">
        <f>IF(ROW()&lt;9,"",IF(OR(AJ74="",AJ69=""),"",IF(AJ69=0,"",(AJ74/AJ69)-1)))</f>
        <v/>
      </c>
      <c r="AN74" s="13">
        <f>IF(ROW()&lt;23,"",AVERAGE(AJ55:AJ74))</f>
        <v/>
      </c>
      <c r="AO74">
        <f>IF(OR(AJ74="",AN74=""),"",IF(AJ74&gt;AN74,"Bull","Bear"))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8">
        <f>IFERROR((M75/M74)-1,"")</f>
        <v/>
      </c>
      <c r="O75" s="24">
        <f>IF(OR(N75="",N74=""),"",IF(N74=0,"",(N75/N74)-1))</f>
        <v/>
      </c>
      <c r="P75" s="11">
        <f>IF(ROW()&lt;7,"",IF(OR(E75="",E72=""),"",IF(E72=0,"",(E75/E72)-1)))</f>
        <v/>
      </c>
      <c r="Q75" s="24">
        <f>IF(ROW()&lt;9,"",IF(OR(E75="",E70=""),"",IF(E70=0,"",(E75/E70)-1)))</f>
        <v/>
      </c>
      <c r="R75" s="24">
        <f>IF(ROW()&lt;7,"",IF(OR(G75="",G72=""),"",IF(G72=0,"",(G75/G72)-1)))</f>
        <v/>
      </c>
      <c r="S75" s="24">
        <f>IF(ROW()&lt;9,"",IF(OR(G75="",G70=""),"",IF(G70=0,"",(G75/G70)-1)))</f>
        <v/>
      </c>
      <c r="T75" s="24">
        <f>IF(ROW()&lt;7,"",IF(OR(L75="",L72=""),"",IF(L72=0,"",(L75/L72)-1)))</f>
        <v/>
      </c>
      <c r="U75" s="24">
        <f>IF(ROW()&lt;9,"",IF(OR(L75="",L70=""),"",IF(L70=0,"",(L75/L70)-1)))</f>
        <v/>
      </c>
      <c r="V75" s="24">
        <f>IF(ROW()&lt;7,"",IF(OR(N75="",N72=""),"",IF(N72=0,"",(N75/N72)-1)))</f>
        <v/>
      </c>
      <c r="W75" s="24">
        <f>IF(ROW()&lt;9,"",IF(OR(N75="",N70=""),"",IF(N70=0,"",(N75/N70)-1)))</f>
        <v/>
      </c>
      <c r="X75" s="24">
        <f>IF(OR(F75="",M75=""),"",F75-M75)</f>
        <v/>
      </c>
      <c r="Y75" s="24">
        <f>IF(OR(P75="",T75=""),"",P75-T75)</f>
        <v/>
      </c>
      <c r="Z75" s="24">
        <f>IF(OR(Q75="",U75=""),"",Q75-U75)</f>
        <v/>
      </c>
      <c r="AA75" s="24">
        <f>IF(OR(H75="",O75=""),"",H75-O75)</f>
        <v/>
      </c>
      <c r="AB75" s="24">
        <f>IF(OR(R75="",V75=""),"",R75-V75)</f>
        <v/>
      </c>
      <c r="AC75" s="24">
        <f>IF(OR(S75="",W75=""),"",S75-W75)</f>
        <v/>
      </c>
      <c r="AD75" s="13" t="n"/>
      <c r="AE75" s="24">
        <f>IF(OR(AD75="",AD74=""),"",IF(AD74=0,"",(AD75/AD74)-1))</f>
        <v/>
      </c>
      <c r="AF75" s="24">
        <f>IF(ROW()&lt;7,"",IF(OR(AD75="",AD72=""),"",IF(AD72=0,"",(AD75/AD72)-1)))</f>
        <v/>
      </c>
      <c r="AG75" s="24">
        <f>IF(ROW()&lt;9,"",IF(OR(AD75="",AD70=""),"",IF(AD70=0,"",(AD75/AD70)-1)))</f>
        <v/>
      </c>
      <c r="AH75" s="13">
        <f>IF(ROW()&lt;23,"",AVERAGE(AD56:AD75))</f>
        <v/>
      </c>
      <c r="AI75">
        <f>IF(OR(AD75="",AH75=""),"",IF(AD75&gt;AH75,"Bull","Bear"))</f>
        <v/>
      </c>
      <c r="AJ75" s="13" t="n"/>
      <c r="AK75" s="24">
        <f>IF(OR(AJ75="",AJ74=""),"",IF(AJ74=0,"",(AJ75/AJ74)-1))</f>
        <v/>
      </c>
      <c r="AL75" s="24">
        <f>IF(ROW()&lt;7,"",IF(OR(AJ75="",AJ72=""),"",IF(AJ72=0,"",(AJ75/AJ72)-1)))</f>
        <v/>
      </c>
      <c r="AM75" s="24">
        <f>IF(ROW()&lt;9,"",IF(OR(AJ75="",AJ70=""),"",IF(AJ70=0,"",(AJ75/AJ70)-1)))</f>
        <v/>
      </c>
      <c r="AN75" s="13">
        <f>IF(ROW()&lt;23,"",AVERAGE(AJ56:AJ75))</f>
        <v/>
      </c>
      <c r="AO75">
        <f>IF(OR(AJ75="",AN75=""),"",IF(AJ75&gt;AN75,"Bull","Bear"))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8">
        <f>IFERROR((M76/M75)-1,"")</f>
        <v/>
      </c>
      <c r="O76" s="24">
        <f>IF(OR(N76="",N75=""),"",IF(N75=0,"",(N76/N75)-1))</f>
        <v/>
      </c>
      <c r="P76" s="11">
        <f>IF(ROW()&lt;7,"",IF(OR(E76="",E73=""),"",IF(E73=0,"",(E76/E73)-1)))</f>
        <v/>
      </c>
      <c r="Q76" s="24">
        <f>IF(ROW()&lt;9,"",IF(OR(E76="",E71=""),"",IF(E71=0,"",(E76/E71)-1)))</f>
        <v/>
      </c>
      <c r="R76" s="24">
        <f>IF(ROW()&lt;7,"",IF(OR(G76="",G73=""),"",IF(G73=0,"",(G76/G73)-1)))</f>
        <v/>
      </c>
      <c r="S76" s="24">
        <f>IF(ROW()&lt;9,"",IF(OR(G76="",G71=""),"",IF(G71=0,"",(G76/G71)-1)))</f>
        <v/>
      </c>
      <c r="T76" s="24">
        <f>IF(ROW()&lt;7,"",IF(OR(L76="",L73=""),"",IF(L73=0,"",(L76/L73)-1)))</f>
        <v/>
      </c>
      <c r="U76" s="24">
        <f>IF(ROW()&lt;9,"",IF(OR(L76="",L71=""),"",IF(L71=0,"",(L76/L71)-1)))</f>
        <v/>
      </c>
      <c r="V76" s="24">
        <f>IF(ROW()&lt;7,"",IF(OR(N76="",N73=""),"",IF(N73=0,"",(N76/N73)-1)))</f>
        <v/>
      </c>
      <c r="W76" s="24">
        <f>IF(ROW()&lt;9,"",IF(OR(N76="",N71=""),"",IF(N71=0,"",(N76/N71)-1)))</f>
        <v/>
      </c>
      <c r="X76" s="24">
        <f>IF(OR(F76="",M76=""),"",F76-M76)</f>
        <v/>
      </c>
      <c r="Y76" s="24">
        <f>IF(OR(P76="",T76=""),"",P76-T76)</f>
        <v/>
      </c>
      <c r="Z76" s="24">
        <f>IF(OR(Q76="",U76=""),"",Q76-U76)</f>
        <v/>
      </c>
      <c r="AA76" s="24">
        <f>IF(OR(H76="",O76=""),"",H76-O76)</f>
        <v/>
      </c>
      <c r="AB76" s="24">
        <f>IF(OR(R76="",V76=""),"",R76-V76)</f>
        <v/>
      </c>
      <c r="AC76" s="24">
        <f>IF(OR(S76="",W76=""),"",S76-W76)</f>
        <v/>
      </c>
      <c r="AD76" s="13" t="n"/>
      <c r="AE76" s="24">
        <f>IF(OR(AD76="",AD75=""),"",IF(AD75=0,"",(AD76/AD75)-1))</f>
        <v/>
      </c>
      <c r="AF76" s="24">
        <f>IF(ROW()&lt;7,"",IF(OR(AD76="",AD73=""),"",IF(AD73=0,"",(AD76/AD73)-1)))</f>
        <v/>
      </c>
      <c r="AG76" s="24">
        <f>IF(ROW()&lt;9,"",IF(OR(AD76="",AD71=""),"",IF(AD71=0,"",(AD76/AD71)-1)))</f>
        <v/>
      </c>
      <c r="AH76" s="13">
        <f>IF(ROW()&lt;23,"",AVERAGE(AD57:AD76))</f>
        <v/>
      </c>
      <c r="AI76">
        <f>IF(OR(AD76="",AH76=""),"",IF(AD76&gt;AH76,"Bull","Bear"))</f>
        <v/>
      </c>
      <c r="AJ76" s="13" t="n"/>
      <c r="AK76" s="24">
        <f>IF(OR(AJ76="",AJ75=""),"",IF(AJ75=0,"",(AJ76/AJ75)-1))</f>
        <v/>
      </c>
      <c r="AL76" s="24">
        <f>IF(ROW()&lt;7,"",IF(OR(AJ76="",AJ73=""),"",IF(AJ73=0,"",(AJ76/AJ73)-1)))</f>
        <v/>
      </c>
      <c r="AM76" s="24">
        <f>IF(ROW()&lt;9,"",IF(OR(AJ76="",AJ71=""),"",IF(AJ71=0,"",(AJ76/AJ71)-1)))</f>
        <v/>
      </c>
      <c r="AN76" s="13">
        <f>IF(ROW()&lt;23,"",AVERAGE(AJ57:AJ76))</f>
        <v/>
      </c>
      <c r="AO76">
        <f>IF(OR(AJ76="",AN76=""),"",IF(AJ76&gt;AN76,"Bull","Bear"))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8">
        <f>IFERROR((M77/M76)-1,"")</f>
        <v/>
      </c>
      <c r="O77" s="24">
        <f>IF(OR(N77="",N76=""),"",IF(N76=0,"",(N77/N76)-1))</f>
        <v/>
      </c>
      <c r="P77" s="11">
        <f>IF(ROW()&lt;7,"",IF(OR(E77="",E74=""),"",IF(E74=0,"",(E77/E74)-1)))</f>
        <v/>
      </c>
      <c r="Q77" s="24">
        <f>IF(ROW()&lt;9,"",IF(OR(E77="",E72=""),"",IF(E72=0,"",(E77/E72)-1)))</f>
        <v/>
      </c>
      <c r="R77" s="24">
        <f>IF(ROW()&lt;7,"",IF(OR(G77="",G74=""),"",IF(G74=0,"",(G77/G74)-1)))</f>
        <v/>
      </c>
      <c r="S77" s="24">
        <f>IF(ROW()&lt;9,"",IF(OR(G77="",G72=""),"",IF(G72=0,"",(G77/G72)-1)))</f>
        <v/>
      </c>
      <c r="T77" s="24">
        <f>IF(ROW()&lt;7,"",IF(OR(L77="",L74=""),"",IF(L74=0,"",(L77/L74)-1)))</f>
        <v/>
      </c>
      <c r="U77" s="24">
        <f>IF(ROW()&lt;9,"",IF(OR(L77="",L72=""),"",IF(L72=0,"",(L77/L72)-1)))</f>
        <v/>
      </c>
      <c r="V77" s="24">
        <f>IF(ROW()&lt;7,"",IF(OR(N77="",N74=""),"",IF(N74=0,"",(N77/N74)-1)))</f>
        <v/>
      </c>
      <c r="W77" s="24">
        <f>IF(ROW()&lt;9,"",IF(OR(N77="",N72=""),"",IF(N72=0,"",(N77/N72)-1)))</f>
        <v/>
      </c>
      <c r="X77" s="24">
        <f>IF(OR(F77="",M77=""),"",F77-M77)</f>
        <v/>
      </c>
      <c r="Y77" s="24">
        <f>IF(OR(P77="",T77=""),"",P77-T77)</f>
        <v/>
      </c>
      <c r="Z77" s="24">
        <f>IF(OR(Q77="",U77=""),"",Q77-U77)</f>
        <v/>
      </c>
      <c r="AA77" s="24">
        <f>IF(OR(H77="",O77=""),"",H77-O77)</f>
        <v/>
      </c>
      <c r="AB77" s="24">
        <f>IF(OR(R77="",V77=""),"",R77-V77)</f>
        <v/>
      </c>
      <c r="AC77" s="24">
        <f>IF(OR(S77="",W77=""),"",S77-W77)</f>
        <v/>
      </c>
      <c r="AD77" s="13" t="n"/>
      <c r="AE77" s="24">
        <f>IF(OR(AD77="",AD76=""),"",IF(AD76=0,"",(AD77/AD76)-1))</f>
        <v/>
      </c>
      <c r="AF77" s="24">
        <f>IF(ROW()&lt;7,"",IF(OR(AD77="",AD74=""),"",IF(AD74=0,"",(AD77/AD74)-1)))</f>
        <v/>
      </c>
      <c r="AG77" s="24">
        <f>IF(ROW()&lt;9,"",IF(OR(AD77="",AD72=""),"",IF(AD72=0,"",(AD77/AD72)-1)))</f>
        <v/>
      </c>
      <c r="AH77" s="13">
        <f>IF(ROW()&lt;23,"",AVERAGE(AD58:AD77))</f>
        <v/>
      </c>
      <c r="AI77">
        <f>IF(OR(AD77="",AH77=""),"",IF(AD77&gt;AH77,"Bull","Bear"))</f>
        <v/>
      </c>
      <c r="AJ77" s="13" t="n"/>
      <c r="AK77" s="24">
        <f>IF(OR(AJ77="",AJ76=""),"",IF(AJ76=0,"",(AJ77/AJ76)-1))</f>
        <v/>
      </c>
      <c r="AL77" s="24">
        <f>IF(ROW()&lt;7,"",IF(OR(AJ77="",AJ74=""),"",IF(AJ74=0,"",(AJ77/AJ74)-1)))</f>
        <v/>
      </c>
      <c r="AM77" s="24">
        <f>IF(ROW()&lt;9,"",IF(OR(AJ77="",AJ72=""),"",IF(AJ72=0,"",(AJ77/AJ72)-1)))</f>
        <v/>
      </c>
      <c r="AN77" s="13">
        <f>IF(ROW()&lt;23,"",AVERAGE(AJ58:AJ77))</f>
        <v/>
      </c>
      <c r="AO77">
        <f>IF(OR(AJ77="",AN77=""),"",IF(AJ77&gt;AN77,"Bull","Bear"))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8">
        <f>IFERROR((M78/M77)-1,"")</f>
        <v/>
      </c>
      <c r="O78" s="24">
        <f>IF(OR(N78="",N77=""),"",IF(N77=0,"",(N78/N77)-1))</f>
        <v/>
      </c>
      <c r="P78" s="11">
        <f>IF(ROW()&lt;7,"",IF(OR(E78="",E75=""),"",IF(E75=0,"",(E78/E75)-1)))</f>
        <v/>
      </c>
      <c r="Q78" s="24">
        <f>IF(ROW()&lt;9,"",IF(OR(E78="",E73=""),"",IF(E73=0,"",(E78/E73)-1)))</f>
        <v/>
      </c>
      <c r="R78" s="24">
        <f>IF(ROW()&lt;7,"",IF(OR(G78="",G75=""),"",IF(G75=0,"",(G78/G75)-1)))</f>
        <v/>
      </c>
      <c r="S78" s="24">
        <f>IF(ROW()&lt;9,"",IF(OR(G78="",G73=""),"",IF(G73=0,"",(G78/G73)-1)))</f>
        <v/>
      </c>
      <c r="T78" s="24">
        <f>IF(ROW()&lt;7,"",IF(OR(L78="",L75=""),"",IF(L75=0,"",(L78/L75)-1)))</f>
        <v/>
      </c>
      <c r="U78" s="24">
        <f>IF(ROW()&lt;9,"",IF(OR(L78="",L73=""),"",IF(L73=0,"",(L78/L73)-1)))</f>
        <v/>
      </c>
      <c r="V78" s="24">
        <f>IF(ROW()&lt;7,"",IF(OR(N78="",N75=""),"",IF(N75=0,"",(N78/N75)-1)))</f>
        <v/>
      </c>
      <c r="W78" s="24">
        <f>IF(ROW()&lt;9,"",IF(OR(N78="",N73=""),"",IF(N73=0,"",(N78/N73)-1)))</f>
        <v/>
      </c>
      <c r="X78" s="24">
        <f>IF(OR(F78="",M78=""),"",F78-M78)</f>
        <v/>
      </c>
      <c r="Y78" s="24">
        <f>IF(OR(P78="",T78=""),"",P78-T78)</f>
        <v/>
      </c>
      <c r="Z78" s="24">
        <f>IF(OR(Q78="",U78=""),"",Q78-U78)</f>
        <v/>
      </c>
      <c r="AA78" s="24">
        <f>IF(OR(H78="",O78=""),"",H78-O78)</f>
        <v/>
      </c>
      <c r="AB78" s="24">
        <f>IF(OR(R78="",V78=""),"",R78-V78)</f>
        <v/>
      </c>
      <c r="AC78" s="24">
        <f>IF(OR(S78="",W78=""),"",S78-W78)</f>
        <v/>
      </c>
      <c r="AD78" s="13" t="n"/>
      <c r="AE78" s="24">
        <f>IF(OR(AD78="",AD77=""),"",IF(AD77=0,"",(AD78/AD77)-1))</f>
        <v/>
      </c>
      <c r="AF78" s="24">
        <f>IF(ROW()&lt;7,"",IF(OR(AD78="",AD75=""),"",IF(AD75=0,"",(AD78/AD75)-1)))</f>
        <v/>
      </c>
      <c r="AG78" s="24">
        <f>IF(ROW()&lt;9,"",IF(OR(AD78="",AD73=""),"",IF(AD73=0,"",(AD78/AD73)-1)))</f>
        <v/>
      </c>
      <c r="AH78" s="13">
        <f>IF(ROW()&lt;23,"",AVERAGE(AD59:AD78))</f>
        <v/>
      </c>
      <c r="AI78">
        <f>IF(OR(AD78="",AH78=""),"",IF(AD78&gt;AH78,"Bull","Bear"))</f>
        <v/>
      </c>
      <c r="AJ78" s="13" t="n"/>
      <c r="AK78" s="24">
        <f>IF(OR(AJ78="",AJ77=""),"",IF(AJ77=0,"",(AJ78/AJ77)-1))</f>
        <v/>
      </c>
      <c r="AL78" s="24">
        <f>IF(ROW()&lt;7,"",IF(OR(AJ78="",AJ75=""),"",IF(AJ75=0,"",(AJ78/AJ75)-1)))</f>
        <v/>
      </c>
      <c r="AM78" s="24">
        <f>IF(ROW()&lt;9,"",IF(OR(AJ78="",AJ73=""),"",IF(AJ73=0,"",(AJ78/AJ73)-1)))</f>
        <v/>
      </c>
      <c r="AN78" s="13">
        <f>IF(ROW()&lt;23,"",AVERAGE(AJ59:AJ78))</f>
        <v/>
      </c>
      <c r="AO78">
        <f>IF(OR(AJ78="",AN78=""),"",IF(AJ78&gt;AN78,"Bull","Bear"))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8">
        <f>IFERROR((M79/M78)-1,"")</f>
        <v/>
      </c>
      <c r="O79" s="24">
        <f>IF(OR(N79="",N78=""),"",IF(N78=0,"",(N79/N78)-1))</f>
        <v/>
      </c>
      <c r="P79" s="11">
        <f>IF(ROW()&lt;7,"",IF(OR(E79="",E76=""),"",IF(E76=0,"",(E79/E76)-1)))</f>
        <v/>
      </c>
      <c r="Q79" s="24">
        <f>IF(ROW()&lt;9,"",IF(OR(E79="",E74=""),"",IF(E74=0,"",(E79/E74)-1)))</f>
        <v/>
      </c>
      <c r="R79" s="24">
        <f>IF(ROW()&lt;7,"",IF(OR(G79="",G76=""),"",IF(G76=0,"",(G79/G76)-1)))</f>
        <v/>
      </c>
      <c r="S79" s="24">
        <f>IF(ROW()&lt;9,"",IF(OR(G79="",G74=""),"",IF(G74=0,"",(G79/G74)-1)))</f>
        <v/>
      </c>
      <c r="T79" s="24">
        <f>IF(ROW()&lt;7,"",IF(OR(L79="",L76=""),"",IF(L76=0,"",(L79/L76)-1)))</f>
        <v/>
      </c>
      <c r="U79" s="24">
        <f>IF(ROW()&lt;9,"",IF(OR(L79="",L74=""),"",IF(L74=0,"",(L79/L74)-1)))</f>
        <v/>
      </c>
      <c r="V79" s="24">
        <f>IF(ROW()&lt;7,"",IF(OR(N79="",N76=""),"",IF(N76=0,"",(N79/N76)-1)))</f>
        <v/>
      </c>
      <c r="W79" s="24">
        <f>IF(ROW()&lt;9,"",IF(OR(N79="",N74=""),"",IF(N74=0,"",(N79/N74)-1)))</f>
        <v/>
      </c>
      <c r="X79" s="24">
        <f>IF(OR(F79="",M79=""),"",F79-M79)</f>
        <v/>
      </c>
      <c r="Y79" s="24">
        <f>IF(OR(P79="",T79=""),"",P79-T79)</f>
        <v/>
      </c>
      <c r="Z79" s="24">
        <f>IF(OR(Q79="",U79=""),"",Q79-U79)</f>
        <v/>
      </c>
      <c r="AA79" s="24">
        <f>IF(OR(H79="",O79=""),"",H79-O79)</f>
        <v/>
      </c>
      <c r="AB79" s="24">
        <f>IF(OR(R79="",V79=""),"",R79-V79)</f>
        <v/>
      </c>
      <c r="AC79" s="24">
        <f>IF(OR(S79="",W79=""),"",S79-W79)</f>
        <v/>
      </c>
      <c r="AD79" s="13" t="n"/>
      <c r="AE79" s="24">
        <f>IF(OR(AD79="",AD78=""),"",IF(AD78=0,"",(AD79/AD78)-1))</f>
        <v/>
      </c>
      <c r="AF79" s="24">
        <f>IF(ROW()&lt;7,"",IF(OR(AD79="",AD76=""),"",IF(AD76=0,"",(AD79/AD76)-1)))</f>
        <v/>
      </c>
      <c r="AG79" s="24">
        <f>IF(ROW()&lt;9,"",IF(OR(AD79="",AD74=""),"",IF(AD74=0,"",(AD79/AD74)-1)))</f>
        <v/>
      </c>
      <c r="AH79" s="13">
        <f>IF(ROW()&lt;23,"",AVERAGE(AD60:AD79))</f>
        <v/>
      </c>
      <c r="AI79">
        <f>IF(OR(AD79="",AH79=""),"",IF(AD79&gt;AH79,"Bull","Bear"))</f>
        <v/>
      </c>
      <c r="AJ79" s="13" t="n"/>
      <c r="AK79" s="24">
        <f>IF(OR(AJ79="",AJ78=""),"",IF(AJ78=0,"",(AJ79/AJ78)-1))</f>
        <v/>
      </c>
      <c r="AL79" s="24">
        <f>IF(ROW()&lt;7,"",IF(OR(AJ79="",AJ76=""),"",IF(AJ76=0,"",(AJ79/AJ76)-1)))</f>
        <v/>
      </c>
      <c r="AM79" s="24">
        <f>IF(ROW()&lt;9,"",IF(OR(AJ79="",AJ74=""),"",IF(AJ74=0,"",(AJ79/AJ74)-1)))</f>
        <v/>
      </c>
      <c r="AN79" s="13">
        <f>IF(ROW()&lt;23,"",AVERAGE(AJ60:AJ79))</f>
        <v/>
      </c>
      <c r="AO79">
        <f>IF(OR(AJ79="",AN79=""),"",IF(AJ79&gt;AN79,"Bull","Bear"))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8">
        <f>IFERROR((M80/M79)-1,"")</f>
        <v/>
      </c>
      <c r="O80" s="24">
        <f>IF(OR(N80="",N79=""),"",IF(N79=0,"",(N80/N79)-1))</f>
        <v/>
      </c>
      <c r="P80" s="11">
        <f>IF(ROW()&lt;7,"",IF(OR(E80="",E77=""),"",IF(E77=0,"",(E80/E77)-1)))</f>
        <v/>
      </c>
      <c r="Q80" s="24">
        <f>IF(ROW()&lt;9,"",IF(OR(E80="",E75=""),"",IF(E75=0,"",(E80/E75)-1)))</f>
        <v/>
      </c>
      <c r="R80" s="24">
        <f>IF(ROW()&lt;7,"",IF(OR(G80="",G77=""),"",IF(G77=0,"",(G80/G77)-1)))</f>
        <v/>
      </c>
      <c r="S80" s="24">
        <f>IF(ROW()&lt;9,"",IF(OR(G80="",G75=""),"",IF(G75=0,"",(G80/G75)-1)))</f>
        <v/>
      </c>
      <c r="T80" s="24">
        <f>IF(ROW()&lt;7,"",IF(OR(L80="",L77=""),"",IF(L77=0,"",(L80/L77)-1)))</f>
        <v/>
      </c>
      <c r="U80" s="24">
        <f>IF(ROW()&lt;9,"",IF(OR(L80="",L75=""),"",IF(L75=0,"",(L80/L75)-1)))</f>
        <v/>
      </c>
      <c r="V80" s="24">
        <f>IF(ROW()&lt;7,"",IF(OR(N80="",N77=""),"",IF(N77=0,"",(N80/N77)-1)))</f>
        <v/>
      </c>
      <c r="W80" s="24">
        <f>IF(ROW()&lt;9,"",IF(OR(N80="",N75=""),"",IF(N75=0,"",(N80/N75)-1)))</f>
        <v/>
      </c>
      <c r="X80" s="24">
        <f>IF(OR(F80="",M80=""),"",F80-M80)</f>
        <v/>
      </c>
      <c r="Y80" s="24">
        <f>IF(OR(P80="",T80=""),"",P80-T80)</f>
        <v/>
      </c>
      <c r="Z80" s="24">
        <f>IF(OR(Q80="",U80=""),"",Q80-U80)</f>
        <v/>
      </c>
      <c r="AA80" s="24">
        <f>IF(OR(H80="",O80=""),"",H80-O80)</f>
        <v/>
      </c>
      <c r="AB80" s="24">
        <f>IF(OR(R80="",V80=""),"",R80-V80)</f>
        <v/>
      </c>
      <c r="AC80" s="24">
        <f>IF(OR(S80="",W80=""),"",S80-W80)</f>
        <v/>
      </c>
      <c r="AD80" s="13" t="n"/>
      <c r="AE80" s="24">
        <f>IF(OR(AD80="",AD79=""),"",IF(AD79=0,"",(AD80/AD79)-1))</f>
        <v/>
      </c>
      <c r="AF80" s="24">
        <f>IF(ROW()&lt;7,"",IF(OR(AD80="",AD77=""),"",IF(AD77=0,"",(AD80/AD77)-1)))</f>
        <v/>
      </c>
      <c r="AG80" s="24">
        <f>IF(ROW()&lt;9,"",IF(OR(AD80="",AD75=""),"",IF(AD75=0,"",(AD80/AD75)-1)))</f>
        <v/>
      </c>
      <c r="AH80" s="13">
        <f>IF(ROW()&lt;23,"",AVERAGE(AD61:AD80))</f>
        <v/>
      </c>
      <c r="AI80">
        <f>IF(OR(AD80="",AH80=""),"",IF(AD80&gt;AH80,"Bull","Bear"))</f>
        <v/>
      </c>
      <c r="AJ80" s="13" t="n"/>
      <c r="AK80" s="24">
        <f>IF(OR(AJ80="",AJ79=""),"",IF(AJ79=0,"",(AJ80/AJ79)-1))</f>
        <v/>
      </c>
      <c r="AL80" s="24">
        <f>IF(ROW()&lt;7,"",IF(OR(AJ80="",AJ77=""),"",IF(AJ77=0,"",(AJ80/AJ77)-1)))</f>
        <v/>
      </c>
      <c r="AM80" s="24">
        <f>IF(ROW()&lt;9,"",IF(OR(AJ80="",AJ75=""),"",IF(AJ75=0,"",(AJ80/AJ75)-1)))</f>
        <v/>
      </c>
      <c r="AN80" s="13">
        <f>IF(ROW()&lt;23,"",AVERAGE(AJ61:AJ80))</f>
        <v/>
      </c>
      <c r="AO80">
        <f>IF(OR(AJ80="",AN80=""),"",IF(AJ80&gt;AN80,"Bull","Bear"))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8">
        <f>IFERROR((M81/M80)-1,"")</f>
        <v/>
      </c>
      <c r="O81" s="24">
        <f>IF(OR(N81="",N80=""),"",IF(N80=0,"",(N81/N80)-1))</f>
        <v/>
      </c>
      <c r="P81" s="11">
        <f>IF(ROW()&lt;7,"",IF(OR(E81="",E78=""),"",IF(E78=0,"",(E81/E78)-1)))</f>
        <v/>
      </c>
      <c r="Q81" s="24">
        <f>IF(ROW()&lt;9,"",IF(OR(E81="",E76=""),"",IF(E76=0,"",(E81/E76)-1)))</f>
        <v/>
      </c>
      <c r="R81" s="24">
        <f>IF(ROW()&lt;7,"",IF(OR(G81="",G78=""),"",IF(G78=0,"",(G81/G78)-1)))</f>
        <v/>
      </c>
      <c r="S81" s="24">
        <f>IF(ROW()&lt;9,"",IF(OR(G81="",G76=""),"",IF(G76=0,"",(G81/G76)-1)))</f>
        <v/>
      </c>
      <c r="T81" s="24">
        <f>IF(ROW()&lt;7,"",IF(OR(L81="",L78=""),"",IF(L78=0,"",(L81/L78)-1)))</f>
        <v/>
      </c>
      <c r="U81" s="24">
        <f>IF(ROW()&lt;9,"",IF(OR(L81="",L76=""),"",IF(L76=0,"",(L81/L76)-1)))</f>
        <v/>
      </c>
      <c r="V81" s="24">
        <f>IF(ROW()&lt;7,"",IF(OR(N81="",N78=""),"",IF(N78=0,"",(N81/N78)-1)))</f>
        <v/>
      </c>
      <c r="W81" s="24">
        <f>IF(ROW()&lt;9,"",IF(OR(N81="",N76=""),"",IF(N76=0,"",(N81/N76)-1)))</f>
        <v/>
      </c>
      <c r="X81" s="24">
        <f>IF(OR(F81="",M81=""),"",F81-M81)</f>
        <v/>
      </c>
      <c r="Y81" s="24">
        <f>IF(OR(P81="",T81=""),"",P81-T81)</f>
        <v/>
      </c>
      <c r="Z81" s="24">
        <f>IF(OR(Q81="",U81=""),"",Q81-U81)</f>
        <v/>
      </c>
      <c r="AA81" s="24">
        <f>IF(OR(H81="",O81=""),"",H81-O81)</f>
        <v/>
      </c>
      <c r="AB81" s="24">
        <f>IF(OR(R81="",V81=""),"",R81-V81)</f>
        <v/>
      </c>
      <c r="AC81" s="24">
        <f>IF(OR(S81="",W81=""),"",S81-W81)</f>
        <v/>
      </c>
      <c r="AD81" s="13" t="n"/>
      <c r="AE81" s="24">
        <f>IF(OR(AD81="",AD80=""),"",IF(AD80=0,"",(AD81/AD80)-1))</f>
        <v/>
      </c>
      <c r="AF81" s="24">
        <f>IF(ROW()&lt;7,"",IF(OR(AD81="",AD78=""),"",IF(AD78=0,"",(AD81/AD78)-1)))</f>
        <v/>
      </c>
      <c r="AG81" s="24">
        <f>IF(ROW()&lt;9,"",IF(OR(AD81="",AD76=""),"",IF(AD76=0,"",(AD81/AD76)-1)))</f>
        <v/>
      </c>
      <c r="AH81" s="13">
        <f>IF(ROW()&lt;23,"",AVERAGE(AD62:AD81))</f>
        <v/>
      </c>
      <c r="AI81">
        <f>IF(OR(AD81="",AH81=""),"",IF(AD81&gt;AH81,"Bull","Bear"))</f>
        <v/>
      </c>
      <c r="AJ81" s="13" t="n"/>
      <c r="AK81" s="24">
        <f>IF(OR(AJ81="",AJ80=""),"",IF(AJ80=0,"",(AJ81/AJ80)-1))</f>
        <v/>
      </c>
      <c r="AL81" s="24">
        <f>IF(ROW()&lt;7,"",IF(OR(AJ81="",AJ78=""),"",IF(AJ78=0,"",(AJ81/AJ78)-1)))</f>
        <v/>
      </c>
      <c r="AM81" s="24">
        <f>IF(ROW()&lt;9,"",IF(OR(AJ81="",AJ76=""),"",IF(AJ76=0,"",(AJ81/AJ76)-1)))</f>
        <v/>
      </c>
      <c r="AN81" s="13">
        <f>IF(ROW()&lt;23,"",AVERAGE(AJ62:AJ81))</f>
        <v/>
      </c>
      <c r="AO81">
        <f>IF(OR(AJ81="",AN81=""),"",IF(AJ81&gt;AN81,"Bull","Bear"))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8">
        <f>IFERROR((M82/M81)-1,"")</f>
        <v/>
      </c>
      <c r="O82" s="24">
        <f>IF(OR(N82="",N81=""),"",IF(N81=0,"",(N82/N81)-1))</f>
        <v/>
      </c>
      <c r="P82" s="11">
        <f>IF(ROW()&lt;7,"",IF(OR(E82="",E79=""),"",IF(E79=0,"",(E82/E79)-1)))</f>
        <v/>
      </c>
      <c r="Q82" s="24">
        <f>IF(ROW()&lt;9,"",IF(OR(E82="",E77=""),"",IF(E77=0,"",(E82/E77)-1)))</f>
        <v/>
      </c>
      <c r="R82" s="24">
        <f>IF(ROW()&lt;7,"",IF(OR(G82="",G79=""),"",IF(G79=0,"",(G82/G79)-1)))</f>
        <v/>
      </c>
      <c r="S82" s="24">
        <f>IF(ROW()&lt;9,"",IF(OR(G82="",G77=""),"",IF(G77=0,"",(G82/G77)-1)))</f>
        <v/>
      </c>
      <c r="T82" s="24">
        <f>IF(ROW()&lt;7,"",IF(OR(L82="",L79=""),"",IF(L79=0,"",(L82/L79)-1)))</f>
        <v/>
      </c>
      <c r="U82" s="24">
        <f>IF(ROW()&lt;9,"",IF(OR(L82="",L77=""),"",IF(L77=0,"",(L82/L77)-1)))</f>
        <v/>
      </c>
      <c r="V82" s="24">
        <f>IF(ROW()&lt;7,"",IF(OR(N82="",N79=""),"",IF(N79=0,"",(N82/N79)-1)))</f>
        <v/>
      </c>
      <c r="W82" s="24">
        <f>IF(ROW()&lt;9,"",IF(OR(N82="",N77=""),"",IF(N77=0,"",(N82/N77)-1)))</f>
        <v/>
      </c>
      <c r="X82" s="24">
        <f>IF(OR(F82="",M82=""),"",F82-M82)</f>
        <v/>
      </c>
      <c r="Y82" s="24">
        <f>IF(OR(P82="",T82=""),"",P82-T82)</f>
        <v/>
      </c>
      <c r="Z82" s="24">
        <f>IF(OR(Q82="",U82=""),"",Q82-U82)</f>
        <v/>
      </c>
      <c r="AA82" s="24">
        <f>IF(OR(H82="",O82=""),"",H82-O82)</f>
        <v/>
      </c>
      <c r="AB82" s="24">
        <f>IF(OR(R82="",V82=""),"",R82-V82)</f>
        <v/>
      </c>
      <c r="AC82" s="24">
        <f>IF(OR(S82="",W82=""),"",S82-W82)</f>
        <v/>
      </c>
      <c r="AD82" s="13" t="n"/>
      <c r="AE82" s="24">
        <f>IF(OR(AD82="",AD81=""),"",IF(AD81=0,"",(AD82/AD81)-1))</f>
        <v/>
      </c>
      <c r="AF82" s="24">
        <f>IF(ROW()&lt;7,"",IF(OR(AD82="",AD79=""),"",IF(AD79=0,"",(AD82/AD79)-1)))</f>
        <v/>
      </c>
      <c r="AG82" s="24">
        <f>IF(ROW()&lt;9,"",IF(OR(AD82="",AD77=""),"",IF(AD77=0,"",(AD82/AD77)-1)))</f>
        <v/>
      </c>
      <c r="AH82" s="13">
        <f>IF(ROW()&lt;23,"",AVERAGE(AD63:AD82))</f>
        <v/>
      </c>
      <c r="AI82">
        <f>IF(OR(AD82="",AH82=""),"",IF(AD82&gt;AH82,"Bull","Bear"))</f>
        <v/>
      </c>
      <c r="AJ82" s="13" t="n"/>
      <c r="AK82" s="24">
        <f>IF(OR(AJ82="",AJ81=""),"",IF(AJ81=0,"",(AJ82/AJ81)-1))</f>
        <v/>
      </c>
      <c r="AL82" s="24">
        <f>IF(ROW()&lt;7,"",IF(OR(AJ82="",AJ79=""),"",IF(AJ79=0,"",(AJ82/AJ79)-1)))</f>
        <v/>
      </c>
      <c r="AM82" s="24">
        <f>IF(ROW()&lt;9,"",IF(OR(AJ82="",AJ77=""),"",IF(AJ77=0,"",(AJ82/AJ77)-1)))</f>
        <v/>
      </c>
      <c r="AN82" s="13">
        <f>IF(ROW()&lt;23,"",AVERAGE(AJ63:AJ82))</f>
        <v/>
      </c>
      <c r="AO82">
        <f>IF(OR(AJ82="",AN82=""),"",IF(AJ82&gt;AN82,"Bull","Bear"))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8">
        <f>IFERROR((M83/M82)-1,"")</f>
        <v/>
      </c>
      <c r="O83" s="24">
        <f>IF(OR(N83="",N82=""),"",IF(N82=0,"",(N83/N82)-1))</f>
        <v/>
      </c>
      <c r="P83" s="11">
        <f>IF(ROW()&lt;7,"",IF(OR(E83="",E80=""),"",IF(E80=0,"",(E83/E80)-1)))</f>
        <v/>
      </c>
      <c r="Q83" s="24">
        <f>IF(ROW()&lt;9,"",IF(OR(E83="",E78=""),"",IF(E78=0,"",(E83/E78)-1)))</f>
        <v/>
      </c>
      <c r="R83" s="24">
        <f>IF(ROW()&lt;7,"",IF(OR(G83="",G80=""),"",IF(G80=0,"",(G83/G80)-1)))</f>
        <v/>
      </c>
      <c r="S83" s="24">
        <f>IF(ROW()&lt;9,"",IF(OR(G83="",G78=""),"",IF(G78=0,"",(G83/G78)-1)))</f>
        <v/>
      </c>
      <c r="T83" s="24">
        <f>IF(ROW()&lt;7,"",IF(OR(L83="",L80=""),"",IF(L80=0,"",(L83/L80)-1)))</f>
        <v/>
      </c>
      <c r="U83" s="24">
        <f>IF(ROW()&lt;9,"",IF(OR(L83="",L78=""),"",IF(L78=0,"",(L83/L78)-1)))</f>
        <v/>
      </c>
      <c r="V83" s="24">
        <f>IF(ROW()&lt;7,"",IF(OR(N83="",N80=""),"",IF(N80=0,"",(N83/N80)-1)))</f>
        <v/>
      </c>
      <c r="W83" s="24">
        <f>IF(ROW()&lt;9,"",IF(OR(N83="",N78=""),"",IF(N78=0,"",(N83/N78)-1)))</f>
        <v/>
      </c>
      <c r="X83" s="24">
        <f>IF(OR(F83="",M83=""),"",F83-M83)</f>
        <v/>
      </c>
      <c r="Y83" s="24">
        <f>IF(OR(P83="",T83=""),"",P83-T83)</f>
        <v/>
      </c>
      <c r="Z83" s="24">
        <f>IF(OR(Q83="",U83=""),"",Q83-U83)</f>
        <v/>
      </c>
      <c r="AA83" s="24">
        <f>IF(OR(H83="",O83=""),"",H83-O83)</f>
        <v/>
      </c>
      <c r="AB83" s="24">
        <f>IF(OR(R83="",V83=""),"",R83-V83)</f>
        <v/>
      </c>
      <c r="AC83" s="24">
        <f>IF(OR(S83="",W83=""),"",S83-W83)</f>
        <v/>
      </c>
      <c r="AD83" s="13" t="n"/>
      <c r="AE83" s="24">
        <f>IF(OR(AD83="",AD82=""),"",IF(AD82=0,"",(AD83/AD82)-1))</f>
        <v/>
      </c>
      <c r="AF83" s="24">
        <f>IF(ROW()&lt;7,"",IF(OR(AD83="",AD80=""),"",IF(AD80=0,"",(AD83/AD80)-1)))</f>
        <v/>
      </c>
      <c r="AG83" s="24">
        <f>IF(ROW()&lt;9,"",IF(OR(AD83="",AD78=""),"",IF(AD78=0,"",(AD83/AD78)-1)))</f>
        <v/>
      </c>
      <c r="AH83" s="13">
        <f>IF(ROW()&lt;23,"",AVERAGE(AD64:AD83))</f>
        <v/>
      </c>
      <c r="AI83">
        <f>IF(OR(AD83="",AH83=""),"",IF(AD83&gt;AH83,"Bull","Bear"))</f>
        <v/>
      </c>
      <c r="AJ83" s="13" t="n"/>
      <c r="AK83" s="24">
        <f>IF(OR(AJ83="",AJ82=""),"",IF(AJ82=0,"",(AJ83/AJ82)-1))</f>
        <v/>
      </c>
      <c r="AL83" s="24">
        <f>IF(ROW()&lt;7,"",IF(OR(AJ83="",AJ80=""),"",IF(AJ80=0,"",(AJ83/AJ80)-1)))</f>
        <v/>
      </c>
      <c r="AM83" s="24">
        <f>IF(ROW()&lt;9,"",IF(OR(AJ83="",AJ78=""),"",IF(AJ78=0,"",(AJ83/AJ78)-1)))</f>
        <v/>
      </c>
      <c r="AN83" s="13">
        <f>IF(ROW()&lt;23,"",AVERAGE(AJ64:AJ83))</f>
        <v/>
      </c>
      <c r="AO83">
        <f>IF(OR(AJ83="",AN83=""),"",IF(AJ83&gt;AN83,"Bull","Bear"))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8">
        <f>IFERROR((M84/M83)-1,"")</f>
        <v/>
      </c>
      <c r="O84" s="24">
        <f>IF(OR(N84="",N83=""),"",IF(N83=0,"",(N84/N83)-1))</f>
        <v/>
      </c>
      <c r="P84" s="11">
        <f>IF(ROW()&lt;7,"",IF(OR(E84="",E81=""),"",IF(E81=0,"",(E84/E81)-1)))</f>
        <v/>
      </c>
      <c r="Q84" s="24">
        <f>IF(ROW()&lt;9,"",IF(OR(E84="",E79=""),"",IF(E79=0,"",(E84/E79)-1)))</f>
        <v/>
      </c>
      <c r="R84" s="24">
        <f>IF(ROW()&lt;7,"",IF(OR(G84="",G81=""),"",IF(G81=0,"",(G84/G81)-1)))</f>
        <v/>
      </c>
      <c r="S84" s="24">
        <f>IF(ROW()&lt;9,"",IF(OR(G84="",G79=""),"",IF(G79=0,"",(G84/G79)-1)))</f>
        <v/>
      </c>
      <c r="T84" s="24">
        <f>IF(ROW()&lt;7,"",IF(OR(L84="",L81=""),"",IF(L81=0,"",(L84/L81)-1)))</f>
        <v/>
      </c>
      <c r="U84" s="24">
        <f>IF(ROW()&lt;9,"",IF(OR(L84="",L79=""),"",IF(L79=0,"",(L84/L79)-1)))</f>
        <v/>
      </c>
      <c r="V84" s="24">
        <f>IF(ROW()&lt;7,"",IF(OR(N84="",N81=""),"",IF(N81=0,"",(N84/N81)-1)))</f>
        <v/>
      </c>
      <c r="W84" s="24">
        <f>IF(ROW()&lt;9,"",IF(OR(N84="",N79=""),"",IF(N79=0,"",(N84/N79)-1)))</f>
        <v/>
      </c>
      <c r="X84" s="24">
        <f>IF(OR(F84="",M84=""),"",F84-M84)</f>
        <v/>
      </c>
      <c r="Y84" s="24">
        <f>IF(OR(P84="",T84=""),"",P84-T84)</f>
        <v/>
      </c>
      <c r="Z84" s="24">
        <f>IF(OR(Q84="",U84=""),"",Q84-U84)</f>
        <v/>
      </c>
      <c r="AA84" s="24">
        <f>IF(OR(H84="",O84=""),"",H84-O84)</f>
        <v/>
      </c>
      <c r="AB84" s="24">
        <f>IF(OR(R84="",V84=""),"",R84-V84)</f>
        <v/>
      </c>
      <c r="AC84" s="24">
        <f>IF(OR(S84="",W84=""),"",S84-W84)</f>
        <v/>
      </c>
      <c r="AD84" s="13" t="n"/>
      <c r="AE84" s="24">
        <f>IF(OR(AD84="",AD83=""),"",IF(AD83=0,"",(AD84/AD83)-1))</f>
        <v/>
      </c>
      <c r="AF84" s="24">
        <f>IF(ROW()&lt;7,"",IF(OR(AD84="",AD81=""),"",IF(AD81=0,"",(AD84/AD81)-1)))</f>
        <v/>
      </c>
      <c r="AG84" s="24">
        <f>IF(ROW()&lt;9,"",IF(OR(AD84="",AD79=""),"",IF(AD79=0,"",(AD84/AD79)-1)))</f>
        <v/>
      </c>
      <c r="AH84" s="13">
        <f>IF(ROW()&lt;23,"",AVERAGE(AD65:AD84))</f>
        <v/>
      </c>
      <c r="AI84">
        <f>IF(OR(AD84="",AH84=""),"",IF(AD84&gt;AH84,"Bull","Bear"))</f>
        <v/>
      </c>
      <c r="AJ84" s="13" t="n"/>
      <c r="AK84" s="24">
        <f>IF(OR(AJ84="",AJ83=""),"",IF(AJ83=0,"",(AJ84/AJ83)-1))</f>
        <v/>
      </c>
      <c r="AL84" s="24">
        <f>IF(ROW()&lt;7,"",IF(OR(AJ84="",AJ81=""),"",IF(AJ81=0,"",(AJ84/AJ81)-1)))</f>
        <v/>
      </c>
      <c r="AM84" s="24">
        <f>IF(ROW()&lt;9,"",IF(OR(AJ84="",AJ79=""),"",IF(AJ79=0,"",(AJ84/AJ79)-1)))</f>
        <v/>
      </c>
      <c r="AN84" s="13">
        <f>IF(ROW()&lt;23,"",AVERAGE(AJ65:AJ84))</f>
        <v/>
      </c>
      <c r="AO84">
        <f>IF(OR(AJ84="",AN84=""),"",IF(AJ84&gt;AN84,"Bull","Bear"))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8">
        <f>IFERROR((M85/M84)-1,"")</f>
        <v/>
      </c>
      <c r="O85" s="24">
        <f>IF(OR(N85="",N84=""),"",IF(N84=0,"",(N85/N84)-1))</f>
        <v/>
      </c>
      <c r="P85" s="11">
        <f>IF(ROW()&lt;7,"",IF(OR(E85="",E82=""),"",IF(E82=0,"",(E85/E82)-1)))</f>
        <v/>
      </c>
      <c r="Q85" s="24">
        <f>IF(ROW()&lt;9,"",IF(OR(E85="",E80=""),"",IF(E80=0,"",(E85/E80)-1)))</f>
        <v/>
      </c>
      <c r="R85" s="24">
        <f>IF(ROW()&lt;7,"",IF(OR(G85="",G82=""),"",IF(G82=0,"",(G85/G82)-1)))</f>
        <v/>
      </c>
      <c r="S85" s="24">
        <f>IF(ROW()&lt;9,"",IF(OR(G85="",G80=""),"",IF(G80=0,"",(G85/G80)-1)))</f>
        <v/>
      </c>
      <c r="T85" s="24">
        <f>IF(ROW()&lt;7,"",IF(OR(L85="",L82=""),"",IF(L82=0,"",(L85/L82)-1)))</f>
        <v/>
      </c>
      <c r="U85" s="24">
        <f>IF(ROW()&lt;9,"",IF(OR(L85="",L80=""),"",IF(L80=0,"",(L85/L80)-1)))</f>
        <v/>
      </c>
      <c r="V85" s="24">
        <f>IF(ROW()&lt;7,"",IF(OR(N85="",N82=""),"",IF(N82=0,"",(N85/N82)-1)))</f>
        <v/>
      </c>
      <c r="W85" s="24">
        <f>IF(ROW()&lt;9,"",IF(OR(N85="",N80=""),"",IF(N80=0,"",(N85/N80)-1)))</f>
        <v/>
      </c>
      <c r="X85" s="24">
        <f>IF(OR(F85="",M85=""),"",F85-M85)</f>
        <v/>
      </c>
      <c r="Y85" s="24">
        <f>IF(OR(P85="",T85=""),"",P85-T85)</f>
        <v/>
      </c>
      <c r="Z85" s="24">
        <f>IF(OR(Q85="",U85=""),"",Q85-U85)</f>
        <v/>
      </c>
      <c r="AA85" s="24">
        <f>IF(OR(H85="",O85=""),"",H85-O85)</f>
        <v/>
      </c>
      <c r="AB85" s="24">
        <f>IF(OR(R85="",V85=""),"",R85-V85)</f>
        <v/>
      </c>
      <c r="AC85" s="24">
        <f>IF(OR(S85="",W85=""),"",S85-W85)</f>
        <v/>
      </c>
      <c r="AD85" s="13" t="n"/>
      <c r="AE85" s="24">
        <f>IF(OR(AD85="",AD84=""),"",IF(AD84=0,"",(AD85/AD84)-1))</f>
        <v/>
      </c>
      <c r="AF85" s="24">
        <f>IF(ROW()&lt;7,"",IF(OR(AD85="",AD82=""),"",IF(AD82=0,"",(AD85/AD82)-1)))</f>
        <v/>
      </c>
      <c r="AG85" s="24">
        <f>IF(ROW()&lt;9,"",IF(OR(AD85="",AD80=""),"",IF(AD80=0,"",(AD85/AD80)-1)))</f>
        <v/>
      </c>
      <c r="AH85" s="13">
        <f>IF(ROW()&lt;23,"",AVERAGE(AD66:AD85))</f>
        <v/>
      </c>
      <c r="AI85">
        <f>IF(OR(AD85="",AH85=""),"",IF(AD85&gt;AH85,"Bull","Bear"))</f>
        <v/>
      </c>
      <c r="AJ85" s="13" t="n"/>
      <c r="AK85" s="24">
        <f>IF(OR(AJ85="",AJ84=""),"",IF(AJ84=0,"",(AJ85/AJ84)-1))</f>
        <v/>
      </c>
      <c r="AL85" s="24">
        <f>IF(ROW()&lt;7,"",IF(OR(AJ85="",AJ82=""),"",IF(AJ82=0,"",(AJ85/AJ82)-1)))</f>
        <v/>
      </c>
      <c r="AM85" s="24">
        <f>IF(ROW()&lt;9,"",IF(OR(AJ85="",AJ80=""),"",IF(AJ80=0,"",(AJ85/AJ80)-1)))</f>
        <v/>
      </c>
      <c r="AN85" s="13">
        <f>IF(ROW()&lt;23,"",AVERAGE(AJ66:AJ85))</f>
        <v/>
      </c>
      <c r="AO85">
        <f>IF(OR(AJ85="",AN85=""),"",IF(AJ85&gt;AN85,"Bull","Bear"))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8">
        <f>IFERROR((M86/M85)-1,"")</f>
        <v/>
      </c>
      <c r="O86" s="24">
        <f>IF(OR(N86="",N85=""),"",IF(N85=0,"",(N86/N85)-1))</f>
        <v/>
      </c>
      <c r="P86" s="11">
        <f>IF(ROW()&lt;7,"",IF(OR(E86="",E83=""),"",IF(E83=0,"",(E86/E83)-1)))</f>
        <v/>
      </c>
      <c r="Q86" s="24">
        <f>IF(ROW()&lt;9,"",IF(OR(E86="",E81=""),"",IF(E81=0,"",(E86/E81)-1)))</f>
        <v/>
      </c>
      <c r="R86" s="24">
        <f>IF(ROW()&lt;7,"",IF(OR(G86="",G83=""),"",IF(G83=0,"",(G86/G83)-1)))</f>
        <v/>
      </c>
      <c r="S86" s="24">
        <f>IF(ROW()&lt;9,"",IF(OR(G86="",G81=""),"",IF(G81=0,"",(G86/G81)-1)))</f>
        <v/>
      </c>
      <c r="T86" s="24">
        <f>IF(ROW()&lt;7,"",IF(OR(L86="",L83=""),"",IF(L83=0,"",(L86/L83)-1)))</f>
        <v/>
      </c>
      <c r="U86" s="24">
        <f>IF(ROW()&lt;9,"",IF(OR(L86="",L81=""),"",IF(L81=0,"",(L86/L81)-1)))</f>
        <v/>
      </c>
      <c r="V86" s="24">
        <f>IF(ROW()&lt;7,"",IF(OR(N86="",N83=""),"",IF(N83=0,"",(N86/N83)-1)))</f>
        <v/>
      </c>
      <c r="W86" s="24">
        <f>IF(ROW()&lt;9,"",IF(OR(N86="",N81=""),"",IF(N81=0,"",(N86/N81)-1)))</f>
        <v/>
      </c>
      <c r="X86" s="24">
        <f>IF(OR(F86="",M86=""),"",F86-M86)</f>
        <v/>
      </c>
      <c r="Y86" s="24">
        <f>IF(OR(P86="",T86=""),"",P86-T86)</f>
        <v/>
      </c>
      <c r="Z86" s="24">
        <f>IF(OR(Q86="",U86=""),"",Q86-U86)</f>
        <v/>
      </c>
      <c r="AA86" s="24">
        <f>IF(OR(H86="",O86=""),"",H86-O86)</f>
        <v/>
      </c>
      <c r="AB86" s="24">
        <f>IF(OR(R86="",V86=""),"",R86-V86)</f>
        <v/>
      </c>
      <c r="AC86" s="24">
        <f>IF(OR(S86="",W86=""),"",S86-W86)</f>
        <v/>
      </c>
      <c r="AD86" s="13" t="n"/>
      <c r="AE86" s="24">
        <f>IF(OR(AD86="",AD85=""),"",IF(AD85=0,"",(AD86/AD85)-1))</f>
        <v/>
      </c>
      <c r="AF86" s="24">
        <f>IF(ROW()&lt;7,"",IF(OR(AD86="",AD83=""),"",IF(AD83=0,"",(AD86/AD83)-1)))</f>
        <v/>
      </c>
      <c r="AG86" s="24">
        <f>IF(ROW()&lt;9,"",IF(OR(AD86="",AD81=""),"",IF(AD81=0,"",(AD86/AD81)-1)))</f>
        <v/>
      </c>
      <c r="AH86" s="13">
        <f>IF(ROW()&lt;23,"",AVERAGE(AD67:AD86))</f>
        <v/>
      </c>
      <c r="AI86">
        <f>IF(OR(AD86="",AH86=""),"",IF(AD86&gt;AH86,"Bull","Bear"))</f>
        <v/>
      </c>
      <c r="AJ86" s="13" t="n"/>
      <c r="AK86" s="24">
        <f>IF(OR(AJ86="",AJ85=""),"",IF(AJ85=0,"",(AJ86/AJ85)-1))</f>
        <v/>
      </c>
      <c r="AL86" s="24">
        <f>IF(ROW()&lt;7,"",IF(OR(AJ86="",AJ83=""),"",IF(AJ83=0,"",(AJ86/AJ83)-1)))</f>
        <v/>
      </c>
      <c r="AM86" s="24">
        <f>IF(ROW()&lt;9,"",IF(OR(AJ86="",AJ81=""),"",IF(AJ81=0,"",(AJ86/AJ81)-1)))</f>
        <v/>
      </c>
      <c r="AN86" s="13">
        <f>IF(ROW()&lt;23,"",AVERAGE(AJ67:AJ86))</f>
        <v/>
      </c>
      <c r="AO86">
        <f>IF(OR(AJ86="",AN86=""),"",IF(AJ86&gt;AN86,"Bull","Bear"))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8">
        <f>IFERROR((M87/M86)-1,"")</f>
        <v/>
      </c>
      <c r="O87" s="24">
        <f>IF(OR(N87="",N86=""),"",IF(N86=0,"",(N87/N86)-1))</f>
        <v/>
      </c>
      <c r="P87" s="11">
        <f>IF(ROW()&lt;7,"",IF(OR(E87="",E84=""),"",IF(E84=0,"",(E87/E84)-1)))</f>
        <v/>
      </c>
      <c r="Q87" s="24">
        <f>IF(ROW()&lt;9,"",IF(OR(E87="",E82=""),"",IF(E82=0,"",(E87/E82)-1)))</f>
        <v/>
      </c>
      <c r="R87" s="24">
        <f>IF(ROW()&lt;7,"",IF(OR(G87="",G84=""),"",IF(G84=0,"",(G87/G84)-1)))</f>
        <v/>
      </c>
      <c r="S87" s="24">
        <f>IF(ROW()&lt;9,"",IF(OR(G87="",G82=""),"",IF(G82=0,"",(G87/G82)-1)))</f>
        <v/>
      </c>
      <c r="T87" s="24">
        <f>IF(ROW()&lt;7,"",IF(OR(L87="",L84=""),"",IF(L84=0,"",(L87/L84)-1)))</f>
        <v/>
      </c>
      <c r="U87" s="24">
        <f>IF(ROW()&lt;9,"",IF(OR(L87="",L82=""),"",IF(L82=0,"",(L87/L82)-1)))</f>
        <v/>
      </c>
      <c r="V87" s="24">
        <f>IF(ROW()&lt;7,"",IF(OR(N87="",N84=""),"",IF(N84=0,"",(N87/N84)-1)))</f>
        <v/>
      </c>
      <c r="W87" s="24">
        <f>IF(ROW()&lt;9,"",IF(OR(N87="",N82=""),"",IF(N82=0,"",(N87/N82)-1)))</f>
        <v/>
      </c>
      <c r="X87" s="24">
        <f>IF(OR(F87="",M87=""),"",F87-M87)</f>
        <v/>
      </c>
      <c r="Y87" s="24">
        <f>IF(OR(P87="",T87=""),"",P87-T87)</f>
        <v/>
      </c>
      <c r="Z87" s="24">
        <f>IF(OR(Q87="",U87=""),"",Q87-U87)</f>
        <v/>
      </c>
      <c r="AA87" s="24">
        <f>IF(OR(H87="",O87=""),"",H87-O87)</f>
        <v/>
      </c>
      <c r="AB87" s="24">
        <f>IF(OR(R87="",V87=""),"",R87-V87)</f>
        <v/>
      </c>
      <c r="AC87" s="24">
        <f>IF(OR(S87="",W87=""),"",S87-W87)</f>
        <v/>
      </c>
      <c r="AD87" s="13" t="n"/>
      <c r="AE87" s="24">
        <f>IF(OR(AD87="",AD86=""),"",IF(AD86=0,"",(AD87/AD86)-1))</f>
        <v/>
      </c>
      <c r="AF87" s="24">
        <f>IF(ROW()&lt;7,"",IF(OR(AD87="",AD84=""),"",IF(AD84=0,"",(AD87/AD84)-1)))</f>
        <v/>
      </c>
      <c r="AG87" s="24">
        <f>IF(ROW()&lt;9,"",IF(OR(AD87="",AD82=""),"",IF(AD82=0,"",(AD87/AD82)-1)))</f>
        <v/>
      </c>
      <c r="AH87" s="13">
        <f>IF(ROW()&lt;23,"",AVERAGE(AD68:AD87))</f>
        <v/>
      </c>
      <c r="AI87">
        <f>IF(OR(AD87="",AH87=""),"",IF(AD87&gt;AH87,"Bull","Bear"))</f>
        <v/>
      </c>
      <c r="AJ87" s="13" t="n"/>
      <c r="AK87" s="24">
        <f>IF(OR(AJ87="",AJ86=""),"",IF(AJ86=0,"",(AJ87/AJ86)-1))</f>
        <v/>
      </c>
      <c r="AL87" s="24">
        <f>IF(ROW()&lt;7,"",IF(OR(AJ87="",AJ84=""),"",IF(AJ84=0,"",(AJ87/AJ84)-1)))</f>
        <v/>
      </c>
      <c r="AM87" s="24">
        <f>IF(ROW()&lt;9,"",IF(OR(AJ87="",AJ82=""),"",IF(AJ82=0,"",(AJ87/AJ82)-1)))</f>
        <v/>
      </c>
      <c r="AN87" s="13">
        <f>IF(ROW()&lt;23,"",AVERAGE(AJ68:AJ87))</f>
        <v/>
      </c>
      <c r="AO87">
        <f>IF(OR(AJ87="",AN87=""),"",IF(AJ87&gt;AN87,"Bull","Bear"))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8">
        <f>IFERROR((M88/M87)-1,"")</f>
        <v/>
      </c>
      <c r="O88" s="24">
        <f>IF(OR(N88="",N87=""),"",IF(N87=0,"",(N88/N87)-1))</f>
        <v/>
      </c>
      <c r="P88" s="11">
        <f>IF(ROW()&lt;7,"",IF(OR(E88="",E85=""),"",IF(E85=0,"",(E88/E85)-1)))</f>
        <v/>
      </c>
      <c r="Q88" s="24">
        <f>IF(ROW()&lt;9,"",IF(OR(E88="",E83=""),"",IF(E83=0,"",(E88/E83)-1)))</f>
        <v/>
      </c>
      <c r="R88" s="24">
        <f>IF(ROW()&lt;7,"",IF(OR(G88="",G85=""),"",IF(G85=0,"",(G88/G85)-1)))</f>
        <v/>
      </c>
      <c r="S88" s="24">
        <f>IF(ROW()&lt;9,"",IF(OR(G88="",G83=""),"",IF(G83=0,"",(G88/G83)-1)))</f>
        <v/>
      </c>
      <c r="T88" s="24">
        <f>IF(ROW()&lt;7,"",IF(OR(L88="",L85=""),"",IF(L85=0,"",(L88/L85)-1)))</f>
        <v/>
      </c>
      <c r="U88" s="24">
        <f>IF(ROW()&lt;9,"",IF(OR(L88="",L83=""),"",IF(L83=0,"",(L88/L83)-1)))</f>
        <v/>
      </c>
      <c r="V88" s="24">
        <f>IF(ROW()&lt;7,"",IF(OR(N88="",N85=""),"",IF(N85=0,"",(N88/N85)-1)))</f>
        <v/>
      </c>
      <c r="W88" s="24">
        <f>IF(ROW()&lt;9,"",IF(OR(N88="",N83=""),"",IF(N83=0,"",(N88/N83)-1)))</f>
        <v/>
      </c>
      <c r="X88" s="24">
        <f>IF(OR(F88="",M88=""),"",F88-M88)</f>
        <v/>
      </c>
      <c r="Y88" s="24">
        <f>IF(OR(P88="",T88=""),"",P88-T88)</f>
        <v/>
      </c>
      <c r="Z88" s="24">
        <f>IF(OR(Q88="",U88=""),"",Q88-U88)</f>
        <v/>
      </c>
      <c r="AA88" s="24">
        <f>IF(OR(H88="",O88=""),"",H88-O88)</f>
        <v/>
      </c>
      <c r="AB88" s="24">
        <f>IF(OR(R88="",V88=""),"",R88-V88)</f>
        <v/>
      </c>
      <c r="AC88" s="24">
        <f>IF(OR(S88="",W88=""),"",S88-W88)</f>
        <v/>
      </c>
      <c r="AD88" s="13" t="n"/>
      <c r="AE88" s="24">
        <f>IF(OR(AD88="",AD87=""),"",IF(AD87=0,"",(AD88/AD87)-1))</f>
        <v/>
      </c>
      <c r="AF88" s="24">
        <f>IF(ROW()&lt;7,"",IF(OR(AD88="",AD85=""),"",IF(AD85=0,"",(AD88/AD85)-1)))</f>
        <v/>
      </c>
      <c r="AG88" s="24">
        <f>IF(ROW()&lt;9,"",IF(OR(AD88="",AD83=""),"",IF(AD83=0,"",(AD88/AD83)-1)))</f>
        <v/>
      </c>
      <c r="AH88" s="13">
        <f>IF(ROW()&lt;23,"",AVERAGE(AD69:AD88))</f>
        <v/>
      </c>
      <c r="AI88">
        <f>IF(OR(AD88="",AH88=""),"",IF(AD88&gt;AH88,"Bull","Bear"))</f>
        <v/>
      </c>
      <c r="AJ88" s="13" t="n"/>
      <c r="AK88" s="24">
        <f>IF(OR(AJ88="",AJ87=""),"",IF(AJ87=0,"",(AJ88/AJ87)-1))</f>
        <v/>
      </c>
      <c r="AL88" s="24">
        <f>IF(ROW()&lt;7,"",IF(OR(AJ88="",AJ85=""),"",IF(AJ85=0,"",(AJ88/AJ85)-1)))</f>
        <v/>
      </c>
      <c r="AM88" s="24">
        <f>IF(ROW()&lt;9,"",IF(OR(AJ88="",AJ83=""),"",IF(AJ83=0,"",(AJ88/AJ83)-1)))</f>
        <v/>
      </c>
      <c r="AN88" s="13">
        <f>IF(ROW()&lt;23,"",AVERAGE(AJ69:AJ88))</f>
        <v/>
      </c>
      <c r="AO88">
        <f>IF(OR(AJ88="",AN88=""),"",IF(AJ88&gt;AN88,"Bull","Bear"))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8">
        <f>IFERROR((M89/M88)-1,"")</f>
        <v/>
      </c>
      <c r="O89" s="24">
        <f>IF(OR(N89="",N88=""),"",IF(N88=0,"",(N89/N88)-1))</f>
        <v/>
      </c>
      <c r="P89" s="11">
        <f>IF(ROW()&lt;7,"",IF(OR(E89="",E86=""),"",IF(E86=0,"",(E89/E86)-1)))</f>
        <v/>
      </c>
      <c r="Q89" s="24">
        <f>IF(ROW()&lt;9,"",IF(OR(E89="",E84=""),"",IF(E84=0,"",(E89/E84)-1)))</f>
        <v/>
      </c>
      <c r="R89" s="24">
        <f>IF(ROW()&lt;7,"",IF(OR(G89="",G86=""),"",IF(G86=0,"",(G89/G86)-1)))</f>
        <v/>
      </c>
      <c r="S89" s="24">
        <f>IF(ROW()&lt;9,"",IF(OR(G89="",G84=""),"",IF(G84=0,"",(G89/G84)-1)))</f>
        <v/>
      </c>
      <c r="T89" s="24">
        <f>IF(ROW()&lt;7,"",IF(OR(L89="",L86=""),"",IF(L86=0,"",(L89/L86)-1)))</f>
        <v/>
      </c>
      <c r="U89" s="24">
        <f>IF(ROW()&lt;9,"",IF(OR(L89="",L84=""),"",IF(L84=0,"",(L89/L84)-1)))</f>
        <v/>
      </c>
      <c r="V89" s="24">
        <f>IF(ROW()&lt;7,"",IF(OR(N89="",N86=""),"",IF(N86=0,"",(N89/N86)-1)))</f>
        <v/>
      </c>
      <c r="W89" s="24">
        <f>IF(ROW()&lt;9,"",IF(OR(N89="",N84=""),"",IF(N84=0,"",(N89/N84)-1)))</f>
        <v/>
      </c>
      <c r="X89" s="24">
        <f>IF(OR(F89="",M89=""),"",F89-M89)</f>
        <v/>
      </c>
      <c r="Y89" s="24">
        <f>IF(OR(P89="",T89=""),"",P89-T89)</f>
        <v/>
      </c>
      <c r="Z89" s="24">
        <f>IF(OR(Q89="",U89=""),"",Q89-U89)</f>
        <v/>
      </c>
      <c r="AA89" s="24">
        <f>IF(OR(H89="",O89=""),"",H89-O89)</f>
        <v/>
      </c>
      <c r="AB89" s="24">
        <f>IF(OR(R89="",V89=""),"",R89-V89)</f>
        <v/>
      </c>
      <c r="AC89" s="24">
        <f>IF(OR(S89="",W89=""),"",S89-W89)</f>
        <v/>
      </c>
      <c r="AD89" s="13" t="n"/>
      <c r="AE89" s="24">
        <f>IF(OR(AD89="",AD88=""),"",IF(AD88=0,"",(AD89/AD88)-1))</f>
        <v/>
      </c>
      <c r="AF89" s="24">
        <f>IF(ROW()&lt;7,"",IF(OR(AD89="",AD86=""),"",IF(AD86=0,"",(AD89/AD86)-1)))</f>
        <v/>
      </c>
      <c r="AG89" s="24">
        <f>IF(ROW()&lt;9,"",IF(OR(AD89="",AD84=""),"",IF(AD84=0,"",(AD89/AD84)-1)))</f>
        <v/>
      </c>
      <c r="AH89" s="13">
        <f>IF(ROW()&lt;23,"",AVERAGE(AD70:AD89))</f>
        <v/>
      </c>
      <c r="AI89">
        <f>IF(OR(AD89="",AH89=""),"",IF(AD89&gt;AH89,"Bull","Bear"))</f>
        <v/>
      </c>
      <c r="AJ89" s="13" t="n"/>
      <c r="AK89" s="24">
        <f>IF(OR(AJ89="",AJ88=""),"",IF(AJ88=0,"",(AJ89/AJ88)-1))</f>
        <v/>
      </c>
      <c r="AL89" s="24">
        <f>IF(ROW()&lt;7,"",IF(OR(AJ89="",AJ86=""),"",IF(AJ86=0,"",(AJ89/AJ86)-1)))</f>
        <v/>
      </c>
      <c r="AM89" s="24">
        <f>IF(ROW()&lt;9,"",IF(OR(AJ89="",AJ84=""),"",IF(AJ84=0,"",(AJ89/AJ84)-1)))</f>
        <v/>
      </c>
      <c r="AN89" s="13">
        <f>IF(ROW()&lt;23,"",AVERAGE(AJ70:AJ89))</f>
        <v/>
      </c>
      <c r="AO89">
        <f>IF(OR(AJ89="",AN89=""),"",IF(AJ89&gt;AN89,"Bull","Bear"))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8">
        <f>IFERROR((M90/M89)-1,"")</f>
        <v/>
      </c>
      <c r="O90" s="24">
        <f>IF(OR(N90="",N89=""),"",IF(N89=0,"",(N90/N89)-1))</f>
        <v/>
      </c>
      <c r="P90" s="11">
        <f>IF(ROW()&lt;7,"",IF(OR(E90="",E87=""),"",IF(E87=0,"",(E90/E87)-1)))</f>
        <v/>
      </c>
      <c r="Q90" s="24">
        <f>IF(ROW()&lt;9,"",IF(OR(E90="",E85=""),"",IF(E85=0,"",(E90/E85)-1)))</f>
        <v/>
      </c>
      <c r="R90" s="24">
        <f>IF(ROW()&lt;7,"",IF(OR(G90="",G87=""),"",IF(G87=0,"",(G90/G87)-1)))</f>
        <v/>
      </c>
      <c r="S90" s="24">
        <f>IF(ROW()&lt;9,"",IF(OR(G90="",G85=""),"",IF(G85=0,"",(G90/G85)-1)))</f>
        <v/>
      </c>
      <c r="T90" s="24">
        <f>IF(ROW()&lt;7,"",IF(OR(L90="",L87=""),"",IF(L87=0,"",(L90/L87)-1)))</f>
        <v/>
      </c>
      <c r="U90" s="24">
        <f>IF(ROW()&lt;9,"",IF(OR(L90="",L85=""),"",IF(L85=0,"",(L90/L85)-1)))</f>
        <v/>
      </c>
      <c r="V90" s="24">
        <f>IF(ROW()&lt;7,"",IF(OR(N90="",N87=""),"",IF(N87=0,"",(N90/N87)-1)))</f>
        <v/>
      </c>
      <c r="W90" s="24">
        <f>IF(ROW()&lt;9,"",IF(OR(N90="",N85=""),"",IF(N85=0,"",(N90/N85)-1)))</f>
        <v/>
      </c>
      <c r="X90" s="24">
        <f>IF(OR(F90="",M90=""),"",F90-M90)</f>
        <v/>
      </c>
      <c r="Y90" s="24">
        <f>IF(OR(P90="",T90=""),"",P90-T90)</f>
        <v/>
      </c>
      <c r="Z90" s="24">
        <f>IF(OR(Q90="",U90=""),"",Q90-U90)</f>
        <v/>
      </c>
      <c r="AA90" s="24">
        <f>IF(OR(H90="",O90=""),"",H90-O90)</f>
        <v/>
      </c>
      <c r="AB90" s="24">
        <f>IF(OR(R90="",V90=""),"",R90-V90)</f>
        <v/>
      </c>
      <c r="AC90" s="24">
        <f>IF(OR(S90="",W90=""),"",S90-W90)</f>
        <v/>
      </c>
      <c r="AD90" s="13" t="n"/>
      <c r="AE90" s="24">
        <f>IF(OR(AD90="",AD89=""),"",IF(AD89=0,"",(AD90/AD89)-1))</f>
        <v/>
      </c>
      <c r="AF90" s="24">
        <f>IF(ROW()&lt;7,"",IF(OR(AD90="",AD87=""),"",IF(AD87=0,"",(AD90/AD87)-1)))</f>
        <v/>
      </c>
      <c r="AG90" s="24">
        <f>IF(ROW()&lt;9,"",IF(OR(AD90="",AD85=""),"",IF(AD85=0,"",(AD90/AD85)-1)))</f>
        <v/>
      </c>
      <c r="AH90" s="13">
        <f>IF(ROW()&lt;23,"",AVERAGE(AD71:AD90))</f>
        <v/>
      </c>
      <c r="AI90">
        <f>IF(OR(AD90="",AH90=""),"",IF(AD90&gt;AH90,"Bull","Bear"))</f>
        <v/>
      </c>
      <c r="AJ90" s="13" t="n"/>
      <c r="AK90" s="24">
        <f>IF(OR(AJ90="",AJ89=""),"",IF(AJ89=0,"",(AJ90/AJ89)-1))</f>
        <v/>
      </c>
      <c r="AL90" s="24">
        <f>IF(ROW()&lt;7,"",IF(OR(AJ90="",AJ87=""),"",IF(AJ87=0,"",(AJ90/AJ87)-1)))</f>
        <v/>
      </c>
      <c r="AM90" s="24">
        <f>IF(ROW()&lt;9,"",IF(OR(AJ90="",AJ85=""),"",IF(AJ85=0,"",(AJ90/AJ85)-1)))</f>
        <v/>
      </c>
      <c r="AN90" s="13">
        <f>IF(ROW()&lt;23,"",AVERAGE(AJ71:AJ90))</f>
        <v/>
      </c>
      <c r="AO90">
        <f>IF(OR(AJ90="",AN90=""),"",IF(AJ90&gt;AN90,"Bull","Bear"))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8">
        <f>IFERROR((M91/M90)-1,"")</f>
        <v/>
      </c>
      <c r="O91" s="24">
        <f>IF(OR(N91="",N90=""),"",IF(N90=0,"",(N91/N90)-1))</f>
        <v/>
      </c>
      <c r="P91" s="11">
        <f>IF(ROW()&lt;7,"",IF(OR(E91="",E88=""),"",IF(E88=0,"",(E91/E88)-1)))</f>
        <v/>
      </c>
      <c r="Q91" s="24">
        <f>IF(ROW()&lt;9,"",IF(OR(E91="",E86=""),"",IF(E86=0,"",(E91/E86)-1)))</f>
        <v/>
      </c>
      <c r="R91" s="24">
        <f>IF(ROW()&lt;7,"",IF(OR(G91="",G88=""),"",IF(G88=0,"",(G91/G88)-1)))</f>
        <v/>
      </c>
      <c r="S91" s="24">
        <f>IF(ROW()&lt;9,"",IF(OR(G91="",G86=""),"",IF(G86=0,"",(G91/G86)-1)))</f>
        <v/>
      </c>
      <c r="T91" s="24">
        <f>IF(ROW()&lt;7,"",IF(OR(L91="",L88=""),"",IF(L88=0,"",(L91/L88)-1)))</f>
        <v/>
      </c>
      <c r="U91" s="24">
        <f>IF(ROW()&lt;9,"",IF(OR(L91="",L86=""),"",IF(L86=0,"",(L91/L86)-1)))</f>
        <v/>
      </c>
      <c r="V91" s="24">
        <f>IF(ROW()&lt;7,"",IF(OR(N91="",N88=""),"",IF(N88=0,"",(N91/N88)-1)))</f>
        <v/>
      </c>
      <c r="W91" s="24">
        <f>IF(ROW()&lt;9,"",IF(OR(N91="",N86=""),"",IF(N86=0,"",(N91/N86)-1)))</f>
        <v/>
      </c>
      <c r="X91" s="24">
        <f>IF(OR(F91="",M91=""),"",F91-M91)</f>
        <v/>
      </c>
      <c r="Y91" s="24">
        <f>IF(OR(P91="",T91=""),"",P91-T91)</f>
        <v/>
      </c>
      <c r="Z91" s="24">
        <f>IF(OR(Q91="",U91=""),"",Q91-U91)</f>
        <v/>
      </c>
      <c r="AA91" s="24">
        <f>IF(OR(H91="",O91=""),"",H91-O91)</f>
        <v/>
      </c>
      <c r="AB91" s="24">
        <f>IF(OR(R91="",V91=""),"",R91-V91)</f>
        <v/>
      </c>
      <c r="AC91" s="24">
        <f>IF(OR(S91="",W91=""),"",S91-W91)</f>
        <v/>
      </c>
      <c r="AD91" s="13" t="n"/>
      <c r="AE91" s="24">
        <f>IF(OR(AD91="",AD90=""),"",IF(AD90=0,"",(AD91/AD90)-1))</f>
        <v/>
      </c>
      <c r="AF91" s="24">
        <f>IF(ROW()&lt;7,"",IF(OR(AD91="",AD88=""),"",IF(AD88=0,"",(AD91/AD88)-1)))</f>
        <v/>
      </c>
      <c r="AG91" s="24">
        <f>IF(ROW()&lt;9,"",IF(OR(AD91="",AD86=""),"",IF(AD86=0,"",(AD91/AD86)-1)))</f>
        <v/>
      </c>
      <c r="AH91" s="13">
        <f>IF(ROW()&lt;23,"",AVERAGE(AD72:AD91))</f>
        <v/>
      </c>
      <c r="AI91">
        <f>IF(OR(AD91="",AH91=""),"",IF(AD91&gt;AH91,"Bull","Bear"))</f>
        <v/>
      </c>
      <c r="AJ91" s="13" t="n"/>
      <c r="AK91" s="24">
        <f>IF(OR(AJ91="",AJ90=""),"",IF(AJ90=0,"",(AJ91/AJ90)-1))</f>
        <v/>
      </c>
      <c r="AL91" s="24">
        <f>IF(ROW()&lt;7,"",IF(OR(AJ91="",AJ88=""),"",IF(AJ88=0,"",(AJ91/AJ88)-1)))</f>
        <v/>
      </c>
      <c r="AM91" s="24">
        <f>IF(ROW()&lt;9,"",IF(OR(AJ91="",AJ86=""),"",IF(AJ86=0,"",(AJ91/AJ86)-1)))</f>
        <v/>
      </c>
      <c r="AN91" s="13">
        <f>IF(ROW()&lt;23,"",AVERAGE(AJ72:AJ91))</f>
        <v/>
      </c>
      <c r="AO91">
        <f>IF(OR(AJ91="",AN91=""),"",IF(AJ91&gt;AN91,"Bull","Bear"))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8">
        <f>IFERROR((M92/M91)-1,"")</f>
        <v/>
      </c>
      <c r="O92" s="24">
        <f>IF(OR(N92="",N91=""),"",IF(N91=0,"",(N92/N91)-1))</f>
        <v/>
      </c>
      <c r="P92" s="11">
        <f>IF(ROW()&lt;7,"",IF(OR(E92="",E89=""),"",IF(E89=0,"",(E92/E89)-1)))</f>
        <v/>
      </c>
      <c r="Q92" s="24">
        <f>IF(ROW()&lt;9,"",IF(OR(E92="",E87=""),"",IF(E87=0,"",(E92/E87)-1)))</f>
        <v/>
      </c>
      <c r="R92" s="24">
        <f>IF(ROW()&lt;7,"",IF(OR(G92="",G89=""),"",IF(G89=0,"",(G92/G89)-1)))</f>
        <v/>
      </c>
      <c r="S92" s="24">
        <f>IF(ROW()&lt;9,"",IF(OR(G92="",G87=""),"",IF(G87=0,"",(G92/G87)-1)))</f>
        <v/>
      </c>
      <c r="T92" s="24">
        <f>IF(ROW()&lt;7,"",IF(OR(L92="",L89=""),"",IF(L89=0,"",(L92/L89)-1)))</f>
        <v/>
      </c>
      <c r="U92" s="24">
        <f>IF(ROW()&lt;9,"",IF(OR(L92="",L87=""),"",IF(L87=0,"",(L92/L87)-1)))</f>
        <v/>
      </c>
      <c r="V92" s="24">
        <f>IF(ROW()&lt;7,"",IF(OR(N92="",N89=""),"",IF(N89=0,"",(N92/N89)-1)))</f>
        <v/>
      </c>
      <c r="W92" s="24">
        <f>IF(ROW()&lt;9,"",IF(OR(N92="",N87=""),"",IF(N87=0,"",(N92/N87)-1)))</f>
        <v/>
      </c>
      <c r="X92" s="24">
        <f>IF(OR(F92="",M92=""),"",F92-M92)</f>
        <v/>
      </c>
      <c r="Y92" s="24">
        <f>IF(OR(P92="",T92=""),"",P92-T92)</f>
        <v/>
      </c>
      <c r="Z92" s="24">
        <f>IF(OR(Q92="",U92=""),"",Q92-U92)</f>
        <v/>
      </c>
      <c r="AA92" s="24">
        <f>IF(OR(H92="",O92=""),"",H92-O92)</f>
        <v/>
      </c>
      <c r="AB92" s="24">
        <f>IF(OR(R92="",V92=""),"",R92-V92)</f>
        <v/>
      </c>
      <c r="AC92" s="24">
        <f>IF(OR(S92="",W92=""),"",S92-W92)</f>
        <v/>
      </c>
      <c r="AD92" s="13" t="n"/>
      <c r="AE92" s="24">
        <f>IF(OR(AD92="",AD91=""),"",IF(AD91=0,"",(AD92/AD91)-1))</f>
        <v/>
      </c>
      <c r="AF92" s="24">
        <f>IF(ROW()&lt;7,"",IF(OR(AD92="",AD89=""),"",IF(AD89=0,"",(AD92/AD89)-1)))</f>
        <v/>
      </c>
      <c r="AG92" s="24">
        <f>IF(ROW()&lt;9,"",IF(OR(AD92="",AD87=""),"",IF(AD87=0,"",(AD92/AD87)-1)))</f>
        <v/>
      </c>
      <c r="AH92" s="13">
        <f>IF(ROW()&lt;23,"",AVERAGE(AD73:AD92))</f>
        <v/>
      </c>
      <c r="AI92">
        <f>IF(OR(AD92="",AH92=""),"",IF(AD92&gt;AH92,"Bull","Bear"))</f>
        <v/>
      </c>
      <c r="AJ92" s="13" t="n"/>
      <c r="AK92" s="24">
        <f>IF(OR(AJ92="",AJ91=""),"",IF(AJ91=0,"",(AJ92/AJ91)-1))</f>
        <v/>
      </c>
      <c r="AL92" s="24">
        <f>IF(ROW()&lt;7,"",IF(OR(AJ92="",AJ89=""),"",IF(AJ89=0,"",(AJ92/AJ89)-1)))</f>
        <v/>
      </c>
      <c r="AM92" s="24">
        <f>IF(ROW()&lt;9,"",IF(OR(AJ92="",AJ87=""),"",IF(AJ87=0,"",(AJ92/AJ87)-1)))</f>
        <v/>
      </c>
      <c r="AN92" s="13">
        <f>IF(ROW()&lt;23,"",AVERAGE(AJ73:AJ92))</f>
        <v/>
      </c>
      <c r="AO92">
        <f>IF(OR(AJ92="",AN92=""),"",IF(AJ92&gt;AN92,"Bull","Bear"))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8">
        <f>IFERROR((M93/M92)-1,"")</f>
        <v/>
      </c>
      <c r="O93" s="24">
        <f>IF(OR(N93="",N92=""),"",IF(N92=0,"",(N93/N92)-1))</f>
        <v/>
      </c>
      <c r="P93" s="11">
        <f>IF(ROW()&lt;7,"",IF(OR(E93="",E90=""),"",IF(E90=0,"",(E93/E90)-1)))</f>
        <v/>
      </c>
      <c r="Q93" s="24">
        <f>IF(ROW()&lt;9,"",IF(OR(E93="",E88=""),"",IF(E88=0,"",(E93/E88)-1)))</f>
        <v/>
      </c>
      <c r="R93" s="24">
        <f>IF(ROW()&lt;7,"",IF(OR(G93="",G90=""),"",IF(G90=0,"",(G93/G90)-1)))</f>
        <v/>
      </c>
      <c r="S93" s="24">
        <f>IF(ROW()&lt;9,"",IF(OR(G93="",G88=""),"",IF(G88=0,"",(G93/G88)-1)))</f>
        <v/>
      </c>
      <c r="T93" s="24">
        <f>IF(ROW()&lt;7,"",IF(OR(L93="",L90=""),"",IF(L90=0,"",(L93/L90)-1)))</f>
        <v/>
      </c>
      <c r="U93" s="24">
        <f>IF(ROW()&lt;9,"",IF(OR(L93="",L88=""),"",IF(L88=0,"",(L93/L88)-1)))</f>
        <v/>
      </c>
      <c r="V93" s="24">
        <f>IF(ROW()&lt;7,"",IF(OR(N93="",N90=""),"",IF(N90=0,"",(N93/N90)-1)))</f>
        <v/>
      </c>
      <c r="W93" s="24">
        <f>IF(ROW()&lt;9,"",IF(OR(N93="",N88=""),"",IF(N88=0,"",(N93/N88)-1)))</f>
        <v/>
      </c>
      <c r="X93" s="24">
        <f>IF(OR(F93="",M93=""),"",F93-M93)</f>
        <v/>
      </c>
      <c r="Y93" s="24">
        <f>IF(OR(P93="",T93=""),"",P93-T93)</f>
        <v/>
      </c>
      <c r="Z93" s="24">
        <f>IF(OR(Q93="",U93=""),"",Q93-U93)</f>
        <v/>
      </c>
      <c r="AA93" s="24">
        <f>IF(OR(H93="",O93=""),"",H93-O93)</f>
        <v/>
      </c>
      <c r="AB93" s="24">
        <f>IF(OR(R93="",V93=""),"",R93-V93)</f>
        <v/>
      </c>
      <c r="AC93" s="24">
        <f>IF(OR(S93="",W93=""),"",S93-W93)</f>
        <v/>
      </c>
      <c r="AD93" s="13" t="n"/>
      <c r="AE93" s="24">
        <f>IF(OR(AD93="",AD92=""),"",IF(AD92=0,"",(AD93/AD92)-1))</f>
        <v/>
      </c>
      <c r="AF93" s="24">
        <f>IF(ROW()&lt;7,"",IF(OR(AD93="",AD90=""),"",IF(AD90=0,"",(AD93/AD90)-1)))</f>
        <v/>
      </c>
      <c r="AG93" s="24">
        <f>IF(ROW()&lt;9,"",IF(OR(AD93="",AD88=""),"",IF(AD88=0,"",(AD93/AD88)-1)))</f>
        <v/>
      </c>
      <c r="AH93" s="13">
        <f>IF(ROW()&lt;23,"",AVERAGE(AD74:AD93))</f>
        <v/>
      </c>
      <c r="AI93">
        <f>IF(OR(AD93="",AH93=""),"",IF(AD93&gt;AH93,"Bull","Bear"))</f>
        <v/>
      </c>
      <c r="AJ93" s="13" t="n"/>
      <c r="AK93" s="24">
        <f>IF(OR(AJ93="",AJ92=""),"",IF(AJ92=0,"",(AJ93/AJ92)-1))</f>
        <v/>
      </c>
      <c r="AL93" s="24">
        <f>IF(ROW()&lt;7,"",IF(OR(AJ93="",AJ90=""),"",IF(AJ90=0,"",(AJ93/AJ90)-1)))</f>
        <v/>
      </c>
      <c r="AM93" s="24">
        <f>IF(ROW()&lt;9,"",IF(OR(AJ93="",AJ88=""),"",IF(AJ88=0,"",(AJ93/AJ88)-1)))</f>
        <v/>
      </c>
      <c r="AN93" s="13">
        <f>IF(ROW()&lt;23,"",AVERAGE(AJ74:AJ93))</f>
        <v/>
      </c>
      <c r="AO93">
        <f>IF(OR(AJ93="",AN93=""),"",IF(AJ93&gt;AN93,"Bull","Bear"))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8">
        <f>IFERROR((M94/M93)-1,"")</f>
        <v/>
      </c>
      <c r="O94" s="24">
        <f>IF(OR(N94="",N93=""),"",IF(N93=0,"",(N94/N93)-1))</f>
        <v/>
      </c>
      <c r="P94" s="11">
        <f>IF(ROW()&lt;7,"",IF(OR(E94="",E91=""),"",IF(E91=0,"",(E94/E91)-1)))</f>
        <v/>
      </c>
      <c r="Q94" s="24">
        <f>IF(ROW()&lt;9,"",IF(OR(E94="",E89=""),"",IF(E89=0,"",(E94/E89)-1)))</f>
        <v/>
      </c>
      <c r="R94" s="24">
        <f>IF(ROW()&lt;7,"",IF(OR(G94="",G91=""),"",IF(G91=0,"",(G94/G91)-1)))</f>
        <v/>
      </c>
      <c r="S94" s="24">
        <f>IF(ROW()&lt;9,"",IF(OR(G94="",G89=""),"",IF(G89=0,"",(G94/G89)-1)))</f>
        <v/>
      </c>
      <c r="T94" s="24">
        <f>IF(ROW()&lt;7,"",IF(OR(L94="",L91=""),"",IF(L91=0,"",(L94/L91)-1)))</f>
        <v/>
      </c>
      <c r="U94" s="24">
        <f>IF(ROW()&lt;9,"",IF(OR(L94="",L89=""),"",IF(L89=0,"",(L94/L89)-1)))</f>
        <v/>
      </c>
      <c r="V94" s="24">
        <f>IF(ROW()&lt;7,"",IF(OR(N94="",N91=""),"",IF(N91=0,"",(N94/N91)-1)))</f>
        <v/>
      </c>
      <c r="W94" s="24">
        <f>IF(ROW()&lt;9,"",IF(OR(N94="",N89=""),"",IF(N89=0,"",(N94/N89)-1)))</f>
        <v/>
      </c>
      <c r="X94" s="24">
        <f>IF(OR(F94="",M94=""),"",F94-M94)</f>
        <v/>
      </c>
      <c r="Y94" s="24">
        <f>IF(OR(P94="",T94=""),"",P94-T94)</f>
        <v/>
      </c>
      <c r="Z94" s="24">
        <f>IF(OR(Q94="",U94=""),"",Q94-U94)</f>
        <v/>
      </c>
      <c r="AA94" s="24">
        <f>IF(OR(H94="",O94=""),"",H94-O94)</f>
        <v/>
      </c>
      <c r="AB94" s="24">
        <f>IF(OR(R94="",V94=""),"",R94-V94)</f>
        <v/>
      </c>
      <c r="AC94" s="24">
        <f>IF(OR(S94="",W94=""),"",S94-W94)</f>
        <v/>
      </c>
      <c r="AD94" s="13" t="n"/>
      <c r="AE94" s="24">
        <f>IF(OR(AD94="",AD93=""),"",IF(AD93=0,"",(AD94/AD93)-1))</f>
        <v/>
      </c>
      <c r="AF94" s="24">
        <f>IF(ROW()&lt;7,"",IF(OR(AD94="",AD91=""),"",IF(AD91=0,"",(AD94/AD91)-1)))</f>
        <v/>
      </c>
      <c r="AG94" s="24">
        <f>IF(ROW()&lt;9,"",IF(OR(AD94="",AD89=""),"",IF(AD89=0,"",(AD94/AD89)-1)))</f>
        <v/>
      </c>
      <c r="AH94" s="13">
        <f>IF(ROW()&lt;23,"",AVERAGE(AD75:AD94))</f>
        <v/>
      </c>
      <c r="AI94">
        <f>IF(OR(AD94="",AH94=""),"",IF(AD94&gt;AH94,"Bull","Bear"))</f>
        <v/>
      </c>
      <c r="AJ94" s="13" t="n"/>
      <c r="AK94" s="24">
        <f>IF(OR(AJ94="",AJ93=""),"",IF(AJ93=0,"",(AJ94/AJ93)-1))</f>
        <v/>
      </c>
      <c r="AL94" s="24">
        <f>IF(ROW()&lt;7,"",IF(OR(AJ94="",AJ91=""),"",IF(AJ91=0,"",(AJ94/AJ91)-1)))</f>
        <v/>
      </c>
      <c r="AM94" s="24">
        <f>IF(ROW()&lt;9,"",IF(OR(AJ94="",AJ89=""),"",IF(AJ89=0,"",(AJ94/AJ89)-1)))</f>
        <v/>
      </c>
      <c r="AN94" s="13">
        <f>IF(ROW()&lt;23,"",AVERAGE(AJ75:AJ94))</f>
        <v/>
      </c>
      <c r="AO94">
        <f>IF(OR(AJ94="",AN94=""),"",IF(AJ94&gt;AN94,"Bull","Bear"))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8">
        <f>IFERROR((M95/M94)-1,"")</f>
        <v/>
      </c>
      <c r="O95" s="24">
        <f>IF(OR(N95="",N94=""),"",IF(N94=0,"",(N95/N94)-1))</f>
        <v/>
      </c>
      <c r="P95" s="11">
        <f>IF(ROW()&lt;7,"",IF(OR(E95="",E92=""),"",IF(E92=0,"",(E95/E92)-1)))</f>
        <v/>
      </c>
      <c r="Q95" s="24">
        <f>IF(ROW()&lt;9,"",IF(OR(E95="",E90=""),"",IF(E90=0,"",(E95/E90)-1)))</f>
        <v/>
      </c>
      <c r="R95" s="24">
        <f>IF(ROW()&lt;7,"",IF(OR(G95="",G92=""),"",IF(G92=0,"",(G95/G92)-1)))</f>
        <v/>
      </c>
      <c r="S95" s="24">
        <f>IF(ROW()&lt;9,"",IF(OR(G95="",G90=""),"",IF(G90=0,"",(G95/G90)-1)))</f>
        <v/>
      </c>
      <c r="T95" s="24">
        <f>IF(ROW()&lt;7,"",IF(OR(L95="",L92=""),"",IF(L92=0,"",(L95/L92)-1)))</f>
        <v/>
      </c>
      <c r="U95" s="24">
        <f>IF(ROW()&lt;9,"",IF(OR(L95="",L90=""),"",IF(L90=0,"",(L95/L90)-1)))</f>
        <v/>
      </c>
      <c r="V95" s="24">
        <f>IF(ROW()&lt;7,"",IF(OR(N95="",N92=""),"",IF(N92=0,"",(N95/N92)-1)))</f>
        <v/>
      </c>
      <c r="W95" s="24">
        <f>IF(ROW()&lt;9,"",IF(OR(N95="",N90=""),"",IF(N90=0,"",(N95/N90)-1)))</f>
        <v/>
      </c>
      <c r="X95" s="24">
        <f>IF(OR(F95="",M95=""),"",F95-M95)</f>
        <v/>
      </c>
      <c r="Y95" s="24">
        <f>IF(OR(P95="",T95=""),"",P95-T95)</f>
        <v/>
      </c>
      <c r="Z95" s="24">
        <f>IF(OR(Q95="",U95=""),"",Q95-U95)</f>
        <v/>
      </c>
      <c r="AA95" s="24">
        <f>IF(OR(H95="",O95=""),"",H95-O95)</f>
        <v/>
      </c>
      <c r="AB95" s="24">
        <f>IF(OR(R95="",V95=""),"",R95-V95)</f>
        <v/>
      </c>
      <c r="AC95" s="24">
        <f>IF(OR(S95="",W95=""),"",S95-W95)</f>
        <v/>
      </c>
      <c r="AD95" s="13" t="n"/>
      <c r="AE95" s="24">
        <f>IF(OR(AD95="",AD94=""),"",IF(AD94=0,"",(AD95/AD94)-1))</f>
        <v/>
      </c>
      <c r="AF95" s="24">
        <f>IF(ROW()&lt;7,"",IF(OR(AD95="",AD92=""),"",IF(AD92=0,"",(AD95/AD92)-1)))</f>
        <v/>
      </c>
      <c r="AG95" s="24">
        <f>IF(ROW()&lt;9,"",IF(OR(AD95="",AD90=""),"",IF(AD90=0,"",(AD95/AD90)-1)))</f>
        <v/>
      </c>
      <c r="AH95" s="13">
        <f>IF(ROW()&lt;23,"",AVERAGE(AD76:AD95))</f>
        <v/>
      </c>
      <c r="AI95">
        <f>IF(OR(AD95="",AH95=""),"",IF(AD95&gt;AH95,"Bull","Bear"))</f>
        <v/>
      </c>
      <c r="AJ95" s="13" t="n"/>
      <c r="AK95" s="24">
        <f>IF(OR(AJ95="",AJ94=""),"",IF(AJ94=0,"",(AJ95/AJ94)-1))</f>
        <v/>
      </c>
      <c r="AL95" s="24">
        <f>IF(ROW()&lt;7,"",IF(OR(AJ95="",AJ92=""),"",IF(AJ92=0,"",(AJ95/AJ92)-1)))</f>
        <v/>
      </c>
      <c r="AM95" s="24">
        <f>IF(ROW()&lt;9,"",IF(OR(AJ95="",AJ90=""),"",IF(AJ90=0,"",(AJ95/AJ90)-1)))</f>
        <v/>
      </c>
      <c r="AN95" s="13">
        <f>IF(ROW()&lt;23,"",AVERAGE(AJ76:AJ95))</f>
        <v/>
      </c>
      <c r="AO95">
        <f>IF(OR(AJ95="",AN95=""),"",IF(AJ95&gt;AN95,"Bull","Bear"))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8">
        <f>IFERROR((M96/M95)-1,"")</f>
        <v/>
      </c>
      <c r="O96" s="24">
        <f>IF(OR(N96="",N95=""),"",IF(N95=0,"",(N96/N95)-1))</f>
        <v/>
      </c>
      <c r="P96" s="11">
        <f>IF(ROW()&lt;7,"",IF(OR(E96="",E93=""),"",IF(E93=0,"",(E96/E93)-1)))</f>
        <v/>
      </c>
      <c r="Q96" s="24">
        <f>IF(ROW()&lt;9,"",IF(OR(E96="",E91=""),"",IF(E91=0,"",(E96/E91)-1)))</f>
        <v/>
      </c>
      <c r="R96" s="24">
        <f>IF(ROW()&lt;7,"",IF(OR(G96="",G93=""),"",IF(G93=0,"",(G96/G93)-1)))</f>
        <v/>
      </c>
      <c r="S96" s="24">
        <f>IF(ROW()&lt;9,"",IF(OR(G96="",G91=""),"",IF(G91=0,"",(G96/G91)-1)))</f>
        <v/>
      </c>
      <c r="T96" s="24">
        <f>IF(ROW()&lt;7,"",IF(OR(L96="",L93=""),"",IF(L93=0,"",(L96/L93)-1)))</f>
        <v/>
      </c>
      <c r="U96" s="24">
        <f>IF(ROW()&lt;9,"",IF(OR(L96="",L91=""),"",IF(L91=0,"",(L96/L91)-1)))</f>
        <v/>
      </c>
      <c r="V96" s="24">
        <f>IF(ROW()&lt;7,"",IF(OR(N96="",N93=""),"",IF(N93=0,"",(N96/N93)-1)))</f>
        <v/>
      </c>
      <c r="W96" s="24">
        <f>IF(ROW()&lt;9,"",IF(OR(N96="",N91=""),"",IF(N91=0,"",(N96/N91)-1)))</f>
        <v/>
      </c>
      <c r="X96" s="24">
        <f>IF(OR(F96="",M96=""),"",F96-M96)</f>
        <v/>
      </c>
      <c r="Y96" s="24">
        <f>IF(OR(P96="",T96=""),"",P96-T96)</f>
        <v/>
      </c>
      <c r="Z96" s="24">
        <f>IF(OR(Q96="",U96=""),"",Q96-U96)</f>
        <v/>
      </c>
      <c r="AA96" s="24">
        <f>IF(OR(H96="",O96=""),"",H96-O96)</f>
        <v/>
      </c>
      <c r="AB96" s="24">
        <f>IF(OR(R96="",V96=""),"",R96-V96)</f>
        <v/>
      </c>
      <c r="AC96" s="24">
        <f>IF(OR(S96="",W96=""),"",S96-W96)</f>
        <v/>
      </c>
      <c r="AD96" s="13" t="n"/>
      <c r="AE96" s="24">
        <f>IF(OR(AD96="",AD95=""),"",IF(AD95=0,"",(AD96/AD95)-1))</f>
        <v/>
      </c>
      <c r="AF96" s="24">
        <f>IF(ROW()&lt;7,"",IF(OR(AD96="",AD93=""),"",IF(AD93=0,"",(AD96/AD93)-1)))</f>
        <v/>
      </c>
      <c r="AG96" s="24">
        <f>IF(ROW()&lt;9,"",IF(OR(AD96="",AD91=""),"",IF(AD91=0,"",(AD96/AD91)-1)))</f>
        <v/>
      </c>
      <c r="AH96" s="13">
        <f>IF(ROW()&lt;23,"",AVERAGE(AD77:AD96))</f>
        <v/>
      </c>
      <c r="AI96">
        <f>IF(OR(AD96="",AH96=""),"",IF(AD96&gt;AH96,"Bull","Bear"))</f>
        <v/>
      </c>
      <c r="AJ96" s="13" t="n"/>
      <c r="AK96" s="24">
        <f>IF(OR(AJ96="",AJ95=""),"",IF(AJ95=0,"",(AJ96/AJ95)-1))</f>
        <v/>
      </c>
      <c r="AL96" s="24">
        <f>IF(ROW()&lt;7,"",IF(OR(AJ96="",AJ93=""),"",IF(AJ93=0,"",(AJ96/AJ93)-1)))</f>
        <v/>
      </c>
      <c r="AM96" s="24">
        <f>IF(ROW()&lt;9,"",IF(OR(AJ96="",AJ91=""),"",IF(AJ91=0,"",(AJ96/AJ91)-1)))</f>
        <v/>
      </c>
      <c r="AN96" s="13">
        <f>IF(ROW()&lt;23,"",AVERAGE(AJ77:AJ96))</f>
        <v/>
      </c>
      <c r="AO96">
        <f>IF(OR(AJ96="",AN96=""),"",IF(AJ96&gt;AN96,"Bull","Bear"))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8">
        <f>IFERROR((M97/M96)-1,"")</f>
        <v/>
      </c>
      <c r="O97" s="24">
        <f>IF(OR(N97="",N96=""),"",IF(N96=0,"",(N97/N96)-1))</f>
        <v/>
      </c>
      <c r="P97" s="11">
        <f>IF(ROW()&lt;7,"",IF(OR(E97="",E94=""),"",IF(E94=0,"",(E97/E94)-1)))</f>
        <v/>
      </c>
      <c r="Q97" s="24">
        <f>IF(ROW()&lt;9,"",IF(OR(E97="",E92=""),"",IF(E92=0,"",(E97/E92)-1)))</f>
        <v/>
      </c>
      <c r="R97" s="24">
        <f>IF(ROW()&lt;7,"",IF(OR(G97="",G94=""),"",IF(G94=0,"",(G97/G94)-1)))</f>
        <v/>
      </c>
      <c r="S97" s="24">
        <f>IF(ROW()&lt;9,"",IF(OR(G97="",G92=""),"",IF(G92=0,"",(G97/G92)-1)))</f>
        <v/>
      </c>
      <c r="T97" s="24">
        <f>IF(ROW()&lt;7,"",IF(OR(L97="",L94=""),"",IF(L94=0,"",(L97/L94)-1)))</f>
        <v/>
      </c>
      <c r="U97" s="24">
        <f>IF(ROW()&lt;9,"",IF(OR(L97="",L92=""),"",IF(L92=0,"",(L97/L92)-1)))</f>
        <v/>
      </c>
      <c r="V97" s="24">
        <f>IF(ROW()&lt;7,"",IF(OR(N97="",N94=""),"",IF(N94=0,"",(N97/N94)-1)))</f>
        <v/>
      </c>
      <c r="W97" s="24">
        <f>IF(ROW()&lt;9,"",IF(OR(N97="",N92=""),"",IF(N92=0,"",(N97/N92)-1)))</f>
        <v/>
      </c>
      <c r="X97" s="24">
        <f>IF(OR(F97="",M97=""),"",F97-M97)</f>
        <v/>
      </c>
      <c r="Y97" s="24">
        <f>IF(OR(P97="",T97=""),"",P97-T97)</f>
        <v/>
      </c>
      <c r="Z97" s="24">
        <f>IF(OR(Q97="",U97=""),"",Q97-U97)</f>
        <v/>
      </c>
      <c r="AA97" s="24">
        <f>IF(OR(H97="",O97=""),"",H97-O97)</f>
        <v/>
      </c>
      <c r="AB97" s="24">
        <f>IF(OR(R97="",V97=""),"",R97-V97)</f>
        <v/>
      </c>
      <c r="AC97" s="24">
        <f>IF(OR(S97="",W97=""),"",S97-W97)</f>
        <v/>
      </c>
      <c r="AD97" s="13" t="n"/>
      <c r="AE97" s="24">
        <f>IF(OR(AD97="",AD96=""),"",IF(AD96=0,"",(AD97/AD96)-1))</f>
        <v/>
      </c>
      <c r="AF97" s="24">
        <f>IF(ROW()&lt;7,"",IF(OR(AD97="",AD94=""),"",IF(AD94=0,"",(AD97/AD94)-1)))</f>
        <v/>
      </c>
      <c r="AG97" s="24">
        <f>IF(ROW()&lt;9,"",IF(OR(AD97="",AD92=""),"",IF(AD92=0,"",(AD97/AD92)-1)))</f>
        <v/>
      </c>
      <c r="AH97" s="13">
        <f>IF(ROW()&lt;23,"",AVERAGE(AD78:AD97))</f>
        <v/>
      </c>
      <c r="AI97">
        <f>IF(OR(AD97="",AH97=""),"",IF(AD97&gt;AH97,"Bull","Bear"))</f>
        <v/>
      </c>
      <c r="AJ97" s="13" t="n"/>
      <c r="AK97" s="24">
        <f>IF(OR(AJ97="",AJ96=""),"",IF(AJ96=0,"",(AJ97/AJ96)-1))</f>
        <v/>
      </c>
      <c r="AL97" s="24">
        <f>IF(ROW()&lt;7,"",IF(OR(AJ97="",AJ94=""),"",IF(AJ94=0,"",(AJ97/AJ94)-1)))</f>
        <v/>
      </c>
      <c r="AM97" s="24">
        <f>IF(ROW()&lt;9,"",IF(OR(AJ97="",AJ92=""),"",IF(AJ92=0,"",(AJ97/AJ92)-1)))</f>
        <v/>
      </c>
      <c r="AN97" s="13">
        <f>IF(ROW()&lt;23,"",AVERAGE(AJ78:AJ97))</f>
        <v/>
      </c>
      <c r="AO97">
        <f>IF(OR(AJ97="",AN97=""),"",IF(AJ97&gt;AN97,"Bull","Bear"))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8">
        <f>IFERROR((M98/M97)-1,"")</f>
        <v/>
      </c>
      <c r="O98" s="24">
        <f>IF(OR(N98="",N97=""),"",IF(N97=0,"",(N98/N97)-1))</f>
        <v/>
      </c>
      <c r="P98" s="11">
        <f>IF(ROW()&lt;7,"",IF(OR(E98="",E95=""),"",IF(E95=0,"",(E98/E95)-1)))</f>
        <v/>
      </c>
      <c r="Q98" s="24">
        <f>IF(ROW()&lt;9,"",IF(OR(E98="",E93=""),"",IF(E93=0,"",(E98/E93)-1)))</f>
        <v/>
      </c>
      <c r="R98" s="24">
        <f>IF(ROW()&lt;7,"",IF(OR(G98="",G95=""),"",IF(G95=0,"",(G98/G95)-1)))</f>
        <v/>
      </c>
      <c r="S98" s="24">
        <f>IF(ROW()&lt;9,"",IF(OR(G98="",G93=""),"",IF(G93=0,"",(G98/G93)-1)))</f>
        <v/>
      </c>
      <c r="T98" s="24">
        <f>IF(ROW()&lt;7,"",IF(OR(L98="",L95=""),"",IF(L95=0,"",(L98/L95)-1)))</f>
        <v/>
      </c>
      <c r="U98" s="24">
        <f>IF(ROW()&lt;9,"",IF(OR(L98="",L93=""),"",IF(L93=0,"",(L98/L93)-1)))</f>
        <v/>
      </c>
      <c r="V98" s="24">
        <f>IF(ROW()&lt;7,"",IF(OR(N98="",N95=""),"",IF(N95=0,"",(N98/N95)-1)))</f>
        <v/>
      </c>
      <c r="W98" s="24">
        <f>IF(ROW()&lt;9,"",IF(OR(N98="",N93=""),"",IF(N93=0,"",(N98/N93)-1)))</f>
        <v/>
      </c>
      <c r="X98" s="24">
        <f>IF(OR(F98="",M98=""),"",F98-M98)</f>
        <v/>
      </c>
      <c r="Y98" s="24">
        <f>IF(OR(P98="",T98=""),"",P98-T98)</f>
        <v/>
      </c>
      <c r="Z98" s="24">
        <f>IF(OR(Q98="",U98=""),"",Q98-U98)</f>
        <v/>
      </c>
      <c r="AA98" s="24">
        <f>IF(OR(H98="",O98=""),"",H98-O98)</f>
        <v/>
      </c>
      <c r="AB98" s="24">
        <f>IF(OR(R98="",V98=""),"",R98-V98)</f>
        <v/>
      </c>
      <c r="AC98" s="24">
        <f>IF(OR(S98="",W98=""),"",S98-W98)</f>
        <v/>
      </c>
      <c r="AD98" s="13" t="n"/>
      <c r="AE98" s="24">
        <f>IF(OR(AD98="",AD97=""),"",IF(AD97=0,"",(AD98/AD97)-1))</f>
        <v/>
      </c>
      <c r="AF98" s="24">
        <f>IF(ROW()&lt;7,"",IF(OR(AD98="",AD95=""),"",IF(AD95=0,"",(AD98/AD95)-1)))</f>
        <v/>
      </c>
      <c r="AG98" s="24">
        <f>IF(ROW()&lt;9,"",IF(OR(AD98="",AD93=""),"",IF(AD93=0,"",(AD98/AD93)-1)))</f>
        <v/>
      </c>
      <c r="AH98" s="13">
        <f>IF(ROW()&lt;23,"",AVERAGE(AD79:AD98))</f>
        <v/>
      </c>
      <c r="AI98">
        <f>IF(OR(AD98="",AH98=""),"",IF(AD98&gt;AH98,"Bull","Bear"))</f>
        <v/>
      </c>
      <c r="AJ98" s="13" t="n"/>
      <c r="AK98" s="24">
        <f>IF(OR(AJ98="",AJ97=""),"",IF(AJ97=0,"",(AJ98/AJ97)-1))</f>
        <v/>
      </c>
      <c r="AL98" s="24">
        <f>IF(ROW()&lt;7,"",IF(OR(AJ98="",AJ95=""),"",IF(AJ95=0,"",(AJ98/AJ95)-1)))</f>
        <v/>
      </c>
      <c r="AM98" s="24">
        <f>IF(ROW()&lt;9,"",IF(OR(AJ98="",AJ93=""),"",IF(AJ93=0,"",(AJ98/AJ93)-1)))</f>
        <v/>
      </c>
      <c r="AN98" s="13">
        <f>IF(ROW()&lt;23,"",AVERAGE(AJ79:AJ98))</f>
        <v/>
      </c>
      <c r="AO98">
        <f>IF(OR(AJ98="",AN98=""),"",IF(AJ98&gt;AN98,"Bull","Bear"))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8">
        <f>IFERROR((M99/M98)-1,"")</f>
        <v/>
      </c>
      <c r="O99" s="24">
        <f>IF(OR(N99="",N98=""),"",IF(N98=0,"",(N99/N98)-1))</f>
        <v/>
      </c>
      <c r="P99" s="11">
        <f>IF(ROW()&lt;7,"",IF(OR(E99="",E96=""),"",IF(E96=0,"",(E99/E96)-1)))</f>
        <v/>
      </c>
      <c r="Q99" s="24">
        <f>IF(ROW()&lt;9,"",IF(OR(E99="",E94=""),"",IF(E94=0,"",(E99/E94)-1)))</f>
        <v/>
      </c>
      <c r="R99" s="24">
        <f>IF(ROW()&lt;7,"",IF(OR(G99="",G96=""),"",IF(G96=0,"",(G99/G96)-1)))</f>
        <v/>
      </c>
      <c r="S99" s="24">
        <f>IF(ROW()&lt;9,"",IF(OR(G99="",G94=""),"",IF(G94=0,"",(G99/G94)-1)))</f>
        <v/>
      </c>
      <c r="T99" s="24">
        <f>IF(ROW()&lt;7,"",IF(OR(L99="",L96=""),"",IF(L96=0,"",(L99/L96)-1)))</f>
        <v/>
      </c>
      <c r="U99" s="24">
        <f>IF(ROW()&lt;9,"",IF(OR(L99="",L94=""),"",IF(L94=0,"",(L99/L94)-1)))</f>
        <v/>
      </c>
      <c r="V99" s="24">
        <f>IF(ROW()&lt;7,"",IF(OR(N99="",N96=""),"",IF(N96=0,"",(N99/N96)-1)))</f>
        <v/>
      </c>
      <c r="W99" s="24">
        <f>IF(ROW()&lt;9,"",IF(OR(N99="",N94=""),"",IF(N94=0,"",(N99/N94)-1)))</f>
        <v/>
      </c>
      <c r="X99" s="24">
        <f>IF(OR(F99="",M99=""),"",F99-M99)</f>
        <v/>
      </c>
      <c r="Y99" s="24">
        <f>IF(OR(P99="",T99=""),"",P99-T99)</f>
        <v/>
      </c>
      <c r="Z99" s="24">
        <f>IF(OR(Q99="",U99=""),"",Q99-U99)</f>
        <v/>
      </c>
      <c r="AA99" s="24">
        <f>IF(OR(H99="",O99=""),"",H99-O99)</f>
        <v/>
      </c>
      <c r="AB99" s="24">
        <f>IF(OR(R99="",V99=""),"",R99-V99)</f>
        <v/>
      </c>
      <c r="AC99" s="24">
        <f>IF(OR(S99="",W99=""),"",S99-W99)</f>
        <v/>
      </c>
      <c r="AD99" s="13" t="n"/>
      <c r="AE99" s="24">
        <f>IF(OR(AD99="",AD98=""),"",IF(AD98=0,"",(AD99/AD98)-1))</f>
        <v/>
      </c>
      <c r="AF99" s="24">
        <f>IF(ROW()&lt;7,"",IF(OR(AD99="",AD96=""),"",IF(AD96=0,"",(AD99/AD96)-1)))</f>
        <v/>
      </c>
      <c r="AG99" s="24">
        <f>IF(ROW()&lt;9,"",IF(OR(AD99="",AD94=""),"",IF(AD94=0,"",(AD99/AD94)-1)))</f>
        <v/>
      </c>
      <c r="AH99" s="13">
        <f>IF(ROW()&lt;23,"",AVERAGE(AD80:AD99))</f>
        <v/>
      </c>
      <c r="AI99">
        <f>IF(OR(AD99="",AH99=""),"",IF(AD99&gt;AH99,"Bull","Bear"))</f>
        <v/>
      </c>
      <c r="AJ99" s="13" t="n"/>
      <c r="AK99" s="24">
        <f>IF(OR(AJ99="",AJ98=""),"",IF(AJ98=0,"",(AJ99/AJ98)-1))</f>
        <v/>
      </c>
      <c r="AL99" s="24">
        <f>IF(ROW()&lt;7,"",IF(OR(AJ99="",AJ96=""),"",IF(AJ96=0,"",(AJ99/AJ96)-1)))</f>
        <v/>
      </c>
      <c r="AM99" s="24">
        <f>IF(ROW()&lt;9,"",IF(OR(AJ99="",AJ94=""),"",IF(AJ94=0,"",(AJ99/AJ94)-1)))</f>
        <v/>
      </c>
      <c r="AN99" s="13">
        <f>IF(ROW()&lt;23,"",AVERAGE(AJ80:AJ99))</f>
        <v/>
      </c>
      <c r="AO99">
        <f>IF(OR(AJ99="",AN99=""),"",IF(AJ99&gt;AN99,"Bull","Bear"))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8">
        <f>IFERROR((M100/M99)-1,"")</f>
        <v/>
      </c>
      <c r="O100" s="24">
        <f>IF(OR(N100="",N99=""),"",IF(N99=0,"",(N100/N99)-1))</f>
        <v/>
      </c>
      <c r="P100" s="11">
        <f>IF(ROW()&lt;7,"",IF(OR(E100="",E97=""),"",IF(E97=0,"",(E100/E97)-1)))</f>
        <v/>
      </c>
      <c r="Q100" s="24">
        <f>IF(ROW()&lt;9,"",IF(OR(E100="",E95=""),"",IF(E95=0,"",(E100/E95)-1)))</f>
        <v/>
      </c>
      <c r="R100" s="24">
        <f>IF(ROW()&lt;7,"",IF(OR(G100="",G97=""),"",IF(G97=0,"",(G100/G97)-1)))</f>
        <v/>
      </c>
      <c r="S100" s="24">
        <f>IF(ROW()&lt;9,"",IF(OR(G100="",G95=""),"",IF(G95=0,"",(G100/G95)-1)))</f>
        <v/>
      </c>
      <c r="T100" s="24">
        <f>IF(ROW()&lt;7,"",IF(OR(L100="",L97=""),"",IF(L97=0,"",(L100/L97)-1)))</f>
        <v/>
      </c>
      <c r="U100" s="24">
        <f>IF(ROW()&lt;9,"",IF(OR(L100="",L95=""),"",IF(L95=0,"",(L100/L95)-1)))</f>
        <v/>
      </c>
      <c r="V100" s="24">
        <f>IF(ROW()&lt;7,"",IF(OR(N100="",N97=""),"",IF(N97=0,"",(N100/N97)-1)))</f>
        <v/>
      </c>
      <c r="W100" s="24">
        <f>IF(ROW()&lt;9,"",IF(OR(N100="",N95=""),"",IF(N95=0,"",(N100/N95)-1)))</f>
        <v/>
      </c>
      <c r="X100" s="24">
        <f>IF(OR(F100="",M100=""),"",F100-M100)</f>
        <v/>
      </c>
      <c r="Y100" s="24">
        <f>IF(OR(P100="",T100=""),"",P100-T100)</f>
        <v/>
      </c>
      <c r="Z100" s="24">
        <f>IF(OR(Q100="",U100=""),"",Q100-U100)</f>
        <v/>
      </c>
      <c r="AA100" s="24">
        <f>IF(OR(H100="",O100=""),"",H100-O100)</f>
        <v/>
      </c>
      <c r="AB100" s="24">
        <f>IF(OR(R100="",V100=""),"",R100-V100)</f>
        <v/>
      </c>
      <c r="AC100" s="24">
        <f>IF(OR(S100="",W100=""),"",S100-W100)</f>
        <v/>
      </c>
      <c r="AD100" s="13" t="n"/>
      <c r="AE100" s="24">
        <f>IF(OR(AD100="",AD99=""),"",IF(AD99=0,"",(AD100/AD99)-1))</f>
        <v/>
      </c>
      <c r="AF100" s="24">
        <f>IF(ROW()&lt;7,"",IF(OR(AD100="",AD97=""),"",IF(AD97=0,"",(AD100/AD97)-1)))</f>
        <v/>
      </c>
      <c r="AG100" s="24">
        <f>IF(ROW()&lt;9,"",IF(OR(AD100="",AD95=""),"",IF(AD95=0,"",(AD100/AD95)-1)))</f>
        <v/>
      </c>
      <c r="AH100" s="13">
        <f>IF(ROW()&lt;23,"",AVERAGE(AD81:AD100))</f>
        <v/>
      </c>
      <c r="AI100">
        <f>IF(OR(AD100="",AH100=""),"",IF(AD100&gt;AH100,"Bull","Bear"))</f>
        <v/>
      </c>
      <c r="AJ100" s="13" t="n"/>
      <c r="AK100" s="24">
        <f>IF(OR(AJ100="",AJ99=""),"",IF(AJ99=0,"",(AJ100/AJ99)-1))</f>
        <v/>
      </c>
      <c r="AL100" s="24">
        <f>IF(ROW()&lt;7,"",IF(OR(AJ100="",AJ97=""),"",IF(AJ97=0,"",(AJ100/AJ97)-1)))</f>
        <v/>
      </c>
      <c r="AM100" s="24">
        <f>IF(ROW()&lt;9,"",IF(OR(AJ100="",AJ95=""),"",IF(AJ95=0,"",(AJ100/AJ95)-1)))</f>
        <v/>
      </c>
      <c r="AN100" s="13">
        <f>IF(ROW()&lt;23,"",AVERAGE(AJ81:AJ100))</f>
        <v/>
      </c>
      <c r="AO100">
        <f>IF(OR(AJ100="",AN100=""),"",IF(AJ100&gt;AN100,"Bull","Bear"))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8">
        <f>IFERROR((M101/M100)-1,"")</f>
        <v/>
      </c>
      <c r="O101" s="24">
        <f>IF(OR(N101="",N100=""),"",IF(N100=0,"",(N101/N100)-1))</f>
        <v/>
      </c>
      <c r="P101" s="11">
        <f>IF(ROW()&lt;7,"",IF(OR(E101="",E98=""),"",IF(E98=0,"",(E101/E98)-1)))</f>
        <v/>
      </c>
      <c r="Q101" s="24">
        <f>IF(ROW()&lt;9,"",IF(OR(E101="",E96=""),"",IF(E96=0,"",(E101/E96)-1)))</f>
        <v/>
      </c>
      <c r="R101" s="24">
        <f>IF(ROW()&lt;7,"",IF(OR(G101="",G98=""),"",IF(G98=0,"",(G101/G98)-1)))</f>
        <v/>
      </c>
      <c r="S101" s="24">
        <f>IF(ROW()&lt;9,"",IF(OR(G101="",G96=""),"",IF(G96=0,"",(G101/G96)-1)))</f>
        <v/>
      </c>
      <c r="T101" s="24">
        <f>IF(ROW()&lt;7,"",IF(OR(L101="",L98=""),"",IF(L98=0,"",(L101/L98)-1)))</f>
        <v/>
      </c>
      <c r="U101" s="24">
        <f>IF(ROW()&lt;9,"",IF(OR(L101="",L96=""),"",IF(L96=0,"",(L101/L96)-1)))</f>
        <v/>
      </c>
      <c r="V101" s="24">
        <f>IF(ROW()&lt;7,"",IF(OR(N101="",N98=""),"",IF(N98=0,"",(N101/N98)-1)))</f>
        <v/>
      </c>
      <c r="W101" s="24">
        <f>IF(ROW()&lt;9,"",IF(OR(N101="",N96=""),"",IF(N96=0,"",(N101/N96)-1)))</f>
        <v/>
      </c>
      <c r="X101" s="24">
        <f>IF(OR(F101="",M101=""),"",F101-M101)</f>
        <v/>
      </c>
      <c r="Y101" s="24">
        <f>IF(OR(P101="",T101=""),"",P101-T101)</f>
        <v/>
      </c>
      <c r="Z101" s="24">
        <f>IF(OR(Q101="",U101=""),"",Q101-U101)</f>
        <v/>
      </c>
      <c r="AA101" s="24">
        <f>IF(OR(H101="",O101=""),"",H101-O101)</f>
        <v/>
      </c>
      <c r="AB101" s="24">
        <f>IF(OR(R101="",V101=""),"",R101-V101)</f>
        <v/>
      </c>
      <c r="AC101" s="24">
        <f>IF(OR(S101="",W101=""),"",S101-W101)</f>
        <v/>
      </c>
      <c r="AD101" s="13" t="n"/>
      <c r="AE101" s="24">
        <f>IF(OR(AD101="",AD100=""),"",IF(AD100=0,"",(AD101/AD100)-1))</f>
        <v/>
      </c>
      <c r="AF101" s="24">
        <f>IF(ROW()&lt;7,"",IF(OR(AD101="",AD98=""),"",IF(AD98=0,"",(AD101/AD98)-1)))</f>
        <v/>
      </c>
      <c r="AG101" s="24">
        <f>IF(ROW()&lt;9,"",IF(OR(AD101="",AD96=""),"",IF(AD96=0,"",(AD101/AD96)-1)))</f>
        <v/>
      </c>
      <c r="AH101" s="13">
        <f>IF(ROW()&lt;23,"",AVERAGE(AD82:AD101))</f>
        <v/>
      </c>
      <c r="AI101">
        <f>IF(OR(AD101="",AH101=""),"",IF(AD101&gt;AH101,"Bull","Bear"))</f>
        <v/>
      </c>
      <c r="AJ101" s="13" t="n"/>
      <c r="AK101" s="24">
        <f>IF(OR(AJ101="",AJ100=""),"",IF(AJ100=0,"",(AJ101/AJ100)-1))</f>
        <v/>
      </c>
      <c r="AL101" s="24">
        <f>IF(ROW()&lt;7,"",IF(OR(AJ101="",AJ98=""),"",IF(AJ98=0,"",(AJ101/AJ98)-1)))</f>
        <v/>
      </c>
      <c r="AM101" s="24">
        <f>IF(ROW()&lt;9,"",IF(OR(AJ101="",AJ96=""),"",IF(AJ96=0,"",(AJ101/AJ96)-1)))</f>
        <v/>
      </c>
      <c r="AN101" s="13">
        <f>IF(ROW()&lt;23,"",AVERAGE(AJ82:AJ101))</f>
        <v/>
      </c>
      <c r="AO101">
        <f>IF(OR(AJ101="",AN101=""),"",IF(AJ101&gt;AN101,"Bull","Bear"))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8">
        <f>IFERROR((M102/M101)-1,"")</f>
        <v/>
      </c>
      <c r="O102" s="24">
        <f>IF(OR(N102="",N101=""),"",IF(N101=0,"",(N102/N101)-1))</f>
        <v/>
      </c>
      <c r="P102" s="11">
        <f>IF(ROW()&lt;7,"",IF(OR(E102="",E99=""),"",IF(E99=0,"",(E102/E99)-1)))</f>
        <v/>
      </c>
      <c r="Q102" s="24">
        <f>IF(ROW()&lt;9,"",IF(OR(E102="",E97=""),"",IF(E97=0,"",(E102/E97)-1)))</f>
        <v/>
      </c>
      <c r="R102" s="24">
        <f>IF(ROW()&lt;7,"",IF(OR(G102="",G99=""),"",IF(G99=0,"",(G102/G99)-1)))</f>
        <v/>
      </c>
      <c r="S102" s="24">
        <f>IF(ROW()&lt;9,"",IF(OR(G102="",G97=""),"",IF(G97=0,"",(G102/G97)-1)))</f>
        <v/>
      </c>
      <c r="T102" s="24">
        <f>IF(ROW()&lt;7,"",IF(OR(L102="",L99=""),"",IF(L99=0,"",(L102/L99)-1)))</f>
        <v/>
      </c>
      <c r="U102" s="24">
        <f>IF(ROW()&lt;9,"",IF(OR(L102="",L97=""),"",IF(L97=0,"",(L102/L97)-1)))</f>
        <v/>
      </c>
      <c r="V102" s="24">
        <f>IF(ROW()&lt;7,"",IF(OR(N102="",N99=""),"",IF(N99=0,"",(N102/N99)-1)))</f>
        <v/>
      </c>
      <c r="W102" s="24">
        <f>IF(ROW()&lt;9,"",IF(OR(N102="",N97=""),"",IF(N97=0,"",(N102/N97)-1)))</f>
        <v/>
      </c>
      <c r="X102" s="24">
        <f>IF(OR(F102="",M102=""),"",F102-M102)</f>
        <v/>
      </c>
      <c r="Y102" s="24">
        <f>IF(OR(P102="",T102=""),"",P102-T102)</f>
        <v/>
      </c>
      <c r="Z102" s="24">
        <f>IF(OR(Q102="",U102=""),"",Q102-U102)</f>
        <v/>
      </c>
      <c r="AA102" s="24">
        <f>IF(OR(H102="",O102=""),"",H102-O102)</f>
        <v/>
      </c>
      <c r="AB102" s="24">
        <f>IF(OR(R102="",V102=""),"",R102-V102)</f>
        <v/>
      </c>
      <c r="AC102" s="24">
        <f>IF(OR(S102="",W102=""),"",S102-W102)</f>
        <v/>
      </c>
      <c r="AD102" s="13" t="n"/>
      <c r="AE102" s="24">
        <f>IF(OR(AD102="",AD101=""),"",IF(AD101=0,"",(AD102/AD101)-1))</f>
        <v/>
      </c>
      <c r="AF102" s="24">
        <f>IF(ROW()&lt;7,"",IF(OR(AD102="",AD99=""),"",IF(AD99=0,"",(AD102/AD99)-1)))</f>
        <v/>
      </c>
      <c r="AG102" s="24">
        <f>IF(ROW()&lt;9,"",IF(OR(AD102="",AD97=""),"",IF(AD97=0,"",(AD102/AD97)-1)))</f>
        <v/>
      </c>
      <c r="AH102" s="13">
        <f>IF(ROW()&lt;23,"",AVERAGE(AD83:AD102))</f>
        <v/>
      </c>
      <c r="AI102">
        <f>IF(OR(AD102="",AH102=""),"",IF(AD102&gt;AH102,"Bull","Bear"))</f>
        <v/>
      </c>
      <c r="AJ102" s="13" t="n"/>
      <c r="AK102" s="24">
        <f>IF(OR(AJ102="",AJ101=""),"",IF(AJ101=0,"",(AJ102/AJ101)-1))</f>
        <v/>
      </c>
      <c r="AL102" s="24">
        <f>IF(ROW()&lt;7,"",IF(OR(AJ102="",AJ99=""),"",IF(AJ99=0,"",(AJ102/AJ99)-1)))</f>
        <v/>
      </c>
      <c r="AM102" s="24">
        <f>IF(ROW()&lt;9,"",IF(OR(AJ102="",AJ97=""),"",IF(AJ97=0,"",(AJ102/AJ97)-1)))</f>
        <v/>
      </c>
      <c r="AN102" s="13">
        <f>IF(ROW()&lt;23,"",AVERAGE(AJ83:AJ102))</f>
        <v/>
      </c>
      <c r="AO102">
        <f>IF(OR(AJ102="",AN102=""),"",IF(AJ102&gt;AN102,"Bull","Bear"))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8">
        <f>IFERROR((M103/M102)-1,"")</f>
        <v/>
      </c>
      <c r="O103" s="24">
        <f>IF(OR(N103="",N102=""),"",IF(N102=0,"",(N103/N102)-1))</f>
        <v/>
      </c>
      <c r="P103" s="11">
        <f>IF(ROW()&lt;7,"",IF(OR(E103="",E100=""),"",IF(E100=0,"",(E103/E100)-1)))</f>
        <v/>
      </c>
      <c r="Q103" s="24">
        <f>IF(ROW()&lt;9,"",IF(OR(E103="",E98=""),"",IF(E98=0,"",(E103/E98)-1)))</f>
        <v/>
      </c>
      <c r="R103" s="24">
        <f>IF(ROW()&lt;7,"",IF(OR(G103="",G100=""),"",IF(G100=0,"",(G103/G100)-1)))</f>
        <v/>
      </c>
      <c r="S103" s="24">
        <f>IF(ROW()&lt;9,"",IF(OR(G103="",G98=""),"",IF(G98=0,"",(G103/G98)-1)))</f>
        <v/>
      </c>
      <c r="T103" s="24">
        <f>IF(ROW()&lt;7,"",IF(OR(L103="",L100=""),"",IF(L100=0,"",(L103/L100)-1)))</f>
        <v/>
      </c>
      <c r="U103" s="24">
        <f>IF(ROW()&lt;9,"",IF(OR(L103="",L98=""),"",IF(L98=0,"",(L103/L98)-1)))</f>
        <v/>
      </c>
      <c r="V103" s="24">
        <f>IF(ROW()&lt;7,"",IF(OR(N103="",N100=""),"",IF(N100=0,"",(N103/N100)-1)))</f>
        <v/>
      </c>
      <c r="W103" s="24">
        <f>IF(ROW()&lt;9,"",IF(OR(N103="",N98=""),"",IF(N98=0,"",(N103/N98)-1)))</f>
        <v/>
      </c>
      <c r="X103" s="24">
        <f>IF(OR(F103="",M103=""),"",F103-M103)</f>
        <v/>
      </c>
      <c r="Y103" s="24">
        <f>IF(OR(P103="",T103=""),"",P103-T103)</f>
        <v/>
      </c>
      <c r="Z103" s="24">
        <f>IF(OR(Q103="",U103=""),"",Q103-U103)</f>
        <v/>
      </c>
      <c r="AA103" s="24">
        <f>IF(OR(H103="",O103=""),"",H103-O103)</f>
        <v/>
      </c>
      <c r="AB103" s="24">
        <f>IF(OR(R103="",V103=""),"",R103-V103)</f>
        <v/>
      </c>
      <c r="AC103" s="24">
        <f>IF(OR(S103="",W103=""),"",S103-W103)</f>
        <v/>
      </c>
      <c r="AD103" s="13" t="n"/>
      <c r="AE103" s="24">
        <f>IF(OR(AD103="",AD102=""),"",IF(AD102=0,"",(AD103/AD102)-1))</f>
        <v/>
      </c>
      <c r="AF103" s="24">
        <f>IF(ROW()&lt;7,"",IF(OR(AD103="",AD100=""),"",IF(AD100=0,"",(AD103/AD100)-1)))</f>
        <v/>
      </c>
      <c r="AG103" s="24">
        <f>IF(ROW()&lt;9,"",IF(OR(AD103="",AD98=""),"",IF(AD98=0,"",(AD103/AD98)-1)))</f>
        <v/>
      </c>
      <c r="AH103" s="13">
        <f>IF(ROW()&lt;23,"",AVERAGE(AD84:AD103))</f>
        <v/>
      </c>
      <c r="AI103">
        <f>IF(OR(AD103="",AH103=""),"",IF(AD103&gt;AH103,"Bull","Bear"))</f>
        <v/>
      </c>
      <c r="AJ103" s="13" t="n"/>
      <c r="AK103" s="24">
        <f>IF(OR(AJ103="",AJ102=""),"",IF(AJ102=0,"",(AJ103/AJ102)-1))</f>
        <v/>
      </c>
      <c r="AL103" s="24">
        <f>IF(ROW()&lt;7,"",IF(OR(AJ103="",AJ100=""),"",IF(AJ100=0,"",(AJ103/AJ100)-1)))</f>
        <v/>
      </c>
      <c r="AM103" s="24">
        <f>IF(ROW()&lt;9,"",IF(OR(AJ103="",AJ98=""),"",IF(AJ98=0,"",(AJ103/AJ98)-1)))</f>
        <v/>
      </c>
      <c r="AN103" s="13">
        <f>IF(ROW()&lt;23,"",AVERAGE(AJ84:AJ103))</f>
        <v/>
      </c>
      <c r="AO103">
        <f>IF(OR(AJ103="",AN103=""),"",IF(AJ103&gt;AN103,"Bull","Bear"))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8">
        <f>IFERROR((M104/M103)-1,"")</f>
        <v/>
      </c>
      <c r="O104" s="24">
        <f>IF(OR(N104="",N103=""),"",IF(N103=0,"",(N104/N103)-1))</f>
        <v/>
      </c>
      <c r="P104" s="11">
        <f>IF(ROW()&lt;7,"",IF(OR(E104="",E101=""),"",IF(E101=0,"",(E104/E101)-1)))</f>
        <v/>
      </c>
      <c r="Q104" s="24">
        <f>IF(ROW()&lt;9,"",IF(OR(E104="",E99=""),"",IF(E99=0,"",(E104/E99)-1)))</f>
        <v/>
      </c>
      <c r="R104" s="24">
        <f>IF(ROW()&lt;7,"",IF(OR(G104="",G101=""),"",IF(G101=0,"",(G104/G101)-1)))</f>
        <v/>
      </c>
      <c r="S104" s="24">
        <f>IF(ROW()&lt;9,"",IF(OR(G104="",G99=""),"",IF(G99=0,"",(G104/G99)-1)))</f>
        <v/>
      </c>
      <c r="T104" s="24">
        <f>IF(ROW()&lt;7,"",IF(OR(L104="",L101=""),"",IF(L101=0,"",(L104/L101)-1)))</f>
        <v/>
      </c>
      <c r="U104" s="24">
        <f>IF(ROW()&lt;9,"",IF(OR(L104="",L99=""),"",IF(L99=0,"",(L104/L99)-1)))</f>
        <v/>
      </c>
      <c r="V104" s="24">
        <f>IF(ROW()&lt;7,"",IF(OR(N104="",N101=""),"",IF(N101=0,"",(N104/N101)-1)))</f>
        <v/>
      </c>
      <c r="W104" s="24">
        <f>IF(ROW()&lt;9,"",IF(OR(N104="",N99=""),"",IF(N99=0,"",(N104/N99)-1)))</f>
        <v/>
      </c>
      <c r="X104" s="24">
        <f>IF(OR(F104="",M104=""),"",F104-M104)</f>
        <v/>
      </c>
      <c r="Y104" s="24">
        <f>IF(OR(P104="",T104=""),"",P104-T104)</f>
        <v/>
      </c>
      <c r="Z104" s="24">
        <f>IF(OR(Q104="",U104=""),"",Q104-U104)</f>
        <v/>
      </c>
      <c r="AA104" s="24">
        <f>IF(OR(H104="",O104=""),"",H104-O104)</f>
        <v/>
      </c>
      <c r="AB104" s="24">
        <f>IF(OR(R104="",V104=""),"",R104-V104)</f>
        <v/>
      </c>
      <c r="AC104" s="24">
        <f>IF(OR(S104="",W104=""),"",S104-W104)</f>
        <v/>
      </c>
      <c r="AD104" s="13" t="n"/>
      <c r="AE104" s="24">
        <f>IF(OR(AD104="",AD103=""),"",IF(AD103=0,"",(AD104/AD103)-1))</f>
        <v/>
      </c>
      <c r="AF104" s="24">
        <f>IF(ROW()&lt;7,"",IF(OR(AD104="",AD101=""),"",IF(AD101=0,"",(AD104/AD101)-1)))</f>
        <v/>
      </c>
      <c r="AG104" s="24">
        <f>IF(ROW()&lt;9,"",IF(OR(AD104="",AD99=""),"",IF(AD99=0,"",(AD104/AD99)-1)))</f>
        <v/>
      </c>
      <c r="AH104" s="13">
        <f>IF(ROW()&lt;23,"",AVERAGE(AD85:AD104))</f>
        <v/>
      </c>
      <c r="AI104">
        <f>IF(OR(AD104="",AH104=""),"",IF(AD104&gt;AH104,"Bull","Bear"))</f>
        <v/>
      </c>
      <c r="AJ104" s="13" t="n"/>
      <c r="AK104" s="24">
        <f>IF(OR(AJ104="",AJ103=""),"",IF(AJ103=0,"",(AJ104/AJ103)-1))</f>
        <v/>
      </c>
      <c r="AL104" s="24">
        <f>IF(ROW()&lt;7,"",IF(OR(AJ104="",AJ101=""),"",IF(AJ101=0,"",(AJ104/AJ101)-1)))</f>
        <v/>
      </c>
      <c r="AM104" s="24">
        <f>IF(ROW()&lt;9,"",IF(OR(AJ104="",AJ99=""),"",IF(AJ99=0,"",(AJ104/AJ99)-1)))</f>
        <v/>
      </c>
      <c r="AN104" s="13">
        <f>IF(ROW()&lt;23,"",AVERAGE(AJ85:AJ104))</f>
        <v/>
      </c>
      <c r="AO104">
        <f>IF(OR(AJ104="",AN104=""),"",IF(AJ104&gt;AN104,"Bull","Bear"))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8">
        <f>IFERROR((M105/M104)-1,"")</f>
        <v/>
      </c>
      <c r="O105" s="24">
        <f>IF(OR(N105="",N104=""),"",IF(N104=0,"",(N105/N104)-1))</f>
        <v/>
      </c>
      <c r="P105" s="11">
        <f>IF(ROW()&lt;7,"",IF(OR(E105="",E102=""),"",IF(E102=0,"",(E105/E102)-1)))</f>
        <v/>
      </c>
      <c r="Q105" s="24">
        <f>IF(ROW()&lt;9,"",IF(OR(E105="",E100=""),"",IF(E100=0,"",(E105/E100)-1)))</f>
        <v/>
      </c>
      <c r="R105" s="24">
        <f>IF(ROW()&lt;7,"",IF(OR(G105="",G102=""),"",IF(G102=0,"",(G105/G102)-1)))</f>
        <v/>
      </c>
      <c r="S105" s="24">
        <f>IF(ROW()&lt;9,"",IF(OR(G105="",G100=""),"",IF(G100=0,"",(G105/G100)-1)))</f>
        <v/>
      </c>
      <c r="T105" s="24">
        <f>IF(ROW()&lt;7,"",IF(OR(L105="",L102=""),"",IF(L102=0,"",(L105/L102)-1)))</f>
        <v/>
      </c>
      <c r="U105" s="24">
        <f>IF(ROW()&lt;9,"",IF(OR(L105="",L100=""),"",IF(L100=0,"",(L105/L100)-1)))</f>
        <v/>
      </c>
      <c r="V105" s="24">
        <f>IF(ROW()&lt;7,"",IF(OR(N105="",N102=""),"",IF(N102=0,"",(N105/N102)-1)))</f>
        <v/>
      </c>
      <c r="W105" s="24">
        <f>IF(ROW()&lt;9,"",IF(OR(N105="",N100=""),"",IF(N100=0,"",(N105/N100)-1)))</f>
        <v/>
      </c>
      <c r="X105" s="24">
        <f>IF(OR(F105="",M105=""),"",F105-M105)</f>
        <v/>
      </c>
      <c r="Y105" s="24">
        <f>IF(OR(P105="",T105=""),"",P105-T105)</f>
        <v/>
      </c>
      <c r="Z105" s="24">
        <f>IF(OR(Q105="",U105=""),"",Q105-U105)</f>
        <v/>
      </c>
      <c r="AA105" s="24">
        <f>IF(OR(H105="",O105=""),"",H105-O105)</f>
        <v/>
      </c>
      <c r="AB105" s="24">
        <f>IF(OR(R105="",V105=""),"",R105-V105)</f>
        <v/>
      </c>
      <c r="AC105" s="24">
        <f>IF(OR(S105="",W105=""),"",S105-W105)</f>
        <v/>
      </c>
      <c r="AD105" s="13" t="n"/>
      <c r="AE105" s="24">
        <f>IF(OR(AD105="",AD104=""),"",IF(AD104=0,"",(AD105/AD104)-1))</f>
        <v/>
      </c>
      <c r="AF105" s="24">
        <f>IF(ROW()&lt;7,"",IF(OR(AD105="",AD102=""),"",IF(AD102=0,"",(AD105/AD102)-1)))</f>
        <v/>
      </c>
      <c r="AG105" s="24">
        <f>IF(ROW()&lt;9,"",IF(OR(AD105="",AD100=""),"",IF(AD100=0,"",(AD105/AD100)-1)))</f>
        <v/>
      </c>
      <c r="AH105" s="13">
        <f>IF(ROW()&lt;23,"",AVERAGE(AD86:AD105))</f>
        <v/>
      </c>
      <c r="AI105">
        <f>IF(OR(AD105="",AH105=""),"",IF(AD105&gt;AH105,"Bull","Bear"))</f>
        <v/>
      </c>
      <c r="AJ105" s="13" t="n"/>
      <c r="AK105" s="24">
        <f>IF(OR(AJ105="",AJ104=""),"",IF(AJ104=0,"",(AJ105/AJ104)-1))</f>
        <v/>
      </c>
      <c r="AL105" s="24">
        <f>IF(ROW()&lt;7,"",IF(OR(AJ105="",AJ102=""),"",IF(AJ102=0,"",(AJ105/AJ102)-1)))</f>
        <v/>
      </c>
      <c r="AM105" s="24">
        <f>IF(ROW()&lt;9,"",IF(OR(AJ105="",AJ100=""),"",IF(AJ100=0,"",(AJ105/AJ100)-1)))</f>
        <v/>
      </c>
      <c r="AN105" s="13">
        <f>IF(ROW()&lt;23,"",AVERAGE(AJ86:AJ105))</f>
        <v/>
      </c>
      <c r="AO105">
        <f>IF(OR(AJ105="",AN105=""),"",IF(AJ105&gt;AN105,"Bull","Bear"))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8">
        <f>IFERROR((M106/M105)-1,"")</f>
        <v/>
      </c>
      <c r="O106" s="24">
        <f>IF(OR(N106="",N105=""),"",IF(N105=0,"",(N106/N105)-1))</f>
        <v/>
      </c>
      <c r="P106" s="11">
        <f>IF(ROW()&lt;7,"",IF(OR(E106="",E103=""),"",IF(E103=0,"",(E106/E103)-1)))</f>
        <v/>
      </c>
      <c r="Q106" s="24">
        <f>IF(ROW()&lt;9,"",IF(OR(E106="",E101=""),"",IF(E101=0,"",(E106/E101)-1)))</f>
        <v/>
      </c>
      <c r="R106" s="24">
        <f>IF(ROW()&lt;7,"",IF(OR(G106="",G103=""),"",IF(G103=0,"",(G106/G103)-1)))</f>
        <v/>
      </c>
      <c r="S106" s="24">
        <f>IF(ROW()&lt;9,"",IF(OR(G106="",G101=""),"",IF(G101=0,"",(G106/G101)-1)))</f>
        <v/>
      </c>
      <c r="T106" s="24">
        <f>IF(ROW()&lt;7,"",IF(OR(L106="",L103=""),"",IF(L103=0,"",(L106/L103)-1)))</f>
        <v/>
      </c>
      <c r="U106" s="24">
        <f>IF(ROW()&lt;9,"",IF(OR(L106="",L101=""),"",IF(L101=0,"",(L106/L101)-1)))</f>
        <v/>
      </c>
      <c r="V106" s="24">
        <f>IF(ROW()&lt;7,"",IF(OR(N106="",N103=""),"",IF(N103=0,"",(N106/N103)-1)))</f>
        <v/>
      </c>
      <c r="W106" s="24">
        <f>IF(ROW()&lt;9,"",IF(OR(N106="",N101=""),"",IF(N101=0,"",(N106/N101)-1)))</f>
        <v/>
      </c>
      <c r="X106" s="24">
        <f>IF(OR(F106="",M106=""),"",F106-M106)</f>
        <v/>
      </c>
      <c r="Y106" s="24">
        <f>IF(OR(P106="",T106=""),"",P106-T106)</f>
        <v/>
      </c>
      <c r="Z106" s="24">
        <f>IF(OR(Q106="",U106=""),"",Q106-U106)</f>
        <v/>
      </c>
      <c r="AA106" s="24">
        <f>IF(OR(H106="",O106=""),"",H106-O106)</f>
        <v/>
      </c>
      <c r="AB106" s="24">
        <f>IF(OR(R106="",V106=""),"",R106-V106)</f>
        <v/>
      </c>
      <c r="AC106" s="24">
        <f>IF(OR(S106="",W106=""),"",S106-W106)</f>
        <v/>
      </c>
      <c r="AD106" s="13" t="n"/>
      <c r="AE106" s="24">
        <f>IF(OR(AD106="",AD105=""),"",IF(AD105=0,"",(AD106/AD105)-1))</f>
        <v/>
      </c>
      <c r="AF106" s="24">
        <f>IF(ROW()&lt;7,"",IF(OR(AD106="",AD103=""),"",IF(AD103=0,"",(AD106/AD103)-1)))</f>
        <v/>
      </c>
      <c r="AG106" s="24">
        <f>IF(ROW()&lt;9,"",IF(OR(AD106="",AD101=""),"",IF(AD101=0,"",(AD106/AD101)-1)))</f>
        <v/>
      </c>
      <c r="AH106" s="13">
        <f>IF(ROW()&lt;23,"",AVERAGE(AD87:AD106))</f>
        <v/>
      </c>
      <c r="AI106">
        <f>IF(OR(AD106="",AH106=""),"",IF(AD106&gt;AH106,"Bull","Bear"))</f>
        <v/>
      </c>
      <c r="AJ106" s="13" t="n"/>
      <c r="AK106" s="24">
        <f>IF(OR(AJ106="",AJ105=""),"",IF(AJ105=0,"",(AJ106/AJ105)-1))</f>
        <v/>
      </c>
      <c r="AL106" s="24">
        <f>IF(ROW()&lt;7,"",IF(OR(AJ106="",AJ103=""),"",IF(AJ103=0,"",(AJ106/AJ103)-1)))</f>
        <v/>
      </c>
      <c r="AM106" s="24">
        <f>IF(ROW()&lt;9,"",IF(OR(AJ106="",AJ101=""),"",IF(AJ101=0,"",(AJ106/AJ101)-1)))</f>
        <v/>
      </c>
      <c r="AN106" s="13">
        <f>IF(ROW()&lt;23,"",AVERAGE(AJ87:AJ106))</f>
        <v/>
      </c>
      <c r="AO106">
        <f>IF(OR(AJ106="",AN106=""),"",IF(AJ106&gt;AN106,"Bull","Bear"))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8">
        <f>IFERROR((M107/M106)-1,"")</f>
        <v/>
      </c>
      <c r="O107" s="24">
        <f>IF(OR(N107="",N106=""),"",IF(N106=0,"",(N107/N106)-1))</f>
        <v/>
      </c>
      <c r="P107" s="11">
        <f>IF(ROW()&lt;7,"",IF(OR(E107="",E104=""),"",IF(E104=0,"",(E107/E104)-1)))</f>
        <v/>
      </c>
      <c r="Q107" s="24">
        <f>IF(ROW()&lt;9,"",IF(OR(E107="",E102=""),"",IF(E102=0,"",(E107/E102)-1)))</f>
        <v/>
      </c>
      <c r="R107" s="24">
        <f>IF(ROW()&lt;7,"",IF(OR(G107="",G104=""),"",IF(G104=0,"",(G107/G104)-1)))</f>
        <v/>
      </c>
      <c r="S107" s="24">
        <f>IF(ROW()&lt;9,"",IF(OR(G107="",G102=""),"",IF(G102=0,"",(G107/G102)-1)))</f>
        <v/>
      </c>
      <c r="T107" s="24">
        <f>IF(ROW()&lt;7,"",IF(OR(L107="",L104=""),"",IF(L104=0,"",(L107/L104)-1)))</f>
        <v/>
      </c>
      <c r="U107" s="24">
        <f>IF(ROW()&lt;9,"",IF(OR(L107="",L102=""),"",IF(L102=0,"",(L107/L102)-1)))</f>
        <v/>
      </c>
      <c r="V107" s="24">
        <f>IF(ROW()&lt;7,"",IF(OR(N107="",N104=""),"",IF(N104=0,"",(N107/N104)-1)))</f>
        <v/>
      </c>
      <c r="W107" s="24">
        <f>IF(ROW()&lt;9,"",IF(OR(N107="",N102=""),"",IF(N102=0,"",(N107/N102)-1)))</f>
        <v/>
      </c>
      <c r="X107" s="24">
        <f>IF(OR(F107="",M107=""),"",F107-M107)</f>
        <v/>
      </c>
      <c r="Y107" s="24">
        <f>IF(OR(P107="",T107=""),"",P107-T107)</f>
        <v/>
      </c>
      <c r="Z107" s="24">
        <f>IF(OR(Q107="",U107=""),"",Q107-U107)</f>
        <v/>
      </c>
      <c r="AA107" s="24">
        <f>IF(OR(H107="",O107=""),"",H107-O107)</f>
        <v/>
      </c>
      <c r="AB107" s="24">
        <f>IF(OR(R107="",V107=""),"",R107-V107)</f>
        <v/>
      </c>
      <c r="AC107" s="24">
        <f>IF(OR(S107="",W107=""),"",S107-W107)</f>
        <v/>
      </c>
      <c r="AD107" s="13" t="n"/>
      <c r="AE107" s="24">
        <f>IF(OR(AD107="",AD106=""),"",IF(AD106=0,"",(AD107/AD106)-1))</f>
        <v/>
      </c>
      <c r="AF107" s="24">
        <f>IF(ROW()&lt;7,"",IF(OR(AD107="",AD104=""),"",IF(AD104=0,"",(AD107/AD104)-1)))</f>
        <v/>
      </c>
      <c r="AG107" s="24">
        <f>IF(ROW()&lt;9,"",IF(OR(AD107="",AD102=""),"",IF(AD102=0,"",(AD107/AD102)-1)))</f>
        <v/>
      </c>
      <c r="AH107" s="13">
        <f>IF(ROW()&lt;23,"",AVERAGE(AD88:AD107))</f>
        <v/>
      </c>
      <c r="AI107">
        <f>IF(OR(AD107="",AH107=""),"",IF(AD107&gt;AH107,"Bull","Bear"))</f>
        <v/>
      </c>
      <c r="AJ107" s="13" t="n"/>
      <c r="AK107" s="24">
        <f>IF(OR(AJ107="",AJ106=""),"",IF(AJ106=0,"",(AJ107/AJ106)-1))</f>
        <v/>
      </c>
      <c r="AL107" s="24">
        <f>IF(ROW()&lt;7,"",IF(OR(AJ107="",AJ104=""),"",IF(AJ104=0,"",(AJ107/AJ104)-1)))</f>
        <v/>
      </c>
      <c r="AM107" s="24">
        <f>IF(ROW()&lt;9,"",IF(OR(AJ107="",AJ102=""),"",IF(AJ102=0,"",(AJ107/AJ102)-1)))</f>
        <v/>
      </c>
      <c r="AN107" s="13">
        <f>IF(ROW()&lt;23,"",AVERAGE(AJ88:AJ107))</f>
        <v/>
      </c>
      <c r="AO107">
        <f>IF(OR(AJ107="",AN107=""),"",IF(AJ107&gt;AN107,"Bull","Bear"))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8">
        <f>IFERROR((M108/M107)-1,"")</f>
        <v/>
      </c>
      <c r="O108" s="24">
        <f>IF(OR(N108="",N107=""),"",IF(N107=0,"",(N108/N107)-1))</f>
        <v/>
      </c>
      <c r="P108" s="11">
        <f>IF(ROW()&lt;7,"",IF(OR(E108="",E105=""),"",IF(E105=0,"",(E108/E105)-1)))</f>
        <v/>
      </c>
      <c r="Q108" s="24">
        <f>IF(ROW()&lt;9,"",IF(OR(E108="",E103=""),"",IF(E103=0,"",(E108/E103)-1)))</f>
        <v/>
      </c>
      <c r="R108" s="24">
        <f>IF(ROW()&lt;7,"",IF(OR(G108="",G105=""),"",IF(G105=0,"",(G108/G105)-1)))</f>
        <v/>
      </c>
      <c r="S108" s="24">
        <f>IF(ROW()&lt;9,"",IF(OR(G108="",G103=""),"",IF(G103=0,"",(G108/G103)-1)))</f>
        <v/>
      </c>
      <c r="T108" s="24">
        <f>IF(ROW()&lt;7,"",IF(OR(L108="",L105=""),"",IF(L105=0,"",(L108/L105)-1)))</f>
        <v/>
      </c>
      <c r="U108" s="24">
        <f>IF(ROW()&lt;9,"",IF(OR(L108="",L103=""),"",IF(L103=0,"",(L108/L103)-1)))</f>
        <v/>
      </c>
      <c r="V108" s="24">
        <f>IF(ROW()&lt;7,"",IF(OR(N108="",N105=""),"",IF(N105=0,"",(N108/N105)-1)))</f>
        <v/>
      </c>
      <c r="W108" s="24">
        <f>IF(ROW()&lt;9,"",IF(OR(N108="",N103=""),"",IF(N103=0,"",(N108/N103)-1)))</f>
        <v/>
      </c>
      <c r="X108" s="24">
        <f>IF(OR(F108="",M108=""),"",F108-M108)</f>
        <v/>
      </c>
      <c r="Y108" s="24">
        <f>IF(OR(P108="",T108=""),"",P108-T108)</f>
        <v/>
      </c>
      <c r="Z108" s="24">
        <f>IF(OR(Q108="",U108=""),"",Q108-U108)</f>
        <v/>
      </c>
      <c r="AA108" s="24">
        <f>IF(OR(H108="",O108=""),"",H108-O108)</f>
        <v/>
      </c>
      <c r="AB108" s="24">
        <f>IF(OR(R108="",V108=""),"",R108-V108)</f>
        <v/>
      </c>
      <c r="AC108" s="24">
        <f>IF(OR(S108="",W108=""),"",S108-W108)</f>
        <v/>
      </c>
      <c r="AD108" s="13" t="n"/>
      <c r="AE108" s="24">
        <f>IF(OR(AD108="",AD107=""),"",IF(AD107=0,"",(AD108/AD107)-1))</f>
        <v/>
      </c>
      <c r="AF108" s="24">
        <f>IF(ROW()&lt;7,"",IF(OR(AD108="",AD105=""),"",IF(AD105=0,"",(AD108/AD105)-1)))</f>
        <v/>
      </c>
      <c r="AG108" s="24">
        <f>IF(ROW()&lt;9,"",IF(OR(AD108="",AD103=""),"",IF(AD103=0,"",(AD108/AD103)-1)))</f>
        <v/>
      </c>
      <c r="AH108" s="13">
        <f>IF(ROW()&lt;23,"",AVERAGE(AD89:AD108))</f>
        <v/>
      </c>
      <c r="AI108">
        <f>IF(OR(AD108="",AH108=""),"",IF(AD108&gt;AH108,"Bull","Bear"))</f>
        <v/>
      </c>
      <c r="AJ108" s="13" t="n"/>
      <c r="AK108" s="24">
        <f>IF(OR(AJ108="",AJ107=""),"",IF(AJ107=0,"",(AJ108/AJ107)-1))</f>
        <v/>
      </c>
      <c r="AL108" s="24">
        <f>IF(ROW()&lt;7,"",IF(OR(AJ108="",AJ105=""),"",IF(AJ105=0,"",(AJ108/AJ105)-1)))</f>
        <v/>
      </c>
      <c r="AM108" s="24">
        <f>IF(ROW()&lt;9,"",IF(OR(AJ108="",AJ103=""),"",IF(AJ103=0,"",(AJ108/AJ103)-1)))</f>
        <v/>
      </c>
      <c r="AN108" s="13">
        <f>IF(ROW()&lt;23,"",AVERAGE(AJ89:AJ108))</f>
        <v/>
      </c>
      <c r="AO108">
        <f>IF(OR(AJ108="",AN108=""),"",IF(AJ108&gt;AN108,"Bull","Bear"))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8">
        <f>IFERROR((M109/M108)-1,"")</f>
        <v/>
      </c>
      <c r="O109" s="24">
        <f>IF(OR(N109="",N108=""),"",IF(N108=0,"",(N109/N108)-1))</f>
        <v/>
      </c>
      <c r="P109" s="11">
        <f>IF(ROW()&lt;7,"",IF(OR(E109="",E106=""),"",IF(E106=0,"",(E109/E106)-1)))</f>
        <v/>
      </c>
      <c r="Q109" s="24">
        <f>IF(ROW()&lt;9,"",IF(OR(E109="",E104=""),"",IF(E104=0,"",(E109/E104)-1)))</f>
        <v/>
      </c>
      <c r="R109" s="24">
        <f>IF(ROW()&lt;7,"",IF(OR(G109="",G106=""),"",IF(G106=0,"",(G109/G106)-1)))</f>
        <v/>
      </c>
      <c r="S109" s="24">
        <f>IF(ROW()&lt;9,"",IF(OR(G109="",G104=""),"",IF(G104=0,"",(G109/G104)-1)))</f>
        <v/>
      </c>
      <c r="T109" s="24">
        <f>IF(ROW()&lt;7,"",IF(OR(L109="",L106=""),"",IF(L106=0,"",(L109/L106)-1)))</f>
        <v/>
      </c>
      <c r="U109" s="24">
        <f>IF(ROW()&lt;9,"",IF(OR(L109="",L104=""),"",IF(L104=0,"",(L109/L104)-1)))</f>
        <v/>
      </c>
      <c r="V109" s="24">
        <f>IF(ROW()&lt;7,"",IF(OR(N109="",N106=""),"",IF(N106=0,"",(N109/N106)-1)))</f>
        <v/>
      </c>
      <c r="W109" s="24">
        <f>IF(ROW()&lt;9,"",IF(OR(N109="",N104=""),"",IF(N104=0,"",(N109/N104)-1)))</f>
        <v/>
      </c>
      <c r="X109" s="24">
        <f>IF(OR(F109="",M109=""),"",F109-M109)</f>
        <v/>
      </c>
      <c r="Y109" s="24">
        <f>IF(OR(P109="",T109=""),"",P109-T109)</f>
        <v/>
      </c>
      <c r="Z109" s="24">
        <f>IF(OR(Q109="",U109=""),"",Q109-U109)</f>
        <v/>
      </c>
      <c r="AA109" s="24">
        <f>IF(OR(H109="",O109=""),"",H109-O109)</f>
        <v/>
      </c>
      <c r="AB109" s="24">
        <f>IF(OR(R109="",V109=""),"",R109-V109)</f>
        <v/>
      </c>
      <c r="AC109" s="24">
        <f>IF(OR(S109="",W109=""),"",S109-W109)</f>
        <v/>
      </c>
      <c r="AD109" s="13" t="n"/>
      <c r="AE109" s="24">
        <f>IF(OR(AD109="",AD108=""),"",IF(AD108=0,"",(AD109/AD108)-1))</f>
        <v/>
      </c>
      <c r="AF109" s="24">
        <f>IF(ROW()&lt;7,"",IF(OR(AD109="",AD106=""),"",IF(AD106=0,"",(AD109/AD106)-1)))</f>
        <v/>
      </c>
      <c r="AG109" s="24">
        <f>IF(ROW()&lt;9,"",IF(OR(AD109="",AD104=""),"",IF(AD104=0,"",(AD109/AD104)-1)))</f>
        <v/>
      </c>
      <c r="AH109" s="13">
        <f>IF(ROW()&lt;23,"",AVERAGE(AD90:AD109))</f>
        <v/>
      </c>
      <c r="AI109">
        <f>IF(OR(AD109="",AH109=""),"",IF(AD109&gt;AH109,"Bull","Bear"))</f>
        <v/>
      </c>
      <c r="AJ109" s="13" t="n"/>
      <c r="AK109" s="24">
        <f>IF(OR(AJ109="",AJ108=""),"",IF(AJ108=0,"",(AJ109/AJ108)-1))</f>
        <v/>
      </c>
      <c r="AL109" s="24">
        <f>IF(ROW()&lt;7,"",IF(OR(AJ109="",AJ106=""),"",IF(AJ106=0,"",(AJ109/AJ106)-1)))</f>
        <v/>
      </c>
      <c r="AM109" s="24">
        <f>IF(ROW()&lt;9,"",IF(OR(AJ109="",AJ104=""),"",IF(AJ104=0,"",(AJ109/AJ104)-1)))</f>
        <v/>
      </c>
      <c r="AN109" s="13">
        <f>IF(ROW()&lt;23,"",AVERAGE(AJ90:AJ109))</f>
        <v/>
      </c>
      <c r="AO109">
        <f>IF(OR(AJ109="",AN109=""),"",IF(AJ109&gt;AN109,"Bull","Bear"))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8">
        <f>IFERROR((M110/M109)-1,"")</f>
        <v/>
      </c>
      <c r="O110" s="24">
        <f>IF(OR(N110="",N109=""),"",IF(N109=0,"",(N110/N109)-1))</f>
        <v/>
      </c>
      <c r="P110" s="11">
        <f>IF(ROW()&lt;7,"",IF(OR(E110="",E107=""),"",IF(E107=0,"",(E110/E107)-1)))</f>
        <v/>
      </c>
      <c r="Q110" s="24">
        <f>IF(ROW()&lt;9,"",IF(OR(E110="",E105=""),"",IF(E105=0,"",(E110/E105)-1)))</f>
        <v/>
      </c>
      <c r="R110" s="24">
        <f>IF(ROW()&lt;7,"",IF(OR(G110="",G107=""),"",IF(G107=0,"",(G110/G107)-1)))</f>
        <v/>
      </c>
      <c r="S110" s="24">
        <f>IF(ROW()&lt;9,"",IF(OR(G110="",G105=""),"",IF(G105=0,"",(G110/G105)-1)))</f>
        <v/>
      </c>
      <c r="T110" s="24">
        <f>IF(ROW()&lt;7,"",IF(OR(L110="",L107=""),"",IF(L107=0,"",(L110/L107)-1)))</f>
        <v/>
      </c>
      <c r="U110" s="24">
        <f>IF(ROW()&lt;9,"",IF(OR(L110="",L105=""),"",IF(L105=0,"",(L110/L105)-1)))</f>
        <v/>
      </c>
      <c r="V110" s="24">
        <f>IF(ROW()&lt;7,"",IF(OR(N110="",N107=""),"",IF(N107=0,"",(N110/N107)-1)))</f>
        <v/>
      </c>
      <c r="W110" s="24">
        <f>IF(ROW()&lt;9,"",IF(OR(N110="",N105=""),"",IF(N105=0,"",(N110/N105)-1)))</f>
        <v/>
      </c>
      <c r="X110" s="24">
        <f>IF(OR(F110="",M110=""),"",F110-M110)</f>
        <v/>
      </c>
      <c r="Y110" s="24">
        <f>IF(OR(P110="",T110=""),"",P110-T110)</f>
        <v/>
      </c>
      <c r="Z110" s="24">
        <f>IF(OR(Q110="",U110=""),"",Q110-U110)</f>
        <v/>
      </c>
      <c r="AA110" s="24">
        <f>IF(OR(H110="",O110=""),"",H110-O110)</f>
        <v/>
      </c>
      <c r="AB110" s="24">
        <f>IF(OR(R110="",V110=""),"",R110-V110)</f>
        <v/>
      </c>
      <c r="AC110" s="24">
        <f>IF(OR(S110="",W110=""),"",S110-W110)</f>
        <v/>
      </c>
      <c r="AD110" s="13" t="n"/>
      <c r="AE110" s="24">
        <f>IF(OR(AD110="",AD109=""),"",IF(AD109=0,"",(AD110/AD109)-1))</f>
        <v/>
      </c>
      <c r="AF110" s="24">
        <f>IF(ROW()&lt;7,"",IF(OR(AD110="",AD107=""),"",IF(AD107=0,"",(AD110/AD107)-1)))</f>
        <v/>
      </c>
      <c r="AG110" s="24">
        <f>IF(ROW()&lt;9,"",IF(OR(AD110="",AD105=""),"",IF(AD105=0,"",(AD110/AD105)-1)))</f>
        <v/>
      </c>
      <c r="AH110" s="13">
        <f>IF(ROW()&lt;23,"",AVERAGE(AD91:AD110))</f>
        <v/>
      </c>
      <c r="AI110">
        <f>IF(OR(AD110="",AH110=""),"",IF(AD110&gt;AH110,"Bull","Bear"))</f>
        <v/>
      </c>
      <c r="AJ110" s="13" t="n"/>
      <c r="AK110" s="24">
        <f>IF(OR(AJ110="",AJ109=""),"",IF(AJ109=0,"",(AJ110/AJ109)-1))</f>
        <v/>
      </c>
      <c r="AL110" s="24">
        <f>IF(ROW()&lt;7,"",IF(OR(AJ110="",AJ107=""),"",IF(AJ107=0,"",(AJ110/AJ107)-1)))</f>
        <v/>
      </c>
      <c r="AM110" s="24">
        <f>IF(ROW()&lt;9,"",IF(OR(AJ110="",AJ105=""),"",IF(AJ105=0,"",(AJ110/AJ105)-1)))</f>
        <v/>
      </c>
      <c r="AN110" s="13">
        <f>IF(ROW()&lt;23,"",AVERAGE(AJ91:AJ110))</f>
        <v/>
      </c>
      <c r="AO110">
        <f>IF(OR(AJ110="",AN110=""),"",IF(AJ110&gt;AN110,"Bull","Bear"))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8">
        <f>IFERROR((M111/M110)-1,"")</f>
        <v/>
      </c>
      <c r="O111" s="24">
        <f>IF(OR(N111="",N110=""),"",IF(N110=0,"",(N111/N110)-1))</f>
        <v/>
      </c>
      <c r="P111" s="11">
        <f>IF(ROW()&lt;7,"",IF(OR(E111="",E108=""),"",IF(E108=0,"",(E111/E108)-1)))</f>
        <v/>
      </c>
      <c r="Q111" s="24">
        <f>IF(ROW()&lt;9,"",IF(OR(E111="",E106=""),"",IF(E106=0,"",(E111/E106)-1)))</f>
        <v/>
      </c>
      <c r="R111" s="24">
        <f>IF(ROW()&lt;7,"",IF(OR(G111="",G108=""),"",IF(G108=0,"",(G111/G108)-1)))</f>
        <v/>
      </c>
      <c r="S111" s="24">
        <f>IF(ROW()&lt;9,"",IF(OR(G111="",G106=""),"",IF(G106=0,"",(G111/G106)-1)))</f>
        <v/>
      </c>
      <c r="T111" s="24">
        <f>IF(ROW()&lt;7,"",IF(OR(L111="",L108=""),"",IF(L108=0,"",(L111/L108)-1)))</f>
        <v/>
      </c>
      <c r="U111" s="24">
        <f>IF(ROW()&lt;9,"",IF(OR(L111="",L106=""),"",IF(L106=0,"",(L111/L106)-1)))</f>
        <v/>
      </c>
      <c r="V111" s="24">
        <f>IF(ROW()&lt;7,"",IF(OR(N111="",N108=""),"",IF(N108=0,"",(N111/N108)-1)))</f>
        <v/>
      </c>
      <c r="W111" s="24">
        <f>IF(ROW()&lt;9,"",IF(OR(N111="",N106=""),"",IF(N106=0,"",(N111/N106)-1)))</f>
        <v/>
      </c>
      <c r="X111" s="24">
        <f>IF(OR(F111="",M111=""),"",F111-M111)</f>
        <v/>
      </c>
      <c r="Y111" s="24">
        <f>IF(OR(P111="",T111=""),"",P111-T111)</f>
        <v/>
      </c>
      <c r="Z111" s="24">
        <f>IF(OR(Q111="",U111=""),"",Q111-U111)</f>
        <v/>
      </c>
      <c r="AA111" s="24">
        <f>IF(OR(H111="",O111=""),"",H111-O111)</f>
        <v/>
      </c>
      <c r="AB111" s="24">
        <f>IF(OR(R111="",V111=""),"",R111-V111)</f>
        <v/>
      </c>
      <c r="AC111" s="24">
        <f>IF(OR(S111="",W111=""),"",S111-W111)</f>
        <v/>
      </c>
      <c r="AD111" s="13" t="n"/>
      <c r="AE111" s="24">
        <f>IF(OR(AD111="",AD110=""),"",IF(AD110=0,"",(AD111/AD110)-1))</f>
        <v/>
      </c>
      <c r="AF111" s="24">
        <f>IF(ROW()&lt;7,"",IF(OR(AD111="",AD108=""),"",IF(AD108=0,"",(AD111/AD108)-1)))</f>
        <v/>
      </c>
      <c r="AG111" s="24">
        <f>IF(ROW()&lt;9,"",IF(OR(AD111="",AD106=""),"",IF(AD106=0,"",(AD111/AD106)-1)))</f>
        <v/>
      </c>
      <c r="AH111" s="13">
        <f>IF(ROW()&lt;23,"",AVERAGE(AD92:AD111))</f>
        <v/>
      </c>
      <c r="AI111">
        <f>IF(OR(AD111="",AH111=""),"",IF(AD111&gt;AH111,"Bull","Bear"))</f>
        <v/>
      </c>
      <c r="AJ111" s="13" t="n"/>
      <c r="AK111" s="24">
        <f>IF(OR(AJ111="",AJ110=""),"",IF(AJ110=0,"",(AJ111/AJ110)-1))</f>
        <v/>
      </c>
      <c r="AL111" s="24">
        <f>IF(ROW()&lt;7,"",IF(OR(AJ111="",AJ108=""),"",IF(AJ108=0,"",(AJ111/AJ108)-1)))</f>
        <v/>
      </c>
      <c r="AM111" s="24">
        <f>IF(ROW()&lt;9,"",IF(OR(AJ111="",AJ106=""),"",IF(AJ106=0,"",(AJ111/AJ106)-1)))</f>
        <v/>
      </c>
      <c r="AN111" s="13">
        <f>IF(ROW()&lt;23,"",AVERAGE(AJ92:AJ111))</f>
        <v/>
      </c>
      <c r="AO111">
        <f>IF(OR(AJ111="",AN111=""),"",IF(AJ111&gt;AN111,"Bull","Bear"))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8">
        <f>IFERROR((M112/M111)-1,"")</f>
        <v/>
      </c>
      <c r="O112" s="24">
        <f>IF(OR(N112="",N111=""),"",IF(N111=0,"",(N112/N111)-1))</f>
        <v/>
      </c>
      <c r="P112" s="11">
        <f>IF(ROW()&lt;7,"",IF(OR(E112="",E109=""),"",IF(E109=0,"",(E112/E109)-1)))</f>
        <v/>
      </c>
      <c r="Q112" s="24">
        <f>IF(ROW()&lt;9,"",IF(OR(E112="",E107=""),"",IF(E107=0,"",(E112/E107)-1)))</f>
        <v/>
      </c>
      <c r="R112" s="24">
        <f>IF(ROW()&lt;7,"",IF(OR(G112="",G109=""),"",IF(G109=0,"",(G112/G109)-1)))</f>
        <v/>
      </c>
      <c r="S112" s="24">
        <f>IF(ROW()&lt;9,"",IF(OR(G112="",G107=""),"",IF(G107=0,"",(G112/G107)-1)))</f>
        <v/>
      </c>
      <c r="T112" s="24">
        <f>IF(ROW()&lt;7,"",IF(OR(L112="",L109=""),"",IF(L109=0,"",(L112/L109)-1)))</f>
        <v/>
      </c>
      <c r="U112" s="24">
        <f>IF(ROW()&lt;9,"",IF(OR(L112="",L107=""),"",IF(L107=0,"",(L112/L107)-1)))</f>
        <v/>
      </c>
      <c r="V112" s="24">
        <f>IF(ROW()&lt;7,"",IF(OR(N112="",N109=""),"",IF(N109=0,"",(N112/N109)-1)))</f>
        <v/>
      </c>
      <c r="W112" s="24">
        <f>IF(ROW()&lt;9,"",IF(OR(N112="",N107=""),"",IF(N107=0,"",(N112/N107)-1)))</f>
        <v/>
      </c>
      <c r="X112" s="24">
        <f>IF(OR(F112="",M112=""),"",F112-M112)</f>
        <v/>
      </c>
      <c r="Y112" s="24">
        <f>IF(OR(P112="",T112=""),"",P112-T112)</f>
        <v/>
      </c>
      <c r="Z112" s="24">
        <f>IF(OR(Q112="",U112=""),"",Q112-U112)</f>
        <v/>
      </c>
      <c r="AA112" s="24">
        <f>IF(OR(H112="",O112=""),"",H112-O112)</f>
        <v/>
      </c>
      <c r="AB112" s="24">
        <f>IF(OR(R112="",V112=""),"",R112-V112)</f>
        <v/>
      </c>
      <c r="AC112" s="24">
        <f>IF(OR(S112="",W112=""),"",S112-W112)</f>
        <v/>
      </c>
      <c r="AD112" s="13" t="n"/>
      <c r="AE112" s="24">
        <f>IF(OR(AD112="",AD111=""),"",IF(AD111=0,"",(AD112/AD111)-1))</f>
        <v/>
      </c>
      <c r="AF112" s="24">
        <f>IF(ROW()&lt;7,"",IF(OR(AD112="",AD109=""),"",IF(AD109=0,"",(AD112/AD109)-1)))</f>
        <v/>
      </c>
      <c r="AG112" s="24">
        <f>IF(ROW()&lt;9,"",IF(OR(AD112="",AD107=""),"",IF(AD107=0,"",(AD112/AD107)-1)))</f>
        <v/>
      </c>
      <c r="AH112" s="13">
        <f>IF(ROW()&lt;23,"",AVERAGE(AD93:AD112))</f>
        <v/>
      </c>
      <c r="AI112">
        <f>IF(OR(AD112="",AH112=""),"",IF(AD112&gt;AH112,"Bull","Bear"))</f>
        <v/>
      </c>
      <c r="AJ112" s="13" t="n"/>
      <c r="AK112" s="24">
        <f>IF(OR(AJ112="",AJ111=""),"",IF(AJ111=0,"",(AJ112/AJ111)-1))</f>
        <v/>
      </c>
      <c r="AL112" s="24">
        <f>IF(ROW()&lt;7,"",IF(OR(AJ112="",AJ109=""),"",IF(AJ109=0,"",(AJ112/AJ109)-1)))</f>
        <v/>
      </c>
      <c r="AM112" s="24">
        <f>IF(ROW()&lt;9,"",IF(OR(AJ112="",AJ107=""),"",IF(AJ107=0,"",(AJ112/AJ107)-1)))</f>
        <v/>
      </c>
      <c r="AN112" s="13">
        <f>IF(ROW()&lt;23,"",AVERAGE(AJ93:AJ112))</f>
        <v/>
      </c>
      <c r="AO112">
        <f>IF(OR(AJ112="",AN112=""),"",IF(AJ112&gt;AN112,"Bull","Bear"))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8">
        <f>IFERROR((M113/M112)-1,"")</f>
        <v/>
      </c>
      <c r="O113" s="24">
        <f>IF(OR(N113="",N112=""),"",IF(N112=0,"",(N113/N112)-1))</f>
        <v/>
      </c>
      <c r="P113" s="11">
        <f>IF(ROW()&lt;7,"",IF(OR(E113="",E110=""),"",IF(E110=0,"",(E113/E110)-1)))</f>
        <v/>
      </c>
      <c r="Q113" s="24">
        <f>IF(ROW()&lt;9,"",IF(OR(E113="",E108=""),"",IF(E108=0,"",(E113/E108)-1)))</f>
        <v/>
      </c>
      <c r="R113" s="24">
        <f>IF(ROW()&lt;7,"",IF(OR(G113="",G110=""),"",IF(G110=0,"",(G113/G110)-1)))</f>
        <v/>
      </c>
      <c r="S113" s="24">
        <f>IF(ROW()&lt;9,"",IF(OR(G113="",G108=""),"",IF(G108=0,"",(G113/G108)-1)))</f>
        <v/>
      </c>
      <c r="T113" s="24">
        <f>IF(ROW()&lt;7,"",IF(OR(L113="",L110=""),"",IF(L110=0,"",(L113/L110)-1)))</f>
        <v/>
      </c>
      <c r="U113" s="24">
        <f>IF(ROW()&lt;9,"",IF(OR(L113="",L108=""),"",IF(L108=0,"",(L113/L108)-1)))</f>
        <v/>
      </c>
      <c r="V113" s="24">
        <f>IF(ROW()&lt;7,"",IF(OR(N113="",N110=""),"",IF(N110=0,"",(N113/N110)-1)))</f>
        <v/>
      </c>
      <c r="W113" s="24">
        <f>IF(ROW()&lt;9,"",IF(OR(N113="",N108=""),"",IF(N108=0,"",(N113/N108)-1)))</f>
        <v/>
      </c>
      <c r="X113" s="24">
        <f>IF(OR(F113="",M113=""),"",F113-M113)</f>
        <v/>
      </c>
      <c r="Y113" s="24">
        <f>IF(OR(P113="",T113=""),"",P113-T113)</f>
        <v/>
      </c>
      <c r="Z113" s="24">
        <f>IF(OR(Q113="",U113=""),"",Q113-U113)</f>
        <v/>
      </c>
      <c r="AA113" s="24">
        <f>IF(OR(H113="",O113=""),"",H113-O113)</f>
        <v/>
      </c>
      <c r="AB113" s="24">
        <f>IF(OR(R113="",V113=""),"",R113-V113)</f>
        <v/>
      </c>
      <c r="AC113" s="24">
        <f>IF(OR(S113="",W113=""),"",S113-W113)</f>
        <v/>
      </c>
      <c r="AD113" s="13" t="n"/>
      <c r="AE113" s="24">
        <f>IF(OR(AD113="",AD112=""),"",IF(AD112=0,"",(AD113/AD112)-1))</f>
        <v/>
      </c>
      <c r="AF113" s="24">
        <f>IF(ROW()&lt;7,"",IF(OR(AD113="",AD110=""),"",IF(AD110=0,"",(AD113/AD110)-1)))</f>
        <v/>
      </c>
      <c r="AG113" s="24">
        <f>IF(ROW()&lt;9,"",IF(OR(AD113="",AD108=""),"",IF(AD108=0,"",(AD113/AD108)-1)))</f>
        <v/>
      </c>
      <c r="AH113" s="13">
        <f>IF(ROW()&lt;23,"",AVERAGE(AD94:AD113))</f>
        <v/>
      </c>
      <c r="AI113">
        <f>IF(OR(AD113="",AH113=""),"",IF(AD113&gt;AH113,"Bull","Bear"))</f>
        <v/>
      </c>
      <c r="AJ113" s="13" t="n"/>
      <c r="AK113" s="24">
        <f>IF(OR(AJ113="",AJ112=""),"",IF(AJ112=0,"",(AJ113/AJ112)-1))</f>
        <v/>
      </c>
      <c r="AL113" s="24">
        <f>IF(ROW()&lt;7,"",IF(OR(AJ113="",AJ110=""),"",IF(AJ110=0,"",(AJ113/AJ110)-1)))</f>
        <v/>
      </c>
      <c r="AM113" s="24">
        <f>IF(ROW()&lt;9,"",IF(OR(AJ113="",AJ108=""),"",IF(AJ108=0,"",(AJ113/AJ108)-1)))</f>
        <v/>
      </c>
      <c r="AN113" s="13">
        <f>IF(ROW()&lt;23,"",AVERAGE(AJ94:AJ113))</f>
        <v/>
      </c>
      <c r="AO113">
        <f>IF(OR(AJ113="",AN113=""),"",IF(AJ113&gt;AN113,"Bull","Bear"))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8">
        <f>IFERROR((M114/M113)-1,"")</f>
        <v/>
      </c>
      <c r="O114" s="24">
        <f>IF(OR(N114="",N113=""),"",IF(N113=0,"",(N114/N113)-1))</f>
        <v/>
      </c>
      <c r="P114" s="11">
        <f>IF(ROW()&lt;7,"",IF(OR(E114="",E111=""),"",IF(E111=0,"",(E114/E111)-1)))</f>
        <v/>
      </c>
      <c r="Q114" s="24">
        <f>IF(ROW()&lt;9,"",IF(OR(E114="",E109=""),"",IF(E109=0,"",(E114/E109)-1)))</f>
        <v/>
      </c>
      <c r="R114" s="24">
        <f>IF(ROW()&lt;7,"",IF(OR(G114="",G111=""),"",IF(G111=0,"",(G114/G111)-1)))</f>
        <v/>
      </c>
      <c r="S114" s="24">
        <f>IF(ROW()&lt;9,"",IF(OR(G114="",G109=""),"",IF(G109=0,"",(G114/G109)-1)))</f>
        <v/>
      </c>
      <c r="T114" s="24">
        <f>IF(ROW()&lt;7,"",IF(OR(L114="",L111=""),"",IF(L111=0,"",(L114/L111)-1)))</f>
        <v/>
      </c>
      <c r="U114" s="24">
        <f>IF(ROW()&lt;9,"",IF(OR(L114="",L109=""),"",IF(L109=0,"",(L114/L109)-1)))</f>
        <v/>
      </c>
      <c r="V114" s="24">
        <f>IF(ROW()&lt;7,"",IF(OR(N114="",N111=""),"",IF(N111=0,"",(N114/N111)-1)))</f>
        <v/>
      </c>
      <c r="W114" s="24">
        <f>IF(ROW()&lt;9,"",IF(OR(N114="",N109=""),"",IF(N109=0,"",(N114/N109)-1)))</f>
        <v/>
      </c>
      <c r="X114" s="24">
        <f>IF(OR(F114="",M114=""),"",F114-M114)</f>
        <v/>
      </c>
      <c r="Y114" s="24">
        <f>IF(OR(P114="",T114=""),"",P114-T114)</f>
        <v/>
      </c>
      <c r="Z114" s="24">
        <f>IF(OR(Q114="",U114=""),"",Q114-U114)</f>
        <v/>
      </c>
      <c r="AA114" s="24">
        <f>IF(OR(H114="",O114=""),"",H114-O114)</f>
        <v/>
      </c>
      <c r="AB114" s="24">
        <f>IF(OR(R114="",V114=""),"",R114-V114)</f>
        <v/>
      </c>
      <c r="AC114" s="24">
        <f>IF(OR(S114="",W114=""),"",S114-W114)</f>
        <v/>
      </c>
      <c r="AD114" s="13" t="n"/>
      <c r="AE114" s="24">
        <f>IF(OR(AD114="",AD113=""),"",IF(AD113=0,"",(AD114/AD113)-1))</f>
        <v/>
      </c>
      <c r="AF114" s="24">
        <f>IF(ROW()&lt;7,"",IF(OR(AD114="",AD111=""),"",IF(AD111=0,"",(AD114/AD111)-1)))</f>
        <v/>
      </c>
      <c r="AG114" s="24">
        <f>IF(ROW()&lt;9,"",IF(OR(AD114="",AD109=""),"",IF(AD109=0,"",(AD114/AD109)-1)))</f>
        <v/>
      </c>
      <c r="AH114" s="13">
        <f>IF(ROW()&lt;23,"",AVERAGE(AD95:AD114))</f>
        <v/>
      </c>
      <c r="AI114">
        <f>IF(OR(AD114="",AH114=""),"",IF(AD114&gt;AH114,"Bull","Bear"))</f>
        <v/>
      </c>
      <c r="AJ114" s="13" t="n"/>
      <c r="AK114" s="24">
        <f>IF(OR(AJ114="",AJ113=""),"",IF(AJ113=0,"",(AJ114/AJ113)-1))</f>
        <v/>
      </c>
      <c r="AL114" s="24">
        <f>IF(ROW()&lt;7,"",IF(OR(AJ114="",AJ111=""),"",IF(AJ111=0,"",(AJ114/AJ111)-1)))</f>
        <v/>
      </c>
      <c r="AM114" s="24">
        <f>IF(ROW()&lt;9,"",IF(OR(AJ114="",AJ109=""),"",IF(AJ109=0,"",(AJ114/AJ109)-1)))</f>
        <v/>
      </c>
      <c r="AN114" s="13">
        <f>IF(ROW()&lt;23,"",AVERAGE(AJ95:AJ114))</f>
        <v/>
      </c>
      <c r="AO114">
        <f>IF(OR(AJ114="",AN114=""),"",IF(AJ114&gt;AN114,"Bull","Bear"))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8">
        <f>IFERROR((M115/M114)-1,"")</f>
        <v/>
      </c>
      <c r="O115" s="24">
        <f>IF(OR(N115="",N114=""),"",IF(N114=0,"",(N115/N114)-1))</f>
        <v/>
      </c>
      <c r="P115" s="11">
        <f>IF(ROW()&lt;7,"",IF(OR(E115="",E112=""),"",IF(E112=0,"",(E115/E112)-1)))</f>
        <v/>
      </c>
      <c r="Q115" s="24">
        <f>IF(ROW()&lt;9,"",IF(OR(E115="",E110=""),"",IF(E110=0,"",(E115/E110)-1)))</f>
        <v/>
      </c>
      <c r="R115" s="24">
        <f>IF(ROW()&lt;7,"",IF(OR(G115="",G112=""),"",IF(G112=0,"",(G115/G112)-1)))</f>
        <v/>
      </c>
      <c r="S115" s="24">
        <f>IF(ROW()&lt;9,"",IF(OR(G115="",G110=""),"",IF(G110=0,"",(G115/G110)-1)))</f>
        <v/>
      </c>
      <c r="T115" s="24">
        <f>IF(ROW()&lt;7,"",IF(OR(L115="",L112=""),"",IF(L112=0,"",(L115/L112)-1)))</f>
        <v/>
      </c>
      <c r="U115" s="24">
        <f>IF(ROW()&lt;9,"",IF(OR(L115="",L110=""),"",IF(L110=0,"",(L115/L110)-1)))</f>
        <v/>
      </c>
      <c r="V115" s="24">
        <f>IF(ROW()&lt;7,"",IF(OR(N115="",N112=""),"",IF(N112=0,"",(N115/N112)-1)))</f>
        <v/>
      </c>
      <c r="W115" s="24">
        <f>IF(ROW()&lt;9,"",IF(OR(N115="",N110=""),"",IF(N110=0,"",(N115/N110)-1)))</f>
        <v/>
      </c>
      <c r="X115" s="24">
        <f>IF(OR(F115="",M115=""),"",F115-M115)</f>
        <v/>
      </c>
      <c r="Y115" s="24">
        <f>IF(OR(P115="",T115=""),"",P115-T115)</f>
        <v/>
      </c>
      <c r="Z115" s="24">
        <f>IF(OR(Q115="",U115=""),"",Q115-U115)</f>
        <v/>
      </c>
      <c r="AA115" s="24">
        <f>IF(OR(H115="",O115=""),"",H115-O115)</f>
        <v/>
      </c>
      <c r="AB115" s="24">
        <f>IF(OR(R115="",V115=""),"",R115-V115)</f>
        <v/>
      </c>
      <c r="AC115" s="24">
        <f>IF(OR(S115="",W115=""),"",S115-W115)</f>
        <v/>
      </c>
      <c r="AD115" s="13" t="n"/>
      <c r="AE115" s="24">
        <f>IF(OR(AD115="",AD114=""),"",IF(AD114=0,"",(AD115/AD114)-1))</f>
        <v/>
      </c>
      <c r="AF115" s="24">
        <f>IF(ROW()&lt;7,"",IF(OR(AD115="",AD112=""),"",IF(AD112=0,"",(AD115/AD112)-1)))</f>
        <v/>
      </c>
      <c r="AG115" s="24">
        <f>IF(ROW()&lt;9,"",IF(OR(AD115="",AD110=""),"",IF(AD110=0,"",(AD115/AD110)-1)))</f>
        <v/>
      </c>
      <c r="AH115" s="13">
        <f>IF(ROW()&lt;23,"",AVERAGE(AD96:AD115))</f>
        <v/>
      </c>
      <c r="AI115">
        <f>IF(OR(AD115="",AH115=""),"",IF(AD115&gt;AH115,"Bull","Bear"))</f>
        <v/>
      </c>
      <c r="AJ115" s="13" t="n"/>
      <c r="AK115" s="24">
        <f>IF(OR(AJ115="",AJ114=""),"",IF(AJ114=0,"",(AJ115/AJ114)-1))</f>
        <v/>
      </c>
      <c r="AL115" s="24">
        <f>IF(ROW()&lt;7,"",IF(OR(AJ115="",AJ112=""),"",IF(AJ112=0,"",(AJ115/AJ112)-1)))</f>
        <v/>
      </c>
      <c r="AM115" s="24">
        <f>IF(ROW()&lt;9,"",IF(OR(AJ115="",AJ110=""),"",IF(AJ110=0,"",(AJ115/AJ110)-1)))</f>
        <v/>
      </c>
      <c r="AN115" s="13">
        <f>IF(ROW()&lt;23,"",AVERAGE(AJ96:AJ115))</f>
        <v/>
      </c>
      <c r="AO115">
        <f>IF(OR(AJ115="",AN115=""),"",IF(AJ115&gt;AN115,"Bull","Bear"))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8">
        <f>IFERROR((M116/M115)-1,"")</f>
        <v/>
      </c>
      <c r="O116" s="24">
        <f>IF(OR(N116="",N115=""),"",IF(N115=0,"",(N116/N115)-1))</f>
        <v/>
      </c>
      <c r="P116" s="11">
        <f>IF(ROW()&lt;7,"",IF(OR(E116="",E113=""),"",IF(E113=0,"",(E116/E113)-1)))</f>
        <v/>
      </c>
      <c r="Q116" s="24">
        <f>IF(ROW()&lt;9,"",IF(OR(E116="",E111=""),"",IF(E111=0,"",(E116/E111)-1)))</f>
        <v/>
      </c>
      <c r="R116" s="24">
        <f>IF(ROW()&lt;7,"",IF(OR(G116="",G113=""),"",IF(G113=0,"",(G116/G113)-1)))</f>
        <v/>
      </c>
      <c r="S116" s="24">
        <f>IF(ROW()&lt;9,"",IF(OR(G116="",G111=""),"",IF(G111=0,"",(G116/G111)-1)))</f>
        <v/>
      </c>
      <c r="T116" s="24">
        <f>IF(ROW()&lt;7,"",IF(OR(L116="",L113=""),"",IF(L113=0,"",(L116/L113)-1)))</f>
        <v/>
      </c>
      <c r="U116" s="24">
        <f>IF(ROW()&lt;9,"",IF(OR(L116="",L111=""),"",IF(L111=0,"",(L116/L111)-1)))</f>
        <v/>
      </c>
      <c r="V116" s="24">
        <f>IF(ROW()&lt;7,"",IF(OR(N116="",N113=""),"",IF(N113=0,"",(N116/N113)-1)))</f>
        <v/>
      </c>
      <c r="W116" s="24">
        <f>IF(ROW()&lt;9,"",IF(OR(N116="",N111=""),"",IF(N111=0,"",(N116/N111)-1)))</f>
        <v/>
      </c>
      <c r="X116" s="24">
        <f>IF(OR(F116="",M116=""),"",F116-M116)</f>
        <v/>
      </c>
      <c r="Y116" s="24">
        <f>IF(OR(P116="",T116=""),"",P116-T116)</f>
        <v/>
      </c>
      <c r="Z116" s="24">
        <f>IF(OR(Q116="",U116=""),"",Q116-U116)</f>
        <v/>
      </c>
      <c r="AA116" s="24">
        <f>IF(OR(H116="",O116=""),"",H116-O116)</f>
        <v/>
      </c>
      <c r="AB116" s="24">
        <f>IF(OR(R116="",V116=""),"",R116-V116)</f>
        <v/>
      </c>
      <c r="AC116" s="24">
        <f>IF(OR(S116="",W116=""),"",S116-W116)</f>
        <v/>
      </c>
      <c r="AD116" s="13" t="n"/>
      <c r="AE116" s="24">
        <f>IF(OR(AD116="",AD115=""),"",IF(AD115=0,"",(AD116/AD115)-1))</f>
        <v/>
      </c>
      <c r="AF116" s="24">
        <f>IF(ROW()&lt;7,"",IF(OR(AD116="",AD113=""),"",IF(AD113=0,"",(AD116/AD113)-1)))</f>
        <v/>
      </c>
      <c r="AG116" s="24">
        <f>IF(ROW()&lt;9,"",IF(OR(AD116="",AD111=""),"",IF(AD111=0,"",(AD116/AD111)-1)))</f>
        <v/>
      </c>
      <c r="AH116" s="13">
        <f>IF(ROW()&lt;23,"",AVERAGE(AD97:AD116))</f>
        <v/>
      </c>
      <c r="AI116">
        <f>IF(OR(AD116="",AH116=""),"",IF(AD116&gt;AH116,"Bull","Bear"))</f>
        <v/>
      </c>
      <c r="AJ116" s="13" t="n"/>
      <c r="AK116" s="24">
        <f>IF(OR(AJ116="",AJ115=""),"",IF(AJ115=0,"",(AJ116/AJ115)-1))</f>
        <v/>
      </c>
      <c r="AL116" s="24">
        <f>IF(ROW()&lt;7,"",IF(OR(AJ116="",AJ113=""),"",IF(AJ113=0,"",(AJ116/AJ113)-1)))</f>
        <v/>
      </c>
      <c r="AM116" s="24">
        <f>IF(ROW()&lt;9,"",IF(OR(AJ116="",AJ111=""),"",IF(AJ111=0,"",(AJ116/AJ111)-1)))</f>
        <v/>
      </c>
      <c r="AN116" s="13">
        <f>IF(ROW()&lt;23,"",AVERAGE(AJ97:AJ116))</f>
        <v/>
      </c>
      <c r="AO116">
        <f>IF(OR(AJ116="",AN116=""),"",IF(AJ116&gt;AN116,"Bull","Bear"))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8">
        <f>IFERROR((M117/M116)-1,"")</f>
        <v/>
      </c>
      <c r="O117" s="24">
        <f>IF(OR(N117="",N116=""),"",IF(N116=0,"",(N117/N116)-1))</f>
        <v/>
      </c>
      <c r="P117" s="11">
        <f>IF(ROW()&lt;7,"",IF(OR(E117="",E114=""),"",IF(E114=0,"",(E117/E114)-1)))</f>
        <v/>
      </c>
      <c r="Q117" s="24">
        <f>IF(ROW()&lt;9,"",IF(OR(E117="",E112=""),"",IF(E112=0,"",(E117/E112)-1)))</f>
        <v/>
      </c>
      <c r="R117" s="24">
        <f>IF(ROW()&lt;7,"",IF(OR(G117="",G114=""),"",IF(G114=0,"",(G117/G114)-1)))</f>
        <v/>
      </c>
      <c r="S117" s="24">
        <f>IF(ROW()&lt;9,"",IF(OR(G117="",G112=""),"",IF(G112=0,"",(G117/G112)-1)))</f>
        <v/>
      </c>
      <c r="T117" s="24">
        <f>IF(ROW()&lt;7,"",IF(OR(L117="",L114=""),"",IF(L114=0,"",(L117/L114)-1)))</f>
        <v/>
      </c>
      <c r="U117" s="24">
        <f>IF(ROW()&lt;9,"",IF(OR(L117="",L112=""),"",IF(L112=0,"",(L117/L112)-1)))</f>
        <v/>
      </c>
      <c r="V117" s="24">
        <f>IF(ROW()&lt;7,"",IF(OR(N117="",N114=""),"",IF(N114=0,"",(N117/N114)-1)))</f>
        <v/>
      </c>
      <c r="W117" s="24">
        <f>IF(ROW()&lt;9,"",IF(OR(N117="",N112=""),"",IF(N112=0,"",(N117/N112)-1)))</f>
        <v/>
      </c>
      <c r="X117" s="24">
        <f>IF(OR(F117="",M117=""),"",F117-M117)</f>
        <v/>
      </c>
      <c r="Y117" s="24">
        <f>IF(OR(P117="",T117=""),"",P117-T117)</f>
        <v/>
      </c>
      <c r="Z117" s="24">
        <f>IF(OR(Q117="",U117=""),"",Q117-U117)</f>
        <v/>
      </c>
      <c r="AA117" s="24">
        <f>IF(OR(H117="",O117=""),"",H117-O117)</f>
        <v/>
      </c>
      <c r="AB117" s="24">
        <f>IF(OR(R117="",V117=""),"",R117-V117)</f>
        <v/>
      </c>
      <c r="AC117" s="24">
        <f>IF(OR(S117="",W117=""),"",S117-W117)</f>
        <v/>
      </c>
      <c r="AD117" s="13" t="n"/>
      <c r="AE117" s="24">
        <f>IF(OR(AD117="",AD116=""),"",IF(AD116=0,"",(AD117/AD116)-1))</f>
        <v/>
      </c>
      <c r="AF117" s="24">
        <f>IF(ROW()&lt;7,"",IF(OR(AD117="",AD114=""),"",IF(AD114=0,"",(AD117/AD114)-1)))</f>
        <v/>
      </c>
      <c r="AG117" s="24">
        <f>IF(ROW()&lt;9,"",IF(OR(AD117="",AD112=""),"",IF(AD112=0,"",(AD117/AD112)-1)))</f>
        <v/>
      </c>
      <c r="AH117" s="13">
        <f>IF(ROW()&lt;23,"",AVERAGE(AD98:AD117))</f>
        <v/>
      </c>
      <c r="AI117">
        <f>IF(OR(AD117="",AH117=""),"",IF(AD117&gt;AH117,"Bull","Bear"))</f>
        <v/>
      </c>
      <c r="AJ117" s="13" t="n"/>
      <c r="AK117" s="24">
        <f>IF(OR(AJ117="",AJ116=""),"",IF(AJ116=0,"",(AJ117/AJ116)-1))</f>
        <v/>
      </c>
      <c r="AL117" s="24">
        <f>IF(ROW()&lt;7,"",IF(OR(AJ117="",AJ114=""),"",IF(AJ114=0,"",(AJ117/AJ114)-1)))</f>
        <v/>
      </c>
      <c r="AM117" s="24">
        <f>IF(ROW()&lt;9,"",IF(OR(AJ117="",AJ112=""),"",IF(AJ112=0,"",(AJ117/AJ112)-1)))</f>
        <v/>
      </c>
      <c r="AN117" s="13">
        <f>IF(ROW()&lt;23,"",AVERAGE(AJ98:AJ117))</f>
        <v/>
      </c>
      <c r="AO117">
        <f>IF(OR(AJ117="",AN117=""),"",IF(AJ117&gt;AN117,"Bull","Bear"))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8">
        <f>IFERROR((M118/M117)-1,"")</f>
        <v/>
      </c>
      <c r="O118" s="24">
        <f>IF(OR(N118="",N117=""),"",IF(N117=0,"",(N118/N117)-1))</f>
        <v/>
      </c>
      <c r="P118" s="11">
        <f>IF(ROW()&lt;7,"",IF(OR(E118="",E115=""),"",IF(E115=0,"",(E118/E115)-1)))</f>
        <v/>
      </c>
      <c r="Q118" s="24">
        <f>IF(ROW()&lt;9,"",IF(OR(E118="",E113=""),"",IF(E113=0,"",(E118/E113)-1)))</f>
        <v/>
      </c>
      <c r="R118" s="24">
        <f>IF(ROW()&lt;7,"",IF(OR(G118="",G115=""),"",IF(G115=0,"",(G118/G115)-1)))</f>
        <v/>
      </c>
      <c r="S118" s="24">
        <f>IF(ROW()&lt;9,"",IF(OR(G118="",G113=""),"",IF(G113=0,"",(G118/G113)-1)))</f>
        <v/>
      </c>
      <c r="T118" s="24">
        <f>IF(ROW()&lt;7,"",IF(OR(L118="",L115=""),"",IF(L115=0,"",(L118/L115)-1)))</f>
        <v/>
      </c>
      <c r="U118" s="24">
        <f>IF(ROW()&lt;9,"",IF(OR(L118="",L113=""),"",IF(L113=0,"",(L118/L113)-1)))</f>
        <v/>
      </c>
      <c r="V118" s="24">
        <f>IF(ROW()&lt;7,"",IF(OR(N118="",N115=""),"",IF(N115=0,"",(N118/N115)-1)))</f>
        <v/>
      </c>
      <c r="W118" s="24">
        <f>IF(ROW()&lt;9,"",IF(OR(N118="",N113=""),"",IF(N113=0,"",(N118/N113)-1)))</f>
        <v/>
      </c>
      <c r="X118" s="24">
        <f>IF(OR(F118="",M118=""),"",F118-M118)</f>
        <v/>
      </c>
      <c r="Y118" s="24">
        <f>IF(OR(P118="",T118=""),"",P118-T118)</f>
        <v/>
      </c>
      <c r="Z118" s="24">
        <f>IF(OR(Q118="",U118=""),"",Q118-U118)</f>
        <v/>
      </c>
      <c r="AA118" s="24">
        <f>IF(OR(H118="",O118=""),"",H118-O118)</f>
        <v/>
      </c>
      <c r="AB118" s="24">
        <f>IF(OR(R118="",V118=""),"",R118-V118)</f>
        <v/>
      </c>
      <c r="AC118" s="24">
        <f>IF(OR(S118="",W118=""),"",S118-W118)</f>
        <v/>
      </c>
      <c r="AD118" s="13" t="n"/>
      <c r="AE118" s="24">
        <f>IF(OR(AD118="",AD117=""),"",IF(AD117=0,"",(AD118/AD117)-1))</f>
        <v/>
      </c>
      <c r="AF118" s="24">
        <f>IF(ROW()&lt;7,"",IF(OR(AD118="",AD115=""),"",IF(AD115=0,"",(AD118/AD115)-1)))</f>
        <v/>
      </c>
      <c r="AG118" s="24">
        <f>IF(ROW()&lt;9,"",IF(OR(AD118="",AD113=""),"",IF(AD113=0,"",(AD118/AD113)-1)))</f>
        <v/>
      </c>
      <c r="AH118" s="13">
        <f>IF(ROW()&lt;23,"",AVERAGE(AD99:AD118))</f>
        <v/>
      </c>
      <c r="AI118">
        <f>IF(OR(AD118="",AH118=""),"",IF(AD118&gt;AH118,"Bull","Bear"))</f>
        <v/>
      </c>
      <c r="AJ118" s="13" t="n"/>
      <c r="AK118" s="24">
        <f>IF(OR(AJ118="",AJ117=""),"",IF(AJ117=0,"",(AJ118/AJ117)-1))</f>
        <v/>
      </c>
      <c r="AL118" s="24">
        <f>IF(ROW()&lt;7,"",IF(OR(AJ118="",AJ115=""),"",IF(AJ115=0,"",(AJ118/AJ115)-1)))</f>
        <v/>
      </c>
      <c r="AM118" s="24">
        <f>IF(ROW()&lt;9,"",IF(OR(AJ118="",AJ113=""),"",IF(AJ113=0,"",(AJ118/AJ113)-1)))</f>
        <v/>
      </c>
      <c r="AN118" s="13">
        <f>IF(ROW()&lt;23,"",AVERAGE(AJ99:AJ118))</f>
        <v/>
      </c>
      <c r="AO118">
        <f>IF(OR(AJ118="",AN118=""),"",IF(AJ118&gt;AN118,"Bull","Bear"))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8">
        <f>IFERROR((M119/M118)-1,"")</f>
        <v/>
      </c>
      <c r="O119" s="24">
        <f>IF(OR(N119="",N118=""),"",IF(N118=0,"",(N119/N118)-1))</f>
        <v/>
      </c>
      <c r="P119" s="11">
        <f>IF(ROW()&lt;7,"",IF(OR(E119="",E116=""),"",IF(E116=0,"",(E119/E116)-1)))</f>
        <v/>
      </c>
      <c r="Q119" s="24">
        <f>IF(ROW()&lt;9,"",IF(OR(E119="",E114=""),"",IF(E114=0,"",(E119/E114)-1)))</f>
        <v/>
      </c>
      <c r="R119" s="24">
        <f>IF(ROW()&lt;7,"",IF(OR(G119="",G116=""),"",IF(G116=0,"",(G119/G116)-1)))</f>
        <v/>
      </c>
      <c r="S119" s="24">
        <f>IF(ROW()&lt;9,"",IF(OR(G119="",G114=""),"",IF(G114=0,"",(G119/G114)-1)))</f>
        <v/>
      </c>
      <c r="T119" s="24">
        <f>IF(ROW()&lt;7,"",IF(OR(L119="",L116=""),"",IF(L116=0,"",(L119/L116)-1)))</f>
        <v/>
      </c>
      <c r="U119" s="24">
        <f>IF(ROW()&lt;9,"",IF(OR(L119="",L114=""),"",IF(L114=0,"",(L119/L114)-1)))</f>
        <v/>
      </c>
      <c r="V119" s="24">
        <f>IF(ROW()&lt;7,"",IF(OR(N119="",N116=""),"",IF(N116=0,"",(N119/N116)-1)))</f>
        <v/>
      </c>
      <c r="W119" s="24">
        <f>IF(ROW()&lt;9,"",IF(OR(N119="",N114=""),"",IF(N114=0,"",(N119/N114)-1)))</f>
        <v/>
      </c>
      <c r="X119" s="24">
        <f>IF(OR(F119="",M119=""),"",F119-M119)</f>
        <v/>
      </c>
      <c r="Y119" s="24">
        <f>IF(OR(P119="",T119=""),"",P119-T119)</f>
        <v/>
      </c>
      <c r="Z119" s="24">
        <f>IF(OR(Q119="",U119=""),"",Q119-U119)</f>
        <v/>
      </c>
      <c r="AA119" s="24">
        <f>IF(OR(H119="",O119=""),"",H119-O119)</f>
        <v/>
      </c>
      <c r="AB119" s="24">
        <f>IF(OR(R119="",V119=""),"",R119-V119)</f>
        <v/>
      </c>
      <c r="AC119" s="24">
        <f>IF(OR(S119="",W119=""),"",S119-W119)</f>
        <v/>
      </c>
      <c r="AD119" s="13" t="n"/>
      <c r="AE119" s="24">
        <f>IF(OR(AD119="",AD118=""),"",IF(AD118=0,"",(AD119/AD118)-1))</f>
        <v/>
      </c>
      <c r="AF119" s="24">
        <f>IF(ROW()&lt;7,"",IF(OR(AD119="",AD116=""),"",IF(AD116=0,"",(AD119/AD116)-1)))</f>
        <v/>
      </c>
      <c r="AG119" s="24">
        <f>IF(ROW()&lt;9,"",IF(OR(AD119="",AD114=""),"",IF(AD114=0,"",(AD119/AD114)-1)))</f>
        <v/>
      </c>
      <c r="AH119" s="13">
        <f>IF(ROW()&lt;23,"",AVERAGE(AD100:AD119))</f>
        <v/>
      </c>
      <c r="AI119">
        <f>IF(OR(AD119="",AH119=""),"",IF(AD119&gt;AH119,"Bull","Bear"))</f>
        <v/>
      </c>
      <c r="AJ119" s="13" t="n"/>
      <c r="AK119" s="24">
        <f>IF(OR(AJ119="",AJ118=""),"",IF(AJ118=0,"",(AJ119/AJ118)-1))</f>
        <v/>
      </c>
      <c r="AL119" s="24">
        <f>IF(ROW()&lt;7,"",IF(OR(AJ119="",AJ116=""),"",IF(AJ116=0,"",(AJ119/AJ116)-1)))</f>
        <v/>
      </c>
      <c r="AM119" s="24">
        <f>IF(ROW()&lt;9,"",IF(OR(AJ119="",AJ114=""),"",IF(AJ114=0,"",(AJ119/AJ114)-1)))</f>
        <v/>
      </c>
      <c r="AN119" s="13">
        <f>IF(ROW()&lt;23,"",AVERAGE(AJ100:AJ119))</f>
        <v/>
      </c>
      <c r="AO119">
        <f>IF(OR(AJ119="",AN119=""),"",IF(AJ119&gt;AN119,"Bull","Bear"))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8">
        <f>IFERROR((M120/M119)-1,"")</f>
        <v/>
      </c>
      <c r="O120" s="24">
        <f>IF(OR(N120="",N119=""),"",IF(N119=0,"",(N120/N119)-1))</f>
        <v/>
      </c>
      <c r="P120" s="11">
        <f>IF(ROW()&lt;7,"",IF(OR(E120="",E117=""),"",IF(E117=0,"",(E120/E117)-1)))</f>
        <v/>
      </c>
      <c r="Q120" s="24">
        <f>IF(ROW()&lt;9,"",IF(OR(E120="",E115=""),"",IF(E115=0,"",(E120/E115)-1)))</f>
        <v/>
      </c>
      <c r="R120" s="24">
        <f>IF(ROW()&lt;7,"",IF(OR(G120="",G117=""),"",IF(G117=0,"",(G120/G117)-1)))</f>
        <v/>
      </c>
      <c r="S120" s="24">
        <f>IF(ROW()&lt;9,"",IF(OR(G120="",G115=""),"",IF(G115=0,"",(G120/G115)-1)))</f>
        <v/>
      </c>
      <c r="T120" s="24">
        <f>IF(ROW()&lt;7,"",IF(OR(L120="",L117=""),"",IF(L117=0,"",(L120/L117)-1)))</f>
        <v/>
      </c>
      <c r="U120" s="24">
        <f>IF(ROW()&lt;9,"",IF(OR(L120="",L115=""),"",IF(L115=0,"",(L120/L115)-1)))</f>
        <v/>
      </c>
      <c r="V120" s="24">
        <f>IF(ROW()&lt;7,"",IF(OR(N120="",N117=""),"",IF(N117=0,"",(N120/N117)-1)))</f>
        <v/>
      </c>
      <c r="W120" s="24">
        <f>IF(ROW()&lt;9,"",IF(OR(N120="",N115=""),"",IF(N115=0,"",(N120/N115)-1)))</f>
        <v/>
      </c>
      <c r="X120" s="24">
        <f>IF(OR(F120="",M120=""),"",F120-M120)</f>
        <v/>
      </c>
      <c r="Y120" s="24">
        <f>IF(OR(P120="",T120=""),"",P120-T120)</f>
        <v/>
      </c>
      <c r="Z120" s="24">
        <f>IF(OR(Q120="",U120=""),"",Q120-U120)</f>
        <v/>
      </c>
      <c r="AA120" s="24">
        <f>IF(OR(H120="",O120=""),"",H120-O120)</f>
        <v/>
      </c>
      <c r="AB120" s="24">
        <f>IF(OR(R120="",V120=""),"",R120-V120)</f>
        <v/>
      </c>
      <c r="AC120" s="24">
        <f>IF(OR(S120="",W120=""),"",S120-W120)</f>
        <v/>
      </c>
      <c r="AD120" s="13" t="n"/>
      <c r="AE120" s="24">
        <f>IF(OR(AD120="",AD119=""),"",IF(AD119=0,"",(AD120/AD119)-1))</f>
        <v/>
      </c>
      <c r="AF120" s="24">
        <f>IF(ROW()&lt;7,"",IF(OR(AD120="",AD117=""),"",IF(AD117=0,"",(AD120/AD117)-1)))</f>
        <v/>
      </c>
      <c r="AG120" s="24">
        <f>IF(ROW()&lt;9,"",IF(OR(AD120="",AD115=""),"",IF(AD115=0,"",(AD120/AD115)-1)))</f>
        <v/>
      </c>
      <c r="AH120" s="13">
        <f>IF(ROW()&lt;23,"",AVERAGE(AD101:AD120))</f>
        <v/>
      </c>
      <c r="AI120">
        <f>IF(OR(AD120="",AH120=""),"",IF(AD120&gt;AH120,"Bull","Bear"))</f>
        <v/>
      </c>
      <c r="AJ120" s="13" t="n"/>
      <c r="AK120" s="24">
        <f>IF(OR(AJ120="",AJ119=""),"",IF(AJ119=0,"",(AJ120/AJ119)-1))</f>
        <v/>
      </c>
      <c r="AL120" s="24">
        <f>IF(ROW()&lt;7,"",IF(OR(AJ120="",AJ117=""),"",IF(AJ117=0,"",(AJ120/AJ117)-1)))</f>
        <v/>
      </c>
      <c r="AM120" s="24">
        <f>IF(ROW()&lt;9,"",IF(OR(AJ120="",AJ115=""),"",IF(AJ115=0,"",(AJ120/AJ115)-1)))</f>
        <v/>
      </c>
      <c r="AN120" s="13">
        <f>IF(ROW()&lt;23,"",AVERAGE(AJ101:AJ120))</f>
        <v/>
      </c>
      <c r="AO120">
        <f>IF(OR(AJ120="",AN120=""),"",IF(AJ120&gt;AN120,"Bull","Bear"))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8">
        <f>IFERROR((M121/M120)-1,"")</f>
        <v/>
      </c>
      <c r="O121" s="24">
        <f>IF(OR(N121="",N120=""),"",IF(N120=0,"",(N121/N120)-1))</f>
        <v/>
      </c>
      <c r="P121" s="11">
        <f>IF(ROW()&lt;7,"",IF(OR(E121="",E118=""),"",IF(E118=0,"",(E121/E118)-1)))</f>
        <v/>
      </c>
      <c r="Q121" s="24">
        <f>IF(ROW()&lt;9,"",IF(OR(E121="",E116=""),"",IF(E116=0,"",(E121/E116)-1)))</f>
        <v/>
      </c>
      <c r="R121" s="24">
        <f>IF(ROW()&lt;7,"",IF(OR(G121="",G118=""),"",IF(G118=0,"",(G121/G118)-1)))</f>
        <v/>
      </c>
      <c r="S121" s="24">
        <f>IF(ROW()&lt;9,"",IF(OR(G121="",G116=""),"",IF(G116=0,"",(G121/G116)-1)))</f>
        <v/>
      </c>
      <c r="T121" s="24">
        <f>IF(ROW()&lt;7,"",IF(OR(L121="",L118=""),"",IF(L118=0,"",(L121/L118)-1)))</f>
        <v/>
      </c>
      <c r="U121" s="24">
        <f>IF(ROW()&lt;9,"",IF(OR(L121="",L116=""),"",IF(L116=0,"",(L121/L116)-1)))</f>
        <v/>
      </c>
      <c r="V121" s="24">
        <f>IF(ROW()&lt;7,"",IF(OR(N121="",N118=""),"",IF(N118=0,"",(N121/N118)-1)))</f>
        <v/>
      </c>
      <c r="W121" s="24">
        <f>IF(ROW()&lt;9,"",IF(OR(N121="",N116=""),"",IF(N116=0,"",(N121/N116)-1)))</f>
        <v/>
      </c>
      <c r="X121" s="24">
        <f>IF(OR(F121="",M121=""),"",F121-M121)</f>
        <v/>
      </c>
      <c r="Y121" s="24">
        <f>IF(OR(P121="",T121=""),"",P121-T121)</f>
        <v/>
      </c>
      <c r="Z121" s="24">
        <f>IF(OR(Q121="",U121=""),"",Q121-U121)</f>
        <v/>
      </c>
      <c r="AA121" s="24">
        <f>IF(OR(H121="",O121=""),"",H121-O121)</f>
        <v/>
      </c>
      <c r="AB121" s="24">
        <f>IF(OR(R121="",V121=""),"",R121-V121)</f>
        <v/>
      </c>
      <c r="AC121" s="24">
        <f>IF(OR(S121="",W121=""),"",S121-W121)</f>
        <v/>
      </c>
      <c r="AD121" s="13" t="n"/>
      <c r="AE121" s="24">
        <f>IF(OR(AD121="",AD120=""),"",IF(AD120=0,"",(AD121/AD120)-1))</f>
        <v/>
      </c>
      <c r="AF121" s="24">
        <f>IF(ROW()&lt;7,"",IF(OR(AD121="",AD118=""),"",IF(AD118=0,"",(AD121/AD118)-1)))</f>
        <v/>
      </c>
      <c r="AG121" s="24">
        <f>IF(ROW()&lt;9,"",IF(OR(AD121="",AD116=""),"",IF(AD116=0,"",(AD121/AD116)-1)))</f>
        <v/>
      </c>
      <c r="AH121" s="13">
        <f>IF(ROW()&lt;23,"",AVERAGE(AD102:AD121))</f>
        <v/>
      </c>
      <c r="AI121">
        <f>IF(OR(AD121="",AH121=""),"",IF(AD121&gt;AH121,"Bull","Bear"))</f>
        <v/>
      </c>
      <c r="AJ121" s="13" t="n"/>
      <c r="AK121" s="24">
        <f>IF(OR(AJ121="",AJ120=""),"",IF(AJ120=0,"",(AJ121/AJ120)-1))</f>
        <v/>
      </c>
      <c r="AL121" s="24">
        <f>IF(ROW()&lt;7,"",IF(OR(AJ121="",AJ118=""),"",IF(AJ118=0,"",(AJ121/AJ118)-1)))</f>
        <v/>
      </c>
      <c r="AM121" s="24">
        <f>IF(ROW()&lt;9,"",IF(OR(AJ121="",AJ116=""),"",IF(AJ116=0,"",(AJ121/AJ116)-1)))</f>
        <v/>
      </c>
      <c r="AN121" s="13">
        <f>IF(ROW()&lt;23,"",AVERAGE(AJ102:AJ121))</f>
        <v/>
      </c>
      <c r="AO121">
        <f>IF(OR(AJ121="",AN121=""),"",IF(AJ121&gt;AN121,"Bull","Bear"))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8">
        <f>IFERROR((M122/M121)-1,"")</f>
        <v/>
      </c>
      <c r="O122" s="24">
        <f>IF(OR(N122="",N121=""),"",IF(N121=0,"",(N122/N121)-1))</f>
        <v/>
      </c>
      <c r="P122" s="11">
        <f>IF(ROW()&lt;7,"",IF(OR(E122="",E119=""),"",IF(E119=0,"",(E122/E119)-1)))</f>
        <v/>
      </c>
      <c r="Q122" s="24">
        <f>IF(ROW()&lt;9,"",IF(OR(E122="",E117=""),"",IF(E117=0,"",(E122/E117)-1)))</f>
        <v/>
      </c>
      <c r="R122" s="24">
        <f>IF(ROW()&lt;7,"",IF(OR(G122="",G119=""),"",IF(G119=0,"",(G122/G119)-1)))</f>
        <v/>
      </c>
      <c r="S122" s="24">
        <f>IF(ROW()&lt;9,"",IF(OR(G122="",G117=""),"",IF(G117=0,"",(G122/G117)-1)))</f>
        <v/>
      </c>
      <c r="T122" s="24">
        <f>IF(ROW()&lt;7,"",IF(OR(L122="",L119=""),"",IF(L119=0,"",(L122/L119)-1)))</f>
        <v/>
      </c>
      <c r="U122" s="24">
        <f>IF(ROW()&lt;9,"",IF(OR(L122="",L117=""),"",IF(L117=0,"",(L122/L117)-1)))</f>
        <v/>
      </c>
      <c r="V122" s="24">
        <f>IF(ROW()&lt;7,"",IF(OR(N122="",N119=""),"",IF(N119=0,"",(N122/N119)-1)))</f>
        <v/>
      </c>
      <c r="W122" s="24">
        <f>IF(ROW()&lt;9,"",IF(OR(N122="",N117=""),"",IF(N117=0,"",(N122/N117)-1)))</f>
        <v/>
      </c>
      <c r="X122" s="24">
        <f>IF(OR(F122="",M122=""),"",F122-M122)</f>
        <v/>
      </c>
      <c r="Y122" s="24">
        <f>IF(OR(P122="",T122=""),"",P122-T122)</f>
        <v/>
      </c>
      <c r="Z122" s="24">
        <f>IF(OR(Q122="",U122=""),"",Q122-U122)</f>
        <v/>
      </c>
      <c r="AA122" s="24">
        <f>IF(OR(H122="",O122=""),"",H122-O122)</f>
        <v/>
      </c>
      <c r="AB122" s="24">
        <f>IF(OR(R122="",V122=""),"",R122-V122)</f>
        <v/>
      </c>
      <c r="AC122" s="24">
        <f>IF(OR(S122="",W122=""),"",S122-W122)</f>
        <v/>
      </c>
      <c r="AD122" s="13" t="n"/>
      <c r="AE122" s="24">
        <f>IF(OR(AD122="",AD121=""),"",IF(AD121=0,"",(AD122/AD121)-1))</f>
        <v/>
      </c>
      <c r="AF122" s="24">
        <f>IF(ROW()&lt;7,"",IF(OR(AD122="",AD119=""),"",IF(AD119=0,"",(AD122/AD119)-1)))</f>
        <v/>
      </c>
      <c r="AG122" s="24">
        <f>IF(ROW()&lt;9,"",IF(OR(AD122="",AD117=""),"",IF(AD117=0,"",(AD122/AD117)-1)))</f>
        <v/>
      </c>
      <c r="AH122" s="13">
        <f>IF(ROW()&lt;23,"",AVERAGE(AD103:AD122))</f>
        <v/>
      </c>
      <c r="AI122">
        <f>IF(OR(AD122="",AH122=""),"",IF(AD122&gt;AH122,"Bull","Bear"))</f>
        <v/>
      </c>
      <c r="AJ122" s="13" t="n"/>
      <c r="AK122" s="24">
        <f>IF(OR(AJ122="",AJ121=""),"",IF(AJ121=0,"",(AJ122/AJ121)-1))</f>
        <v/>
      </c>
      <c r="AL122" s="24">
        <f>IF(ROW()&lt;7,"",IF(OR(AJ122="",AJ119=""),"",IF(AJ119=0,"",(AJ122/AJ119)-1)))</f>
        <v/>
      </c>
      <c r="AM122" s="24">
        <f>IF(ROW()&lt;9,"",IF(OR(AJ122="",AJ117=""),"",IF(AJ117=0,"",(AJ122/AJ117)-1)))</f>
        <v/>
      </c>
      <c r="AN122" s="13">
        <f>IF(ROW()&lt;23,"",AVERAGE(AJ103:AJ122))</f>
        <v/>
      </c>
      <c r="AO122">
        <f>IF(OR(AJ122="",AN122=""),"",IF(AJ122&gt;AN122,"Bull","Bear"))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8">
        <f>IFERROR((M123/M122)-1,"")</f>
        <v/>
      </c>
      <c r="O123" s="24">
        <f>IF(OR(N123="",N122=""),"",IF(N122=0,"",(N123/N122)-1))</f>
        <v/>
      </c>
      <c r="P123" s="11">
        <f>IF(ROW()&lt;7,"",IF(OR(E123="",E120=""),"",IF(E120=0,"",(E123/E120)-1)))</f>
        <v/>
      </c>
      <c r="Q123" s="24">
        <f>IF(ROW()&lt;9,"",IF(OR(E123="",E118=""),"",IF(E118=0,"",(E123/E118)-1)))</f>
        <v/>
      </c>
      <c r="R123" s="24">
        <f>IF(ROW()&lt;7,"",IF(OR(G123="",G120=""),"",IF(G120=0,"",(G123/G120)-1)))</f>
        <v/>
      </c>
      <c r="S123" s="24">
        <f>IF(ROW()&lt;9,"",IF(OR(G123="",G118=""),"",IF(G118=0,"",(G123/G118)-1)))</f>
        <v/>
      </c>
      <c r="T123" s="24">
        <f>IF(ROW()&lt;7,"",IF(OR(L123="",L120=""),"",IF(L120=0,"",(L123/L120)-1)))</f>
        <v/>
      </c>
      <c r="U123" s="24">
        <f>IF(ROW()&lt;9,"",IF(OR(L123="",L118=""),"",IF(L118=0,"",(L123/L118)-1)))</f>
        <v/>
      </c>
      <c r="V123" s="24">
        <f>IF(ROW()&lt;7,"",IF(OR(N123="",N120=""),"",IF(N120=0,"",(N123/N120)-1)))</f>
        <v/>
      </c>
      <c r="W123" s="24">
        <f>IF(ROW()&lt;9,"",IF(OR(N123="",N118=""),"",IF(N118=0,"",(N123/N118)-1)))</f>
        <v/>
      </c>
      <c r="X123" s="24">
        <f>IF(OR(F123="",M123=""),"",F123-M123)</f>
        <v/>
      </c>
      <c r="Y123" s="24">
        <f>IF(OR(P123="",T123=""),"",P123-T123)</f>
        <v/>
      </c>
      <c r="Z123" s="24">
        <f>IF(OR(Q123="",U123=""),"",Q123-U123)</f>
        <v/>
      </c>
      <c r="AA123" s="24">
        <f>IF(OR(H123="",O123=""),"",H123-O123)</f>
        <v/>
      </c>
      <c r="AB123" s="24">
        <f>IF(OR(R123="",V123=""),"",R123-V123)</f>
        <v/>
      </c>
      <c r="AC123" s="24">
        <f>IF(OR(S123="",W123=""),"",S123-W123)</f>
        <v/>
      </c>
      <c r="AD123" s="13" t="n"/>
      <c r="AE123" s="24">
        <f>IF(OR(AD123="",AD122=""),"",IF(AD122=0,"",(AD123/AD122)-1))</f>
        <v/>
      </c>
      <c r="AF123" s="24">
        <f>IF(ROW()&lt;7,"",IF(OR(AD123="",AD120=""),"",IF(AD120=0,"",(AD123/AD120)-1)))</f>
        <v/>
      </c>
      <c r="AG123" s="24">
        <f>IF(ROW()&lt;9,"",IF(OR(AD123="",AD118=""),"",IF(AD118=0,"",(AD123/AD118)-1)))</f>
        <v/>
      </c>
      <c r="AH123" s="13">
        <f>IF(ROW()&lt;23,"",AVERAGE(AD104:AD123))</f>
        <v/>
      </c>
      <c r="AI123">
        <f>IF(OR(AD123="",AH123=""),"",IF(AD123&gt;AH123,"Bull","Bear"))</f>
        <v/>
      </c>
      <c r="AJ123" s="13" t="n"/>
      <c r="AK123" s="24">
        <f>IF(OR(AJ123="",AJ122=""),"",IF(AJ122=0,"",(AJ123/AJ122)-1))</f>
        <v/>
      </c>
      <c r="AL123" s="24">
        <f>IF(ROW()&lt;7,"",IF(OR(AJ123="",AJ120=""),"",IF(AJ120=0,"",(AJ123/AJ120)-1)))</f>
        <v/>
      </c>
      <c r="AM123" s="24">
        <f>IF(ROW()&lt;9,"",IF(OR(AJ123="",AJ118=""),"",IF(AJ118=0,"",(AJ123/AJ118)-1)))</f>
        <v/>
      </c>
      <c r="AN123" s="13">
        <f>IF(ROW()&lt;23,"",AVERAGE(AJ104:AJ123))</f>
        <v/>
      </c>
      <c r="AO123">
        <f>IF(OR(AJ123="",AN123=""),"",IF(AJ123&gt;AN123,"Bull","Bear"))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8">
        <f>IFERROR((M124/M123)-1,"")</f>
        <v/>
      </c>
      <c r="O124" s="24">
        <f>IF(OR(N124="",N123=""),"",IF(N123=0,"",(N124/N123)-1))</f>
        <v/>
      </c>
      <c r="P124" s="11">
        <f>IF(ROW()&lt;7,"",IF(OR(E124="",E121=""),"",IF(E121=0,"",(E124/E121)-1)))</f>
        <v/>
      </c>
      <c r="Q124" s="24">
        <f>IF(ROW()&lt;9,"",IF(OR(E124="",E119=""),"",IF(E119=0,"",(E124/E119)-1)))</f>
        <v/>
      </c>
      <c r="R124" s="24">
        <f>IF(ROW()&lt;7,"",IF(OR(G124="",G121=""),"",IF(G121=0,"",(G124/G121)-1)))</f>
        <v/>
      </c>
      <c r="S124" s="24">
        <f>IF(ROW()&lt;9,"",IF(OR(G124="",G119=""),"",IF(G119=0,"",(G124/G119)-1)))</f>
        <v/>
      </c>
      <c r="T124" s="24">
        <f>IF(ROW()&lt;7,"",IF(OR(L124="",L121=""),"",IF(L121=0,"",(L124/L121)-1)))</f>
        <v/>
      </c>
      <c r="U124" s="24">
        <f>IF(ROW()&lt;9,"",IF(OR(L124="",L119=""),"",IF(L119=0,"",(L124/L119)-1)))</f>
        <v/>
      </c>
      <c r="V124" s="24">
        <f>IF(ROW()&lt;7,"",IF(OR(N124="",N121=""),"",IF(N121=0,"",(N124/N121)-1)))</f>
        <v/>
      </c>
      <c r="W124" s="24">
        <f>IF(ROW()&lt;9,"",IF(OR(N124="",N119=""),"",IF(N119=0,"",(N124/N119)-1)))</f>
        <v/>
      </c>
      <c r="X124" s="24">
        <f>IF(OR(F124="",M124=""),"",F124-M124)</f>
        <v/>
      </c>
      <c r="Y124" s="24">
        <f>IF(OR(P124="",T124=""),"",P124-T124)</f>
        <v/>
      </c>
      <c r="Z124" s="24">
        <f>IF(OR(Q124="",U124=""),"",Q124-U124)</f>
        <v/>
      </c>
      <c r="AA124" s="24">
        <f>IF(OR(H124="",O124=""),"",H124-O124)</f>
        <v/>
      </c>
      <c r="AB124" s="24">
        <f>IF(OR(R124="",V124=""),"",R124-V124)</f>
        <v/>
      </c>
      <c r="AC124" s="24">
        <f>IF(OR(S124="",W124=""),"",S124-W124)</f>
        <v/>
      </c>
      <c r="AD124" s="13" t="n"/>
      <c r="AE124" s="24">
        <f>IF(OR(AD124="",AD123=""),"",IF(AD123=0,"",(AD124/AD123)-1))</f>
        <v/>
      </c>
      <c r="AF124" s="24">
        <f>IF(ROW()&lt;7,"",IF(OR(AD124="",AD121=""),"",IF(AD121=0,"",(AD124/AD121)-1)))</f>
        <v/>
      </c>
      <c r="AG124" s="24">
        <f>IF(ROW()&lt;9,"",IF(OR(AD124="",AD119=""),"",IF(AD119=0,"",(AD124/AD119)-1)))</f>
        <v/>
      </c>
      <c r="AH124" s="13">
        <f>IF(ROW()&lt;23,"",AVERAGE(AD105:AD124))</f>
        <v/>
      </c>
      <c r="AI124">
        <f>IF(OR(AD124="",AH124=""),"",IF(AD124&gt;AH124,"Bull","Bear"))</f>
        <v/>
      </c>
      <c r="AJ124" s="13" t="n"/>
      <c r="AK124" s="24">
        <f>IF(OR(AJ124="",AJ123=""),"",IF(AJ123=0,"",(AJ124/AJ123)-1))</f>
        <v/>
      </c>
      <c r="AL124" s="24">
        <f>IF(ROW()&lt;7,"",IF(OR(AJ124="",AJ121=""),"",IF(AJ121=0,"",(AJ124/AJ121)-1)))</f>
        <v/>
      </c>
      <c r="AM124" s="24">
        <f>IF(ROW()&lt;9,"",IF(OR(AJ124="",AJ119=""),"",IF(AJ119=0,"",(AJ124/AJ119)-1)))</f>
        <v/>
      </c>
      <c r="AN124" s="13">
        <f>IF(ROW()&lt;23,"",AVERAGE(AJ105:AJ124))</f>
        <v/>
      </c>
      <c r="AO124">
        <f>IF(OR(AJ124="",AN124=""),"",IF(AJ124&gt;AN124,"Bull","Bear"))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8">
        <f>IFERROR((M125/M124)-1,"")</f>
        <v/>
      </c>
      <c r="O125" s="24">
        <f>IF(OR(N125="",N124=""),"",IF(N124=0,"",(N125/N124)-1))</f>
        <v/>
      </c>
      <c r="P125" s="11">
        <f>IF(ROW()&lt;7,"",IF(OR(E125="",E122=""),"",IF(E122=0,"",(E125/E122)-1)))</f>
        <v/>
      </c>
      <c r="Q125" s="24">
        <f>IF(ROW()&lt;9,"",IF(OR(E125="",E120=""),"",IF(E120=0,"",(E125/E120)-1)))</f>
        <v/>
      </c>
      <c r="R125" s="24">
        <f>IF(ROW()&lt;7,"",IF(OR(G125="",G122=""),"",IF(G122=0,"",(G125/G122)-1)))</f>
        <v/>
      </c>
      <c r="S125" s="24">
        <f>IF(ROW()&lt;9,"",IF(OR(G125="",G120=""),"",IF(G120=0,"",(G125/G120)-1)))</f>
        <v/>
      </c>
      <c r="T125" s="24">
        <f>IF(ROW()&lt;7,"",IF(OR(L125="",L122=""),"",IF(L122=0,"",(L125/L122)-1)))</f>
        <v/>
      </c>
      <c r="U125" s="24">
        <f>IF(ROW()&lt;9,"",IF(OR(L125="",L120=""),"",IF(L120=0,"",(L125/L120)-1)))</f>
        <v/>
      </c>
      <c r="V125" s="24">
        <f>IF(ROW()&lt;7,"",IF(OR(N125="",N122=""),"",IF(N122=0,"",(N125/N122)-1)))</f>
        <v/>
      </c>
      <c r="W125" s="24">
        <f>IF(ROW()&lt;9,"",IF(OR(N125="",N120=""),"",IF(N120=0,"",(N125/N120)-1)))</f>
        <v/>
      </c>
      <c r="X125" s="24">
        <f>IF(OR(F125="",M125=""),"",F125-M125)</f>
        <v/>
      </c>
      <c r="Y125" s="24">
        <f>IF(OR(P125="",T125=""),"",P125-T125)</f>
        <v/>
      </c>
      <c r="Z125" s="24">
        <f>IF(OR(Q125="",U125=""),"",Q125-U125)</f>
        <v/>
      </c>
      <c r="AA125" s="24">
        <f>IF(OR(H125="",O125=""),"",H125-O125)</f>
        <v/>
      </c>
      <c r="AB125" s="24">
        <f>IF(OR(R125="",V125=""),"",R125-V125)</f>
        <v/>
      </c>
      <c r="AC125" s="24">
        <f>IF(OR(S125="",W125=""),"",S125-W125)</f>
        <v/>
      </c>
      <c r="AD125" s="13" t="n"/>
      <c r="AE125" s="24">
        <f>IF(OR(AD125="",AD124=""),"",IF(AD124=0,"",(AD125/AD124)-1))</f>
        <v/>
      </c>
      <c r="AF125" s="24">
        <f>IF(ROW()&lt;7,"",IF(OR(AD125="",AD122=""),"",IF(AD122=0,"",(AD125/AD122)-1)))</f>
        <v/>
      </c>
      <c r="AG125" s="24">
        <f>IF(ROW()&lt;9,"",IF(OR(AD125="",AD120=""),"",IF(AD120=0,"",(AD125/AD120)-1)))</f>
        <v/>
      </c>
      <c r="AH125" s="13">
        <f>IF(ROW()&lt;23,"",AVERAGE(AD106:AD125))</f>
        <v/>
      </c>
      <c r="AI125">
        <f>IF(OR(AD125="",AH125=""),"",IF(AD125&gt;AH125,"Bull","Bear"))</f>
        <v/>
      </c>
      <c r="AJ125" s="13" t="n"/>
      <c r="AK125" s="24">
        <f>IF(OR(AJ125="",AJ124=""),"",IF(AJ124=0,"",(AJ125/AJ124)-1))</f>
        <v/>
      </c>
      <c r="AL125" s="24">
        <f>IF(ROW()&lt;7,"",IF(OR(AJ125="",AJ122=""),"",IF(AJ122=0,"",(AJ125/AJ122)-1)))</f>
        <v/>
      </c>
      <c r="AM125" s="24">
        <f>IF(ROW()&lt;9,"",IF(OR(AJ125="",AJ120=""),"",IF(AJ120=0,"",(AJ125/AJ120)-1)))</f>
        <v/>
      </c>
      <c r="AN125" s="13">
        <f>IF(ROW()&lt;23,"",AVERAGE(AJ106:AJ125))</f>
        <v/>
      </c>
      <c r="AO125">
        <f>IF(OR(AJ125="",AN125=""),"",IF(AJ125&gt;AN125,"Bull","Bear"))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8">
        <f>IFERROR((M126/M125)-1,"")</f>
        <v/>
      </c>
      <c r="O126" s="24">
        <f>IF(OR(N126="",N125=""),"",IF(N125=0,"",(N126/N125)-1))</f>
        <v/>
      </c>
      <c r="P126" s="11">
        <f>IF(ROW()&lt;7,"",IF(OR(E126="",E123=""),"",IF(E123=0,"",(E126/E123)-1)))</f>
        <v/>
      </c>
      <c r="Q126" s="24">
        <f>IF(ROW()&lt;9,"",IF(OR(E126="",E121=""),"",IF(E121=0,"",(E126/E121)-1)))</f>
        <v/>
      </c>
      <c r="R126" s="24">
        <f>IF(ROW()&lt;7,"",IF(OR(G126="",G123=""),"",IF(G123=0,"",(G126/G123)-1)))</f>
        <v/>
      </c>
      <c r="S126" s="24">
        <f>IF(ROW()&lt;9,"",IF(OR(G126="",G121=""),"",IF(G121=0,"",(G126/G121)-1)))</f>
        <v/>
      </c>
      <c r="T126" s="24">
        <f>IF(ROW()&lt;7,"",IF(OR(L126="",L123=""),"",IF(L123=0,"",(L126/L123)-1)))</f>
        <v/>
      </c>
      <c r="U126" s="24">
        <f>IF(ROW()&lt;9,"",IF(OR(L126="",L121=""),"",IF(L121=0,"",(L126/L121)-1)))</f>
        <v/>
      </c>
      <c r="V126" s="24">
        <f>IF(ROW()&lt;7,"",IF(OR(N126="",N123=""),"",IF(N123=0,"",(N126/N123)-1)))</f>
        <v/>
      </c>
      <c r="W126" s="24">
        <f>IF(ROW()&lt;9,"",IF(OR(N126="",N121=""),"",IF(N121=0,"",(N126/N121)-1)))</f>
        <v/>
      </c>
      <c r="X126" s="24">
        <f>IF(OR(F126="",M126=""),"",F126-M126)</f>
        <v/>
      </c>
      <c r="Y126" s="24">
        <f>IF(OR(P126="",T126=""),"",P126-T126)</f>
        <v/>
      </c>
      <c r="Z126" s="24">
        <f>IF(OR(Q126="",U126=""),"",Q126-U126)</f>
        <v/>
      </c>
      <c r="AA126" s="24">
        <f>IF(OR(H126="",O126=""),"",H126-O126)</f>
        <v/>
      </c>
      <c r="AB126" s="24">
        <f>IF(OR(R126="",V126=""),"",R126-V126)</f>
        <v/>
      </c>
      <c r="AC126" s="24">
        <f>IF(OR(S126="",W126=""),"",S126-W126)</f>
        <v/>
      </c>
      <c r="AD126" s="13" t="n"/>
      <c r="AE126" s="24">
        <f>IF(OR(AD126="",AD125=""),"",IF(AD125=0,"",(AD126/AD125)-1))</f>
        <v/>
      </c>
      <c r="AF126" s="24">
        <f>IF(ROW()&lt;7,"",IF(OR(AD126="",AD123=""),"",IF(AD123=0,"",(AD126/AD123)-1)))</f>
        <v/>
      </c>
      <c r="AG126" s="24">
        <f>IF(ROW()&lt;9,"",IF(OR(AD126="",AD121=""),"",IF(AD121=0,"",(AD126/AD121)-1)))</f>
        <v/>
      </c>
      <c r="AH126" s="13">
        <f>IF(ROW()&lt;23,"",AVERAGE(AD107:AD126))</f>
        <v/>
      </c>
      <c r="AI126">
        <f>IF(OR(AD126="",AH126=""),"",IF(AD126&gt;AH126,"Bull","Bear"))</f>
        <v/>
      </c>
      <c r="AJ126" s="13" t="n"/>
      <c r="AK126" s="24">
        <f>IF(OR(AJ126="",AJ125=""),"",IF(AJ125=0,"",(AJ126/AJ125)-1))</f>
        <v/>
      </c>
      <c r="AL126" s="24">
        <f>IF(ROW()&lt;7,"",IF(OR(AJ126="",AJ123=""),"",IF(AJ123=0,"",(AJ126/AJ123)-1)))</f>
        <v/>
      </c>
      <c r="AM126" s="24">
        <f>IF(ROW()&lt;9,"",IF(OR(AJ126="",AJ121=""),"",IF(AJ121=0,"",(AJ126/AJ121)-1)))</f>
        <v/>
      </c>
      <c r="AN126" s="13">
        <f>IF(ROW()&lt;23,"",AVERAGE(AJ107:AJ126))</f>
        <v/>
      </c>
      <c r="AO126">
        <f>IF(OR(AJ126="",AN126=""),"",IF(AJ126&gt;AN126,"Bull","Bear"))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8">
        <f>IFERROR((M127/M126)-1,"")</f>
        <v/>
      </c>
      <c r="O127" s="24">
        <f>IF(OR(N127="",N126=""),"",IF(N126=0,"",(N127/N126)-1))</f>
        <v/>
      </c>
      <c r="P127" s="11">
        <f>IF(ROW()&lt;7,"",IF(OR(E127="",E124=""),"",IF(E124=0,"",(E127/E124)-1)))</f>
        <v/>
      </c>
      <c r="Q127" s="24">
        <f>IF(ROW()&lt;9,"",IF(OR(E127="",E122=""),"",IF(E122=0,"",(E127/E122)-1)))</f>
        <v/>
      </c>
      <c r="R127" s="24">
        <f>IF(ROW()&lt;7,"",IF(OR(G127="",G124=""),"",IF(G124=0,"",(G127/G124)-1)))</f>
        <v/>
      </c>
      <c r="S127" s="24">
        <f>IF(ROW()&lt;9,"",IF(OR(G127="",G122=""),"",IF(G122=0,"",(G127/G122)-1)))</f>
        <v/>
      </c>
      <c r="T127" s="24">
        <f>IF(ROW()&lt;7,"",IF(OR(L127="",L124=""),"",IF(L124=0,"",(L127/L124)-1)))</f>
        <v/>
      </c>
      <c r="U127" s="24">
        <f>IF(ROW()&lt;9,"",IF(OR(L127="",L122=""),"",IF(L122=0,"",(L127/L122)-1)))</f>
        <v/>
      </c>
      <c r="V127" s="24">
        <f>IF(ROW()&lt;7,"",IF(OR(N127="",N124=""),"",IF(N124=0,"",(N127/N124)-1)))</f>
        <v/>
      </c>
      <c r="W127" s="24">
        <f>IF(ROW()&lt;9,"",IF(OR(N127="",N122=""),"",IF(N122=0,"",(N127/N122)-1)))</f>
        <v/>
      </c>
      <c r="X127" s="24">
        <f>IF(OR(F127="",M127=""),"",F127-M127)</f>
        <v/>
      </c>
      <c r="Y127" s="24">
        <f>IF(OR(P127="",T127=""),"",P127-T127)</f>
        <v/>
      </c>
      <c r="Z127" s="24">
        <f>IF(OR(Q127="",U127=""),"",Q127-U127)</f>
        <v/>
      </c>
      <c r="AA127" s="24">
        <f>IF(OR(H127="",O127=""),"",H127-O127)</f>
        <v/>
      </c>
      <c r="AB127" s="24">
        <f>IF(OR(R127="",V127=""),"",R127-V127)</f>
        <v/>
      </c>
      <c r="AC127" s="24">
        <f>IF(OR(S127="",W127=""),"",S127-W127)</f>
        <v/>
      </c>
      <c r="AD127" s="13" t="n"/>
      <c r="AE127" s="24">
        <f>IF(OR(AD127="",AD126=""),"",IF(AD126=0,"",(AD127/AD126)-1))</f>
        <v/>
      </c>
      <c r="AF127" s="24">
        <f>IF(ROW()&lt;7,"",IF(OR(AD127="",AD124=""),"",IF(AD124=0,"",(AD127/AD124)-1)))</f>
        <v/>
      </c>
      <c r="AG127" s="24">
        <f>IF(ROW()&lt;9,"",IF(OR(AD127="",AD122=""),"",IF(AD122=0,"",(AD127/AD122)-1)))</f>
        <v/>
      </c>
      <c r="AH127" s="13">
        <f>IF(ROW()&lt;23,"",AVERAGE(AD108:AD127))</f>
        <v/>
      </c>
      <c r="AI127">
        <f>IF(OR(AD127="",AH127=""),"",IF(AD127&gt;AH127,"Bull","Bear"))</f>
        <v/>
      </c>
      <c r="AJ127" s="13" t="n"/>
      <c r="AK127" s="24">
        <f>IF(OR(AJ127="",AJ126=""),"",IF(AJ126=0,"",(AJ127/AJ126)-1))</f>
        <v/>
      </c>
      <c r="AL127" s="24">
        <f>IF(ROW()&lt;7,"",IF(OR(AJ127="",AJ124=""),"",IF(AJ124=0,"",(AJ127/AJ124)-1)))</f>
        <v/>
      </c>
      <c r="AM127" s="24">
        <f>IF(ROW()&lt;9,"",IF(OR(AJ127="",AJ122=""),"",IF(AJ122=0,"",(AJ127/AJ122)-1)))</f>
        <v/>
      </c>
      <c r="AN127" s="13">
        <f>IF(ROW()&lt;23,"",AVERAGE(AJ108:AJ127))</f>
        <v/>
      </c>
      <c r="AO127">
        <f>IF(OR(AJ127="",AN127=""),"",IF(AJ127&gt;AN127,"Bull","Bear"))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8">
        <f>IFERROR((M128/M127)-1,"")</f>
        <v/>
      </c>
      <c r="O128" s="24">
        <f>IF(OR(N128="",N127=""),"",IF(N127=0,"",(N128/N127)-1))</f>
        <v/>
      </c>
      <c r="P128" s="11">
        <f>IF(ROW()&lt;7,"",IF(OR(E128="",E125=""),"",IF(E125=0,"",(E128/E125)-1)))</f>
        <v/>
      </c>
      <c r="Q128" s="24">
        <f>IF(ROW()&lt;9,"",IF(OR(E128="",E123=""),"",IF(E123=0,"",(E128/E123)-1)))</f>
        <v/>
      </c>
      <c r="R128" s="24">
        <f>IF(ROW()&lt;7,"",IF(OR(G128="",G125=""),"",IF(G125=0,"",(G128/G125)-1)))</f>
        <v/>
      </c>
      <c r="S128" s="24">
        <f>IF(ROW()&lt;9,"",IF(OR(G128="",G123=""),"",IF(G123=0,"",(G128/G123)-1)))</f>
        <v/>
      </c>
      <c r="T128" s="24">
        <f>IF(ROW()&lt;7,"",IF(OR(L128="",L125=""),"",IF(L125=0,"",(L128/L125)-1)))</f>
        <v/>
      </c>
      <c r="U128" s="24">
        <f>IF(ROW()&lt;9,"",IF(OR(L128="",L123=""),"",IF(L123=0,"",(L128/L123)-1)))</f>
        <v/>
      </c>
      <c r="V128" s="24">
        <f>IF(ROW()&lt;7,"",IF(OR(N128="",N125=""),"",IF(N125=0,"",(N128/N125)-1)))</f>
        <v/>
      </c>
      <c r="W128" s="24">
        <f>IF(ROW()&lt;9,"",IF(OR(N128="",N123=""),"",IF(N123=0,"",(N128/N123)-1)))</f>
        <v/>
      </c>
      <c r="X128" s="24">
        <f>IF(OR(F128="",M128=""),"",F128-M128)</f>
        <v/>
      </c>
      <c r="Y128" s="24">
        <f>IF(OR(P128="",T128=""),"",P128-T128)</f>
        <v/>
      </c>
      <c r="Z128" s="24">
        <f>IF(OR(Q128="",U128=""),"",Q128-U128)</f>
        <v/>
      </c>
      <c r="AA128" s="24">
        <f>IF(OR(H128="",O128=""),"",H128-O128)</f>
        <v/>
      </c>
      <c r="AB128" s="24">
        <f>IF(OR(R128="",V128=""),"",R128-V128)</f>
        <v/>
      </c>
      <c r="AC128" s="24">
        <f>IF(OR(S128="",W128=""),"",S128-W128)</f>
        <v/>
      </c>
      <c r="AD128" s="13" t="n"/>
      <c r="AE128" s="24">
        <f>IF(OR(AD128="",AD127=""),"",IF(AD127=0,"",(AD128/AD127)-1))</f>
        <v/>
      </c>
      <c r="AF128" s="24">
        <f>IF(ROW()&lt;7,"",IF(OR(AD128="",AD125=""),"",IF(AD125=0,"",(AD128/AD125)-1)))</f>
        <v/>
      </c>
      <c r="AG128" s="24">
        <f>IF(ROW()&lt;9,"",IF(OR(AD128="",AD123=""),"",IF(AD123=0,"",(AD128/AD123)-1)))</f>
        <v/>
      </c>
      <c r="AH128" s="13">
        <f>IF(ROW()&lt;23,"",AVERAGE(AD109:AD128))</f>
        <v/>
      </c>
      <c r="AI128">
        <f>IF(OR(AD128="",AH128=""),"",IF(AD128&gt;AH128,"Bull","Bear"))</f>
        <v/>
      </c>
      <c r="AJ128" s="13" t="n"/>
      <c r="AK128" s="24">
        <f>IF(OR(AJ128="",AJ127=""),"",IF(AJ127=0,"",(AJ128/AJ127)-1))</f>
        <v/>
      </c>
      <c r="AL128" s="24">
        <f>IF(ROW()&lt;7,"",IF(OR(AJ128="",AJ125=""),"",IF(AJ125=0,"",(AJ128/AJ125)-1)))</f>
        <v/>
      </c>
      <c r="AM128" s="24">
        <f>IF(ROW()&lt;9,"",IF(OR(AJ128="",AJ123=""),"",IF(AJ123=0,"",(AJ128/AJ123)-1)))</f>
        <v/>
      </c>
      <c r="AN128" s="13">
        <f>IF(ROW()&lt;23,"",AVERAGE(AJ109:AJ128))</f>
        <v/>
      </c>
      <c r="AO128">
        <f>IF(OR(AJ128="",AN128=""),"",IF(AJ128&gt;AN128,"Bull","Bear"))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8">
        <f>IFERROR((M129/M128)-1,"")</f>
        <v/>
      </c>
      <c r="O129" s="24">
        <f>IF(OR(N129="",N128=""),"",IF(N128=0,"",(N129/N128)-1))</f>
        <v/>
      </c>
      <c r="P129" s="11">
        <f>IF(ROW()&lt;7,"",IF(OR(E129="",E126=""),"",IF(E126=0,"",(E129/E126)-1)))</f>
        <v/>
      </c>
      <c r="Q129" s="24">
        <f>IF(ROW()&lt;9,"",IF(OR(E129="",E124=""),"",IF(E124=0,"",(E129/E124)-1)))</f>
        <v/>
      </c>
      <c r="R129" s="24">
        <f>IF(ROW()&lt;7,"",IF(OR(G129="",G126=""),"",IF(G126=0,"",(G129/G126)-1)))</f>
        <v/>
      </c>
      <c r="S129" s="24">
        <f>IF(ROW()&lt;9,"",IF(OR(G129="",G124=""),"",IF(G124=0,"",(G129/G124)-1)))</f>
        <v/>
      </c>
      <c r="T129" s="24">
        <f>IF(ROW()&lt;7,"",IF(OR(L129="",L126=""),"",IF(L126=0,"",(L129/L126)-1)))</f>
        <v/>
      </c>
      <c r="U129" s="24">
        <f>IF(ROW()&lt;9,"",IF(OR(L129="",L124=""),"",IF(L124=0,"",(L129/L124)-1)))</f>
        <v/>
      </c>
      <c r="V129" s="24">
        <f>IF(ROW()&lt;7,"",IF(OR(N129="",N126=""),"",IF(N126=0,"",(N129/N126)-1)))</f>
        <v/>
      </c>
      <c r="W129" s="24">
        <f>IF(ROW()&lt;9,"",IF(OR(N129="",N124=""),"",IF(N124=0,"",(N129/N124)-1)))</f>
        <v/>
      </c>
      <c r="X129" s="24">
        <f>IF(OR(F129="",M129=""),"",F129-M129)</f>
        <v/>
      </c>
      <c r="Y129" s="24">
        <f>IF(OR(P129="",T129=""),"",P129-T129)</f>
        <v/>
      </c>
      <c r="Z129" s="24">
        <f>IF(OR(Q129="",U129=""),"",Q129-U129)</f>
        <v/>
      </c>
      <c r="AA129" s="24">
        <f>IF(OR(H129="",O129=""),"",H129-O129)</f>
        <v/>
      </c>
      <c r="AB129" s="24">
        <f>IF(OR(R129="",V129=""),"",R129-V129)</f>
        <v/>
      </c>
      <c r="AC129" s="24">
        <f>IF(OR(S129="",W129=""),"",S129-W129)</f>
        <v/>
      </c>
      <c r="AD129" s="13" t="n"/>
      <c r="AE129" s="24">
        <f>IF(OR(AD129="",AD128=""),"",IF(AD128=0,"",(AD129/AD128)-1))</f>
        <v/>
      </c>
      <c r="AF129" s="24">
        <f>IF(ROW()&lt;7,"",IF(OR(AD129="",AD126=""),"",IF(AD126=0,"",(AD129/AD126)-1)))</f>
        <v/>
      </c>
      <c r="AG129" s="24">
        <f>IF(ROW()&lt;9,"",IF(OR(AD129="",AD124=""),"",IF(AD124=0,"",(AD129/AD124)-1)))</f>
        <v/>
      </c>
      <c r="AH129" s="13">
        <f>IF(ROW()&lt;23,"",AVERAGE(AD110:AD129))</f>
        <v/>
      </c>
      <c r="AI129">
        <f>IF(OR(AD129="",AH129=""),"",IF(AD129&gt;AH129,"Bull","Bear"))</f>
        <v/>
      </c>
      <c r="AJ129" s="13" t="n"/>
      <c r="AK129" s="24">
        <f>IF(OR(AJ129="",AJ128=""),"",IF(AJ128=0,"",(AJ129/AJ128)-1))</f>
        <v/>
      </c>
      <c r="AL129" s="24">
        <f>IF(ROW()&lt;7,"",IF(OR(AJ129="",AJ126=""),"",IF(AJ126=0,"",(AJ129/AJ126)-1)))</f>
        <v/>
      </c>
      <c r="AM129" s="24">
        <f>IF(ROW()&lt;9,"",IF(OR(AJ129="",AJ124=""),"",IF(AJ124=0,"",(AJ129/AJ124)-1)))</f>
        <v/>
      </c>
      <c r="AN129" s="13">
        <f>IF(ROW()&lt;23,"",AVERAGE(AJ110:AJ129))</f>
        <v/>
      </c>
      <c r="AO129">
        <f>IF(OR(AJ129="",AN129=""),"",IF(AJ129&gt;AN129,"Bull","Bear"))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8">
        <f>IFERROR((M130/M129)-1,"")</f>
        <v/>
      </c>
      <c r="O130" s="24">
        <f>IF(OR(N130="",N129=""),"",IF(N129=0,"",(N130/N129)-1))</f>
        <v/>
      </c>
      <c r="P130" s="11">
        <f>IF(ROW()&lt;7,"",IF(OR(E130="",E127=""),"",IF(E127=0,"",(E130/E127)-1)))</f>
        <v/>
      </c>
      <c r="Q130" s="24">
        <f>IF(ROW()&lt;9,"",IF(OR(E130="",E125=""),"",IF(E125=0,"",(E130/E125)-1)))</f>
        <v/>
      </c>
      <c r="R130" s="24">
        <f>IF(ROW()&lt;7,"",IF(OR(G130="",G127=""),"",IF(G127=0,"",(G130/G127)-1)))</f>
        <v/>
      </c>
      <c r="S130" s="24">
        <f>IF(ROW()&lt;9,"",IF(OR(G130="",G125=""),"",IF(G125=0,"",(G130/G125)-1)))</f>
        <v/>
      </c>
      <c r="T130" s="24">
        <f>IF(ROW()&lt;7,"",IF(OR(L130="",L127=""),"",IF(L127=0,"",(L130/L127)-1)))</f>
        <v/>
      </c>
      <c r="U130" s="24">
        <f>IF(ROW()&lt;9,"",IF(OR(L130="",L125=""),"",IF(L125=0,"",(L130/L125)-1)))</f>
        <v/>
      </c>
      <c r="V130" s="24">
        <f>IF(ROW()&lt;7,"",IF(OR(N130="",N127=""),"",IF(N127=0,"",(N130/N127)-1)))</f>
        <v/>
      </c>
      <c r="W130" s="24">
        <f>IF(ROW()&lt;9,"",IF(OR(N130="",N125=""),"",IF(N125=0,"",(N130/N125)-1)))</f>
        <v/>
      </c>
      <c r="X130" s="24">
        <f>IF(OR(F130="",M130=""),"",F130-M130)</f>
        <v/>
      </c>
      <c r="Y130" s="24">
        <f>IF(OR(P130="",T130=""),"",P130-T130)</f>
        <v/>
      </c>
      <c r="Z130" s="24">
        <f>IF(OR(Q130="",U130=""),"",Q130-U130)</f>
        <v/>
      </c>
      <c r="AA130" s="24">
        <f>IF(OR(H130="",O130=""),"",H130-O130)</f>
        <v/>
      </c>
      <c r="AB130" s="24">
        <f>IF(OR(R130="",V130=""),"",R130-V130)</f>
        <v/>
      </c>
      <c r="AC130" s="24">
        <f>IF(OR(S130="",W130=""),"",S130-W130)</f>
        <v/>
      </c>
      <c r="AD130" s="13" t="n"/>
      <c r="AE130" s="24">
        <f>IF(OR(AD130="",AD129=""),"",IF(AD129=0,"",(AD130/AD129)-1))</f>
        <v/>
      </c>
      <c r="AF130" s="24">
        <f>IF(ROW()&lt;7,"",IF(OR(AD130="",AD127=""),"",IF(AD127=0,"",(AD130/AD127)-1)))</f>
        <v/>
      </c>
      <c r="AG130" s="24">
        <f>IF(ROW()&lt;9,"",IF(OR(AD130="",AD125=""),"",IF(AD125=0,"",(AD130/AD125)-1)))</f>
        <v/>
      </c>
      <c r="AH130" s="13">
        <f>IF(ROW()&lt;23,"",AVERAGE(AD111:AD130))</f>
        <v/>
      </c>
      <c r="AI130">
        <f>IF(OR(AD130="",AH130=""),"",IF(AD130&gt;AH130,"Bull","Bear"))</f>
        <v/>
      </c>
      <c r="AJ130" s="13" t="n"/>
      <c r="AK130" s="24">
        <f>IF(OR(AJ130="",AJ129=""),"",IF(AJ129=0,"",(AJ130/AJ129)-1))</f>
        <v/>
      </c>
      <c r="AL130" s="24">
        <f>IF(ROW()&lt;7,"",IF(OR(AJ130="",AJ127=""),"",IF(AJ127=0,"",(AJ130/AJ127)-1)))</f>
        <v/>
      </c>
      <c r="AM130" s="24">
        <f>IF(ROW()&lt;9,"",IF(OR(AJ130="",AJ125=""),"",IF(AJ125=0,"",(AJ130/AJ125)-1)))</f>
        <v/>
      </c>
      <c r="AN130" s="13">
        <f>IF(ROW()&lt;23,"",AVERAGE(AJ111:AJ130))</f>
        <v/>
      </c>
      <c r="AO130">
        <f>IF(OR(AJ130="",AN130=""),"",IF(AJ130&gt;AN130,"Bull","Bear"))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8">
        <f>IFERROR((M131/M130)-1,"")</f>
        <v/>
      </c>
      <c r="O131" s="24">
        <f>IF(OR(N131="",N130=""),"",IF(N130=0,"",(N131/N130)-1))</f>
        <v/>
      </c>
      <c r="P131" s="11">
        <f>IF(ROW()&lt;7,"",IF(OR(E131="",E128=""),"",IF(E128=0,"",(E131/E128)-1)))</f>
        <v/>
      </c>
      <c r="Q131" s="24">
        <f>IF(ROW()&lt;9,"",IF(OR(E131="",E126=""),"",IF(E126=0,"",(E131/E126)-1)))</f>
        <v/>
      </c>
      <c r="R131" s="24">
        <f>IF(ROW()&lt;7,"",IF(OR(G131="",G128=""),"",IF(G128=0,"",(G131/G128)-1)))</f>
        <v/>
      </c>
      <c r="S131" s="24">
        <f>IF(ROW()&lt;9,"",IF(OR(G131="",G126=""),"",IF(G126=0,"",(G131/G126)-1)))</f>
        <v/>
      </c>
      <c r="T131" s="24">
        <f>IF(ROW()&lt;7,"",IF(OR(L131="",L128=""),"",IF(L128=0,"",(L131/L128)-1)))</f>
        <v/>
      </c>
      <c r="U131" s="24">
        <f>IF(ROW()&lt;9,"",IF(OR(L131="",L126=""),"",IF(L126=0,"",(L131/L126)-1)))</f>
        <v/>
      </c>
      <c r="V131" s="24">
        <f>IF(ROW()&lt;7,"",IF(OR(N131="",N128=""),"",IF(N128=0,"",(N131/N128)-1)))</f>
        <v/>
      </c>
      <c r="W131" s="24">
        <f>IF(ROW()&lt;9,"",IF(OR(N131="",N126=""),"",IF(N126=0,"",(N131/N126)-1)))</f>
        <v/>
      </c>
      <c r="X131" s="24">
        <f>IF(OR(F131="",M131=""),"",F131-M131)</f>
        <v/>
      </c>
      <c r="Y131" s="24">
        <f>IF(OR(P131="",T131=""),"",P131-T131)</f>
        <v/>
      </c>
      <c r="Z131" s="24">
        <f>IF(OR(Q131="",U131=""),"",Q131-U131)</f>
        <v/>
      </c>
      <c r="AA131" s="24">
        <f>IF(OR(H131="",O131=""),"",H131-O131)</f>
        <v/>
      </c>
      <c r="AB131" s="24">
        <f>IF(OR(R131="",V131=""),"",R131-V131)</f>
        <v/>
      </c>
      <c r="AC131" s="24">
        <f>IF(OR(S131="",W131=""),"",S131-W131)</f>
        <v/>
      </c>
      <c r="AD131" s="13" t="n"/>
      <c r="AE131" s="24">
        <f>IF(OR(AD131="",AD130=""),"",IF(AD130=0,"",(AD131/AD130)-1))</f>
        <v/>
      </c>
      <c r="AF131" s="24">
        <f>IF(ROW()&lt;7,"",IF(OR(AD131="",AD128=""),"",IF(AD128=0,"",(AD131/AD128)-1)))</f>
        <v/>
      </c>
      <c r="AG131" s="24">
        <f>IF(ROW()&lt;9,"",IF(OR(AD131="",AD126=""),"",IF(AD126=0,"",(AD131/AD126)-1)))</f>
        <v/>
      </c>
      <c r="AH131" s="13">
        <f>IF(ROW()&lt;23,"",AVERAGE(AD112:AD131))</f>
        <v/>
      </c>
      <c r="AI131">
        <f>IF(OR(AD131="",AH131=""),"",IF(AD131&gt;AH131,"Bull","Bear"))</f>
        <v/>
      </c>
      <c r="AJ131" s="13" t="n"/>
      <c r="AK131" s="24">
        <f>IF(OR(AJ131="",AJ130=""),"",IF(AJ130=0,"",(AJ131/AJ130)-1))</f>
        <v/>
      </c>
      <c r="AL131" s="24">
        <f>IF(ROW()&lt;7,"",IF(OR(AJ131="",AJ128=""),"",IF(AJ128=0,"",(AJ131/AJ128)-1)))</f>
        <v/>
      </c>
      <c r="AM131" s="24">
        <f>IF(ROW()&lt;9,"",IF(OR(AJ131="",AJ126=""),"",IF(AJ126=0,"",(AJ131/AJ126)-1)))</f>
        <v/>
      </c>
      <c r="AN131" s="13">
        <f>IF(ROW()&lt;23,"",AVERAGE(AJ112:AJ131))</f>
        <v/>
      </c>
      <c r="AO131">
        <f>IF(OR(AJ131="",AN131=""),"",IF(AJ131&gt;AN131,"Bull","Bear"))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8">
        <f>IFERROR((M132/M131)-1,"")</f>
        <v/>
      </c>
      <c r="O132" s="24">
        <f>IF(OR(N132="",N131=""),"",IF(N131=0,"",(N132/N131)-1))</f>
        <v/>
      </c>
      <c r="P132" s="11">
        <f>IF(ROW()&lt;7,"",IF(OR(E132="",E129=""),"",IF(E129=0,"",(E132/E129)-1)))</f>
        <v/>
      </c>
      <c r="Q132" s="24">
        <f>IF(ROW()&lt;9,"",IF(OR(E132="",E127=""),"",IF(E127=0,"",(E132/E127)-1)))</f>
        <v/>
      </c>
      <c r="R132" s="24">
        <f>IF(ROW()&lt;7,"",IF(OR(G132="",G129=""),"",IF(G129=0,"",(G132/G129)-1)))</f>
        <v/>
      </c>
      <c r="S132" s="24">
        <f>IF(ROW()&lt;9,"",IF(OR(G132="",G127=""),"",IF(G127=0,"",(G132/G127)-1)))</f>
        <v/>
      </c>
      <c r="T132" s="24">
        <f>IF(ROW()&lt;7,"",IF(OR(L132="",L129=""),"",IF(L129=0,"",(L132/L129)-1)))</f>
        <v/>
      </c>
      <c r="U132" s="24">
        <f>IF(ROW()&lt;9,"",IF(OR(L132="",L127=""),"",IF(L127=0,"",(L132/L127)-1)))</f>
        <v/>
      </c>
      <c r="V132" s="24">
        <f>IF(ROW()&lt;7,"",IF(OR(N132="",N129=""),"",IF(N129=0,"",(N132/N129)-1)))</f>
        <v/>
      </c>
      <c r="W132" s="24">
        <f>IF(ROW()&lt;9,"",IF(OR(N132="",N127=""),"",IF(N127=0,"",(N132/N127)-1)))</f>
        <v/>
      </c>
      <c r="X132" s="24">
        <f>IF(OR(F132="",M132=""),"",F132-M132)</f>
        <v/>
      </c>
      <c r="Y132" s="24">
        <f>IF(OR(P132="",T132=""),"",P132-T132)</f>
        <v/>
      </c>
      <c r="Z132" s="24">
        <f>IF(OR(Q132="",U132=""),"",Q132-U132)</f>
        <v/>
      </c>
      <c r="AA132" s="24">
        <f>IF(OR(H132="",O132=""),"",H132-O132)</f>
        <v/>
      </c>
      <c r="AB132" s="24">
        <f>IF(OR(R132="",V132=""),"",R132-V132)</f>
        <v/>
      </c>
      <c r="AC132" s="24">
        <f>IF(OR(S132="",W132=""),"",S132-W132)</f>
        <v/>
      </c>
      <c r="AD132" s="13" t="n"/>
      <c r="AE132" s="24">
        <f>IF(OR(AD132="",AD131=""),"",IF(AD131=0,"",(AD132/AD131)-1))</f>
        <v/>
      </c>
      <c r="AF132" s="24">
        <f>IF(ROW()&lt;7,"",IF(OR(AD132="",AD129=""),"",IF(AD129=0,"",(AD132/AD129)-1)))</f>
        <v/>
      </c>
      <c r="AG132" s="24">
        <f>IF(ROW()&lt;9,"",IF(OR(AD132="",AD127=""),"",IF(AD127=0,"",(AD132/AD127)-1)))</f>
        <v/>
      </c>
      <c r="AH132" s="13">
        <f>IF(ROW()&lt;23,"",AVERAGE(AD113:AD132))</f>
        <v/>
      </c>
      <c r="AI132">
        <f>IF(OR(AD132="",AH132=""),"",IF(AD132&gt;AH132,"Bull","Bear"))</f>
        <v/>
      </c>
      <c r="AJ132" s="13" t="n"/>
      <c r="AK132" s="24">
        <f>IF(OR(AJ132="",AJ131=""),"",IF(AJ131=0,"",(AJ132/AJ131)-1))</f>
        <v/>
      </c>
      <c r="AL132" s="24">
        <f>IF(ROW()&lt;7,"",IF(OR(AJ132="",AJ129=""),"",IF(AJ129=0,"",(AJ132/AJ129)-1)))</f>
        <v/>
      </c>
      <c r="AM132" s="24">
        <f>IF(ROW()&lt;9,"",IF(OR(AJ132="",AJ127=""),"",IF(AJ127=0,"",(AJ132/AJ127)-1)))</f>
        <v/>
      </c>
      <c r="AN132" s="13">
        <f>IF(ROW()&lt;23,"",AVERAGE(AJ113:AJ132))</f>
        <v/>
      </c>
      <c r="AO132">
        <f>IF(OR(AJ132="",AN132=""),"",IF(AJ132&gt;AN132,"Bull","Bear"))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8">
        <f>IFERROR((M133/M132)-1,"")</f>
        <v/>
      </c>
      <c r="O133" s="24">
        <f>IF(OR(N133="",N132=""),"",IF(N132=0,"",(N133/N132)-1))</f>
        <v/>
      </c>
      <c r="P133" s="11">
        <f>IF(ROW()&lt;7,"",IF(OR(E133="",E130=""),"",IF(E130=0,"",(E133/E130)-1)))</f>
        <v/>
      </c>
      <c r="Q133" s="24">
        <f>IF(ROW()&lt;9,"",IF(OR(E133="",E128=""),"",IF(E128=0,"",(E133/E128)-1)))</f>
        <v/>
      </c>
      <c r="R133" s="24">
        <f>IF(ROW()&lt;7,"",IF(OR(G133="",G130=""),"",IF(G130=0,"",(G133/G130)-1)))</f>
        <v/>
      </c>
      <c r="S133" s="24">
        <f>IF(ROW()&lt;9,"",IF(OR(G133="",G128=""),"",IF(G128=0,"",(G133/G128)-1)))</f>
        <v/>
      </c>
      <c r="T133" s="24">
        <f>IF(ROW()&lt;7,"",IF(OR(L133="",L130=""),"",IF(L130=0,"",(L133/L130)-1)))</f>
        <v/>
      </c>
      <c r="U133" s="24">
        <f>IF(ROW()&lt;9,"",IF(OR(L133="",L128=""),"",IF(L128=0,"",(L133/L128)-1)))</f>
        <v/>
      </c>
      <c r="V133" s="24">
        <f>IF(ROW()&lt;7,"",IF(OR(N133="",N130=""),"",IF(N130=0,"",(N133/N130)-1)))</f>
        <v/>
      </c>
      <c r="W133" s="24">
        <f>IF(ROW()&lt;9,"",IF(OR(N133="",N128=""),"",IF(N128=0,"",(N133/N128)-1)))</f>
        <v/>
      </c>
      <c r="X133" s="24">
        <f>IF(OR(F133="",M133=""),"",F133-M133)</f>
        <v/>
      </c>
      <c r="Y133" s="24">
        <f>IF(OR(P133="",T133=""),"",P133-T133)</f>
        <v/>
      </c>
      <c r="Z133" s="24">
        <f>IF(OR(Q133="",U133=""),"",Q133-U133)</f>
        <v/>
      </c>
      <c r="AA133" s="24">
        <f>IF(OR(H133="",O133=""),"",H133-O133)</f>
        <v/>
      </c>
      <c r="AB133" s="24">
        <f>IF(OR(R133="",V133=""),"",R133-V133)</f>
        <v/>
      </c>
      <c r="AC133" s="24">
        <f>IF(OR(S133="",W133=""),"",S133-W133)</f>
        <v/>
      </c>
      <c r="AD133" s="13" t="n"/>
      <c r="AE133" s="24">
        <f>IF(OR(AD133="",AD132=""),"",IF(AD132=0,"",(AD133/AD132)-1))</f>
        <v/>
      </c>
      <c r="AF133" s="24">
        <f>IF(ROW()&lt;7,"",IF(OR(AD133="",AD130=""),"",IF(AD130=0,"",(AD133/AD130)-1)))</f>
        <v/>
      </c>
      <c r="AG133" s="24">
        <f>IF(ROW()&lt;9,"",IF(OR(AD133="",AD128=""),"",IF(AD128=0,"",(AD133/AD128)-1)))</f>
        <v/>
      </c>
      <c r="AH133" s="13">
        <f>IF(ROW()&lt;23,"",AVERAGE(AD114:AD133))</f>
        <v/>
      </c>
      <c r="AI133">
        <f>IF(OR(AD133="",AH133=""),"",IF(AD133&gt;AH133,"Bull","Bear"))</f>
        <v/>
      </c>
      <c r="AJ133" s="13" t="n"/>
      <c r="AK133" s="24">
        <f>IF(OR(AJ133="",AJ132=""),"",IF(AJ132=0,"",(AJ133/AJ132)-1))</f>
        <v/>
      </c>
      <c r="AL133" s="24">
        <f>IF(ROW()&lt;7,"",IF(OR(AJ133="",AJ130=""),"",IF(AJ130=0,"",(AJ133/AJ130)-1)))</f>
        <v/>
      </c>
      <c r="AM133" s="24">
        <f>IF(ROW()&lt;9,"",IF(OR(AJ133="",AJ128=""),"",IF(AJ128=0,"",(AJ133/AJ128)-1)))</f>
        <v/>
      </c>
      <c r="AN133" s="13">
        <f>IF(ROW()&lt;23,"",AVERAGE(AJ114:AJ133))</f>
        <v/>
      </c>
      <c r="AO133">
        <f>IF(OR(AJ133="",AN133=""),"",IF(AJ133&gt;AN133,"Bull","Bear"))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8">
        <f>IFERROR((M134/M133)-1,"")</f>
        <v/>
      </c>
      <c r="O134" s="24">
        <f>IF(OR(N134="",N133=""),"",IF(N133=0,"",(N134/N133)-1))</f>
        <v/>
      </c>
      <c r="P134" s="11">
        <f>IF(ROW()&lt;7,"",IF(OR(E134="",E131=""),"",IF(E131=0,"",(E134/E131)-1)))</f>
        <v/>
      </c>
      <c r="Q134" s="24">
        <f>IF(ROW()&lt;9,"",IF(OR(E134="",E129=""),"",IF(E129=0,"",(E134/E129)-1)))</f>
        <v/>
      </c>
      <c r="R134" s="24">
        <f>IF(ROW()&lt;7,"",IF(OR(G134="",G131=""),"",IF(G131=0,"",(G134/G131)-1)))</f>
        <v/>
      </c>
      <c r="S134" s="24">
        <f>IF(ROW()&lt;9,"",IF(OR(G134="",G129=""),"",IF(G129=0,"",(G134/G129)-1)))</f>
        <v/>
      </c>
      <c r="T134" s="24">
        <f>IF(ROW()&lt;7,"",IF(OR(L134="",L131=""),"",IF(L131=0,"",(L134/L131)-1)))</f>
        <v/>
      </c>
      <c r="U134" s="24">
        <f>IF(ROW()&lt;9,"",IF(OR(L134="",L129=""),"",IF(L129=0,"",(L134/L129)-1)))</f>
        <v/>
      </c>
      <c r="V134" s="24">
        <f>IF(ROW()&lt;7,"",IF(OR(N134="",N131=""),"",IF(N131=0,"",(N134/N131)-1)))</f>
        <v/>
      </c>
      <c r="W134" s="24">
        <f>IF(ROW()&lt;9,"",IF(OR(N134="",N129=""),"",IF(N129=0,"",(N134/N129)-1)))</f>
        <v/>
      </c>
      <c r="X134" s="24">
        <f>IF(OR(F134="",M134=""),"",F134-M134)</f>
        <v/>
      </c>
      <c r="Y134" s="24">
        <f>IF(OR(P134="",T134=""),"",P134-T134)</f>
        <v/>
      </c>
      <c r="Z134" s="24">
        <f>IF(OR(Q134="",U134=""),"",Q134-U134)</f>
        <v/>
      </c>
      <c r="AA134" s="24">
        <f>IF(OR(H134="",O134=""),"",H134-O134)</f>
        <v/>
      </c>
      <c r="AB134" s="24">
        <f>IF(OR(R134="",V134=""),"",R134-V134)</f>
        <v/>
      </c>
      <c r="AC134" s="24">
        <f>IF(OR(S134="",W134=""),"",S134-W134)</f>
        <v/>
      </c>
      <c r="AD134" s="13" t="n"/>
      <c r="AE134" s="24">
        <f>IF(OR(AD134="",AD133=""),"",IF(AD133=0,"",(AD134/AD133)-1))</f>
        <v/>
      </c>
      <c r="AF134" s="24">
        <f>IF(ROW()&lt;7,"",IF(OR(AD134="",AD131=""),"",IF(AD131=0,"",(AD134/AD131)-1)))</f>
        <v/>
      </c>
      <c r="AG134" s="24">
        <f>IF(ROW()&lt;9,"",IF(OR(AD134="",AD129=""),"",IF(AD129=0,"",(AD134/AD129)-1)))</f>
        <v/>
      </c>
      <c r="AH134" s="13">
        <f>IF(ROW()&lt;23,"",AVERAGE(AD115:AD134))</f>
        <v/>
      </c>
      <c r="AI134">
        <f>IF(OR(AD134="",AH134=""),"",IF(AD134&gt;AH134,"Bull","Bear"))</f>
        <v/>
      </c>
      <c r="AJ134" s="13" t="n"/>
      <c r="AK134" s="24">
        <f>IF(OR(AJ134="",AJ133=""),"",IF(AJ133=0,"",(AJ134/AJ133)-1))</f>
        <v/>
      </c>
      <c r="AL134" s="24">
        <f>IF(ROW()&lt;7,"",IF(OR(AJ134="",AJ131=""),"",IF(AJ131=0,"",(AJ134/AJ131)-1)))</f>
        <v/>
      </c>
      <c r="AM134" s="24">
        <f>IF(ROW()&lt;9,"",IF(OR(AJ134="",AJ129=""),"",IF(AJ129=0,"",(AJ134/AJ129)-1)))</f>
        <v/>
      </c>
      <c r="AN134" s="13">
        <f>IF(ROW()&lt;23,"",AVERAGE(AJ115:AJ134))</f>
        <v/>
      </c>
      <c r="AO134">
        <f>IF(OR(AJ134="",AN134=""),"",IF(AJ134&gt;AN134,"Bull","Bear"))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8">
        <f>IFERROR((M135/M134)-1,"")</f>
        <v/>
      </c>
      <c r="O135" s="24">
        <f>IF(OR(N135="",N134=""),"",IF(N134=0,"",(N135/N134)-1))</f>
        <v/>
      </c>
      <c r="P135" s="11">
        <f>IF(ROW()&lt;7,"",IF(OR(E135="",E132=""),"",IF(E132=0,"",(E135/E132)-1)))</f>
        <v/>
      </c>
      <c r="Q135" s="24">
        <f>IF(ROW()&lt;9,"",IF(OR(E135="",E130=""),"",IF(E130=0,"",(E135/E130)-1)))</f>
        <v/>
      </c>
      <c r="R135" s="24">
        <f>IF(ROW()&lt;7,"",IF(OR(G135="",G132=""),"",IF(G132=0,"",(G135/G132)-1)))</f>
        <v/>
      </c>
      <c r="S135" s="24">
        <f>IF(ROW()&lt;9,"",IF(OR(G135="",G130=""),"",IF(G130=0,"",(G135/G130)-1)))</f>
        <v/>
      </c>
      <c r="T135" s="24">
        <f>IF(ROW()&lt;7,"",IF(OR(L135="",L132=""),"",IF(L132=0,"",(L135/L132)-1)))</f>
        <v/>
      </c>
      <c r="U135" s="24">
        <f>IF(ROW()&lt;9,"",IF(OR(L135="",L130=""),"",IF(L130=0,"",(L135/L130)-1)))</f>
        <v/>
      </c>
      <c r="V135" s="24">
        <f>IF(ROW()&lt;7,"",IF(OR(N135="",N132=""),"",IF(N132=0,"",(N135/N132)-1)))</f>
        <v/>
      </c>
      <c r="W135" s="24">
        <f>IF(ROW()&lt;9,"",IF(OR(N135="",N130=""),"",IF(N130=0,"",(N135/N130)-1)))</f>
        <v/>
      </c>
      <c r="X135" s="24">
        <f>IF(OR(F135="",M135=""),"",F135-M135)</f>
        <v/>
      </c>
      <c r="Y135" s="24">
        <f>IF(OR(P135="",T135=""),"",P135-T135)</f>
        <v/>
      </c>
      <c r="Z135" s="24">
        <f>IF(OR(Q135="",U135=""),"",Q135-U135)</f>
        <v/>
      </c>
      <c r="AA135" s="24">
        <f>IF(OR(H135="",O135=""),"",H135-O135)</f>
        <v/>
      </c>
      <c r="AB135" s="24">
        <f>IF(OR(R135="",V135=""),"",R135-V135)</f>
        <v/>
      </c>
      <c r="AC135" s="24">
        <f>IF(OR(S135="",W135=""),"",S135-W135)</f>
        <v/>
      </c>
      <c r="AD135" s="13" t="n"/>
      <c r="AE135" s="24">
        <f>IF(OR(AD135="",AD134=""),"",IF(AD134=0,"",(AD135/AD134)-1))</f>
        <v/>
      </c>
      <c r="AF135" s="24">
        <f>IF(ROW()&lt;7,"",IF(OR(AD135="",AD132=""),"",IF(AD132=0,"",(AD135/AD132)-1)))</f>
        <v/>
      </c>
      <c r="AG135" s="24">
        <f>IF(ROW()&lt;9,"",IF(OR(AD135="",AD130=""),"",IF(AD130=0,"",(AD135/AD130)-1)))</f>
        <v/>
      </c>
      <c r="AH135" s="13">
        <f>IF(ROW()&lt;23,"",AVERAGE(AD116:AD135))</f>
        <v/>
      </c>
      <c r="AI135">
        <f>IF(OR(AD135="",AH135=""),"",IF(AD135&gt;AH135,"Bull","Bear"))</f>
        <v/>
      </c>
      <c r="AJ135" s="13" t="n"/>
      <c r="AK135" s="24">
        <f>IF(OR(AJ135="",AJ134=""),"",IF(AJ134=0,"",(AJ135/AJ134)-1))</f>
        <v/>
      </c>
      <c r="AL135" s="24">
        <f>IF(ROW()&lt;7,"",IF(OR(AJ135="",AJ132=""),"",IF(AJ132=0,"",(AJ135/AJ132)-1)))</f>
        <v/>
      </c>
      <c r="AM135" s="24">
        <f>IF(ROW()&lt;9,"",IF(OR(AJ135="",AJ130=""),"",IF(AJ130=0,"",(AJ135/AJ130)-1)))</f>
        <v/>
      </c>
      <c r="AN135" s="13">
        <f>IF(ROW()&lt;23,"",AVERAGE(AJ116:AJ135))</f>
        <v/>
      </c>
      <c r="AO135">
        <f>IF(OR(AJ135="",AN135=""),"",IF(AJ135&gt;AN135,"Bull","Bear"))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8">
        <f>IFERROR((M136/M135)-1,"")</f>
        <v/>
      </c>
      <c r="O136" s="24">
        <f>IF(OR(N136="",N135=""),"",IF(N135=0,"",(N136/N135)-1))</f>
        <v/>
      </c>
      <c r="P136" s="11">
        <f>IF(ROW()&lt;7,"",IF(OR(E136="",E133=""),"",IF(E133=0,"",(E136/E133)-1)))</f>
        <v/>
      </c>
      <c r="Q136" s="24">
        <f>IF(ROW()&lt;9,"",IF(OR(E136="",E131=""),"",IF(E131=0,"",(E136/E131)-1)))</f>
        <v/>
      </c>
      <c r="R136" s="24">
        <f>IF(ROW()&lt;7,"",IF(OR(G136="",G133=""),"",IF(G133=0,"",(G136/G133)-1)))</f>
        <v/>
      </c>
      <c r="S136" s="24">
        <f>IF(ROW()&lt;9,"",IF(OR(G136="",G131=""),"",IF(G131=0,"",(G136/G131)-1)))</f>
        <v/>
      </c>
      <c r="T136" s="24">
        <f>IF(ROW()&lt;7,"",IF(OR(L136="",L133=""),"",IF(L133=0,"",(L136/L133)-1)))</f>
        <v/>
      </c>
      <c r="U136" s="24">
        <f>IF(ROW()&lt;9,"",IF(OR(L136="",L131=""),"",IF(L131=0,"",(L136/L131)-1)))</f>
        <v/>
      </c>
      <c r="V136" s="24">
        <f>IF(ROW()&lt;7,"",IF(OR(N136="",N133=""),"",IF(N133=0,"",(N136/N133)-1)))</f>
        <v/>
      </c>
      <c r="W136" s="24">
        <f>IF(ROW()&lt;9,"",IF(OR(N136="",N131=""),"",IF(N131=0,"",(N136/N131)-1)))</f>
        <v/>
      </c>
      <c r="X136" s="24">
        <f>IF(OR(F136="",M136=""),"",F136-M136)</f>
        <v/>
      </c>
      <c r="Y136" s="24">
        <f>IF(OR(P136="",T136=""),"",P136-T136)</f>
        <v/>
      </c>
      <c r="Z136" s="24">
        <f>IF(OR(Q136="",U136=""),"",Q136-U136)</f>
        <v/>
      </c>
      <c r="AA136" s="24">
        <f>IF(OR(H136="",O136=""),"",H136-O136)</f>
        <v/>
      </c>
      <c r="AB136" s="24">
        <f>IF(OR(R136="",V136=""),"",R136-V136)</f>
        <v/>
      </c>
      <c r="AC136" s="24">
        <f>IF(OR(S136="",W136=""),"",S136-W136)</f>
        <v/>
      </c>
      <c r="AD136" s="13" t="n"/>
      <c r="AE136" s="24">
        <f>IF(OR(AD136="",AD135=""),"",IF(AD135=0,"",(AD136/AD135)-1))</f>
        <v/>
      </c>
      <c r="AF136" s="24">
        <f>IF(ROW()&lt;7,"",IF(OR(AD136="",AD133=""),"",IF(AD133=0,"",(AD136/AD133)-1)))</f>
        <v/>
      </c>
      <c r="AG136" s="24">
        <f>IF(ROW()&lt;9,"",IF(OR(AD136="",AD131=""),"",IF(AD131=0,"",(AD136/AD131)-1)))</f>
        <v/>
      </c>
      <c r="AH136" s="13">
        <f>IF(ROW()&lt;23,"",AVERAGE(AD117:AD136))</f>
        <v/>
      </c>
      <c r="AI136">
        <f>IF(OR(AD136="",AH136=""),"",IF(AD136&gt;AH136,"Bull","Bear"))</f>
        <v/>
      </c>
      <c r="AJ136" s="13" t="n"/>
      <c r="AK136" s="24">
        <f>IF(OR(AJ136="",AJ135=""),"",IF(AJ135=0,"",(AJ136/AJ135)-1))</f>
        <v/>
      </c>
      <c r="AL136" s="24">
        <f>IF(ROW()&lt;7,"",IF(OR(AJ136="",AJ133=""),"",IF(AJ133=0,"",(AJ136/AJ133)-1)))</f>
        <v/>
      </c>
      <c r="AM136" s="24">
        <f>IF(ROW()&lt;9,"",IF(OR(AJ136="",AJ131=""),"",IF(AJ131=0,"",(AJ136/AJ131)-1)))</f>
        <v/>
      </c>
      <c r="AN136" s="13">
        <f>IF(ROW()&lt;23,"",AVERAGE(AJ117:AJ136))</f>
        <v/>
      </c>
      <c r="AO136">
        <f>IF(OR(AJ136="",AN136=""),"",IF(AJ136&gt;AN136,"Bull","Bear"))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8">
        <f>IFERROR((M137/M136)-1,"")</f>
        <v/>
      </c>
      <c r="O137" s="24">
        <f>IF(OR(N137="",N136=""),"",IF(N136=0,"",(N137/N136)-1))</f>
        <v/>
      </c>
      <c r="P137" s="11">
        <f>IF(ROW()&lt;7,"",IF(OR(E137="",E134=""),"",IF(E134=0,"",(E137/E134)-1)))</f>
        <v/>
      </c>
      <c r="Q137" s="24">
        <f>IF(ROW()&lt;9,"",IF(OR(E137="",E132=""),"",IF(E132=0,"",(E137/E132)-1)))</f>
        <v/>
      </c>
      <c r="R137" s="24">
        <f>IF(ROW()&lt;7,"",IF(OR(G137="",G134=""),"",IF(G134=0,"",(G137/G134)-1)))</f>
        <v/>
      </c>
      <c r="S137" s="24">
        <f>IF(ROW()&lt;9,"",IF(OR(G137="",G132=""),"",IF(G132=0,"",(G137/G132)-1)))</f>
        <v/>
      </c>
      <c r="T137" s="24">
        <f>IF(ROW()&lt;7,"",IF(OR(L137="",L134=""),"",IF(L134=0,"",(L137/L134)-1)))</f>
        <v/>
      </c>
      <c r="U137" s="24">
        <f>IF(ROW()&lt;9,"",IF(OR(L137="",L132=""),"",IF(L132=0,"",(L137/L132)-1)))</f>
        <v/>
      </c>
      <c r="V137" s="24">
        <f>IF(ROW()&lt;7,"",IF(OR(N137="",N134=""),"",IF(N134=0,"",(N137/N134)-1)))</f>
        <v/>
      </c>
      <c r="W137" s="24">
        <f>IF(ROW()&lt;9,"",IF(OR(N137="",N132=""),"",IF(N132=0,"",(N137/N132)-1)))</f>
        <v/>
      </c>
      <c r="X137" s="24">
        <f>IF(OR(F137="",M137=""),"",F137-M137)</f>
        <v/>
      </c>
      <c r="Y137" s="24">
        <f>IF(OR(P137="",T137=""),"",P137-T137)</f>
        <v/>
      </c>
      <c r="Z137" s="24">
        <f>IF(OR(Q137="",U137=""),"",Q137-U137)</f>
        <v/>
      </c>
      <c r="AA137" s="24">
        <f>IF(OR(H137="",O137=""),"",H137-O137)</f>
        <v/>
      </c>
      <c r="AB137" s="24">
        <f>IF(OR(R137="",V137=""),"",R137-V137)</f>
        <v/>
      </c>
      <c r="AC137" s="24">
        <f>IF(OR(S137="",W137=""),"",S137-W137)</f>
        <v/>
      </c>
      <c r="AD137" s="13" t="n"/>
      <c r="AE137" s="24">
        <f>IF(OR(AD137="",AD136=""),"",IF(AD136=0,"",(AD137/AD136)-1))</f>
        <v/>
      </c>
      <c r="AF137" s="24">
        <f>IF(ROW()&lt;7,"",IF(OR(AD137="",AD134=""),"",IF(AD134=0,"",(AD137/AD134)-1)))</f>
        <v/>
      </c>
      <c r="AG137" s="24">
        <f>IF(ROW()&lt;9,"",IF(OR(AD137="",AD132=""),"",IF(AD132=0,"",(AD137/AD132)-1)))</f>
        <v/>
      </c>
      <c r="AH137" s="13">
        <f>IF(ROW()&lt;23,"",AVERAGE(AD118:AD137))</f>
        <v/>
      </c>
      <c r="AI137">
        <f>IF(OR(AD137="",AH137=""),"",IF(AD137&gt;AH137,"Bull","Bear"))</f>
        <v/>
      </c>
      <c r="AJ137" s="13" t="n"/>
      <c r="AK137" s="24">
        <f>IF(OR(AJ137="",AJ136=""),"",IF(AJ136=0,"",(AJ137/AJ136)-1))</f>
        <v/>
      </c>
      <c r="AL137" s="24">
        <f>IF(ROW()&lt;7,"",IF(OR(AJ137="",AJ134=""),"",IF(AJ134=0,"",(AJ137/AJ134)-1)))</f>
        <v/>
      </c>
      <c r="AM137" s="24">
        <f>IF(ROW()&lt;9,"",IF(OR(AJ137="",AJ132=""),"",IF(AJ132=0,"",(AJ137/AJ132)-1)))</f>
        <v/>
      </c>
      <c r="AN137" s="13">
        <f>IF(ROW()&lt;23,"",AVERAGE(AJ118:AJ137))</f>
        <v/>
      </c>
      <c r="AO137">
        <f>IF(OR(AJ137="",AN137=""),"",IF(AJ137&gt;AN137,"Bull","Bear"))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8">
        <f>IFERROR((M138/M137)-1,"")</f>
        <v/>
      </c>
      <c r="O138" s="24">
        <f>IF(OR(N138="",N137=""),"",IF(N137=0,"",(N138/N137)-1))</f>
        <v/>
      </c>
      <c r="P138" s="11">
        <f>IF(ROW()&lt;7,"",IF(OR(E138="",E135=""),"",IF(E135=0,"",(E138/E135)-1)))</f>
        <v/>
      </c>
      <c r="Q138" s="24">
        <f>IF(ROW()&lt;9,"",IF(OR(E138="",E133=""),"",IF(E133=0,"",(E138/E133)-1)))</f>
        <v/>
      </c>
      <c r="R138" s="24">
        <f>IF(ROW()&lt;7,"",IF(OR(G138="",G135=""),"",IF(G135=0,"",(G138/G135)-1)))</f>
        <v/>
      </c>
      <c r="S138" s="24">
        <f>IF(ROW()&lt;9,"",IF(OR(G138="",G133=""),"",IF(G133=0,"",(G138/G133)-1)))</f>
        <v/>
      </c>
      <c r="T138" s="24">
        <f>IF(ROW()&lt;7,"",IF(OR(L138="",L135=""),"",IF(L135=0,"",(L138/L135)-1)))</f>
        <v/>
      </c>
      <c r="U138" s="24">
        <f>IF(ROW()&lt;9,"",IF(OR(L138="",L133=""),"",IF(L133=0,"",(L138/L133)-1)))</f>
        <v/>
      </c>
      <c r="V138" s="24">
        <f>IF(ROW()&lt;7,"",IF(OR(N138="",N135=""),"",IF(N135=0,"",(N138/N135)-1)))</f>
        <v/>
      </c>
      <c r="W138" s="24">
        <f>IF(ROW()&lt;9,"",IF(OR(N138="",N133=""),"",IF(N133=0,"",(N138/N133)-1)))</f>
        <v/>
      </c>
      <c r="X138" s="24">
        <f>IF(OR(F138="",M138=""),"",F138-M138)</f>
        <v/>
      </c>
      <c r="Y138" s="24">
        <f>IF(OR(P138="",T138=""),"",P138-T138)</f>
        <v/>
      </c>
      <c r="Z138" s="24">
        <f>IF(OR(Q138="",U138=""),"",Q138-U138)</f>
        <v/>
      </c>
      <c r="AA138" s="24">
        <f>IF(OR(H138="",O138=""),"",H138-O138)</f>
        <v/>
      </c>
      <c r="AB138" s="24">
        <f>IF(OR(R138="",V138=""),"",R138-V138)</f>
        <v/>
      </c>
      <c r="AC138" s="24">
        <f>IF(OR(S138="",W138=""),"",S138-W138)</f>
        <v/>
      </c>
      <c r="AD138" s="13" t="n"/>
      <c r="AE138" s="24">
        <f>IF(OR(AD138="",AD137=""),"",IF(AD137=0,"",(AD138/AD137)-1))</f>
        <v/>
      </c>
      <c r="AF138" s="24">
        <f>IF(ROW()&lt;7,"",IF(OR(AD138="",AD135=""),"",IF(AD135=0,"",(AD138/AD135)-1)))</f>
        <v/>
      </c>
      <c r="AG138" s="24">
        <f>IF(ROW()&lt;9,"",IF(OR(AD138="",AD133=""),"",IF(AD133=0,"",(AD138/AD133)-1)))</f>
        <v/>
      </c>
      <c r="AH138" s="13">
        <f>IF(ROW()&lt;23,"",AVERAGE(AD119:AD138))</f>
        <v/>
      </c>
      <c r="AI138">
        <f>IF(OR(AD138="",AH138=""),"",IF(AD138&gt;AH138,"Bull","Bear"))</f>
        <v/>
      </c>
      <c r="AJ138" s="13" t="n"/>
      <c r="AK138" s="24">
        <f>IF(OR(AJ138="",AJ137=""),"",IF(AJ137=0,"",(AJ138/AJ137)-1))</f>
        <v/>
      </c>
      <c r="AL138" s="24">
        <f>IF(ROW()&lt;7,"",IF(OR(AJ138="",AJ135=""),"",IF(AJ135=0,"",(AJ138/AJ135)-1)))</f>
        <v/>
      </c>
      <c r="AM138" s="24">
        <f>IF(ROW()&lt;9,"",IF(OR(AJ138="",AJ133=""),"",IF(AJ133=0,"",(AJ138/AJ133)-1)))</f>
        <v/>
      </c>
      <c r="AN138" s="13">
        <f>IF(ROW()&lt;23,"",AVERAGE(AJ119:AJ138))</f>
        <v/>
      </c>
      <c r="AO138">
        <f>IF(OR(AJ138="",AN138=""),"",IF(AJ138&gt;AN138,"Bull","Bear"))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8">
        <f>IFERROR((M139/M138)-1,"")</f>
        <v/>
      </c>
      <c r="O139" s="24">
        <f>IF(OR(N139="",N138=""),"",IF(N138=0,"",(N139/N138)-1))</f>
        <v/>
      </c>
      <c r="P139" s="11">
        <f>IF(ROW()&lt;7,"",IF(OR(E139="",E136=""),"",IF(E136=0,"",(E139/E136)-1)))</f>
        <v/>
      </c>
      <c r="Q139" s="24">
        <f>IF(ROW()&lt;9,"",IF(OR(E139="",E134=""),"",IF(E134=0,"",(E139/E134)-1)))</f>
        <v/>
      </c>
      <c r="R139" s="24">
        <f>IF(ROW()&lt;7,"",IF(OR(G139="",G136=""),"",IF(G136=0,"",(G139/G136)-1)))</f>
        <v/>
      </c>
      <c r="S139" s="24">
        <f>IF(ROW()&lt;9,"",IF(OR(G139="",G134=""),"",IF(G134=0,"",(G139/G134)-1)))</f>
        <v/>
      </c>
      <c r="T139" s="24">
        <f>IF(ROW()&lt;7,"",IF(OR(L139="",L136=""),"",IF(L136=0,"",(L139/L136)-1)))</f>
        <v/>
      </c>
      <c r="U139" s="24">
        <f>IF(ROW()&lt;9,"",IF(OR(L139="",L134=""),"",IF(L134=0,"",(L139/L134)-1)))</f>
        <v/>
      </c>
      <c r="V139" s="24">
        <f>IF(ROW()&lt;7,"",IF(OR(N139="",N136=""),"",IF(N136=0,"",(N139/N136)-1)))</f>
        <v/>
      </c>
      <c r="W139" s="24">
        <f>IF(ROW()&lt;9,"",IF(OR(N139="",N134=""),"",IF(N134=0,"",(N139/N134)-1)))</f>
        <v/>
      </c>
      <c r="X139" s="24">
        <f>IF(OR(F139="",M139=""),"",F139-M139)</f>
        <v/>
      </c>
      <c r="Y139" s="24">
        <f>IF(OR(P139="",T139=""),"",P139-T139)</f>
        <v/>
      </c>
      <c r="Z139" s="24">
        <f>IF(OR(Q139="",U139=""),"",Q139-U139)</f>
        <v/>
      </c>
      <c r="AA139" s="24">
        <f>IF(OR(H139="",O139=""),"",H139-O139)</f>
        <v/>
      </c>
      <c r="AB139" s="24">
        <f>IF(OR(R139="",V139=""),"",R139-V139)</f>
        <v/>
      </c>
      <c r="AC139" s="24">
        <f>IF(OR(S139="",W139=""),"",S139-W139)</f>
        <v/>
      </c>
      <c r="AD139" s="13" t="n"/>
      <c r="AE139" s="24">
        <f>IF(OR(AD139="",AD138=""),"",IF(AD138=0,"",(AD139/AD138)-1))</f>
        <v/>
      </c>
      <c r="AF139" s="24">
        <f>IF(ROW()&lt;7,"",IF(OR(AD139="",AD136=""),"",IF(AD136=0,"",(AD139/AD136)-1)))</f>
        <v/>
      </c>
      <c r="AG139" s="24">
        <f>IF(ROW()&lt;9,"",IF(OR(AD139="",AD134=""),"",IF(AD134=0,"",(AD139/AD134)-1)))</f>
        <v/>
      </c>
      <c r="AH139" s="13">
        <f>IF(ROW()&lt;23,"",AVERAGE(AD120:AD139))</f>
        <v/>
      </c>
      <c r="AI139">
        <f>IF(OR(AD139="",AH139=""),"",IF(AD139&gt;AH139,"Bull","Bear"))</f>
        <v/>
      </c>
      <c r="AJ139" s="13" t="n"/>
      <c r="AK139" s="24">
        <f>IF(OR(AJ139="",AJ138=""),"",IF(AJ138=0,"",(AJ139/AJ138)-1))</f>
        <v/>
      </c>
      <c r="AL139" s="24">
        <f>IF(ROW()&lt;7,"",IF(OR(AJ139="",AJ136=""),"",IF(AJ136=0,"",(AJ139/AJ136)-1)))</f>
        <v/>
      </c>
      <c r="AM139" s="24">
        <f>IF(ROW()&lt;9,"",IF(OR(AJ139="",AJ134=""),"",IF(AJ134=0,"",(AJ139/AJ134)-1)))</f>
        <v/>
      </c>
      <c r="AN139" s="13">
        <f>IF(ROW()&lt;23,"",AVERAGE(AJ120:AJ139))</f>
        <v/>
      </c>
      <c r="AO139">
        <f>IF(OR(AJ139="",AN139=""),"",IF(AJ139&gt;AN139,"Bull","Bear"))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8">
        <f>IFERROR((M140/M139)-1,"")</f>
        <v/>
      </c>
      <c r="O140" s="24">
        <f>IF(OR(N140="",N139=""),"",IF(N139=0,"",(N140/N139)-1))</f>
        <v/>
      </c>
      <c r="P140" s="11">
        <f>IF(ROW()&lt;7,"",IF(OR(E140="",E137=""),"",IF(E137=0,"",(E140/E137)-1)))</f>
        <v/>
      </c>
      <c r="Q140" s="24">
        <f>IF(ROW()&lt;9,"",IF(OR(E140="",E135=""),"",IF(E135=0,"",(E140/E135)-1)))</f>
        <v/>
      </c>
      <c r="R140" s="24">
        <f>IF(ROW()&lt;7,"",IF(OR(G140="",G137=""),"",IF(G137=0,"",(G140/G137)-1)))</f>
        <v/>
      </c>
      <c r="S140" s="24">
        <f>IF(ROW()&lt;9,"",IF(OR(G140="",G135=""),"",IF(G135=0,"",(G140/G135)-1)))</f>
        <v/>
      </c>
      <c r="T140" s="24">
        <f>IF(ROW()&lt;7,"",IF(OR(L140="",L137=""),"",IF(L137=0,"",(L140/L137)-1)))</f>
        <v/>
      </c>
      <c r="U140" s="24">
        <f>IF(ROW()&lt;9,"",IF(OR(L140="",L135=""),"",IF(L135=0,"",(L140/L135)-1)))</f>
        <v/>
      </c>
      <c r="V140" s="24">
        <f>IF(ROW()&lt;7,"",IF(OR(N140="",N137=""),"",IF(N137=0,"",(N140/N137)-1)))</f>
        <v/>
      </c>
      <c r="W140" s="24">
        <f>IF(ROW()&lt;9,"",IF(OR(N140="",N135=""),"",IF(N135=0,"",(N140/N135)-1)))</f>
        <v/>
      </c>
      <c r="X140" s="24">
        <f>IF(OR(F140="",M140=""),"",F140-M140)</f>
        <v/>
      </c>
      <c r="Y140" s="24">
        <f>IF(OR(P140="",T140=""),"",P140-T140)</f>
        <v/>
      </c>
      <c r="Z140" s="24">
        <f>IF(OR(Q140="",U140=""),"",Q140-U140)</f>
        <v/>
      </c>
      <c r="AA140" s="24">
        <f>IF(OR(H140="",O140=""),"",H140-O140)</f>
        <v/>
      </c>
      <c r="AB140" s="24">
        <f>IF(OR(R140="",V140=""),"",R140-V140)</f>
        <v/>
      </c>
      <c r="AC140" s="24">
        <f>IF(OR(S140="",W140=""),"",S140-W140)</f>
        <v/>
      </c>
      <c r="AD140" s="13" t="n"/>
      <c r="AE140" s="24">
        <f>IF(OR(AD140="",AD139=""),"",IF(AD139=0,"",(AD140/AD139)-1))</f>
        <v/>
      </c>
      <c r="AF140" s="24">
        <f>IF(ROW()&lt;7,"",IF(OR(AD140="",AD137=""),"",IF(AD137=0,"",(AD140/AD137)-1)))</f>
        <v/>
      </c>
      <c r="AG140" s="24">
        <f>IF(ROW()&lt;9,"",IF(OR(AD140="",AD135=""),"",IF(AD135=0,"",(AD140/AD135)-1)))</f>
        <v/>
      </c>
      <c r="AH140" s="13">
        <f>IF(ROW()&lt;23,"",AVERAGE(AD121:AD140))</f>
        <v/>
      </c>
      <c r="AI140">
        <f>IF(OR(AD140="",AH140=""),"",IF(AD140&gt;AH140,"Bull","Bear"))</f>
        <v/>
      </c>
      <c r="AJ140" s="13" t="n"/>
      <c r="AK140" s="24">
        <f>IF(OR(AJ140="",AJ139=""),"",IF(AJ139=0,"",(AJ140/AJ139)-1))</f>
        <v/>
      </c>
      <c r="AL140" s="24">
        <f>IF(ROW()&lt;7,"",IF(OR(AJ140="",AJ137=""),"",IF(AJ137=0,"",(AJ140/AJ137)-1)))</f>
        <v/>
      </c>
      <c r="AM140" s="24">
        <f>IF(ROW()&lt;9,"",IF(OR(AJ140="",AJ135=""),"",IF(AJ135=0,"",(AJ140/AJ135)-1)))</f>
        <v/>
      </c>
      <c r="AN140" s="13">
        <f>IF(ROW()&lt;23,"",AVERAGE(AJ121:AJ140))</f>
        <v/>
      </c>
      <c r="AO140">
        <f>IF(OR(AJ140="",AN140=""),"",IF(AJ140&gt;AN140,"Bull","Bear"))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8">
        <f>IFERROR((M141/M140)-1,"")</f>
        <v/>
      </c>
      <c r="O141" s="24">
        <f>IF(OR(N141="",N140=""),"",IF(N140=0,"",(N141/N140)-1))</f>
        <v/>
      </c>
      <c r="P141" s="11">
        <f>IF(ROW()&lt;7,"",IF(OR(E141="",E138=""),"",IF(E138=0,"",(E141/E138)-1)))</f>
        <v/>
      </c>
      <c r="Q141" s="24">
        <f>IF(ROW()&lt;9,"",IF(OR(E141="",E136=""),"",IF(E136=0,"",(E141/E136)-1)))</f>
        <v/>
      </c>
      <c r="R141" s="24">
        <f>IF(ROW()&lt;7,"",IF(OR(G141="",G138=""),"",IF(G138=0,"",(G141/G138)-1)))</f>
        <v/>
      </c>
      <c r="S141" s="24">
        <f>IF(ROW()&lt;9,"",IF(OR(G141="",G136=""),"",IF(G136=0,"",(G141/G136)-1)))</f>
        <v/>
      </c>
      <c r="T141" s="24">
        <f>IF(ROW()&lt;7,"",IF(OR(L141="",L138=""),"",IF(L138=0,"",(L141/L138)-1)))</f>
        <v/>
      </c>
      <c r="U141" s="24">
        <f>IF(ROW()&lt;9,"",IF(OR(L141="",L136=""),"",IF(L136=0,"",(L141/L136)-1)))</f>
        <v/>
      </c>
      <c r="V141" s="24">
        <f>IF(ROW()&lt;7,"",IF(OR(N141="",N138=""),"",IF(N138=0,"",(N141/N138)-1)))</f>
        <v/>
      </c>
      <c r="W141" s="24">
        <f>IF(ROW()&lt;9,"",IF(OR(N141="",N136=""),"",IF(N136=0,"",(N141/N136)-1)))</f>
        <v/>
      </c>
      <c r="X141" s="24">
        <f>IF(OR(F141="",M141=""),"",F141-M141)</f>
        <v/>
      </c>
      <c r="Y141" s="24">
        <f>IF(OR(P141="",T141=""),"",P141-T141)</f>
        <v/>
      </c>
      <c r="Z141" s="24">
        <f>IF(OR(Q141="",U141=""),"",Q141-U141)</f>
        <v/>
      </c>
      <c r="AA141" s="24">
        <f>IF(OR(H141="",O141=""),"",H141-O141)</f>
        <v/>
      </c>
      <c r="AB141" s="24">
        <f>IF(OR(R141="",V141=""),"",R141-V141)</f>
        <v/>
      </c>
      <c r="AC141" s="24">
        <f>IF(OR(S141="",W141=""),"",S141-W141)</f>
        <v/>
      </c>
      <c r="AD141" s="13" t="n"/>
      <c r="AE141" s="24">
        <f>IF(OR(AD141="",AD140=""),"",IF(AD140=0,"",(AD141/AD140)-1))</f>
        <v/>
      </c>
      <c r="AF141" s="24">
        <f>IF(ROW()&lt;7,"",IF(OR(AD141="",AD138=""),"",IF(AD138=0,"",(AD141/AD138)-1)))</f>
        <v/>
      </c>
      <c r="AG141" s="24">
        <f>IF(ROW()&lt;9,"",IF(OR(AD141="",AD136=""),"",IF(AD136=0,"",(AD141/AD136)-1)))</f>
        <v/>
      </c>
      <c r="AH141" s="13">
        <f>IF(ROW()&lt;23,"",AVERAGE(AD122:AD141))</f>
        <v/>
      </c>
      <c r="AI141">
        <f>IF(OR(AD141="",AH141=""),"",IF(AD141&gt;AH141,"Bull","Bear"))</f>
        <v/>
      </c>
      <c r="AJ141" s="13" t="n"/>
      <c r="AK141" s="24">
        <f>IF(OR(AJ141="",AJ140=""),"",IF(AJ140=0,"",(AJ141/AJ140)-1))</f>
        <v/>
      </c>
      <c r="AL141" s="24">
        <f>IF(ROW()&lt;7,"",IF(OR(AJ141="",AJ138=""),"",IF(AJ138=0,"",(AJ141/AJ138)-1)))</f>
        <v/>
      </c>
      <c r="AM141" s="24">
        <f>IF(ROW()&lt;9,"",IF(OR(AJ141="",AJ136=""),"",IF(AJ136=0,"",(AJ141/AJ136)-1)))</f>
        <v/>
      </c>
      <c r="AN141" s="13">
        <f>IF(ROW()&lt;23,"",AVERAGE(AJ122:AJ141))</f>
        <v/>
      </c>
      <c r="AO141">
        <f>IF(OR(AJ141="",AN141=""),"",IF(AJ141&gt;AN141,"Bull","Bear"))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8">
        <f>IFERROR((M142/M141)-1,"")</f>
        <v/>
      </c>
      <c r="O142" s="24">
        <f>IF(OR(N142="",N141=""),"",IF(N141=0,"",(N142/N141)-1))</f>
        <v/>
      </c>
      <c r="P142" s="11">
        <f>IF(ROW()&lt;7,"",IF(OR(E142="",E139=""),"",IF(E139=0,"",(E142/E139)-1)))</f>
        <v/>
      </c>
      <c r="Q142" s="24">
        <f>IF(ROW()&lt;9,"",IF(OR(E142="",E137=""),"",IF(E137=0,"",(E142/E137)-1)))</f>
        <v/>
      </c>
      <c r="R142" s="24">
        <f>IF(ROW()&lt;7,"",IF(OR(G142="",G139=""),"",IF(G139=0,"",(G142/G139)-1)))</f>
        <v/>
      </c>
      <c r="S142" s="24">
        <f>IF(ROW()&lt;9,"",IF(OR(G142="",G137=""),"",IF(G137=0,"",(G142/G137)-1)))</f>
        <v/>
      </c>
      <c r="T142" s="24">
        <f>IF(ROW()&lt;7,"",IF(OR(L142="",L139=""),"",IF(L139=0,"",(L142/L139)-1)))</f>
        <v/>
      </c>
      <c r="U142" s="24">
        <f>IF(ROW()&lt;9,"",IF(OR(L142="",L137=""),"",IF(L137=0,"",(L142/L137)-1)))</f>
        <v/>
      </c>
      <c r="V142" s="24">
        <f>IF(ROW()&lt;7,"",IF(OR(N142="",N139=""),"",IF(N139=0,"",(N142/N139)-1)))</f>
        <v/>
      </c>
      <c r="W142" s="24">
        <f>IF(ROW()&lt;9,"",IF(OR(N142="",N137=""),"",IF(N137=0,"",(N142/N137)-1)))</f>
        <v/>
      </c>
      <c r="X142" s="24">
        <f>IF(OR(F142="",M142=""),"",F142-M142)</f>
        <v/>
      </c>
      <c r="Y142" s="24">
        <f>IF(OR(P142="",T142=""),"",P142-T142)</f>
        <v/>
      </c>
      <c r="Z142" s="24">
        <f>IF(OR(Q142="",U142=""),"",Q142-U142)</f>
        <v/>
      </c>
      <c r="AA142" s="24">
        <f>IF(OR(H142="",O142=""),"",H142-O142)</f>
        <v/>
      </c>
      <c r="AB142" s="24">
        <f>IF(OR(R142="",V142=""),"",R142-V142)</f>
        <v/>
      </c>
      <c r="AC142" s="24">
        <f>IF(OR(S142="",W142=""),"",S142-W142)</f>
        <v/>
      </c>
      <c r="AD142" s="13" t="n"/>
      <c r="AE142" s="24">
        <f>IF(OR(AD142="",AD141=""),"",IF(AD141=0,"",(AD142/AD141)-1))</f>
        <v/>
      </c>
      <c r="AF142" s="24">
        <f>IF(ROW()&lt;7,"",IF(OR(AD142="",AD139=""),"",IF(AD139=0,"",(AD142/AD139)-1)))</f>
        <v/>
      </c>
      <c r="AG142" s="24">
        <f>IF(ROW()&lt;9,"",IF(OR(AD142="",AD137=""),"",IF(AD137=0,"",(AD142/AD137)-1)))</f>
        <v/>
      </c>
      <c r="AH142" s="13">
        <f>IF(ROW()&lt;23,"",AVERAGE(AD123:AD142))</f>
        <v/>
      </c>
      <c r="AI142">
        <f>IF(OR(AD142="",AH142=""),"",IF(AD142&gt;AH142,"Bull","Bear"))</f>
        <v/>
      </c>
      <c r="AJ142" s="13" t="n"/>
      <c r="AK142" s="24">
        <f>IF(OR(AJ142="",AJ141=""),"",IF(AJ141=0,"",(AJ142/AJ141)-1))</f>
        <v/>
      </c>
      <c r="AL142" s="24">
        <f>IF(ROW()&lt;7,"",IF(OR(AJ142="",AJ139=""),"",IF(AJ139=0,"",(AJ142/AJ139)-1)))</f>
        <v/>
      </c>
      <c r="AM142" s="24">
        <f>IF(ROW()&lt;9,"",IF(OR(AJ142="",AJ137=""),"",IF(AJ137=0,"",(AJ142/AJ137)-1)))</f>
        <v/>
      </c>
      <c r="AN142" s="13">
        <f>IF(ROW()&lt;23,"",AVERAGE(AJ123:AJ142))</f>
        <v/>
      </c>
      <c r="AO142">
        <f>IF(OR(AJ142="",AN142=""),"",IF(AJ142&gt;AN142,"Bull","Bear"))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8">
        <f>IFERROR((M143/M142)-1,"")</f>
        <v/>
      </c>
      <c r="O143" s="24">
        <f>IF(OR(N143="",N142=""),"",IF(N142=0,"",(N143/N142)-1))</f>
        <v/>
      </c>
      <c r="P143" s="11">
        <f>IF(ROW()&lt;7,"",IF(OR(E143="",E140=""),"",IF(E140=0,"",(E143/E140)-1)))</f>
        <v/>
      </c>
      <c r="Q143" s="24">
        <f>IF(ROW()&lt;9,"",IF(OR(E143="",E138=""),"",IF(E138=0,"",(E143/E138)-1)))</f>
        <v/>
      </c>
      <c r="R143" s="24">
        <f>IF(ROW()&lt;7,"",IF(OR(G143="",G140=""),"",IF(G140=0,"",(G143/G140)-1)))</f>
        <v/>
      </c>
      <c r="S143" s="24">
        <f>IF(ROW()&lt;9,"",IF(OR(G143="",G138=""),"",IF(G138=0,"",(G143/G138)-1)))</f>
        <v/>
      </c>
      <c r="T143" s="24">
        <f>IF(ROW()&lt;7,"",IF(OR(L143="",L140=""),"",IF(L140=0,"",(L143/L140)-1)))</f>
        <v/>
      </c>
      <c r="U143" s="24">
        <f>IF(ROW()&lt;9,"",IF(OR(L143="",L138=""),"",IF(L138=0,"",(L143/L138)-1)))</f>
        <v/>
      </c>
      <c r="V143" s="24">
        <f>IF(ROW()&lt;7,"",IF(OR(N143="",N140=""),"",IF(N140=0,"",(N143/N140)-1)))</f>
        <v/>
      </c>
      <c r="W143" s="24">
        <f>IF(ROW()&lt;9,"",IF(OR(N143="",N138=""),"",IF(N138=0,"",(N143/N138)-1)))</f>
        <v/>
      </c>
      <c r="X143" s="24">
        <f>IF(OR(F143="",M143=""),"",F143-M143)</f>
        <v/>
      </c>
      <c r="Y143" s="24">
        <f>IF(OR(P143="",T143=""),"",P143-T143)</f>
        <v/>
      </c>
      <c r="Z143" s="24">
        <f>IF(OR(Q143="",U143=""),"",Q143-U143)</f>
        <v/>
      </c>
      <c r="AA143" s="24">
        <f>IF(OR(H143="",O143=""),"",H143-O143)</f>
        <v/>
      </c>
      <c r="AB143" s="24">
        <f>IF(OR(R143="",V143=""),"",R143-V143)</f>
        <v/>
      </c>
      <c r="AC143" s="24">
        <f>IF(OR(S143="",W143=""),"",S143-W143)</f>
        <v/>
      </c>
      <c r="AD143" s="13" t="n"/>
      <c r="AE143" s="24">
        <f>IF(OR(AD143="",AD142=""),"",IF(AD142=0,"",(AD143/AD142)-1))</f>
        <v/>
      </c>
      <c r="AF143" s="24">
        <f>IF(ROW()&lt;7,"",IF(OR(AD143="",AD140=""),"",IF(AD140=0,"",(AD143/AD140)-1)))</f>
        <v/>
      </c>
      <c r="AG143" s="24">
        <f>IF(ROW()&lt;9,"",IF(OR(AD143="",AD138=""),"",IF(AD138=0,"",(AD143/AD138)-1)))</f>
        <v/>
      </c>
      <c r="AH143" s="13">
        <f>IF(ROW()&lt;23,"",AVERAGE(AD124:AD143))</f>
        <v/>
      </c>
      <c r="AI143">
        <f>IF(OR(AD143="",AH143=""),"",IF(AD143&gt;AH143,"Bull","Bear"))</f>
        <v/>
      </c>
      <c r="AJ143" s="13" t="n"/>
      <c r="AK143" s="24">
        <f>IF(OR(AJ143="",AJ142=""),"",IF(AJ142=0,"",(AJ143/AJ142)-1))</f>
        <v/>
      </c>
      <c r="AL143" s="24">
        <f>IF(ROW()&lt;7,"",IF(OR(AJ143="",AJ140=""),"",IF(AJ140=0,"",(AJ143/AJ140)-1)))</f>
        <v/>
      </c>
      <c r="AM143" s="24">
        <f>IF(ROW()&lt;9,"",IF(OR(AJ143="",AJ138=""),"",IF(AJ138=0,"",(AJ143/AJ138)-1)))</f>
        <v/>
      </c>
      <c r="AN143" s="13">
        <f>IF(ROW()&lt;23,"",AVERAGE(AJ124:AJ143))</f>
        <v/>
      </c>
      <c r="AO143">
        <f>IF(OR(AJ143="",AN143=""),"",IF(AJ143&gt;AN143,"Bull","Bear"))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8">
        <f>IFERROR((M144/M143)-1,"")</f>
        <v/>
      </c>
      <c r="O144" s="24">
        <f>IF(OR(N144="",N143=""),"",IF(N143=0,"",(N144/N143)-1))</f>
        <v/>
      </c>
      <c r="P144" s="11">
        <f>IF(ROW()&lt;7,"",IF(OR(E144="",E141=""),"",IF(E141=0,"",(E144/E141)-1)))</f>
        <v/>
      </c>
      <c r="Q144" s="24">
        <f>IF(ROW()&lt;9,"",IF(OR(E144="",E139=""),"",IF(E139=0,"",(E144/E139)-1)))</f>
        <v/>
      </c>
      <c r="R144" s="24">
        <f>IF(ROW()&lt;7,"",IF(OR(G144="",G141=""),"",IF(G141=0,"",(G144/G141)-1)))</f>
        <v/>
      </c>
      <c r="S144" s="24">
        <f>IF(ROW()&lt;9,"",IF(OR(G144="",G139=""),"",IF(G139=0,"",(G144/G139)-1)))</f>
        <v/>
      </c>
      <c r="T144" s="24">
        <f>IF(ROW()&lt;7,"",IF(OR(L144="",L141=""),"",IF(L141=0,"",(L144/L141)-1)))</f>
        <v/>
      </c>
      <c r="U144" s="24">
        <f>IF(ROW()&lt;9,"",IF(OR(L144="",L139=""),"",IF(L139=0,"",(L144/L139)-1)))</f>
        <v/>
      </c>
      <c r="V144" s="24">
        <f>IF(ROW()&lt;7,"",IF(OR(N144="",N141=""),"",IF(N141=0,"",(N144/N141)-1)))</f>
        <v/>
      </c>
      <c r="W144" s="24">
        <f>IF(ROW()&lt;9,"",IF(OR(N144="",N139=""),"",IF(N139=0,"",(N144/N139)-1)))</f>
        <v/>
      </c>
      <c r="X144" s="24">
        <f>IF(OR(F144="",M144=""),"",F144-M144)</f>
        <v/>
      </c>
      <c r="Y144" s="24">
        <f>IF(OR(P144="",T144=""),"",P144-T144)</f>
        <v/>
      </c>
      <c r="Z144" s="24">
        <f>IF(OR(Q144="",U144=""),"",Q144-U144)</f>
        <v/>
      </c>
      <c r="AA144" s="24">
        <f>IF(OR(H144="",O144=""),"",H144-O144)</f>
        <v/>
      </c>
      <c r="AB144" s="24">
        <f>IF(OR(R144="",V144=""),"",R144-V144)</f>
        <v/>
      </c>
      <c r="AC144" s="24">
        <f>IF(OR(S144="",W144=""),"",S144-W144)</f>
        <v/>
      </c>
      <c r="AD144" s="13" t="n"/>
      <c r="AE144" s="24">
        <f>IF(OR(AD144="",AD143=""),"",IF(AD143=0,"",(AD144/AD143)-1))</f>
        <v/>
      </c>
      <c r="AF144" s="24">
        <f>IF(ROW()&lt;7,"",IF(OR(AD144="",AD141=""),"",IF(AD141=0,"",(AD144/AD141)-1)))</f>
        <v/>
      </c>
      <c r="AG144" s="24">
        <f>IF(ROW()&lt;9,"",IF(OR(AD144="",AD139=""),"",IF(AD139=0,"",(AD144/AD139)-1)))</f>
        <v/>
      </c>
      <c r="AH144" s="13">
        <f>IF(ROW()&lt;23,"",AVERAGE(AD125:AD144))</f>
        <v/>
      </c>
      <c r="AI144">
        <f>IF(OR(AD144="",AH144=""),"",IF(AD144&gt;AH144,"Bull","Bear"))</f>
        <v/>
      </c>
      <c r="AJ144" s="13" t="n"/>
      <c r="AK144" s="24">
        <f>IF(OR(AJ144="",AJ143=""),"",IF(AJ143=0,"",(AJ144/AJ143)-1))</f>
        <v/>
      </c>
      <c r="AL144" s="24">
        <f>IF(ROW()&lt;7,"",IF(OR(AJ144="",AJ141=""),"",IF(AJ141=0,"",(AJ144/AJ141)-1)))</f>
        <v/>
      </c>
      <c r="AM144" s="24">
        <f>IF(ROW()&lt;9,"",IF(OR(AJ144="",AJ139=""),"",IF(AJ139=0,"",(AJ144/AJ139)-1)))</f>
        <v/>
      </c>
      <c r="AN144" s="13">
        <f>IF(ROW()&lt;23,"",AVERAGE(AJ125:AJ144))</f>
        <v/>
      </c>
      <c r="AO144">
        <f>IF(OR(AJ144="",AN144=""),"",IF(AJ144&gt;AN144,"Bull","Bear"))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8">
        <f>IFERROR((M145/M144)-1,"")</f>
        <v/>
      </c>
      <c r="O145" s="24">
        <f>IF(OR(N145="",N144=""),"",IF(N144=0,"",(N145/N144)-1))</f>
        <v/>
      </c>
      <c r="P145" s="11">
        <f>IF(ROW()&lt;7,"",IF(OR(E145="",E142=""),"",IF(E142=0,"",(E145/E142)-1)))</f>
        <v/>
      </c>
      <c r="Q145" s="24">
        <f>IF(ROW()&lt;9,"",IF(OR(E145="",E140=""),"",IF(E140=0,"",(E145/E140)-1)))</f>
        <v/>
      </c>
      <c r="R145" s="24">
        <f>IF(ROW()&lt;7,"",IF(OR(G145="",G142=""),"",IF(G142=0,"",(G145/G142)-1)))</f>
        <v/>
      </c>
      <c r="S145" s="24">
        <f>IF(ROW()&lt;9,"",IF(OR(G145="",G140=""),"",IF(G140=0,"",(G145/G140)-1)))</f>
        <v/>
      </c>
      <c r="T145" s="24">
        <f>IF(ROW()&lt;7,"",IF(OR(L145="",L142=""),"",IF(L142=0,"",(L145/L142)-1)))</f>
        <v/>
      </c>
      <c r="U145" s="24">
        <f>IF(ROW()&lt;9,"",IF(OR(L145="",L140=""),"",IF(L140=0,"",(L145/L140)-1)))</f>
        <v/>
      </c>
      <c r="V145" s="24">
        <f>IF(ROW()&lt;7,"",IF(OR(N145="",N142=""),"",IF(N142=0,"",(N145/N142)-1)))</f>
        <v/>
      </c>
      <c r="W145" s="24">
        <f>IF(ROW()&lt;9,"",IF(OR(N145="",N140=""),"",IF(N140=0,"",(N145/N140)-1)))</f>
        <v/>
      </c>
      <c r="X145" s="24">
        <f>IF(OR(F145="",M145=""),"",F145-M145)</f>
        <v/>
      </c>
      <c r="Y145" s="24">
        <f>IF(OR(P145="",T145=""),"",P145-T145)</f>
        <v/>
      </c>
      <c r="Z145" s="24">
        <f>IF(OR(Q145="",U145=""),"",Q145-U145)</f>
        <v/>
      </c>
      <c r="AA145" s="24">
        <f>IF(OR(H145="",O145=""),"",H145-O145)</f>
        <v/>
      </c>
      <c r="AB145" s="24">
        <f>IF(OR(R145="",V145=""),"",R145-V145)</f>
        <v/>
      </c>
      <c r="AC145" s="24">
        <f>IF(OR(S145="",W145=""),"",S145-W145)</f>
        <v/>
      </c>
      <c r="AD145" s="13" t="n"/>
      <c r="AE145" s="24">
        <f>IF(OR(AD145="",AD144=""),"",IF(AD144=0,"",(AD145/AD144)-1))</f>
        <v/>
      </c>
      <c r="AF145" s="24">
        <f>IF(ROW()&lt;7,"",IF(OR(AD145="",AD142=""),"",IF(AD142=0,"",(AD145/AD142)-1)))</f>
        <v/>
      </c>
      <c r="AG145" s="24">
        <f>IF(ROW()&lt;9,"",IF(OR(AD145="",AD140=""),"",IF(AD140=0,"",(AD145/AD140)-1)))</f>
        <v/>
      </c>
      <c r="AH145" s="13">
        <f>IF(ROW()&lt;23,"",AVERAGE(AD126:AD145))</f>
        <v/>
      </c>
      <c r="AI145">
        <f>IF(OR(AD145="",AH145=""),"",IF(AD145&gt;AH145,"Bull","Bear"))</f>
        <v/>
      </c>
      <c r="AJ145" s="13" t="n"/>
      <c r="AK145" s="24">
        <f>IF(OR(AJ145="",AJ144=""),"",IF(AJ144=0,"",(AJ145/AJ144)-1))</f>
        <v/>
      </c>
      <c r="AL145" s="24">
        <f>IF(ROW()&lt;7,"",IF(OR(AJ145="",AJ142=""),"",IF(AJ142=0,"",(AJ145/AJ142)-1)))</f>
        <v/>
      </c>
      <c r="AM145" s="24">
        <f>IF(ROW()&lt;9,"",IF(OR(AJ145="",AJ140=""),"",IF(AJ140=0,"",(AJ145/AJ140)-1)))</f>
        <v/>
      </c>
      <c r="AN145" s="13">
        <f>IF(ROW()&lt;23,"",AVERAGE(AJ126:AJ145))</f>
        <v/>
      </c>
      <c r="AO145">
        <f>IF(OR(AJ145="",AN145=""),"",IF(AJ145&gt;AN145,"Bull","Bear"))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8">
        <f>IFERROR((M146/M145)-1,"")</f>
        <v/>
      </c>
      <c r="O146" s="24">
        <f>IF(OR(N146="",N145=""),"",IF(N145=0,"",(N146/N145)-1))</f>
        <v/>
      </c>
      <c r="P146" s="11">
        <f>IF(ROW()&lt;7,"",IF(OR(E146="",E143=""),"",IF(E143=0,"",(E146/E143)-1)))</f>
        <v/>
      </c>
      <c r="Q146" s="24">
        <f>IF(ROW()&lt;9,"",IF(OR(E146="",E141=""),"",IF(E141=0,"",(E146/E141)-1)))</f>
        <v/>
      </c>
      <c r="R146" s="24">
        <f>IF(ROW()&lt;7,"",IF(OR(G146="",G143=""),"",IF(G143=0,"",(G146/G143)-1)))</f>
        <v/>
      </c>
      <c r="S146" s="24">
        <f>IF(ROW()&lt;9,"",IF(OR(G146="",G141=""),"",IF(G141=0,"",(G146/G141)-1)))</f>
        <v/>
      </c>
      <c r="T146" s="24">
        <f>IF(ROW()&lt;7,"",IF(OR(L146="",L143=""),"",IF(L143=0,"",(L146/L143)-1)))</f>
        <v/>
      </c>
      <c r="U146" s="24">
        <f>IF(ROW()&lt;9,"",IF(OR(L146="",L141=""),"",IF(L141=0,"",(L146/L141)-1)))</f>
        <v/>
      </c>
      <c r="V146" s="24">
        <f>IF(ROW()&lt;7,"",IF(OR(N146="",N143=""),"",IF(N143=0,"",(N146/N143)-1)))</f>
        <v/>
      </c>
      <c r="W146" s="24">
        <f>IF(ROW()&lt;9,"",IF(OR(N146="",N141=""),"",IF(N141=0,"",(N146/N141)-1)))</f>
        <v/>
      </c>
      <c r="X146" s="24">
        <f>IF(OR(F146="",M146=""),"",F146-M146)</f>
        <v/>
      </c>
      <c r="Y146" s="24">
        <f>IF(OR(P146="",T146=""),"",P146-T146)</f>
        <v/>
      </c>
      <c r="Z146" s="24">
        <f>IF(OR(Q146="",U146=""),"",Q146-U146)</f>
        <v/>
      </c>
      <c r="AA146" s="24">
        <f>IF(OR(H146="",O146=""),"",H146-O146)</f>
        <v/>
      </c>
      <c r="AB146" s="24">
        <f>IF(OR(R146="",V146=""),"",R146-V146)</f>
        <v/>
      </c>
      <c r="AC146" s="24">
        <f>IF(OR(S146="",W146=""),"",S146-W146)</f>
        <v/>
      </c>
      <c r="AD146" s="13" t="n"/>
      <c r="AE146" s="24">
        <f>IF(OR(AD146="",AD145=""),"",IF(AD145=0,"",(AD146/AD145)-1))</f>
        <v/>
      </c>
      <c r="AF146" s="24">
        <f>IF(ROW()&lt;7,"",IF(OR(AD146="",AD143=""),"",IF(AD143=0,"",(AD146/AD143)-1)))</f>
        <v/>
      </c>
      <c r="AG146" s="24">
        <f>IF(ROW()&lt;9,"",IF(OR(AD146="",AD141=""),"",IF(AD141=0,"",(AD146/AD141)-1)))</f>
        <v/>
      </c>
      <c r="AH146" s="13">
        <f>IF(ROW()&lt;23,"",AVERAGE(AD127:AD146))</f>
        <v/>
      </c>
      <c r="AI146">
        <f>IF(OR(AD146="",AH146=""),"",IF(AD146&gt;AH146,"Bull","Bear"))</f>
        <v/>
      </c>
      <c r="AJ146" s="13" t="n"/>
      <c r="AK146" s="24">
        <f>IF(OR(AJ146="",AJ145=""),"",IF(AJ145=0,"",(AJ146/AJ145)-1))</f>
        <v/>
      </c>
      <c r="AL146" s="24">
        <f>IF(ROW()&lt;7,"",IF(OR(AJ146="",AJ143=""),"",IF(AJ143=0,"",(AJ146/AJ143)-1)))</f>
        <v/>
      </c>
      <c r="AM146" s="24">
        <f>IF(ROW()&lt;9,"",IF(OR(AJ146="",AJ141=""),"",IF(AJ141=0,"",(AJ146/AJ141)-1)))</f>
        <v/>
      </c>
      <c r="AN146" s="13">
        <f>IF(ROW()&lt;23,"",AVERAGE(AJ127:AJ146))</f>
        <v/>
      </c>
      <c r="AO146">
        <f>IF(OR(AJ146="",AN146=""),"",IF(AJ146&gt;AN146,"Bull","Bear"))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8">
        <f>IFERROR((M147/M146)-1,"")</f>
        <v/>
      </c>
      <c r="O147" s="24">
        <f>IF(OR(N147="",N146=""),"",IF(N146=0,"",(N147/N146)-1))</f>
        <v/>
      </c>
      <c r="P147" s="11">
        <f>IF(ROW()&lt;7,"",IF(OR(E147="",E144=""),"",IF(E144=0,"",(E147/E144)-1)))</f>
        <v/>
      </c>
      <c r="Q147" s="24">
        <f>IF(ROW()&lt;9,"",IF(OR(E147="",E142=""),"",IF(E142=0,"",(E147/E142)-1)))</f>
        <v/>
      </c>
      <c r="R147" s="24">
        <f>IF(ROW()&lt;7,"",IF(OR(G147="",G144=""),"",IF(G144=0,"",(G147/G144)-1)))</f>
        <v/>
      </c>
      <c r="S147" s="24">
        <f>IF(ROW()&lt;9,"",IF(OR(G147="",G142=""),"",IF(G142=0,"",(G147/G142)-1)))</f>
        <v/>
      </c>
      <c r="T147" s="24">
        <f>IF(ROW()&lt;7,"",IF(OR(L147="",L144=""),"",IF(L144=0,"",(L147/L144)-1)))</f>
        <v/>
      </c>
      <c r="U147" s="24">
        <f>IF(ROW()&lt;9,"",IF(OR(L147="",L142=""),"",IF(L142=0,"",(L147/L142)-1)))</f>
        <v/>
      </c>
      <c r="V147" s="24">
        <f>IF(ROW()&lt;7,"",IF(OR(N147="",N144=""),"",IF(N144=0,"",(N147/N144)-1)))</f>
        <v/>
      </c>
      <c r="W147" s="24">
        <f>IF(ROW()&lt;9,"",IF(OR(N147="",N142=""),"",IF(N142=0,"",(N147/N142)-1)))</f>
        <v/>
      </c>
      <c r="X147" s="24">
        <f>IF(OR(F147="",M147=""),"",F147-M147)</f>
        <v/>
      </c>
      <c r="Y147" s="24">
        <f>IF(OR(P147="",T147=""),"",P147-T147)</f>
        <v/>
      </c>
      <c r="Z147" s="24">
        <f>IF(OR(Q147="",U147=""),"",Q147-U147)</f>
        <v/>
      </c>
      <c r="AA147" s="24">
        <f>IF(OR(H147="",O147=""),"",H147-O147)</f>
        <v/>
      </c>
      <c r="AB147" s="24">
        <f>IF(OR(R147="",V147=""),"",R147-V147)</f>
        <v/>
      </c>
      <c r="AC147" s="24">
        <f>IF(OR(S147="",W147=""),"",S147-W147)</f>
        <v/>
      </c>
      <c r="AD147" s="13" t="n"/>
      <c r="AE147" s="24">
        <f>IF(OR(AD147="",AD146=""),"",IF(AD146=0,"",(AD147/AD146)-1))</f>
        <v/>
      </c>
      <c r="AF147" s="24">
        <f>IF(ROW()&lt;7,"",IF(OR(AD147="",AD144=""),"",IF(AD144=0,"",(AD147/AD144)-1)))</f>
        <v/>
      </c>
      <c r="AG147" s="24">
        <f>IF(ROW()&lt;9,"",IF(OR(AD147="",AD142=""),"",IF(AD142=0,"",(AD147/AD142)-1)))</f>
        <v/>
      </c>
      <c r="AH147" s="13">
        <f>IF(ROW()&lt;23,"",AVERAGE(AD128:AD147))</f>
        <v/>
      </c>
      <c r="AI147">
        <f>IF(OR(AD147="",AH147=""),"",IF(AD147&gt;AH147,"Bull","Bear"))</f>
        <v/>
      </c>
      <c r="AJ147" s="13" t="n"/>
      <c r="AK147" s="24">
        <f>IF(OR(AJ147="",AJ146=""),"",IF(AJ146=0,"",(AJ147/AJ146)-1))</f>
        <v/>
      </c>
      <c r="AL147" s="24">
        <f>IF(ROW()&lt;7,"",IF(OR(AJ147="",AJ144=""),"",IF(AJ144=0,"",(AJ147/AJ144)-1)))</f>
        <v/>
      </c>
      <c r="AM147" s="24">
        <f>IF(ROW()&lt;9,"",IF(OR(AJ147="",AJ142=""),"",IF(AJ142=0,"",(AJ147/AJ142)-1)))</f>
        <v/>
      </c>
      <c r="AN147" s="13">
        <f>IF(ROW()&lt;23,"",AVERAGE(AJ128:AJ147))</f>
        <v/>
      </c>
      <c r="AO147">
        <f>IF(OR(AJ147="",AN147=""),"",IF(AJ147&gt;AN147,"Bull","Bear"))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8">
        <f>IFERROR((M148/M147)-1,"")</f>
        <v/>
      </c>
      <c r="O148" s="24">
        <f>IF(OR(N148="",N147=""),"",IF(N147=0,"",(N148/N147)-1))</f>
        <v/>
      </c>
      <c r="P148" s="11">
        <f>IF(ROW()&lt;7,"",IF(OR(E148="",E145=""),"",IF(E145=0,"",(E148/E145)-1)))</f>
        <v/>
      </c>
      <c r="Q148" s="24">
        <f>IF(ROW()&lt;9,"",IF(OR(E148="",E143=""),"",IF(E143=0,"",(E148/E143)-1)))</f>
        <v/>
      </c>
      <c r="R148" s="24">
        <f>IF(ROW()&lt;7,"",IF(OR(G148="",G145=""),"",IF(G145=0,"",(G148/G145)-1)))</f>
        <v/>
      </c>
      <c r="S148" s="24">
        <f>IF(ROW()&lt;9,"",IF(OR(G148="",G143=""),"",IF(G143=0,"",(G148/G143)-1)))</f>
        <v/>
      </c>
      <c r="T148" s="24">
        <f>IF(ROW()&lt;7,"",IF(OR(L148="",L145=""),"",IF(L145=0,"",(L148/L145)-1)))</f>
        <v/>
      </c>
      <c r="U148" s="24">
        <f>IF(ROW()&lt;9,"",IF(OR(L148="",L143=""),"",IF(L143=0,"",(L148/L143)-1)))</f>
        <v/>
      </c>
      <c r="V148" s="24">
        <f>IF(ROW()&lt;7,"",IF(OR(N148="",N145=""),"",IF(N145=0,"",(N148/N145)-1)))</f>
        <v/>
      </c>
      <c r="W148" s="24">
        <f>IF(ROW()&lt;9,"",IF(OR(N148="",N143=""),"",IF(N143=0,"",(N148/N143)-1)))</f>
        <v/>
      </c>
      <c r="X148" s="24">
        <f>IF(OR(F148="",M148=""),"",F148-M148)</f>
        <v/>
      </c>
      <c r="Y148" s="24">
        <f>IF(OR(P148="",T148=""),"",P148-T148)</f>
        <v/>
      </c>
      <c r="Z148" s="24">
        <f>IF(OR(Q148="",U148=""),"",Q148-U148)</f>
        <v/>
      </c>
      <c r="AA148" s="24">
        <f>IF(OR(H148="",O148=""),"",H148-O148)</f>
        <v/>
      </c>
      <c r="AB148" s="24">
        <f>IF(OR(R148="",V148=""),"",R148-V148)</f>
        <v/>
      </c>
      <c r="AC148" s="24">
        <f>IF(OR(S148="",W148=""),"",S148-W148)</f>
        <v/>
      </c>
      <c r="AD148" s="13" t="n"/>
      <c r="AE148" s="24">
        <f>IF(OR(AD148="",AD147=""),"",IF(AD147=0,"",(AD148/AD147)-1))</f>
        <v/>
      </c>
      <c r="AF148" s="24">
        <f>IF(ROW()&lt;7,"",IF(OR(AD148="",AD145=""),"",IF(AD145=0,"",(AD148/AD145)-1)))</f>
        <v/>
      </c>
      <c r="AG148" s="24">
        <f>IF(ROW()&lt;9,"",IF(OR(AD148="",AD143=""),"",IF(AD143=0,"",(AD148/AD143)-1)))</f>
        <v/>
      </c>
      <c r="AH148" s="13">
        <f>IF(ROW()&lt;23,"",AVERAGE(AD129:AD148))</f>
        <v/>
      </c>
      <c r="AI148">
        <f>IF(OR(AD148="",AH148=""),"",IF(AD148&gt;AH148,"Bull","Bear"))</f>
        <v/>
      </c>
      <c r="AJ148" s="13" t="n"/>
      <c r="AK148" s="24">
        <f>IF(OR(AJ148="",AJ147=""),"",IF(AJ147=0,"",(AJ148/AJ147)-1))</f>
        <v/>
      </c>
      <c r="AL148" s="24">
        <f>IF(ROW()&lt;7,"",IF(OR(AJ148="",AJ145=""),"",IF(AJ145=0,"",(AJ148/AJ145)-1)))</f>
        <v/>
      </c>
      <c r="AM148" s="24">
        <f>IF(ROW()&lt;9,"",IF(OR(AJ148="",AJ143=""),"",IF(AJ143=0,"",(AJ148/AJ143)-1)))</f>
        <v/>
      </c>
      <c r="AN148" s="13">
        <f>IF(ROW()&lt;23,"",AVERAGE(AJ129:AJ148))</f>
        <v/>
      </c>
      <c r="AO148">
        <f>IF(OR(AJ148="",AN148=""),"",IF(AJ148&gt;AN148,"Bull","Bear"))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8">
        <f>IFERROR((M149/M148)-1,"")</f>
        <v/>
      </c>
      <c r="O149" s="24">
        <f>IF(OR(N149="",N148=""),"",IF(N148=0,"",(N149/N148)-1))</f>
        <v/>
      </c>
      <c r="P149" s="11">
        <f>IF(ROW()&lt;7,"",IF(OR(E149="",E146=""),"",IF(E146=0,"",(E149/E146)-1)))</f>
        <v/>
      </c>
      <c r="Q149" s="24">
        <f>IF(ROW()&lt;9,"",IF(OR(E149="",E144=""),"",IF(E144=0,"",(E149/E144)-1)))</f>
        <v/>
      </c>
      <c r="R149" s="24">
        <f>IF(ROW()&lt;7,"",IF(OR(G149="",G146=""),"",IF(G146=0,"",(G149/G146)-1)))</f>
        <v/>
      </c>
      <c r="S149" s="24">
        <f>IF(ROW()&lt;9,"",IF(OR(G149="",G144=""),"",IF(G144=0,"",(G149/G144)-1)))</f>
        <v/>
      </c>
      <c r="T149" s="24">
        <f>IF(ROW()&lt;7,"",IF(OR(L149="",L146=""),"",IF(L146=0,"",(L149/L146)-1)))</f>
        <v/>
      </c>
      <c r="U149" s="24">
        <f>IF(ROW()&lt;9,"",IF(OR(L149="",L144=""),"",IF(L144=0,"",(L149/L144)-1)))</f>
        <v/>
      </c>
      <c r="V149" s="24">
        <f>IF(ROW()&lt;7,"",IF(OR(N149="",N146=""),"",IF(N146=0,"",(N149/N146)-1)))</f>
        <v/>
      </c>
      <c r="W149" s="24">
        <f>IF(ROW()&lt;9,"",IF(OR(N149="",N144=""),"",IF(N144=0,"",(N149/N144)-1)))</f>
        <v/>
      </c>
      <c r="X149" s="24">
        <f>IF(OR(F149="",M149=""),"",F149-M149)</f>
        <v/>
      </c>
      <c r="Y149" s="24">
        <f>IF(OR(P149="",T149=""),"",P149-T149)</f>
        <v/>
      </c>
      <c r="Z149" s="24">
        <f>IF(OR(Q149="",U149=""),"",Q149-U149)</f>
        <v/>
      </c>
      <c r="AA149" s="24">
        <f>IF(OR(H149="",O149=""),"",H149-O149)</f>
        <v/>
      </c>
      <c r="AB149" s="24">
        <f>IF(OR(R149="",V149=""),"",R149-V149)</f>
        <v/>
      </c>
      <c r="AC149" s="24">
        <f>IF(OR(S149="",W149=""),"",S149-W149)</f>
        <v/>
      </c>
      <c r="AD149" s="13" t="n"/>
      <c r="AE149" s="24">
        <f>IF(OR(AD149="",AD148=""),"",IF(AD148=0,"",(AD149/AD148)-1))</f>
        <v/>
      </c>
      <c r="AF149" s="24">
        <f>IF(ROW()&lt;7,"",IF(OR(AD149="",AD146=""),"",IF(AD146=0,"",(AD149/AD146)-1)))</f>
        <v/>
      </c>
      <c r="AG149" s="24">
        <f>IF(ROW()&lt;9,"",IF(OR(AD149="",AD144=""),"",IF(AD144=0,"",(AD149/AD144)-1)))</f>
        <v/>
      </c>
      <c r="AH149" s="13">
        <f>IF(ROW()&lt;23,"",AVERAGE(AD130:AD149))</f>
        <v/>
      </c>
      <c r="AI149">
        <f>IF(OR(AD149="",AH149=""),"",IF(AD149&gt;AH149,"Bull","Bear"))</f>
        <v/>
      </c>
      <c r="AJ149" s="13" t="n"/>
      <c r="AK149" s="24">
        <f>IF(OR(AJ149="",AJ148=""),"",IF(AJ148=0,"",(AJ149/AJ148)-1))</f>
        <v/>
      </c>
      <c r="AL149" s="24">
        <f>IF(ROW()&lt;7,"",IF(OR(AJ149="",AJ146=""),"",IF(AJ146=0,"",(AJ149/AJ146)-1)))</f>
        <v/>
      </c>
      <c r="AM149" s="24">
        <f>IF(ROW()&lt;9,"",IF(OR(AJ149="",AJ144=""),"",IF(AJ144=0,"",(AJ149/AJ144)-1)))</f>
        <v/>
      </c>
      <c r="AN149" s="13">
        <f>IF(ROW()&lt;23,"",AVERAGE(AJ130:AJ149))</f>
        <v/>
      </c>
      <c r="AO149">
        <f>IF(OR(AJ149="",AN149=""),"",IF(AJ149&gt;AN149,"Bull","Bear"))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8">
        <f>IFERROR((M150/M149)-1,"")</f>
        <v/>
      </c>
      <c r="O150" s="24">
        <f>IF(OR(N150="",N149=""),"",IF(N149=0,"",(N150/N149)-1))</f>
        <v/>
      </c>
      <c r="P150" s="11">
        <f>IF(ROW()&lt;7,"",IF(OR(E150="",E147=""),"",IF(E147=0,"",(E150/E147)-1)))</f>
        <v/>
      </c>
      <c r="Q150" s="24">
        <f>IF(ROW()&lt;9,"",IF(OR(E150="",E145=""),"",IF(E145=0,"",(E150/E145)-1)))</f>
        <v/>
      </c>
      <c r="R150" s="24">
        <f>IF(ROW()&lt;7,"",IF(OR(G150="",G147=""),"",IF(G147=0,"",(G150/G147)-1)))</f>
        <v/>
      </c>
      <c r="S150" s="24">
        <f>IF(ROW()&lt;9,"",IF(OR(G150="",G145=""),"",IF(G145=0,"",(G150/G145)-1)))</f>
        <v/>
      </c>
      <c r="T150" s="24">
        <f>IF(ROW()&lt;7,"",IF(OR(L150="",L147=""),"",IF(L147=0,"",(L150/L147)-1)))</f>
        <v/>
      </c>
      <c r="U150" s="24">
        <f>IF(ROW()&lt;9,"",IF(OR(L150="",L145=""),"",IF(L145=0,"",(L150/L145)-1)))</f>
        <v/>
      </c>
      <c r="V150" s="24">
        <f>IF(ROW()&lt;7,"",IF(OR(N150="",N147=""),"",IF(N147=0,"",(N150/N147)-1)))</f>
        <v/>
      </c>
      <c r="W150" s="24">
        <f>IF(ROW()&lt;9,"",IF(OR(N150="",N145=""),"",IF(N145=0,"",(N150/N145)-1)))</f>
        <v/>
      </c>
      <c r="X150" s="24">
        <f>IF(OR(F150="",M150=""),"",F150-M150)</f>
        <v/>
      </c>
      <c r="Y150" s="24">
        <f>IF(OR(P150="",T150=""),"",P150-T150)</f>
        <v/>
      </c>
      <c r="Z150" s="24">
        <f>IF(OR(Q150="",U150=""),"",Q150-U150)</f>
        <v/>
      </c>
      <c r="AA150" s="24">
        <f>IF(OR(H150="",O150=""),"",H150-O150)</f>
        <v/>
      </c>
      <c r="AB150" s="24">
        <f>IF(OR(R150="",V150=""),"",R150-V150)</f>
        <v/>
      </c>
      <c r="AC150" s="24">
        <f>IF(OR(S150="",W150=""),"",S150-W150)</f>
        <v/>
      </c>
      <c r="AD150" s="13" t="n"/>
      <c r="AE150" s="24">
        <f>IF(OR(AD150="",AD149=""),"",IF(AD149=0,"",(AD150/AD149)-1))</f>
        <v/>
      </c>
      <c r="AF150" s="24">
        <f>IF(ROW()&lt;7,"",IF(OR(AD150="",AD147=""),"",IF(AD147=0,"",(AD150/AD147)-1)))</f>
        <v/>
      </c>
      <c r="AG150" s="24">
        <f>IF(ROW()&lt;9,"",IF(OR(AD150="",AD145=""),"",IF(AD145=0,"",(AD150/AD145)-1)))</f>
        <v/>
      </c>
      <c r="AH150" s="13">
        <f>IF(ROW()&lt;23,"",AVERAGE(AD131:AD150))</f>
        <v/>
      </c>
      <c r="AI150">
        <f>IF(OR(AD150="",AH150=""),"",IF(AD150&gt;AH150,"Bull","Bear"))</f>
        <v/>
      </c>
      <c r="AJ150" s="13" t="n"/>
      <c r="AK150" s="24">
        <f>IF(OR(AJ150="",AJ149=""),"",IF(AJ149=0,"",(AJ150/AJ149)-1))</f>
        <v/>
      </c>
      <c r="AL150" s="24">
        <f>IF(ROW()&lt;7,"",IF(OR(AJ150="",AJ147=""),"",IF(AJ147=0,"",(AJ150/AJ147)-1)))</f>
        <v/>
      </c>
      <c r="AM150" s="24">
        <f>IF(ROW()&lt;9,"",IF(OR(AJ150="",AJ145=""),"",IF(AJ145=0,"",(AJ150/AJ145)-1)))</f>
        <v/>
      </c>
      <c r="AN150" s="13">
        <f>IF(ROW()&lt;23,"",AVERAGE(AJ131:AJ150))</f>
        <v/>
      </c>
      <c r="AO150">
        <f>IF(OR(AJ150="",AN150=""),"",IF(AJ150&gt;AN150,"Bull","Bear"))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8">
        <f>IFERROR((M151/M150)-1,"")</f>
        <v/>
      </c>
      <c r="O151" s="24">
        <f>IF(OR(N151="",N150=""),"",IF(N150=0,"",(N151/N150)-1))</f>
        <v/>
      </c>
      <c r="P151" s="11">
        <f>IF(ROW()&lt;7,"",IF(OR(E151="",E148=""),"",IF(E148=0,"",(E151/E148)-1)))</f>
        <v/>
      </c>
      <c r="Q151" s="24">
        <f>IF(ROW()&lt;9,"",IF(OR(E151="",E146=""),"",IF(E146=0,"",(E151/E146)-1)))</f>
        <v/>
      </c>
      <c r="R151" s="24">
        <f>IF(ROW()&lt;7,"",IF(OR(G151="",G148=""),"",IF(G148=0,"",(G151/G148)-1)))</f>
        <v/>
      </c>
      <c r="S151" s="24">
        <f>IF(ROW()&lt;9,"",IF(OR(G151="",G146=""),"",IF(G146=0,"",(G151/G146)-1)))</f>
        <v/>
      </c>
      <c r="T151" s="24">
        <f>IF(ROW()&lt;7,"",IF(OR(L151="",L148=""),"",IF(L148=0,"",(L151/L148)-1)))</f>
        <v/>
      </c>
      <c r="U151" s="24">
        <f>IF(ROW()&lt;9,"",IF(OR(L151="",L146=""),"",IF(L146=0,"",(L151/L146)-1)))</f>
        <v/>
      </c>
      <c r="V151" s="24">
        <f>IF(ROW()&lt;7,"",IF(OR(N151="",N148=""),"",IF(N148=0,"",(N151/N148)-1)))</f>
        <v/>
      </c>
      <c r="W151" s="24">
        <f>IF(ROW()&lt;9,"",IF(OR(N151="",N146=""),"",IF(N146=0,"",(N151/N146)-1)))</f>
        <v/>
      </c>
      <c r="X151" s="24">
        <f>IF(OR(F151="",M151=""),"",F151-M151)</f>
        <v/>
      </c>
      <c r="Y151" s="24">
        <f>IF(OR(P151="",T151=""),"",P151-T151)</f>
        <v/>
      </c>
      <c r="Z151" s="24">
        <f>IF(OR(Q151="",U151=""),"",Q151-U151)</f>
        <v/>
      </c>
      <c r="AA151" s="24">
        <f>IF(OR(H151="",O151=""),"",H151-O151)</f>
        <v/>
      </c>
      <c r="AB151" s="24">
        <f>IF(OR(R151="",V151=""),"",R151-V151)</f>
        <v/>
      </c>
      <c r="AC151" s="24">
        <f>IF(OR(S151="",W151=""),"",S151-W151)</f>
        <v/>
      </c>
      <c r="AD151" s="13" t="n"/>
      <c r="AE151" s="24">
        <f>IF(OR(AD151="",AD150=""),"",IF(AD150=0,"",(AD151/AD150)-1))</f>
        <v/>
      </c>
      <c r="AF151" s="24">
        <f>IF(ROW()&lt;7,"",IF(OR(AD151="",AD148=""),"",IF(AD148=0,"",(AD151/AD148)-1)))</f>
        <v/>
      </c>
      <c r="AG151" s="24">
        <f>IF(ROW()&lt;9,"",IF(OR(AD151="",AD146=""),"",IF(AD146=0,"",(AD151/AD146)-1)))</f>
        <v/>
      </c>
      <c r="AH151" s="13">
        <f>IF(ROW()&lt;23,"",AVERAGE(AD132:AD151))</f>
        <v/>
      </c>
      <c r="AI151">
        <f>IF(OR(AD151="",AH151=""),"",IF(AD151&gt;AH151,"Bull","Bear"))</f>
        <v/>
      </c>
      <c r="AJ151" s="13" t="n"/>
      <c r="AK151" s="24">
        <f>IF(OR(AJ151="",AJ150=""),"",IF(AJ150=0,"",(AJ151/AJ150)-1))</f>
        <v/>
      </c>
      <c r="AL151" s="24">
        <f>IF(ROW()&lt;7,"",IF(OR(AJ151="",AJ148=""),"",IF(AJ148=0,"",(AJ151/AJ148)-1)))</f>
        <v/>
      </c>
      <c r="AM151" s="24">
        <f>IF(ROW()&lt;9,"",IF(OR(AJ151="",AJ146=""),"",IF(AJ146=0,"",(AJ151/AJ146)-1)))</f>
        <v/>
      </c>
      <c r="AN151" s="13">
        <f>IF(ROW()&lt;23,"",AVERAGE(AJ132:AJ151))</f>
        <v/>
      </c>
      <c r="AO151">
        <f>IF(OR(AJ151="",AN151=""),"",IF(AJ151&gt;AN151,"Bull","Bear"))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8">
        <f>IFERROR((M152/M151)-1,"")</f>
        <v/>
      </c>
      <c r="O152" s="24">
        <f>IF(OR(N152="",N151=""),"",IF(N151=0,"",(N152/N151)-1))</f>
        <v/>
      </c>
      <c r="P152" s="11">
        <f>IF(ROW()&lt;7,"",IF(OR(E152="",E149=""),"",IF(E149=0,"",(E152/E149)-1)))</f>
        <v/>
      </c>
      <c r="Q152" s="24">
        <f>IF(ROW()&lt;9,"",IF(OR(E152="",E147=""),"",IF(E147=0,"",(E152/E147)-1)))</f>
        <v/>
      </c>
      <c r="R152" s="24">
        <f>IF(ROW()&lt;7,"",IF(OR(G152="",G149=""),"",IF(G149=0,"",(G152/G149)-1)))</f>
        <v/>
      </c>
      <c r="S152" s="24">
        <f>IF(ROW()&lt;9,"",IF(OR(G152="",G147=""),"",IF(G147=0,"",(G152/G147)-1)))</f>
        <v/>
      </c>
      <c r="T152" s="24">
        <f>IF(ROW()&lt;7,"",IF(OR(L152="",L149=""),"",IF(L149=0,"",(L152/L149)-1)))</f>
        <v/>
      </c>
      <c r="U152" s="24">
        <f>IF(ROW()&lt;9,"",IF(OR(L152="",L147=""),"",IF(L147=0,"",(L152/L147)-1)))</f>
        <v/>
      </c>
      <c r="V152" s="24">
        <f>IF(ROW()&lt;7,"",IF(OR(N152="",N149=""),"",IF(N149=0,"",(N152/N149)-1)))</f>
        <v/>
      </c>
      <c r="W152" s="24">
        <f>IF(ROW()&lt;9,"",IF(OR(N152="",N147=""),"",IF(N147=0,"",(N152/N147)-1)))</f>
        <v/>
      </c>
      <c r="X152" s="24">
        <f>IF(OR(F152="",M152=""),"",F152-M152)</f>
        <v/>
      </c>
      <c r="Y152" s="24">
        <f>IF(OR(P152="",T152=""),"",P152-T152)</f>
        <v/>
      </c>
      <c r="Z152" s="24">
        <f>IF(OR(Q152="",U152=""),"",Q152-U152)</f>
        <v/>
      </c>
      <c r="AA152" s="24">
        <f>IF(OR(H152="",O152=""),"",H152-O152)</f>
        <v/>
      </c>
      <c r="AB152" s="24">
        <f>IF(OR(R152="",V152=""),"",R152-V152)</f>
        <v/>
      </c>
      <c r="AC152" s="24">
        <f>IF(OR(S152="",W152=""),"",S152-W152)</f>
        <v/>
      </c>
      <c r="AD152" s="13" t="n"/>
      <c r="AE152" s="24">
        <f>IF(OR(AD152="",AD151=""),"",IF(AD151=0,"",(AD152/AD151)-1))</f>
        <v/>
      </c>
      <c r="AF152" s="24">
        <f>IF(ROW()&lt;7,"",IF(OR(AD152="",AD149=""),"",IF(AD149=0,"",(AD152/AD149)-1)))</f>
        <v/>
      </c>
      <c r="AG152" s="24">
        <f>IF(ROW()&lt;9,"",IF(OR(AD152="",AD147=""),"",IF(AD147=0,"",(AD152/AD147)-1)))</f>
        <v/>
      </c>
      <c r="AH152" s="13">
        <f>IF(ROW()&lt;23,"",AVERAGE(AD133:AD152))</f>
        <v/>
      </c>
      <c r="AI152">
        <f>IF(OR(AD152="",AH152=""),"",IF(AD152&gt;AH152,"Bull","Bear"))</f>
        <v/>
      </c>
      <c r="AJ152" s="13" t="n"/>
      <c r="AK152" s="24">
        <f>IF(OR(AJ152="",AJ151=""),"",IF(AJ151=0,"",(AJ152/AJ151)-1))</f>
        <v/>
      </c>
      <c r="AL152" s="24">
        <f>IF(ROW()&lt;7,"",IF(OR(AJ152="",AJ149=""),"",IF(AJ149=0,"",(AJ152/AJ149)-1)))</f>
        <v/>
      </c>
      <c r="AM152" s="24">
        <f>IF(ROW()&lt;9,"",IF(OR(AJ152="",AJ147=""),"",IF(AJ147=0,"",(AJ152/AJ147)-1)))</f>
        <v/>
      </c>
      <c r="AN152" s="13">
        <f>IF(ROW()&lt;23,"",AVERAGE(AJ133:AJ152))</f>
        <v/>
      </c>
      <c r="AO152">
        <f>IF(OR(AJ152="",AN152=""),"",IF(AJ152&gt;AN152,"Bull","Bear"))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8">
        <f>IFERROR((M153/M152)-1,"")</f>
        <v/>
      </c>
      <c r="O153" s="24">
        <f>IF(OR(N153="",N152=""),"",IF(N152=0,"",(N153/N152)-1))</f>
        <v/>
      </c>
      <c r="P153" s="11">
        <f>IF(ROW()&lt;7,"",IF(OR(E153="",E150=""),"",IF(E150=0,"",(E153/E150)-1)))</f>
        <v/>
      </c>
      <c r="Q153" s="24">
        <f>IF(ROW()&lt;9,"",IF(OR(E153="",E148=""),"",IF(E148=0,"",(E153/E148)-1)))</f>
        <v/>
      </c>
      <c r="R153" s="24">
        <f>IF(ROW()&lt;7,"",IF(OR(G153="",G150=""),"",IF(G150=0,"",(G153/G150)-1)))</f>
        <v/>
      </c>
      <c r="S153" s="24">
        <f>IF(ROW()&lt;9,"",IF(OR(G153="",G148=""),"",IF(G148=0,"",(G153/G148)-1)))</f>
        <v/>
      </c>
      <c r="T153" s="24">
        <f>IF(ROW()&lt;7,"",IF(OR(L153="",L150=""),"",IF(L150=0,"",(L153/L150)-1)))</f>
        <v/>
      </c>
      <c r="U153" s="24">
        <f>IF(ROW()&lt;9,"",IF(OR(L153="",L148=""),"",IF(L148=0,"",(L153/L148)-1)))</f>
        <v/>
      </c>
      <c r="V153" s="24">
        <f>IF(ROW()&lt;7,"",IF(OR(N153="",N150=""),"",IF(N150=0,"",(N153/N150)-1)))</f>
        <v/>
      </c>
      <c r="W153" s="24">
        <f>IF(ROW()&lt;9,"",IF(OR(N153="",N148=""),"",IF(N148=0,"",(N153/N148)-1)))</f>
        <v/>
      </c>
      <c r="X153" s="24">
        <f>IF(OR(F153="",M153=""),"",F153-M153)</f>
        <v/>
      </c>
      <c r="Y153" s="24">
        <f>IF(OR(P153="",T153=""),"",P153-T153)</f>
        <v/>
      </c>
      <c r="Z153" s="24">
        <f>IF(OR(Q153="",U153=""),"",Q153-U153)</f>
        <v/>
      </c>
      <c r="AA153" s="24">
        <f>IF(OR(H153="",O153=""),"",H153-O153)</f>
        <v/>
      </c>
      <c r="AB153" s="24">
        <f>IF(OR(R153="",V153=""),"",R153-V153)</f>
        <v/>
      </c>
      <c r="AC153" s="24">
        <f>IF(OR(S153="",W153=""),"",S153-W153)</f>
        <v/>
      </c>
      <c r="AD153" s="13" t="n"/>
      <c r="AE153" s="24">
        <f>IF(OR(AD153="",AD152=""),"",IF(AD152=0,"",(AD153/AD152)-1))</f>
        <v/>
      </c>
      <c r="AF153" s="24">
        <f>IF(ROW()&lt;7,"",IF(OR(AD153="",AD150=""),"",IF(AD150=0,"",(AD153/AD150)-1)))</f>
        <v/>
      </c>
      <c r="AG153" s="24">
        <f>IF(ROW()&lt;9,"",IF(OR(AD153="",AD148=""),"",IF(AD148=0,"",(AD153/AD148)-1)))</f>
        <v/>
      </c>
      <c r="AH153" s="13">
        <f>IF(ROW()&lt;23,"",AVERAGE(AD134:AD153))</f>
        <v/>
      </c>
      <c r="AI153">
        <f>IF(OR(AD153="",AH153=""),"",IF(AD153&gt;AH153,"Bull","Bear"))</f>
        <v/>
      </c>
      <c r="AJ153" s="13" t="n"/>
      <c r="AK153" s="24">
        <f>IF(OR(AJ153="",AJ152=""),"",IF(AJ152=0,"",(AJ153/AJ152)-1))</f>
        <v/>
      </c>
      <c r="AL153" s="24">
        <f>IF(ROW()&lt;7,"",IF(OR(AJ153="",AJ150=""),"",IF(AJ150=0,"",(AJ153/AJ150)-1)))</f>
        <v/>
      </c>
      <c r="AM153" s="24">
        <f>IF(ROW()&lt;9,"",IF(OR(AJ153="",AJ148=""),"",IF(AJ148=0,"",(AJ153/AJ148)-1)))</f>
        <v/>
      </c>
      <c r="AN153" s="13">
        <f>IF(ROW()&lt;23,"",AVERAGE(AJ134:AJ153))</f>
        <v/>
      </c>
      <c r="AO153">
        <f>IF(OR(AJ153="",AN153=""),"",IF(AJ153&gt;AN153,"Bull","Bear"))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8">
        <f>IFERROR((M154/M153)-1,"")</f>
        <v/>
      </c>
      <c r="O154" s="24">
        <f>IF(OR(N154="",N153=""),"",IF(N153=0,"",(N154/N153)-1))</f>
        <v/>
      </c>
      <c r="P154" s="11">
        <f>IF(ROW()&lt;7,"",IF(OR(E154="",E151=""),"",IF(E151=0,"",(E154/E151)-1)))</f>
        <v/>
      </c>
      <c r="Q154" s="24">
        <f>IF(ROW()&lt;9,"",IF(OR(E154="",E149=""),"",IF(E149=0,"",(E154/E149)-1)))</f>
        <v/>
      </c>
      <c r="R154" s="24">
        <f>IF(ROW()&lt;7,"",IF(OR(G154="",G151=""),"",IF(G151=0,"",(G154/G151)-1)))</f>
        <v/>
      </c>
      <c r="S154" s="24">
        <f>IF(ROW()&lt;9,"",IF(OR(G154="",G149=""),"",IF(G149=0,"",(G154/G149)-1)))</f>
        <v/>
      </c>
      <c r="T154" s="24">
        <f>IF(ROW()&lt;7,"",IF(OR(L154="",L151=""),"",IF(L151=0,"",(L154/L151)-1)))</f>
        <v/>
      </c>
      <c r="U154" s="24">
        <f>IF(ROW()&lt;9,"",IF(OR(L154="",L149=""),"",IF(L149=0,"",(L154/L149)-1)))</f>
        <v/>
      </c>
      <c r="V154" s="24">
        <f>IF(ROW()&lt;7,"",IF(OR(N154="",N151=""),"",IF(N151=0,"",(N154/N151)-1)))</f>
        <v/>
      </c>
      <c r="W154" s="24">
        <f>IF(ROW()&lt;9,"",IF(OR(N154="",N149=""),"",IF(N149=0,"",(N154/N149)-1)))</f>
        <v/>
      </c>
      <c r="X154" s="24">
        <f>IF(OR(F154="",M154=""),"",F154-M154)</f>
        <v/>
      </c>
      <c r="Y154" s="24">
        <f>IF(OR(P154="",T154=""),"",P154-T154)</f>
        <v/>
      </c>
      <c r="Z154" s="24">
        <f>IF(OR(Q154="",U154=""),"",Q154-U154)</f>
        <v/>
      </c>
      <c r="AA154" s="24">
        <f>IF(OR(H154="",O154=""),"",H154-O154)</f>
        <v/>
      </c>
      <c r="AB154" s="24">
        <f>IF(OR(R154="",V154=""),"",R154-V154)</f>
        <v/>
      </c>
      <c r="AC154" s="24">
        <f>IF(OR(S154="",W154=""),"",S154-W154)</f>
        <v/>
      </c>
      <c r="AD154" s="13" t="n"/>
      <c r="AE154" s="24">
        <f>IF(OR(AD154="",AD153=""),"",IF(AD153=0,"",(AD154/AD153)-1))</f>
        <v/>
      </c>
      <c r="AF154" s="24">
        <f>IF(ROW()&lt;7,"",IF(OR(AD154="",AD151=""),"",IF(AD151=0,"",(AD154/AD151)-1)))</f>
        <v/>
      </c>
      <c r="AG154" s="24">
        <f>IF(ROW()&lt;9,"",IF(OR(AD154="",AD149=""),"",IF(AD149=0,"",(AD154/AD149)-1)))</f>
        <v/>
      </c>
      <c r="AH154" s="13">
        <f>IF(ROW()&lt;23,"",AVERAGE(AD135:AD154))</f>
        <v/>
      </c>
      <c r="AI154">
        <f>IF(OR(AD154="",AH154=""),"",IF(AD154&gt;AH154,"Bull","Bear"))</f>
        <v/>
      </c>
      <c r="AJ154" s="13" t="n"/>
      <c r="AK154" s="24">
        <f>IF(OR(AJ154="",AJ153=""),"",IF(AJ153=0,"",(AJ154/AJ153)-1))</f>
        <v/>
      </c>
      <c r="AL154" s="24">
        <f>IF(ROW()&lt;7,"",IF(OR(AJ154="",AJ151=""),"",IF(AJ151=0,"",(AJ154/AJ151)-1)))</f>
        <v/>
      </c>
      <c r="AM154" s="24">
        <f>IF(ROW()&lt;9,"",IF(OR(AJ154="",AJ149=""),"",IF(AJ149=0,"",(AJ154/AJ149)-1)))</f>
        <v/>
      </c>
      <c r="AN154" s="13">
        <f>IF(ROW()&lt;23,"",AVERAGE(AJ135:AJ154))</f>
        <v/>
      </c>
      <c r="AO154">
        <f>IF(OR(AJ154="",AN154=""),"",IF(AJ154&gt;AN154,"Bull","Bear"))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8">
        <f>IFERROR((M155/M154)-1,"")</f>
        <v/>
      </c>
      <c r="O155" s="24">
        <f>IF(OR(N155="",N154=""),"",IF(N154=0,"",(N155/N154)-1))</f>
        <v/>
      </c>
      <c r="P155" s="11">
        <f>IF(ROW()&lt;7,"",IF(OR(E155="",E152=""),"",IF(E152=0,"",(E155/E152)-1)))</f>
        <v/>
      </c>
      <c r="Q155" s="24">
        <f>IF(ROW()&lt;9,"",IF(OR(E155="",E150=""),"",IF(E150=0,"",(E155/E150)-1)))</f>
        <v/>
      </c>
      <c r="R155" s="24">
        <f>IF(ROW()&lt;7,"",IF(OR(G155="",G152=""),"",IF(G152=0,"",(G155/G152)-1)))</f>
        <v/>
      </c>
      <c r="S155" s="24">
        <f>IF(ROW()&lt;9,"",IF(OR(G155="",G150=""),"",IF(G150=0,"",(G155/G150)-1)))</f>
        <v/>
      </c>
      <c r="T155" s="24">
        <f>IF(ROW()&lt;7,"",IF(OR(L155="",L152=""),"",IF(L152=0,"",(L155/L152)-1)))</f>
        <v/>
      </c>
      <c r="U155" s="24">
        <f>IF(ROW()&lt;9,"",IF(OR(L155="",L150=""),"",IF(L150=0,"",(L155/L150)-1)))</f>
        <v/>
      </c>
      <c r="V155" s="24">
        <f>IF(ROW()&lt;7,"",IF(OR(N155="",N152=""),"",IF(N152=0,"",(N155/N152)-1)))</f>
        <v/>
      </c>
      <c r="W155" s="24">
        <f>IF(ROW()&lt;9,"",IF(OR(N155="",N150=""),"",IF(N150=0,"",(N155/N150)-1)))</f>
        <v/>
      </c>
      <c r="X155" s="24">
        <f>IF(OR(F155="",M155=""),"",F155-M155)</f>
        <v/>
      </c>
      <c r="Y155" s="24">
        <f>IF(OR(P155="",T155=""),"",P155-T155)</f>
        <v/>
      </c>
      <c r="Z155" s="24">
        <f>IF(OR(Q155="",U155=""),"",Q155-U155)</f>
        <v/>
      </c>
      <c r="AA155" s="24">
        <f>IF(OR(H155="",O155=""),"",H155-O155)</f>
        <v/>
      </c>
      <c r="AB155" s="24">
        <f>IF(OR(R155="",V155=""),"",R155-V155)</f>
        <v/>
      </c>
      <c r="AC155" s="24">
        <f>IF(OR(S155="",W155=""),"",S155-W155)</f>
        <v/>
      </c>
      <c r="AD155" s="13" t="n"/>
      <c r="AE155" s="24">
        <f>IF(OR(AD155="",AD154=""),"",IF(AD154=0,"",(AD155/AD154)-1))</f>
        <v/>
      </c>
      <c r="AF155" s="24">
        <f>IF(ROW()&lt;7,"",IF(OR(AD155="",AD152=""),"",IF(AD152=0,"",(AD155/AD152)-1)))</f>
        <v/>
      </c>
      <c r="AG155" s="24">
        <f>IF(ROW()&lt;9,"",IF(OR(AD155="",AD150=""),"",IF(AD150=0,"",(AD155/AD150)-1)))</f>
        <v/>
      </c>
      <c r="AH155" s="13">
        <f>IF(ROW()&lt;23,"",AVERAGE(AD136:AD155))</f>
        <v/>
      </c>
      <c r="AI155">
        <f>IF(OR(AD155="",AH155=""),"",IF(AD155&gt;AH155,"Bull","Bear"))</f>
        <v/>
      </c>
      <c r="AJ155" s="13" t="n"/>
      <c r="AK155" s="24">
        <f>IF(OR(AJ155="",AJ154=""),"",IF(AJ154=0,"",(AJ155/AJ154)-1))</f>
        <v/>
      </c>
      <c r="AL155" s="24">
        <f>IF(ROW()&lt;7,"",IF(OR(AJ155="",AJ152=""),"",IF(AJ152=0,"",(AJ155/AJ152)-1)))</f>
        <v/>
      </c>
      <c r="AM155" s="24">
        <f>IF(ROW()&lt;9,"",IF(OR(AJ155="",AJ150=""),"",IF(AJ150=0,"",(AJ155/AJ150)-1)))</f>
        <v/>
      </c>
      <c r="AN155" s="13">
        <f>IF(ROW()&lt;23,"",AVERAGE(AJ136:AJ155))</f>
        <v/>
      </c>
      <c r="AO155">
        <f>IF(OR(AJ155="",AN155=""),"",IF(AJ155&gt;AN155,"Bull","Bear"))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8">
        <f>IFERROR((M156/M155)-1,"")</f>
        <v/>
      </c>
      <c r="O156" s="24">
        <f>IF(OR(N156="",N155=""),"",IF(N155=0,"",(N156/N155)-1))</f>
        <v/>
      </c>
      <c r="P156" s="11">
        <f>IF(ROW()&lt;7,"",IF(OR(E156="",E153=""),"",IF(E153=0,"",(E156/E153)-1)))</f>
        <v/>
      </c>
      <c r="Q156" s="24">
        <f>IF(ROW()&lt;9,"",IF(OR(E156="",E151=""),"",IF(E151=0,"",(E156/E151)-1)))</f>
        <v/>
      </c>
      <c r="R156" s="24">
        <f>IF(ROW()&lt;7,"",IF(OR(G156="",G153=""),"",IF(G153=0,"",(G156/G153)-1)))</f>
        <v/>
      </c>
      <c r="S156" s="24">
        <f>IF(ROW()&lt;9,"",IF(OR(G156="",G151=""),"",IF(G151=0,"",(G156/G151)-1)))</f>
        <v/>
      </c>
      <c r="T156" s="24">
        <f>IF(ROW()&lt;7,"",IF(OR(L156="",L153=""),"",IF(L153=0,"",(L156/L153)-1)))</f>
        <v/>
      </c>
      <c r="U156" s="24">
        <f>IF(ROW()&lt;9,"",IF(OR(L156="",L151=""),"",IF(L151=0,"",(L156/L151)-1)))</f>
        <v/>
      </c>
      <c r="V156" s="24">
        <f>IF(ROW()&lt;7,"",IF(OR(N156="",N153=""),"",IF(N153=0,"",(N156/N153)-1)))</f>
        <v/>
      </c>
      <c r="W156" s="24">
        <f>IF(ROW()&lt;9,"",IF(OR(N156="",N151=""),"",IF(N151=0,"",(N156/N151)-1)))</f>
        <v/>
      </c>
      <c r="X156" s="24">
        <f>IF(OR(F156="",M156=""),"",F156-M156)</f>
        <v/>
      </c>
      <c r="Y156" s="24">
        <f>IF(OR(P156="",T156=""),"",P156-T156)</f>
        <v/>
      </c>
      <c r="Z156" s="24">
        <f>IF(OR(Q156="",U156=""),"",Q156-U156)</f>
        <v/>
      </c>
      <c r="AA156" s="24">
        <f>IF(OR(H156="",O156=""),"",H156-O156)</f>
        <v/>
      </c>
      <c r="AB156" s="24">
        <f>IF(OR(R156="",V156=""),"",R156-V156)</f>
        <v/>
      </c>
      <c r="AC156" s="24">
        <f>IF(OR(S156="",W156=""),"",S156-W156)</f>
        <v/>
      </c>
      <c r="AD156" s="13" t="n"/>
      <c r="AE156" s="24">
        <f>IF(OR(AD156="",AD155=""),"",IF(AD155=0,"",(AD156/AD155)-1))</f>
        <v/>
      </c>
      <c r="AF156" s="24">
        <f>IF(ROW()&lt;7,"",IF(OR(AD156="",AD153=""),"",IF(AD153=0,"",(AD156/AD153)-1)))</f>
        <v/>
      </c>
      <c r="AG156" s="24">
        <f>IF(ROW()&lt;9,"",IF(OR(AD156="",AD151=""),"",IF(AD151=0,"",(AD156/AD151)-1)))</f>
        <v/>
      </c>
      <c r="AH156" s="13">
        <f>IF(ROW()&lt;23,"",AVERAGE(AD137:AD156))</f>
        <v/>
      </c>
      <c r="AI156">
        <f>IF(OR(AD156="",AH156=""),"",IF(AD156&gt;AH156,"Bull","Bear"))</f>
        <v/>
      </c>
      <c r="AJ156" s="13" t="n"/>
      <c r="AK156" s="24">
        <f>IF(OR(AJ156="",AJ155=""),"",IF(AJ155=0,"",(AJ156/AJ155)-1))</f>
        <v/>
      </c>
      <c r="AL156" s="24">
        <f>IF(ROW()&lt;7,"",IF(OR(AJ156="",AJ153=""),"",IF(AJ153=0,"",(AJ156/AJ153)-1)))</f>
        <v/>
      </c>
      <c r="AM156" s="24">
        <f>IF(ROW()&lt;9,"",IF(OR(AJ156="",AJ151=""),"",IF(AJ151=0,"",(AJ156/AJ151)-1)))</f>
        <v/>
      </c>
      <c r="AN156" s="13">
        <f>IF(ROW()&lt;23,"",AVERAGE(AJ137:AJ156))</f>
        <v/>
      </c>
      <c r="AO156">
        <f>IF(OR(AJ156="",AN156=""),"",IF(AJ156&gt;AN156,"Bull","Bear"))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8">
        <f>IFERROR((M157/M156)-1,"")</f>
        <v/>
      </c>
      <c r="O157" s="24">
        <f>IF(OR(N157="",N156=""),"",IF(N156=0,"",(N157/N156)-1))</f>
        <v/>
      </c>
      <c r="P157" s="11">
        <f>IF(ROW()&lt;7,"",IF(OR(E157="",E154=""),"",IF(E154=0,"",(E157/E154)-1)))</f>
        <v/>
      </c>
      <c r="Q157" s="24">
        <f>IF(ROW()&lt;9,"",IF(OR(E157="",E152=""),"",IF(E152=0,"",(E157/E152)-1)))</f>
        <v/>
      </c>
      <c r="R157" s="24">
        <f>IF(ROW()&lt;7,"",IF(OR(G157="",G154=""),"",IF(G154=0,"",(G157/G154)-1)))</f>
        <v/>
      </c>
      <c r="S157" s="24">
        <f>IF(ROW()&lt;9,"",IF(OR(G157="",G152=""),"",IF(G152=0,"",(G157/G152)-1)))</f>
        <v/>
      </c>
      <c r="T157" s="24">
        <f>IF(ROW()&lt;7,"",IF(OR(L157="",L154=""),"",IF(L154=0,"",(L157/L154)-1)))</f>
        <v/>
      </c>
      <c r="U157" s="24">
        <f>IF(ROW()&lt;9,"",IF(OR(L157="",L152=""),"",IF(L152=0,"",(L157/L152)-1)))</f>
        <v/>
      </c>
      <c r="V157" s="24">
        <f>IF(ROW()&lt;7,"",IF(OR(N157="",N154=""),"",IF(N154=0,"",(N157/N154)-1)))</f>
        <v/>
      </c>
      <c r="W157" s="24">
        <f>IF(ROW()&lt;9,"",IF(OR(N157="",N152=""),"",IF(N152=0,"",(N157/N152)-1)))</f>
        <v/>
      </c>
      <c r="X157" s="24">
        <f>IF(OR(F157="",M157=""),"",F157-M157)</f>
        <v/>
      </c>
      <c r="Y157" s="24">
        <f>IF(OR(P157="",T157=""),"",P157-T157)</f>
        <v/>
      </c>
      <c r="Z157" s="24">
        <f>IF(OR(Q157="",U157=""),"",Q157-U157)</f>
        <v/>
      </c>
      <c r="AA157" s="24">
        <f>IF(OR(H157="",O157=""),"",H157-O157)</f>
        <v/>
      </c>
      <c r="AB157" s="24">
        <f>IF(OR(R157="",V157=""),"",R157-V157)</f>
        <v/>
      </c>
      <c r="AC157" s="24">
        <f>IF(OR(S157="",W157=""),"",S157-W157)</f>
        <v/>
      </c>
      <c r="AD157" s="13" t="n"/>
      <c r="AE157" s="24">
        <f>IF(OR(AD157="",AD156=""),"",IF(AD156=0,"",(AD157/AD156)-1))</f>
        <v/>
      </c>
      <c r="AF157" s="24">
        <f>IF(ROW()&lt;7,"",IF(OR(AD157="",AD154=""),"",IF(AD154=0,"",(AD157/AD154)-1)))</f>
        <v/>
      </c>
      <c r="AG157" s="24">
        <f>IF(ROW()&lt;9,"",IF(OR(AD157="",AD152=""),"",IF(AD152=0,"",(AD157/AD152)-1)))</f>
        <v/>
      </c>
      <c r="AH157" s="13">
        <f>IF(ROW()&lt;23,"",AVERAGE(AD138:AD157))</f>
        <v/>
      </c>
      <c r="AI157">
        <f>IF(OR(AD157="",AH157=""),"",IF(AD157&gt;AH157,"Bull","Bear"))</f>
        <v/>
      </c>
      <c r="AJ157" s="13" t="n"/>
      <c r="AK157" s="24">
        <f>IF(OR(AJ157="",AJ156=""),"",IF(AJ156=0,"",(AJ157/AJ156)-1))</f>
        <v/>
      </c>
      <c r="AL157" s="24">
        <f>IF(ROW()&lt;7,"",IF(OR(AJ157="",AJ154=""),"",IF(AJ154=0,"",(AJ157/AJ154)-1)))</f>
        <v/>
      </c>
      <c r="AM157" s="24">
        <f>IF(ROW()&lt;9,"",IF(OR(AJ157="",AJ152=""),"",IF(AJ152=0,"",(AJ157/AJ152)-1)))</f>
        <v/>
      </c>
      <c r="AN157" s="13">
        <f>IF(ROW()&lt;23,"",AVERAGE(AJ138:AJ157))</f>
        <v/>
      </c>
      <c r="AO157">
        <f>IF(OR(AJ157="",AN157=""),"",IF(AJ157&gt;AN157,"Bull","Bear"))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8">
        <f>IFERROR((M158/M157)-1,"")</f>
        <v/>
      </c>
      <c r="O158" s="24">
        <f>IF(OR(N158="",N157=""),"",IF(N157=0,"",(N158/N157)-1))</f>
        <v/>
      </c>
      <c r="P158" s="11">
        <f>IF(ROW()&lt;7,"",IF(OR(E158="",E155=""),"",IF(E155=0,"",(E158/E155)-1)))</f>
        <v/>
      </c>
      <c r="Q158" s="24">
        <f>IF(ROW()&lt;9,"",IF(OR(E158="",E153=""),"",IF(E153=0,"",(E158/E153)-1)))</f>
        <v/>
      </c>
      <c r="R158" s="24">
        <f>IF(ROW()&lt;7,"",IF(OR(G158="",G155=""),"",IF(G155=0,"",(G158/G155)-1)))</f>
        <v/>
      </c>
      <c r="S158" s="24">
        <f>IF(ROW()&lt;9,"",IF(OR(G158="",G153=""),"",IF(G153=0,"",(G158/G153)-1)))</f>
        <v/>
      </c>
      <c r="T158" s="24">
        <f>IF(ROW()&lt;7,"",IF(OR(L158="",L155=""),"",IF(L155=0,"",(L158/L155)-1)))</f>
        <v/>
      </c>
      <c r="U158" s="24">
        <f>IF(ROW()&lt;9,"",IF(OR(L158="",L153=""),"",IF(L153=0,"",(L158/L153)-1)))</f>
        <v/>
      </c>
      <c r="V158" s="24">
        <f>IF(ROW()&lt;7,"",IF(OR(N158="",N155=""),"",IF(N155=0,"",(N158/N155)-1)))</f>
        <v/>
      </c>
      <c r="W158" s="24">
        <f>IF(ROW()&lt;9,"",IF(OR(N158="",N153=""),"",IF(N153=0,"",(N158/N153)-1)))</f>
        <v/>
      </c>
      <c r="X158" s="24">
        <f>IF(OR(F158="",M158=""),"",F158-M158)</f>
        <v/>
      </c>
      <c r="Y158" s="24">
        <f>IF(OR(P158="",T158=""),"",P158-T158)</f>
        <v/>
      </c>
      <c r="Z158" s="24">
        <f>IF(OR(Q158="",U158=""),"",Q158-U158)</f>
        <v/>
      </c>
      <c r="AA158" s="24">
        <f>IF(OR(H158="",O158=""),"",H158-O158)</f>
        <v/>
      </c>
      <c r="AB158" s="24">
        <f>IF(OR(R158="",V158=""),"",R158-V158)</f>
        <v/>
      </c>
      <c r="AC158" s="24">
        <f>IF(OR(S158="",W158=""),"",S158-W158)</f>
        <v/>
      </c>
      <c r="AD158" s="13" t="n"/>
      <c r="AE158" s="24">
        <f>IF(OR(AD158="",AD157=""),"",IF(AD157=0,"",(AD158/AD157)-1))</f>
        <v/>
      </c>
      <c r="AF158" s="24">
        <f>IF(ROW()&lt;7,"",IF(OR(AD158="",AD155=""),"",IF(AD155=0,"",(AD158/AD155)-1)))</f>
        <v/>
      </c>
      <c r="AG158" s="24">
        <f>IF(ROW()&lt;9,"",IF(OR(AD158="",AD153=""),"",IF(AD153=0,"",(AD158/AD153)-1)))</f>
        <v/>
      </c>
      <c r="AH158" s="13">
        <f>IF(ROW()&lt;23,"",AVERAGE(AD139:AD158))</f>
        <v/>
      </c>
      <c r="AI158">
        <f>IF(OR(AD158="",AH158=""),"",IF(AD158&gt;AH158,"Bull","Bear"))</f>
        <v/>
      </c>
      <c r="AJ158" s="13" t="n"/>
      <c r="AK158" s="24">
        <f>IF(OR(AJ158="",AJ157=""),"",IF(AJ157=0,"",(AJ158/AJ157)-1))</f>
        <v/>
      </c>
      <c r="AL158" s="24">
        <f>IF(ROW()&lt;7,"",IF(OR(AJ158="",AJ155=""),"",IF(AJ155=0,"",(AJ158/AJ155)-1)))</f>
        <v/>
      </c>
      <c r="AM158" s="24">
        <f>IF(ROW()&lt;9,"",IF(OR(AJ158="",AJ153=""),"",IF(AJ153=0,"",(AJ158/AJ153)-1)))</f>
        <v/>
      </c>
      <c r="AN158" s="13">
        <f>IF(ROW()&lt;23,"",AVERAGE(AJ139:AJ158))</f>
        <v/>
      </c>
      <c r="AO158">
        <f>IF(OR(AJ158="",AN158=""),"",IF(AJ158&gt;AN158,"Bull","Bear"))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8">
        <f>IFERROR((M159/M158)-1,"")</f>
        <v/>
      </c>
      <c r="O159" s="24">
        <f>IF(OR(N159="",N158=""),"",IF(N158=0,"",(N159/N158)-1))</f>
        <v/>
      </c>
      <c r="P159" s="11">
        <f>IF(ROW()&lt;7,"",IF(OR(E159="",E156=""),"",IF(E156=0,"",(E159/E156)-1)))</f>
        <v/>
      </c>
      <c r="Q159" s="24">
        <f>IF(ROW()&lt;9,"",IF(OR(E159="",E154=""),"",IF(E154=0,"",(E159/E154)-1)))</f>
        <v/>
      </c>
      <c r="R159" s="24">
        <f>IF(ROW()&lt;7,"",IF(OR(G159="",G156=""),"",IF(G156=0,"",(G159/G156)-1)))</f>
        <v/>
      </c>
      <c r="S159" s="24">
        <f>IF(ROW()&lt;9,"",IF(OR(G159="",G154=""),"",IF(G154=0,"",(G159/G154)-1)))</f>
        <v/>
      </c>
      <c r="T159" s="24">
        <f>IF(ROW()&lt;7,"",IF(OR(L159="",L156=""),"",IF(L156=0,"",(L159/L156)-1)))</f>
        <v/>
      </c>
      <c r="U159" s="24">
        <f>IF(ROW()&lt;9,"",IF(OR(L159="",L154=""),"",IF(L154=0,"",(L159/L154)-1)))</f>
        <v/>
      </c>
      <c r="V159" s="24">
        <f>IF(ROW()&lt;7,"",IF(OR(N159="",N156=""),"",IF(N156=0,"",(N159/N156)-1)))</f>
        <v/>
      </c>
      <c r="W159" s="24">
        <f>IF(ROW()&lt;9,"",IF(OR(N159="",N154=""),"",IF(N154=0,"",(N159/N154)-1)))</f>
        <v/>
      </c>
      <c r="X159" s="24">
        <f>IF(OR(F159="",M159=""),"",F159-M159)</f>
        <v/>
      </c>
      <c r="Y159" s="24">
        <f>IF(OR(P159="",T159=""),"",P159-T159)</f>
        <v/>
      </c>
      <c r="Z159" s="24">
        <f>IF(OR(Q159="",U159=""),"",Q159-U159)</f>
        <v/>
      </c>
      <c r="AA159" s="24">
        <f>IF(OR(H159="",O159=""),"",H159-O159)</f>
        <v/>
      </c>
      <c r="AB159" s="24">
        <f>IF(OR(R159="",V159=""),"",R159-V159)</f>
        <v/>
      </c>
      <c r="AC159" s="24">
        <f>IF(OR(S159="",W159=""),"",S159-W159)</f>
        <v/>
      </c>
      <c r="AD159" s="13" t="n"/>
      <c r="AE159" s="24">
        <f>IF(OR(AD159="",AD158=""),"",IF(AD158=0,"",(AD159/AD158)-1))</f>
        <v/>
      </c>
      <c r="AF159" s="24">
        <f>IF(ROW()&lt;7,"",IF(OR(AD159="",AD156=""),"",IF(AD156=0,"",(AD159/AD156)-1)))</f>
        <v/>
      </c>
      <c r="AG159" s="24">
        <f>IF(ROW()&lt;9,"",IF(OR(AD159="",AD154=""),"",IF(AD154=0,"",(AD159/AD154)-1)))</f>
        <v/>
      </c>
      <c r="AH159" s="13">
        <f>IF(ROW()&lt;23,"",AVERAGE(AD140:AD159))</f>
        <v/>
      </c>
      <c r="AI159">
        <f>IF(OR(AD159="",AH159=""),"",IF(AD159&gt;AH159,"Bull","Bear"))</f>
        <v/>
      </c>
      <c r="AJ159" s="13" t="n"/>
      <c r="AK159" s="24">
        <f>IF(OR(AJ159="",AJ158=""),"",IF(AJ158=0,"",(AJ159/AJ158)-1))</f>
        <v/>
      </c>
      <c r="AL159" s="24">
        <f>IF(ROW()&lt;7,"",IF(OR(AJ159="",AJ156=""),"",IF(AJ156=0,"",(AJ159/AJ156)-1)))</f>
        <v/>
      </c>
      <c r="AM159" s="24">
        <f>IF(ROW()&lt;9,"",IF(OR(AJ159="",AJ154=""),"",IF(AJ154=0,"",(AJ159/AJ154)-1)))</f>
        <v/>
      </c>
      <c r="AN159" s="13">
        <f>IF(ROW()&lt;23,"",AVERAGE(AJ140:AJ159))</f>
        <v/>
      </c>
      <c r="AO159">
        <f>IF(OR(AJ159="",AN159=""),"",IF(AJ159&gt;AN159,"Bull","Bear"))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8">
        <f>IFERROR((M160/M159)-1,"")</f>
        <v/>
      </c>
      <c r="O160" s="24">
        <f>IF(OR(N160="",N159=""),"",IF(N159=0,"",(N160/N159)-1))</f>
        <v/>
      </c>
      <c r="P160" s="11">
        <f>IF(ROW()&lt;7,"",IF(OR(E160="",E157=""),"",IF(E157=0,"",(E160/E157)-1)))</f>
        <v/>
      </c>
      <c r="Q160" s="24">
        <f>IF(ROW()&lt;9,"",IF(OR(E160="",E155=""),"",IF(E155=0,"",(E160/E155)-1)))</f>
        <v/>
      </c>
      <c r="R160" s="24">
        <f>IF(ROW()&lt;7,"",IF(OR(G160="",G157=""),"",IF(G157=0,"",(G160/G157)-1)))</f>
        <v/>
      </c>
      <c r="S160" s="24">
        <f>IF(ROW()&lt;9,"",IF(OR(G160="",G155=""),"",IF(G155=0,"",(G160/G155)-1)))</f>
        <v/>
      </c>
      <c r="T160" s="24">
        <f>IF(ROW()&lt;7,"",IF(OR(L160="",L157=""),"",IF(L157=0,"",(L160/L157)-1)))</f>
        <v/>
      </c>
      <c r="U160" s="24">
        <f>IF(ROW()&lt;9,"",IF(OR(L160="",L155=""),"",IF(L155=0,"",(L160/L155)-1)))</f>
        <v/>
      </c>
      <c r="V160" s="24">
        <f>IF(ROW()&lt;7,"",IF(OR(N160="",N157=""),"",IF(N157=0,"",(N160/N157)-1)))</f>
        <v/>
      </c>
      <c r="W160" s="24">
        <f>IF(ROW()&lt;9,"",IF(OR(N160="",N155=""),"",IF(N155=0,"",(N160/N155)-1)))</f>
        <v/>
      </c>
      <c r="X160" s="24">
        <f>IF(OR(F160="",M160=""),"",F160-M160)</f>
        <v/>
      </c>
      <c r="Y160" s="24">
        <f>IF(OR(P160="",T160=""),"",P160-T160)</f>
        <v/>
      </c>
      <c r="Z160" s="24">
        <f>IF(OR(Q160="",U160=""),"",Q160-U160)</f>
        <v/>
      </c>
      <c r="AA160" s="24">
        <f>IF(OR(H160="",O160=""),"",H160-O160)</f>
        <v/>
      </c>
      <c r="AB160" s="24">
        <f>IF(OR(R160="",V160=""),"",R160-V160)</f>
        <v/>
      </c>
      <c r="AC160" s="24">
        <f>IF(OR(S160="",W160=""),"",S160-W160)</f>
        <v/>
      </c>
      <c r="AD160" s="13" t="n"/>
      <c r="AE160" s="24">
        <f>IF(OR(AD160="",AD159=""),"",IF(AD159=0,"",(AD160/AD159)-1))</f>
        <v/>
      </c>
      <c r="AF160" s="24">
        <f>IF(ROW()&lt;7,"",IF(OR(AD160="",AD157=""),"",IF(AD157=0,"",(AD160/AD157)-1)))</f>
        <v/>
      </c>
      <c r="AG160" s="24">
        <f>IF(ROW()&lt;9,"",IF(OR(AD160="",AD155=""),"",IF(AD155=0,"",(AD160/AD155)-1)))</f>
        <v/>
      </c>
      <c r="AH160" s="13">
        <f>IF(ROW()&lt;23,"",AVERAGE(AD141:AD160))</f>
        <v/>
      </c>
      <c r="AI160">
        <f>IF(OR(AD160="",AH160=""),"",IF(AD160&gt;AH160,"Bull","Bear"))</f>
        <v/>
      </c>
      <c r="AJ160" s="13" t="n"/>
      <c r="AK160" s="24">
        <f>IF(OR(AJ160="",AJ159=""),"",IF(AJ159=0,"",(AJ160/AJ159)-1))</f>
        <v/>
      </c>
      <c r="AL160" s="24">
        <f>IF(ROW()&lt;7,"",IF(OR(AJ160="",AJ157=""),"",IF(AJ157=0,"",(AJ160/AJ157)-1)))</f>
        <v/>
      </c>
      <c r="AM160" s="24">
        <f>IF(ROW()&lt;9,"",IF(OR(AJ160="",AJ155=""),"",IF(AJ155=0,"",(AJ160/AJ155)-1)))</f>
        <v/>
      </c>
      <c r="AN160" s="13">
        <f>IF(ROW()&lt;23,"",AVERAGE(AJ141:AJ160))</f>
        <v/>
      </c>
      <c r="AO160">
        <f>IF(OR(AJ160="",AN160=""),"",IF(AJ160&gt;AN160,"Bull","Bear"))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8">
        <f>IFERROR((M161/M160)-1,"")</f>
        <v/>
      </c>
      <c r="O161" s="24">
        <f>IF(OR(N161="",N160=""),"",IF(N160=0,"",(N161/N160)-1))</f>
        <v/>
      </c>
      <c r="P161" s="11">
        <f>IF(ROW()&lt;7,"",IF(OR(E161="",E158=""),"",IF(E158=0,"",(E161/E158)-1)))</f>
        <v/>
      </c>
      <c r="Q161" s="24">
        <f>IF(ROW()&lt;9,"",IF(OR(E161="",E156=""),"",IF(E156=0,"",(E161/E156)-1)))</f>
        <v/>
      </c>
      <c r="R161" s="24">
        <f>IF(ROW()&lt;7,"",IF(OR(G161="",G158=""),"",IF(G158=0,"",(G161/G158)-1)))</f>
        <v/>
      </c>
      <c r="S161" s="24">
        <f>IF(ROW()&lt;9,"",IF(OR(G161="",G156=""),"",IF(G156=0,"",(G161/G156)-1)))</f>
        <v/>
      </c>
      <c r="T161" s="24">
        <f>IF(ROW()&lt;7,"",IF(OR(L161="",L158=""),"",IF(L158=0,"",(L161/L158)-1)))</f>
        <v/>
      </c>
      <c r="U161" s="24">
        <f>IF(ROW()&lt;9,"",IF(OR(L161="",L156=""),"",IF(L156=0,"",(L161/L156)-1)))</f>
        <v/>
      </c>
      <c r="V161" s="24">
        <f>IF(ROW()&lt;7,"",IF(OR(N161="",N158=""),"",IF(N158=0,"",(N161/N158)-1)))</f>
        <v/>
      </c>
      <c r="W161" s="24">
        <f>IF(ROW()&lt;9,"",IF(OR(N161="",N156=""),"",IF(N156=0,"",(N161/N156)-1)))</f>
        <v/>
      </c>
      <c r="X161" s="24">
        <f>IF(OR(F161="",M161=""),"",F161-M161)</f>
        <v/>
      </c>
      <c r="Y161" s="24">
        <f>IF(OR(P161="",T161=""),"",P161-T161)</f>
        <v/>
      </c>
      <c r="Z161" s="24">
        <f>IF(OR(Q161="",U161=""),"",Q161-U161)</f>
        <v/>
      </c>
      <c r="AA161" s="24">
        <f>IF(OR(H161="",O161=""),"",H161-O161)</f>
        <v/>
      </c>
      <c r="AB161" s="24">
        <f>IF(OR(R161="",V161=""),"",R161-V161)</f>
        <v/>
      </c>
      <c r="AC161" s="24">
        <f>IF(OR(S161="",W161=""),"",S161-W161)</f>
        <v/>
      </c>
      <c r="AD161" s="13" t="n"/>
      <c r="AE161" s="24">
        <f>IF(OR(AD161="",AD160=""),"",IF(AD160=0,"",(AD161/AD160)-1))</f>
        <v/>
      </c>
      <c r="AF161" s="24">
        <f>IF(ROW()&lt;7,"",IF(OR(AD161="",AD158=""),"",IF(AD158=0,"",(AD161/AD158)-1)))</f>
        <v/>
      </c>
      <c r="AG161" s="24">
        <f>IF(ROW()&lt;9,"",IF(OR(AD161="",AD156=""),"",IF(AD156=0,"",(AD161/AD156)-1)))</f>
        <v/>
      </c>
      <c r="AH161" s="13">
        <f>IF(ROW()&lt;23,"",AVERAGE(AD142:AD161))</f>
        <v/>
      </c>
      <c r="AI161">
        <f>IF(OR(AD161="",AH161=""),"",IF(AD161&gt;AH161,"Bull","Bear"))</f>
        <v/>
      </c>
      <c r="AJ161" s="13" t="n"/>
      <c r="AK161" s="24">
        <f>IF(OR(AJ161="",AJ160=""),"",IF(AJ160=0,"",(AJ161/AJ160)-1))</f>
        <v/>
      </c>
      <c r="AL161" s="24">
        <f>IF(ROW()&lt;7,"",IF(OR(AJ161="",AJ158=""),"",IF(AJ158=0,"",(AJ161/AJ158)-1)))</f>
        <v/>
      </c>
      <c r="AM161" s="24">
        <f>IF(ROW()&lt;9,"",IF(OR(AJ161="",AJ156=""),"",IF(AJ156=0,"",(AJ161/AJ156)-1)))</f>
        <v/>
      </c>
      <c r="AN161" s="13">
        <f>IF(ROW()&lt;23,"",AVERAGE(AJ142:AJ161))</f>
        <v/>
      </c>
      <c r="AO161">
        <f>IF(OR(AJ161="",AN161=""),"",IF(AJ161&gt;AN161,"Bull","Bear"))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8">
        <f>IFERROR((M162/M161)-1,"")</f>
        <v/>
      </c>
      <c r="O162" s="24">
        <f>IF(OR(N162="",N161=""),"",IF(N161=0,"",(N162/N161)-1))</f>
        <v/>
      </c>
      <c r="P162" s="11">
        <f>IF(ROW()&lt;7,"",IF(OR(E162="",E159=""),"",IF(E159=0,"",(E162/E159)-1)))</f>
        <v/>
      </c>
      <c r="Q162" s="24">
        <f>IF(ROW()&lt;9,"",IF(OR(E162="",E157=""),"",IF(E157=0,"",(E162/E157)-1)))</f>
        <v/>
      </c>
      <c r="R162" s="24">
        <f>IF(ROW()&lt;7,"",IF(OR(G162="",G159=""),"",IF(G159=0,"",(G162/G159)-1)))</f>
        <v/>
      </c>
      <c r="S162" s="24">
        <f>IF(ROW()&lt;9,"",IF(OR(G162="",G157=""),"",IF(G157=0,"",(G162/G157)-1)))</f>
        <v/>
      </c>
      <c r="T162" s="24">
        <f>IF(ROW()&lt;7,"",IF(OR(L162="",L159=""),"",IF(L159=0,"",(L162/L159)-1)))</f>
        <v/>
      </c>
      <c r="U162" s="24">
        <f>IF(ROW()&lt;9,"",IF(OR(L162="",L157=""),"",IF(L157=0,"",(L162/L157)-1)))</f>
        <v/>
      </c>
      <c r="V162" s="24">
        <f>IF(ROW()&lt;7,"",IF(OR(N162="",N159=""),"",IF(N159=0,"",(N162/N159)-1)))</f>
        <v/>
      </c>
      <c r="W162" s="24">
        <f>IF(ROW()&lt;9,"",IF(OR(N162="",N157=""),"",IF(N157=0,"",(N162/N157)-1)))</f>
        <v/>
      </c>
      <c r="X162" s="24">
        <f>IF(OR(F162="",M162=""),"",F162-M162)</f>
        <v/>
      </c>
      <c r="Y162" s="24">
        <f>IF(OR(P162="",T162=""),"",P162-T162)</f>
        <v/>
      </c>
      <c r="Z162" s="24">
        <f>IF(OR(Q162="",U162=""),"",Q162-U162)</f>
        <v/>
      </c>
      <c r="AA162" s="24">
        <f>IF(OR(H162="",O162=""),"",H162-O162)</f>
        <v/>
      </c>
      <c r="AB162" s="24">
        <f>IF(OR(R162="",V162=""),"",R162-V162)</f>
        <v/>
      </c>
      <c r="AC162" s="24">
        <f>IF(OR(S162="",W162=""),"",S162-W162)</f>
        <v/>
      </c>
      <c r="AD162" s="13" t="n"/>
      <c r="AE162" s="24">
        <f>IF(OR(AD162="",AD161=""),"",IF(AD161=0,"",(AD162/AD161)-1))</f>
        <v/>
      </c>
      <c r="AF162" s="24">
        <f>IF(ROW()&lt;7,"",IF(OR(AD162="",AD159=""),"",IF(AD159=0,"",(AD162/AD159)-1)))</f>
        <v/>
      </c>
      <c r="AG162" s="24">
        <f>IF(ROW()&lt;9,"",IF(OR(AD162="",AD157=""),"",IF(AD157=0,"",(AD162/AD157)-1)))</f>
        <v/>
      </c>
      <c r="AH162" s="13">
        <f>IF(ROW()&lt;23,"",AVERAGE(AD143:AD162))</f>
        <v/>
      </c>
      <c r="AI162">
        <f>IF(OR(AD162="",AH162=""),"",IF(AD162&gt;AH162,"Bull","Bear"))</f>
        <v/>
      </c>
      <c r="AJ162" s="13" t="n"/>
      <c r="AK162" s="24">
        <f>IF(OR(AJ162="",AJ161=""),"",IF(AJ161=0,"",(AJ162/AJ161)-1))</f>
        <v/>
      </c>
      <c r="AL162" s="24">
        <f>IF(ROW()&lt;7,"",IF(OR(AJ162="",AJ159=""),"",IF(AJ159=0,"",(AJ162/AJ159)-1)))</f>
        <v/>
      </c>
      <c r="AM162" s="24">
        <f>IF(ROW()&lt;9,"",IF(OR(AJ162="",AJ157=""),"",IF(AJ157=0,"",(AJ162/AJ157)-1)))</f>
        <v/>
      </c>
      <c r="AN162" s="13">
        <f>IF(ROW()&lt;23,"",AVERAGE(AJ143:AJ162))</f>
        <v/>
      </c>
      <c r="AO162">
        <f>IF(OR(AJ162="",AN162=""),"",IF(AJ162&gt;AN162,"Bull","Bear"))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8">
        <f>IFERROR((M163/M162)-1,"")</f>
        <v/>
      </c>
      <c r="O163" s="24">
        <f>IF(OR(N163="",N162=""),"",IF(N162=0,"",(N163/N162)-1))</f>
        <v/>
      </c>
      <c r="P163" s="11">
        <f>IF(ROW()&lt;7,"",IF(OR(E163="",E160=""),"",IF(E160=0,"",(E163/E160)-1)))</f>
        <v/>
      </c>
      <c r="Q163" s="24">
        <f>IF(ROW()&lt;9,"",IF(OR(E163="",E158=""),"",IF(E158=0,"",(E163/E158)-1)))</f>
        <v/>
      </c>
      <c r="R163" s="24">
        <f>IF(ROW()&lt;7,"",IF(OR(G163="",G160=""),"",IF(G160=0,"",(G163/G160)-1)))</f>
        <v/>
      </c>
      <c r="S163" s="24">
        <f>IF(ROW()&lt;9,"",IF(OR(G163="",G158=""),"",IF(G158=0,"",(G163/G158)-1)))</f>
        <v/>
      </c>
      <c r="T163" s="24">
        <f>IF(ROW()&lt;7,"",IF(OR(L163="",L160=""),"",IF(L160=0,"",(L163/L160)-1)))</f>
        <v/>
      </c>
      <c r="U163" s="24">
        <f>IF(ROW()&lt;9,"",IF(OR(L163="",L158=""),"",IF(L158=0,"",(L163/L158)-1)))</f>
        <v/>
      </c>
      <c r="V163" s="24">
        <f>IF(ROW()&lt;7,"",IF(OR(N163="",N160=""),"",IF(N160=0,"",(N163/N160)-1)))</f>
        <v/>
      </c>
      <c r="W163" s="24">
        <f>IF(ROW()&lt;9,"",IF(OR(N163="",N158=""),"",IF(N158=0,"",(N163/N158)-1)))</f>
        <v/>
      </c>
      <c r="X163" s="24">
        <f>IF(OR(F163="",M163=""),"",F163-M163)</f>
        <v/>
      </c>
      <c r="Y163" s="24">
        <f>IF(OR(P163="",T163=""),"",P163-T163)</f>
        <v/>
      </c>
      <c r="Z163" s="24">
        <f>IF(OR(Q163="",U163=""),"",Q163-U163)</f>
        <v/>
      </c>
      <c r="AA163" s="24">
        <f>IF(OR(H163="",O163=""),"",H163-O163)</f>
        <v/>
      </c>
      <c r="AB163" s="24">
        <f>IF(OR(R163="",V163=""),"",R163-V163)</f>
        <v/>
      </c>
      <c r="AC163" s="24">
        <f>IF(OR(S163="",W163=""),"",S163-W163)</f>
        <v/>
      </c>
      <c r="AD163" s="13" t="n"/>
      <c r="AE163" s="24">
        <f>IF(OR(AD163="",AD162=""),"",IF(AD162=0,"",(AD163/AD162)-1))</f>
        <v/>
      </c>
      <c r="AF163" s="24">
        <f>IF(ROW()&lt;7,"",IF(OR(AD163="",AD160=""),"",IF(AD160=0,"",(AD163/AD160)-1)))</f>
        <v/>
      </c>
      <c r="AG163" s="24">
        <f>IF(ROW()&lt;9,"",IF(OR(AD163="",AD158=""),"",IF(AD158=0,"",(AD163/AD158)-1)))</f>
        <v/>
      </c>
      <c r="AH163" s="13">
        <f>IF(ROW()&lt;23,"",AVERAGE(AD144:AD163))</f>
        <v/>
      </c>
      <c r="AI163">
        <f>IF(OR(AD163="",AH163=""),"",IF(AD163&gt;AH163,"Bull","Bear"))</f>
        <v/>
      </c>
      <c r="AJ163" s="13" t="n"/>
      <c r="AK163" s="24">
        <f>IF(OR(AJ163="",AJ162=""),"",IF(AJ162=0,"",(AJ163/AJ162)-1))</f>
        <v/>
      </c>
      <c r="AL163" s="24">
        <f>IF(ROW()&lt;7,"",IF(OR(AJ163="",AJ160=""),"",IF(AJ160=0,"",(AJ163/AJ160)-1)))</f>
        <v/>
      </c>
      <c r="AM163" s="24">
        <f>IF(ROW()&lt;9,"",IF(OR(AJ163="",AJ158=""),"",IF(AJ158=0,"",(AJ163/AJ158)-1)))</f>
        <v/>
      </c>
      <c r="AN163" s="13">
        <f>IF(ROW()&lt;23,"",AVERAGE(AJ144:AJ163))</f>
        <v/>
      </c>
      <c r="AO163">
        <f>IF(OR(AJ163="",AN163=""),"",IF(AJ163&gt;AN163,"Bull","Bear"))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8">
        <f>IFERROR((M164/M163)-1,"")</f>
        <v/>
      </c>
      <c r="O164" s="24">
        <f>IF(OR(N164="",N163=""),"",IF(N163=0,"",(N164/N163)-1))</f>
        <v/>
      </c>
      <c r="P164" s="11">
        <f>IF(ROW()&lt;7,"",IF(OR(E164="",E161=""),"",IF(E161=0,"",(E164/E161)-1)))</f>
        <v/>
      </c>
      <c r="Q164" s="24">
        <f>IF(ROW()&lt;9,"",IF(OR(E164="",E159=""),"",IF(E159=0,"",(E164/E159)-1)))</f>
        <v/>
      </c>
      <c r="R164" s="24">
        <f>IF(ROW()&lt;7,"",IF(OR(G164="",G161=""),"",IF(G161=0,"",(G164/G161)-1)))</f>
        <v/>
      </c>
      <c r="S164" s="24">
        <f>IF(ROW()&lt;9,"",IF(OR(G164="",G159=""),"",IF(G159=0,"",(G164/G159)-1)))</f>
        <v/>
      </c>
      <c r="T164" s="24">
        <f>IF(ROW()&lt;7,"",IF(OR(L164="",L161=""),"",IF(L161=0,"",(L164/L161)-1)))</f>
        <v/>
      </c>
      <c r="U164" s="24">
        <f>IF(ROW()&lt;9,"",IF(OR(L164="",L159=""),"",IF(L159=0,"",(L164/L159)-1)))</f>
        <v/>
      </c>
      <c r="V164" s="24">
        <f>IF(ROW()&lt;7,"",IF(OR(N164="",N161=""),"",IF(N161=0,"",(N164/N161)-1)))</f>
        <v/>
      </c>
      <c r="W164" s="24">
        <f>IF(ROW()&lt;9,"",IF(OR(N164="",N159=""),"",IF(N159=0,"",(N164/N159)-1)))</f>
        <v/>
      </c>
      <c r="X164" s="24">
        <f>IF(OR(F164="",M164=""),"",F164-M164)</f>
        <v/>
      </c>
      <c r="Y164" s="24">
        <f>IF(OR(P164="",T164=""),"",P164-T164)</f>
        <v/>
      </c>
      <c r="Z164" s="24">
        <f>IF(OR(Q164="",U164=""),"",Q164-U164)</f>
        <v/>
      </c>
      <c r="AA164" s="24">
        <f>IF(OR(H164="",O164=""),"",H164-O164)</f>
        <v/>
      </c>
      <c r="AB164" s="24">
        <f>IF(OR(R164="",V164=""),"",R164-V164)</f>
        <v/>
      </c>
      <c r="AC164" s="24">
        <f>IF(OR(S164="",W164=""),"",S164-W164)</f>
        <v/>
      </c>
      <c r="AD164" s="13" t="n"/>
      <c r="AE164" s="24">
        <f>IF(OR(AD164="",AD163=""),"",IF(AD163=0,"",(AD164/AD163)-1))</f>
        <v/>
      </c>
      <c r="AF164" s="24">
        <f>IF(ROW()&lt;7,"",IF(OR(AD164="",AD161=""),"",IF(AD161=0,"",(AD164/AD161)-1)))</f>
        <v/>
      </c>
      <c r="AG164" s="24">
        <f>IF(ROW()&lt;9,"",IF(OR(AD164="",AD159=""),"",IF(AD159=0,"",(AD164/AD159)-1)))</f>
        <v/>
      </c>
      <c r="AH164" s="13">
        <f>IF(ROW()&lt;23,"",AVERAGE(AD145:AD164))</f>
        <v/>
      </c>
      <c r="AI164">
        <f>IF(OR(AD164="",AH164=""),"",IF(AD164&gt;AH164,"Bull","Bear"))</f>
        <v/>
      </c>
      <c r="AJ164" s="13" t="n"/>
      <c r="AK164" s="24">
        <f>IF(OR(AJ164="",AJ163=""),"",IF(AJ163=0,"",(AJ164/AJ163)-1))</f>
        <v/>
      </c>
      <c r="AL164" s="24">
        <f>IF(ROW()&lt;7,"",IF(OR(AJ164="",AJ161=""),"",IF(AJ161=0,"",(AJ164/AJ161)-1)))</f>
        <v/>
      </c>
      <c r="AM164" s="24">
        <f>IF(ROW()&lt;9,"",IF(OR(AJ164="",AJ159=""),"",IF(AJ159=0,"",(AJ164/AJ159)-1)))</f>
        <v/>
      </c>
      <c r="AN164" s="13">
        <f>IF(ROW()&lt;23,"",AVERAGE(AJ145:AJ164))</f>
        <v/>
      </c>
      <c r="AO164">
        <f>IF(OR(AJ164="",AN164=""),"",IF(AJ164&gt;AN164,"Bull","Bear"))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8">
        <f>IFERROR((M165/M164)-1,"")</f>
        <v/>
      </c>
      <c r="O165" s="24">
        <f>IF(OR(N165="",N164=""),"",IF(N164=0,"",(N165/N164)-1))</f>
        <v/>
      </c>
      <c r="P165" s="11">
        <f>IF(ROW()&lt;7,"",IF(OR(E165="",E162=""),"",IF(E162=0,"",(E165/E162)-1)))</f>
        <v/>
      </c>
      <c r="Q165" s="24">
        <f>IF(ROW()&lt;9,"",IF(OR(E165="",E160=""),"",IF(E160=0,"",(E165/E160)-1)))</f>
        <v/>
      </c>
      <c r="R165" s="24">
        <f>IF(ROW()&lt;7,"",IF(OR(G165="",G162=""),"",IF(G162=0,"",(G165/G162)-1)))</f>
        <v/>
      </c>
      <c r="S165" s="24">
        <f>IF(ROW()&lt;9,"",IF(OR(G165="",G160=""),"",IF(G160=0,"",(G165/G160)-1)))</f>
        <v/>
      </c>
      <c r="T165" s="24">
        <f>IF(ROW()&lt;7,"",IF(OR(L165="",L162=""),"",IF(L162=0,"",(L165/L162)-1)))</f>
        <v/>
      </c>
      <c r="U165" s="24">
        <f>IF(ROW()&lt;9,"",IF(OR(L165="",L160=""),"",IF(L160=0,"",(L165/L160)-1)))</f>
        <v/>
      </c>
      <c r="V165" s="24">
        <f>IF(ROW()&lt;7,"",IF(OR(N165="",N162=""),"",IF(N162=0,"",(N165/N162)-1)))</f>
        <v/>
      </c>
      <c r="W165" s="24">
        <f>IF(ROW()&lt;9,"",IF(OR(N165="",N160=""),"",IF(N160=0,"",(N165/N160)-1)))</f>
        <v/>
      </c>
      <c r="X165" s="24">
        <f>IF(OR(F165="",M165=""),"",F165-M165)</f>
        <v/>
      </c>
      <c r="Y165" s="24">
        <f>IF(OR(P165="",T165=""),"",P165-T165)</f>
        <v/>
      </c>
      <c r="Z165" s="24">
        <f>IF(OR(Q165="",U165=""),"",Q165-U165)</f>
        <v/>
      </c>
      <c r="AA165" s="24">
        <f>IF(OR(H165="",O165=""),"",H165-O165)</f>
        <v/>
      </c>
      <c r="AB165" s="24">
        <f>IF(OR(R165="",V165=""),"",R165-V165)</f>
        <v/>
      </c>
      <c r="AC165" s="24">
        <f>IF(OR(S165="",W165=""),"",S165-W165)</f>
        <v/>
      </c>
      <c r="AD165" s="13" t="n"/>
      <c r="AE165" s="24">
        <f>IF(OR(AD165="",AD164=""),"",IF(AD164=0,"",(AD165/AD164)-1))</f>
        <v/>
      </c>
      <c r="AF165" s="24">
        <f>IF(ROW()&lt;7,"",IF(OR(AD165="",AD162=""),"",IF(AD162=0,"",(AD165/AD162)-1)))</f>
        <v/>
      </c>
      <c r="AG165" s="24">
        <f>IF(ROW()&lt;9,"",IF(OR(AD165="",AD160=""),"",IF(AD160=0,"",(AD165/AD160)-1)))</f>
        <v/>
      </c>
      <c r="AH165" s="13">
        <f>IF(ROW()&lt;23,"",AVERAGE(AD146:AD165))</f>
        <v/>
      </c>
      <c r="AI165">
        <f>IF(OR(AD165="",AH165=""),"",IF(AD165&gt;AH165,"Bull","Bear"))</f>
        <v/>
      </c>
      <c r="AJ165" s="13" t="n"/>
      <c r="AK165" s="24">
        <f>IF(OR(AJ165="",AJ164=""),"",IF(AJ164=0,"",(AJ165/AJ164)-1))</f>
        <v/>
      </c>
      <c r="AL165" s="24">
        <f>IF(ROW()&lt;7,"",IF(OR(AJ165="",AJ162=""),"",IF(AJ162=0,"",(AJ165/AJ162)-1)))</f>
        <v/>
      </c>
      <c r="AM165" s="24">
        <f>IF(ROW()&lt;9,"",IF(OR(AJ165="",AJ160=""),"",IF(AJ160=0,"",(AJ165/AJ160)-1)))</f>
        <v/>
      </c>
      <c r="AN165" s="13">
        <f>IF(ROW()&lt;23,"",AVERAGE(AJ146:AJ165))</f>
        <v/>
      </c>
      <c r="AO165">
        <f>IF(OR(AJ165="",AN165=""),"",IF(AJ165&gt;AN165,"Bull","Bear"))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8">
        <f>IFERROR((M166/M165)-1,"")</f>
        <v/>
      </c>
      <c r="O166" s="24">
        <f>IF(OR(N166="",N165=""),"",IF(N165=0,"",(N166/N165)-1))</f>
        <v/>
      </c>
      <c r="P166" s="11">
        <f>IF(ROW()&lt;7,"",IF(OR(E166="",E163=""),"",IF(E163=0,"",(E166/E163)-1)))</f>
        <v/>
      </c>
      <c r="Q166" s="24">
        <f>IF(ROW()&lt;9,"",IF(OR(E166="",E161=""),"",IF(E161=0,"",(E166/E161)-1)))</f>
        <v/>
      </c>
      <c r="R166" s="24">
        <f>IF(ROW()&lt;7,"",IF(OR(G166="",G163=""),"",IF(G163=0,"",(G166/G163)-1)))</f>
        <v/>
      </c>
      <c r="S166" s="24">
        <f>IF(ROW()&lt;9,"",IF(OR(G166="",G161=""),"",IF(G161=0,"",(G166/G161)-1)))</f>
        <v/>
      </c>
      <c r="T166" s="24">
        <f>IF(ROW()&lt;7,"",IF(OR(L166="",L163=""),"",IF(L163=0,"",(L166/L163)-1)))</f>
        <v/>
      </c>
      <c r="U166" s="24">
        <f>IF(ROW()&lt;9,"",IF(OR(L166="",L161=""),"",IF(L161=0,"",(L166/L161)-1)))</f>
        <v/>
      </c>
      <c r="V166" s="24">
        <f>IF(ROW()&lt;7,"",IF(OR(N166="",N163=""),"",IF(N163=0,"",(N166/N163)-1)))</f>
        <v/>
      </c>
      <c r="W166" s="24">
        <f>IF(ROW()&lt;9,"",IF(OR(N166="",N161=""),"",IF(N161=0,"",(N166/N161)-1)))</f>
        <v/>
      </c>
      <c r="X166" s="24">
        <f>IF(OR(F166="",M166=""),"",F166-M166)</f>
        <v/>
      </c>
      <c r="Y166" s="24">
        <f>IF(OR(P166="",T166=""),"",P166-T166)</f>
        <v/>
      </c>
      <c r="Z166" s="24">
        <f>IF(OR(Q166="",U166=""),"",Q166-U166)</f>
        <v/>
      </c>
      <c r="AA166" s="24">
        <f>IF(OR(H166="",O166=""),"",H166-O166)</f>
        <v/>
      </c>
      <c r="AB166" s="24">
        <f>IF(OR(R166="",V166=""),"",R166-V166)</f>
        <v/>
      </c>
      <c r="AC166" s="24">
        <f>IF(OR(S166="",W166=""),"",S166-W166)</f>
        <v/>
      </c>
      <c r="AD166" s="13" t="n"/>
      <c r="AE166" s="24">
        <f>IF(OR(AD166="",AD165=""),"",IF(AD165=0,"",(AD166/AD165)-1))</f>
        <v/>
      </c>
      <c r="AF166" s="24">
        <f>IF(ROW()&lt;7,"",IF(OR(AD166="",AD163=""),"",IF(AD163=0,"",(AD166/AD163)-1)))</f>
        <v/>
      </c>
      <c r="AG166" s="24">
        <f>IF(ROW()&lt;9,"",IF(OR(AD166="",AD161=""),"",IF(AD161=0,"",(AD166/AD161)-1)))</f>
        <v/>
      </c>
      <c r="AH166" s="13">
        <f>IF(ROW()&lt;23,"",AVERAGE(AD147:AD166))</f>
        <v/>
      </c>
      <c r="AI166">
        <f>IF(OR(AD166="",AH166=""),"",IF(AD166&gt;AH166,"Bull","Bear"))</f>
        <v/>
      </c>
      <c r="AJ166" s="13" t="n"/>
      <c r="AK166" s="24">
        <f>IF(OR(AJ166="",AJ165=""),"",IF(AJ165=0,"",(AJ166/AJ165)-1))</f>
        <v/>
      </c>
      <c r="AL166" s="24">
        <f>IF(ROW()&lt;7,"",IF(OR(AJ166="",AJ163=""),"",IF(AJ163=0,"",(AJ166/AJ163)-1)))</f>
        <v/>
      </c>
      <c r="AM166" s="24">
        <f>IF(ROW()&lt;9,"",IF(OR(AJ166="",AJ161=""),"",IF(AJ161=0,"",(AJ166/AJ161)-1)))</f>
        <v/>
      </c>
      <c r="AN166" s="13">
        <f>IF(ROW()&lt;23,"",AVERAGE(AJ147:AJ166))</f>
        <v/>
      </c>
      <c r="AO166">
        <f>IF(OR(AJ166="",AN166=""),"",IF(AJ166&gt;AN166,"Bull","Bear"))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8">
        <f>IFERROR((M167/M166)-1,"")</f>
        <v/>
      </c>
      <c r="O167" s="24">
        <f>IF(OR(N167="",N166=""),"",IF(N166=0,"",(N167/N166)-1))</f>
        <v/>
      </c>
      <c r="P167" s="11">
        <f>IF(ROW()&lt;7,"",IF(OR(E167="",E164=""),"",IF(E164=0,"",(E167/E164)-1)))</f>
        <v/>
      </c>
      <c r="Q167" s="24">
        <f>IF(ROW()&lt;9,"",IF(OR(E167="",E162=""),"",IF(E162=0,"",(E167/E162)-1)))</f>
        <v/>
      </c>
      <c r="R167" s="24">
        <f>IF(ROW()&lt;7,"",IF(OR(G167="",G164=""),"",IF(G164=0,"",(G167/G164)-1)))</f>
        <v/>
      </c>
      <c r="S167" s="24">
        <f>IF(ROW()&lt;9,"",IF(OR(G167="",G162=""),"",IF(G162=0,"",(G167/G162)-1)))</f>
        <v/>
      </c>
      <c r="T167" s="24">
        <f>IF(ROW()&lt;7,"",IF(OR(L167="",L164=""),"",IF(L164=0,"",(L167/L164)-1)))</f>
        <v/>
      </c>
      <c r="U167" s="24">
        <f>IF(ROW()&lt;9,"",IF(OR(L167="",L162=""),"",IF(L162=0,"",(L167/L162)-1)))</f>
        <v/>
      </c>
      <c r="V167" s="24">
        <f>IF(ROW()&lt;7,"",IF(OR(N167="",N164=""),"",IF(N164=0,"",(N167/N164)-1)))</f>
        <v/>
      </c>
      <c r="W167" s="24">
        <f>IF(ROW()&lt;9,"",IF(OR(N167="",N162=""),"",IF(N162=0,"",(N167/N162)-1)))</f>
        <v/>
      </c>
      <c r="X167" s="24">
        <f>IF(OR(F167="",M167=""),"",F167-M167)</f>
        <v/>
      </c>
      <c r="Y167" s="24">
        <f>IF(OR(P167="",T167=""),"",P167-T167)</f>
        <v/>
      </c>
      <c r="Z167" s="24">
        <f>IF(OR(Q167="",U167=""),"",Q167-U167)</f>
        <v/>
      </c>
      <c r="AA167" s="24">
        <f>IF(OR(H167="",O167=""),"",H167-O167)</f>
        <v/>
      </c>
      <c r="AB167" s="24">
        <f>IF(OR(R167="",V167=""),"",R167-V167)</f>
        <v/>
      </c>
      <c r="AC167" s="24">
        <f>IF(OR(S167="",W167=""),"",S167-W167)</f>
        <v/>
      </c>
      <c r="AD167" s="13" t="n"/>
      <c r="AE167" s="24">
        <f>IF(OR(AD167="",AD166=""),"",IF(AD166=0,"",(AD167/AD166)-1))</f>
        <v/>
      </c>
      <c r="AF167" s="24">
        <f>IF(ROW()&lt;7,"",IF(OR(AD167="",AD164=""),"",IF(AD164=0,"",(AD167/AD164)-1)))</f>
        <v/>
      </c>
      <c r="AG167" s="24">
        <f>IF(ROW()&lt;9,"",IF(OR(AD167="",AD162=""),"",IF(AD162=0,"",(AD167/AD162)-1)))</f>
        <v/>
      </c>
      <c r="AH167" s="13">
        <f>IF(ROW()&lt;23,"",AVERAGE(AD148:AD167))</f>
        <v/>
      </c>
      <c r="AI167">
        <f>IF(OR(AD167="",AH167=""),"",IF(AD167&gt;AH167,"Bull","Bear"))</f>
        <v/>
      </c>
      <c r="AJ167" s="13" t="n"/>
      <c r="AK167" s="24">
        <f>IF(OR(AJ167="",AJ166=""),"",IF(AJ166=0,"",(AJ167/AJ166)-1))</f>
        <v/>
      </c>
      <c r="AL167" s="24">
        <f>IF(ROW()&lt;7,"",IF(OR(AJ167="",AJ164=""),"",IF(AJ164=0,"",(AJ167/AJ164)-1)))</f>
        <v/>
      </c>
      <c r="AM167" s="24">
        <f>IF(ROW()&lt;9,"",IF(OR(AJ167="",AJ162=""),"",IF(AJ162=0,"",(AJ167/AJ162)-1)))</f>
        <v/>
      </c>
      <c r="AN167" s="13">
        <f>IF(ROW()&lt;23,"",AVERAGE(AJ148:AJ167))</f>
        <v/>
      </c>
      <c r="AO167">
        <f>IF(OR(AJ167="",AN167=""),"",IF(AJ167&gt;AN167,"Bull","Bear"))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8">
        <f>IFERROR((M168/M167)-1,"")</f>
        <v/>
      </c>
      <c r="O168" s="24">
        <f>IF(OR(N168="",N167=""),"",IF(N167=0,"",(N168/N167)-1))</f>
        <v/>
      </c>
      <c r="P168" s="11">
        <f>IF(ROW()&lt;7,"",IF(OR(E168="",E165=""),"",IF(E165=0,"",(E168/E165)-1)))</f>
        <v/>
      </c>
      <c r="Q168" s="24">
        <f>IF(ROW()&lt;9,"",IF(OR(E168="",E163=""),"",IF(E163=0,"",(E168/E163)-1)))</f>
        <v/>
      </c>
      <c r="R168" s="24">
        <f>IF(ROW()&lt;7,"",IF(OR(G168="",G165=""),"",IF(G165=0,"",(G168/G165)-1)))</f>
        <v/>
      </c>
      <c r="S168" s="24">
        <f>IF(ROW()&lt;9,"",IF(OR(G168="",G163=""),"",IF(G163=0,"",(G168/G163)-1)))</f>
        <v/>
      </c>
      <c r="T168" s="24">
        <f>IF(ROW()&lt;7,"",IF(OR(L168="",L165=""),"",IF(L165=0,"",(L168/L165)-1)))</f>
        <v/>
      </c>
      <c r="U168" s="24">
        <f>IF(ROW()&lt;9,"",IF(OR(L168="",L163=""),"",IF(L163=0,"",(L168/L163)-1)))</f>
        <v/>
      </c>
      <c r="V168" s="24">
        <f>IF(ROW()&lt;7,"",IF(OR(N168="",N165=""),"",IF(N165=0,"",(N168/N165)-1)))</f>
        <v/>
      </c>
      <c r="W168" s="24">
        <f>IF(ROW()&lt;9,"",IF(OR(N168="",N163=""),"",IF(N163=0,"",(N168/N163)-1)))</f>
        <v/>
      </c>
      <c r="X168" s="24">
        <f>IF(OR(F168="",M168=""),"",F168-M168)</f>
        <v/>
      </c>
      <c r="Y168" s="24">
        <f>IF(OR(P168="",T168=""),"",P168-T168)</f>
        <v/>
      </c>
      <c r="Z168" s="24">
        <f>IF(OR(Q168="",U168=""),"",Q168-U168)</f>
        <v/>
      </c>
      <c r="AA168" s="24">
        <f>IF(OR(H168="",O168=""),"",H168-O168)</f>
        <v/>
      </c>
      <c r="AB168" s="24">
        <f>IF(OR(R168="",V168=""),"",R168-V168)</f>
        <v/>
      </c>
      <c r="AC168" s="24">
        <f>IF(OR(S168="",W168=""),"",S168-W168)</f>
        <v/>
      </c>
      <c r="AD168" s="13" t="n"/>
      <c r="AE168" s="24">
        <f>IF(OR(AD168="",AD167=""),"",IF(AD167=0,"",(AD168/AD167)-1))</f>
        <v/>
      </c>
      <c r="AF168" s="24">
        <f>IF(ROW()&lt;7,"",IF(OR(AD168="",AD165=""),"",IF(AD165=0,"",(AD168/AD165)-1)))</f>
        <v/>
      </c>
      <c r="AG168" s="24">
        <f>IF(ROW()&lt;9,"",IF(OR(AD168="",AD163=""),"",IF(AD163=0,"",(AD168/AD163)-1)))</f>
        <v/>
      </c>
      <c r="AH168" s="13">
        <f>IF(ROW()&lt;23,"",AVERAGE(AD149:AD168))</f>
        <v/>
      </c>
      <c r="AI168">
        <f>IF(OR(AD168="",AH168=""),"",IF(AD168&gt;AH168,"Bull","Bear"))</f>
        <v/>
      </c>
      <c r="AJ168" s="13" t="n"/>
      <c r="AK168" s="24">
        <f>IF(OR(AJ168="",AJ167=""),"",IF(AJ167=0,"",(AJ168/AJ167)-1))</f>
        <v/>
      </c>
      <c r="AL168" s="24">
        <f>IF(ROW()&lt;7,"",IF(OR(AJ168="",AJ165=""),"",IF(AJ165=0,"",(AJ168/AJ165)-1)))</f>
        <v/>
      </c>
      <c r="AM168" s="24">
        <f>IF(ROW()&lt;9,"",IF(OR(AJ168="",AJ163=""),"",IF(AJ163=0,"",(AJ168/AJ163)-1)))</f>
        <v/>
      </c>
      <c r="AN168" s="13">
        <f>IF(ROW()&lt;23,"",AVERAGE(AJ149:AJ168))</f>
        <v/>
      </c>
      <c r="AO168">
        <f>IF(OR(AJ168="",AN168=""),"",IF(AJ168&gt;AN168,"Bull","Bear"))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8">
        <f>IFERROR((M169/M168)-1,"")</f>
        <v/>
      </c>
      <c r="O169" s="24">
        <f>IF(OR(N169="",N168=""),"",IF(N168=0,"",(N169/N168)-1))</f>
        <v/>
      </c>
      <c r="P169" s="11">
        <f>IF(ROW()&lt;7,"",IF(OR(E169="",E166=""),"",IF(E166=0,"",(E169/E166)-1)))</f>
        <v/>
      </c>
      <c r="Q169" s="24">
        <f>IF(ROW()&lt;9,"",IF(OR(E169="",E164=""),"",IF(E164=0,"",(E169/E164)-1)))</f>
        <v/>
      </c>
      <c r="R169" s="24">
        <f>IF(ROW()&lt;7,"",IF(OR(G169="",G166=""),"",IF(G166=0,"",(G169/G166)-1)))</f>
        <v/>
      </c>
      <c r="S169" s="24">
        <f>IF(ROW()&lt;9,"",IF(OR(G169="",G164=""),"",IF(G164=0,"",(G169/G164)-1)))</f>
        <v/>
      </c>
      <c r="T169" s="24">
        <f>IF(ROW()&lt;7,"",IF(OR(L169="",L166=""),"",IF(L166=0,"",(L169/L166)-1)))</f>
        <v/>
      </c>
      <c r="U169" s="24">
        <f>IF(ROW()&lt;9,"",IF(OR(L169="",L164=""),"",IF(L164=0,"",(L169/L164)-1)))</f>
        <v/>
      </c>
      <c r="V169" s="24">
        <f>IF(ROW()&lt;7,"",IF(OR(N169="",N166=""),"",IF(N166=0,"",(N169/N166)-1)))</f>
        <v/>
      </c>
      <c r="W169" s="24">
        <f>IF(ROW()&lt;9,"",IF(OR(N169="",N164=""),"",IF(N164=0,"",(N169/N164)-1)))</f>
        <v/>
      </c>
      <c r="X169" s="24">
        <f>IF(OR(F169="",M169=""),"",F169-M169)</f>
        <v/>
      </c>
      <c r="Y169" s="24">
        <f>IF(OR(P169="",T169=""),"",P169-T169)</f>
        <v/>
      </c>
      <c r="Z169" s="24">
        <f>IF(OR(Q169="",U169=""),"",Q169-U169)</f>
        <v/>
      </c>
      <c r="AA169" s="24">
        <f>IF(OR(H169="",O169=""),"",H169-O169)</f>
        <v/>
      </c>
      <c r="AB169" s="24">
        <f>IF(OR(R169="",V169=""),"",R169-V169)</f>
        <v/>
      </c>
      <c r="AC169" s="24">
        <f>IF(OR(S169="",W169=""),"",S169-W169)</f>
        <v/>
      </c>
      <c r="AD169" s="13" t="n"/>
      <c r="AE169" s="24">
        <f>IF(OR(AD169="",AD168=""),"",IF(AD168=0,"",(AD169/AD168)-1))</f>
        <v/>
      </c>
      <c r="AF169" s="24">
        <f>IF(ROW()&lt;7,"",IF(OR(AD169="",AD166=""),"",IF(AD166=0,"",(AD169/AD166)-1)))</f>
        <v/>
      </c>
      <c r="AG169" s="24">
        <f>IF(ROW()&lt;9,"",IF(OR(AD169="",AD164=""),"",IF(AD164=0,"",(AD169/AD164)-1)))</f>
        <v/>
      </c>
      <c r="AH169" s="13">
        <f>IF(ROW()&lt;23,"",AVERAGE(AD150:AD169))</f>
        <v/>
      </c>
      <c r="AI169">
        <f>IF(OR(AD169="",AH169=""),"",IF(AD169&gt;AH169,"Bull","Bear"))</f>
        <v/>
      </c>
      <c r="AJ169" s="13" t="n"/>
      <c r="AK169" s="24">
        <f>IF(OR(AJ169="",AJ168=""),"",IF(AJ168=0,"",(AJ169/AJ168)-1))</f>
        <v/>
      </c>
      <c r="AL169" s="24">
        <f>IF(ROW()&lt;7,"",IF(OR(AJ169="",AJ166=""),"",IF(AJ166=0,"",(AJ169/AJ166)-1)))</f>
        <v/>
      </c>
      <c r="AM169" s="24">
        <f>IF(ROW()&lt;9,"",IF(OR(AJ169="",AJ164=""),"",IF(AJ164=0,"",(AJ169/AJ164)-1)))</f>
        <v/>
      </c>
      <c r="AN169" s="13">
        <f>IF(ROW()&lt;23,"",AVERAGE(AJ150:AJ169))</f>
        <v/>
      </c>
      <c r="AO169">
        <f>IF(OR(AJ169="",AN169=""),"",IF(AJ169&gt;AN169,"Bull","Bear"))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8">
        <f>IFERROR((M170/M169)-1,"")</f>
        <v/>
      </c>
      <c r="O170" s="24">
        <f>IF(OR(N170="",N169=""),"",IF(N169=0,"",(N170/N169)-1))</f>
        <v/>
      </c>
      <c r="P170" s="11">
        <f>IF(ROW()&lt;7,"",IF(OR(E170="",E167=""),"",IF(E167=0,"",(E170/E167)-1)))</f>
        <v/>
      </c>
      <c r="Q170" s="24">
        <f>IF(ROW()&lt;9,"",IF(OR(E170="",E165=""),"",IF(E165=0,"",(E170/E165)-1)))</f>
        <v/>
      </c>
      <c r="R170" s="24">
        <f>IF(ROW()&lt;7,"",IF(OR(G170="",G167=""),"",IF(G167=0,"",(G170/G167)-1)))</f>
        <v/>
      </c>
      <c r="S170" s="24">
        <f>IF(ROW()&lt;9,"",IF(OR(G170="",G165=""),"",IF(G165=0,"",(G170/G165)-1)))</f>
        <v/>
      </c>
      <c r="T170" s="24">
        <f>IF(ROW()&lt;7,"",IF(OR(L170="",L167=""),"",IF(L167=0,"",(L170/L167)-1)))</f>
        <v/>
      </c>
      <c r="U170" s="24">
        <f>IF(ROW()&lt;9,"",IF(OR(L170="",L165=""),"",IF(L165=0,"",(L170/L165)-1)))</f>
        <v/>
      </c>
      <c r="V170" s="24">
        <f>IF(ROW()&lt;7,"",IF(OR(N170="",N167=""),"",IF(N167=0,"",(N170/N167)-1)))</f>
        <v/>
      </c>
      <c r="W170" s="24">
        <f>IF(ROW()&lt;9,"",IF(OR(N170="",N165=""),"",IF(N165=0,"",(N170/N165)-1)))</f>
        <v/>
      </c>
      <c r="X170" s="24">
        <f>IF(OR(F170="",M170=""),"",F170-M170)</f>
        <v/>
      </c>
      <c r="Y170" s="24">
        <f>IF(OR(P170="",T170=""),"",P170-T170)</f>
        <v/>
      </c>
      <c r="Z170" s="24">
        <f>IF(OR(Q170="",U170=""),"",Q170-U170)</f>
        <v/>
      </c>
      <c r="AA170" s="24">
        <f>IF(OR(H170="",O170=""),"",H170-O170)</f>
        <v/>
      </c>
      <c r="AB170" s="24">
        <f>IF(OR(R170="",V170=""),"",R170-V170)</f>
        <v/>
      </c>
      <c r="AC170" s="24">
        <f>IF(OR(S170="",W170=""),"",S170-W170)</f>
        <v/>
      </c>
      <c r="AD170" s="13" t="n"/>
      <c r="AE170" s="24">
        <f>IF(OR(AD170="",AD169=""),"",IF(AD169=0,"",(AD170/AD169)-1))</f>
        <v/>
      </c>
      <c r="AF170" s="24">
        <f>IF(ROW()&lt;7,"",IF(OR(AD170="",AD167=""),"",IF(AD167=0,"",(AD170/AD167)-1)))</f>
        <v/>
      </c>
      <c r="AG170" s="24">
        <f>IF(ROW()&lt;9,"",IF(OR(AD170="",AD165=""),"",IF(AD165=0,"",(AD170/AD165)-1)))</f>
        <v/>
      </c>
      <c r="AH170" s="13">
        <f>IF(ROW()&lt;23,"",AVERAGE(AD151:AD170))</f>
        <v/>
      </c>
      <c r="AI170">
        <f>IF(OR(AD170="",AH170=""),"",IF(AD170&gt;AH170,"Bull","Bear"))</f>
        <v/>
      </c>
      <c r="AJ170" s="13" t="n"/>
      <c r="AK170" s="24">
        <f>IF(OR(AJ170="",AJ169=""),"",IF(AJ169=0,"",(AJ170/AJ169)-1))</f>
        <v/>
      </c>
      <c r="AL170" s="24">
        <f>IF(ROW()&lt;7,"",IF(OR(AJ170="",AJ167=""),"",IF(AJ167=0,"",(AJ170/AJ167)-1)))</f>
        <v/>
      </c>
      <c r="AM170" s="24">
        <f>IF(ROW()&lt;9,"",IF(OR(AJ170="",AJ165=""),"",IF(AJ165=0,"",(AJ170/AJ165)-1)))</f>
        <v/>
      </c>
      <c r="AN170" s="13">
        <f>IF(ROW()&lt;23,"",AVERAGE(AJ151:AJ170))</f>
        <v/>
      </c>
      <c r="AO170">
        <f>IF(OR(AJ170="",AN170=""),"",IF(AJ170&gt;AN170,"Bull","Bear"))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8">
        <f>IFERROR((M171/M170)-1,"")</f>
        <v/>
      </c>
      <c r="O171" s="24">
        <f>IF(OR(N171="",N170=""),"",IF(N170=0,"",(N171/N170)-1))</f>
        <v/>
      </c>
      <c r="P171" s="11">
        <f>IF(ROW()&lt;7,"",IF(OR(E171="",E168=""),"",IF(E168=0,"",(E171/E168)-1)))</f>
        <v/>
      </c>
      <c r="Q171" s="24">
        <f>IF(ROW()&lt;9,"",IF(OR(E171="",E166=""),"",IF(E166=0,"",(E171/E166)-1)))</f>
        <v/>
      </c>
      <c r="R171" s="24">
        <f>IF(ROW()&lt;7,"",IF(OR(G171="",G168=""),"",IF(G168=0,"",(G171/G168)-1)))</f>
        <v/>
      </c>
      <c r="S171" s="24">
        <f>IF(ROW()&lt;9,"",IF(OR(G171="",G166=""),"",IF(G166=0,"",(G171/G166)-1)))</f>
        <v/>
      </c>
      <c r="T171" s="24">
        <f>IF(ROW()&lt;7,"",IF(OR(L171="",L168=""),"",IF(L168=0,"",(L171/L168)-1)))</f>
        <v/>
      </c>
      <c r="U171" s="24">
        <f>IF(ROW()&lt;9,"",IF(OR(L171="",L166=""),"",IF(L166=0,"",(L171/L166)-1)))</f>
        <v/>
      </c>
      <c r="V171" s="24">
        <f>IF(ROW()&lt;7,"",IF(OR(N171="",N168=""),"",IF(N168=0,"",(N171/N168)-1)))</f>
        <v/>
      </c>
      <c r="W171" s="24">
        <f>IF(ROW()&lt;9,"",IF(OR(N171="",N166=""),"",IF(N166=0,"",(N171/N166)-1)))</f>
        <v/>
      </c>
      <c r="X171" s="24">
        <f>IF(OR(F171="",M171=""),"",F171-M171)</f>
        <v/>
      </c>
      <c r="Y171" s="24">
        <f>IF(OR(P171="",T171=""),"",P171-T171)</f>
        <v/>
      </c>
      <c r="Z171" s="24">
        <f>IF(OR(Q171="",U171=""),"",Q171-U171)</f>
        <v/>
      </c>
      <c r="AA171" s="24">
        <f>IF(OR(H171="",O171=""),"",H171-O171)</f>
        <v/>
      </c>
      <c r="AB171" s="24">
        <f>IF(OR(R171="",V171=""),"",R171-V171)</f>
        <v/>
      </c>
      <c r="AC171" s="24">
        <f>IF(OR(S171="",W171=""),"",S171-W171)</f>
        <v/>
      </c>
      <c r="AD171" s="13" t="n"/>
      <c r="AE171" s="24">
        <f>IF(OR(AD171="",AD170=""),"",IF(AD170=0,"",(AD171/AD170)-1))</f>
        <v/>
      </c>
      <c r="AF171" s="24">
        <f>IF(ROW()&lt;7,"",IF(OR(AD171="",AD168=""),"",IF(AD168=0,"",(AD171/AD168)-1)))</f>
        <v/>
      </c>
      <c r="AG171" s="24">
        <f>IF(ROW()&lt;9,"",IF(OR(AD171="",AD166=""),"",IF(AD166=0,"",(AD171/AD166)-1)))</f>
        <v/>
      </c>
      <c r="AH171" s="13">
        <f>IF(ROW()&lt;23,"",AVERAGE(AD152:AD171))</f>
        <v/>
      </c>
      <c r="AI171">
        <f>IF(OR(AD171="",AH171=""),"",IF(AD171&gt;AH171,"Bull","Bear"))</f>
        <v/>
      </c>
      <c r="AJ171" s="13" t="n"/>
      <c r="AK171" s="24">
        <f>IF(OR(AJ171="",AJ170=""),"",IF(AJ170=0,"",(AJ171/AJ170)-1))</f>
        <v/>
      </c>
      <c r="AL171" s="24">
        <f>IF(ROW()&lt;7,"",IF(OR(AJ171="",AJ168=""),"",IF(AJ168=0,"",(AJ171/AJ168)-1)))</f>
        <v/>
      </c>
      <c r="AM171" s="24">
        <f>IF(ROW()&lt;9,"",IF(OR(AJ171="",AJ166=""),"",IF(AJ166=0,"",(AJ171/AJ166)-1)))</f>
        <v/>
      </c>
      <c r="AN171" s="13">
        <f>IF(ROW()&lt;23,"",AVERAGE(AJ152:AJ171))</f>
        <v/>
      </c>
      <c r="AO171">
        <f>IF(OR(AJ171="",AN171=""),"",IF(AJ171&gt;AN171,"Bull","Bear"))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8">
        <f>IFERROR((M172/M171)-1,"")</f>
        <v/>
      </c>
      <c r="O172" s="24">
        <f>IF(OR(N172="",N171=""),"",IF(N171=0,"",(N172/N171)-1))</f>
        <v/>
      </c>
      <c r="P172" s="11">
        <f>IF(ROW()&lt;7,"",IF(OR(E172="",E169=""),"",IF(E169=0,"",(E172/E169)-1)))</f>
        <v/>
      </c>
      <c r="Q172" s="24">
        <f>IF(ROW()&lt;9,"",IF(OR(E172="",E167=""),"",IF(E167=0,"",(E172/E167)-1)))</f>
        <v/>
      </c>
      <c r="R172" s="24">
        <f>IF(ROW()&lt;7,"",IF(OR(G172="",G169=""),"",IF(G169=0,"",(G172/G169)-1)))</f>
        <v/>
      </c>
      <c r="S172" s="24">
        <f>IF(ROW()&lt;9,"",IF(OR(G172="",G167=""),"",IF(G167=0,"",(G172/G167)-1)))</f>
        <v/>
      </c>
      <c r="T172" s="24">
        <f>IF(ROW()&lt;7,"",IF(OR(L172="",L169=""),"",IF(L169=0,"",(L172/L169)-1)))</f>
        <v/>
      </c>
      <c r="U172" s="24">
        <f>IF(ROW()&lt;9,"",IF(OR(L172="",L167=""),"",IF(L167=0,"",(L172/L167)-1)))</f>
        <v/>
      </c>
      <c r="V172" s="24">
        <f>IF(ROW()&lt;7,"",IF(OR(N172="",N169=""),"",IF(N169=0,"",(N172/N169)-1)))</f>
        <v/>
      </c>
      <c r="W172" s="24">
        <f>IF(ROW()&lt;9,"",IF(OR(N172="",N167=""),"",IF(N167=0,"",(N172/N167)-1)))</f>
        <v/>
      </c>
      <c r="X172" s="24">
        <f>IF(OR(F172="",M172=""),"",F172-M172)</f>
        <v/>
      </c>
      <c r="Y172" s="24">
        <f>IF(OR(P172="",T172=""),"",P172-T172)</f>
        <v/>
      </c>
      <c r="Z172" s="24">
        <f>IF(OR(Q172="",U172=""),"",Q172-U172)</f>
        <v/>
      </c>
      <c r="AA172" s="24">
        <f>IF(OR(H172="",O172=""),"",H172-O172)</f>
        <v/>
      </c>
      <c r="AB172" s="24">
        <f>IF(OR(R172="",V172=""),"",R172-V172)</f>
        <v/>
      </c>
      <c r="AC172" s="24">
        <f>IF(OR(S172="",W172=""),"",S172-W172)</f>
        <v/>
      </c>
      <c r="AD172" s="13" t="n"/>
      <c r="AE172" s="24">
        <f>IF(OR(AD172="",AD171=""),"",IF(AD171=0,"",(AD172/AD171)-1))</f>
        <v/>
      </c>
      <c r="AF172" s="24">
        <f>IF(ROW()&lt;7,"",IF(OR(AD172="",AD169=""),"",IF(AD169=0,"",(AD172/AD169)-1)))</f>
        <v/>
      </c>
      <c r="AG172" s="24">
        <f>IF(ROW()&lt;9,"",IF(OR(AD172="",AD167=""),"",IF(AD167=0,"",(AD172/AD167)-1)))</f>
        <v/>
      </c>
      <c r="AH172" s="13">
        <f>IF(ROW()&lt;23,"",AVERAGE(AD153:AD172))</f>
        <v/>
      </c>
      <c r="AI172">
        <f>IF(OR(AD172="",AH172=""),"",IF(AD172&gt;AH172,"Bull","Bear"))</f>
        <v/>
      </c>
      <c r="AJ172" s="13" t="n"/>
      <c r="AK172" s="24">
        <f>IF(OR(AJ172="",AJ171=""),"",IF(AJ171=0,"",(AJ172/AJ171)-1))</f>
        <v/>
      </c>
      <c r="AL172" s="24">
        <f>IF(ROW()&lt;7,"",IF(OR(AJ172="",AJ169=""),"",IF(AJ169=0,"",(AJ172/AJ169)-1)))</f>
        <v/>
      </c>
      <c r="AM172" s="24">
        <f>IF(ROW()&lt;9,"",IF(OR(AJ172="",AJ167=""),"",IF(AJ167=0,"",(AJ172/AJ167)-1)))</f>
        <v/>
      </c>
      <c r="AN172" s="13">
        <f>IF(ROW()&lt;23,"",AVERAGE(AJ153:AJ172))</f>
        <v/>
      </c>
      <c r="AO172">
        <f>IF(OR(AJ172="",AN172=""),"",IF(AJ172&gt;AN172,"Bull","Bear"))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8">
        <f>IFERROR((M173/M172)-1,"")</f>
        <v/>
      </c>
      <c r="O173" s="24">
        <f>IF(OR(N173="",N172=""),"",IF(N172=0,"",(N173/N172)-1))</f>
        <v/>
      </c>
      <c r="P173" s="11">
        <f>IF(ROW()&lt;7,"",IF(OR(E173="",E170=""),"",IF(E170=0,"",(E173/E170)-1)))</f>
        <v/>
      </c>
      <c r="Q173" s="24">
        <f>IF(ROW()&lt;9,"",IF(OR(E173="",E168=""),"",IF(E168=0,"",(E173/E168)-1)))</f>
        <v/>
      </c>
      <c r="R173" s="24">
        <f>IF(ROW()&lt;7,"",IF(OR(G173="",G170=""),"",IF(G170=0,"",(G173/G170)-1)))</f>
        <v/>
      </c>
      <c r="S173" s="24">
        <f>IF(ROW()&lt;9,"",IF(OR(G173="",G168=""),"",IF(G168=0,"",(G173/G168)-1)))</f>
        <v/>
      </c>
      <c r="T173" s="24">
        <f>IF(ROW()&lt;7,"",IF(OR(L173="",L170=""),"",IF(L170=0,"",(L173/L170)-1)))</f>
        <v/>
      </c>
      <c r="U173" s="24">
        <f>IF(ROW()&lt;9,"",IF(OR(L173="",L168=""),"",IF(L168=0,"",(L173/L168)-1)))</f>
        <v/>
      </c>
      <c r="V173" s="24">
        <f>IF(ROW()&lt;7,"",IF(OR(N173="",N170=""),"",IF(N170=0,"",(N173/N170)-1)))</f>
        <v/>
      </c>
      <c r="W173" s="24">
        <f>IF(ROW()&lt;9,"",IF(OR(N173="",N168=""),"",IF(N168=0,"",(N173/N168)-1)))</f>
        <v/>
      </c>
      <c r="X173" s="24">
        <f>IF(OR(F173="",M173=""),"",F173-M173)</f>
        <v/>
      </c>
      <c r="Y173" s="24">
        <f>IF(OR(P173="",T173=""),"",P173-T173)</f>
        <v/>
      </c>
      <c r="Z173" s="24">
        <f>IF(OR(Q173="",U173=""),"",Q173-U173)</f>
        <v/>
      </c>
      <c r="AA173" s="24">
        <f>IF(OR(H173="",O173=""),"",H173-O173)</f>
        <v/>
      </c>
      <c r="AB173" s="24">
        <f>IF(OR(R173="",V173=""),"",R173-V173)</f>
        <v/>
      </c>
      <c r="AC173" s="24">
        <f>IF(OR(S173="",W173=""),"",S173-W173)</f>
        <v/>
      </c>
      <c r="AD173" s="13" t="n"/>
      <c r="AE173" s="24">
        <f>IF(OR(AD173="",AD172=""),"",IF(AD172=0,"",(AD173/AD172)-1))</f>
        <v/>
      </c>
      <c r="AF173" s="24">
        <f>IF(ROW()&lt;7,"",IF(OR(AD173="",AD170=""),"",IF(AD170=0,"",(AD173/AD170)-1)))</f>
        <v/>
      </c>
      <c r="AG173" s="24">
        <f>IF(ROW()&lt;9,"",IF(OR(AD173="",AD168=""),"",IF(AD168=0,"",(AD173/AD168)-1)))</f>
        <v/>
      </c>
      <c r="AH173" s="13">
        <f>IF(ROW()&lt;23,"",AVERAGE(AD154:AD173))</f>
        <v/>
      </c>
      <c r="AI173">
        <f>IF(OR(AD173="",AH173=""),"",IF(AD173&gt;AH173,"Bull","Bear"))</f>
        <v/>
      </c>
      <c r="AJ173" s="13" t="n"/>
      <c r="AK173" s="24">
        <f>IF(OR(AJ173="",AJ172=""),"",IF(AJ172=0,"",(AJ173/AJ172)-1))</f>
        <v/>
      </c>
      <c r="AL173" s="24">
        <f>IF(ROW()&lt;7,"",IF(OR(AJ173="",AJ170=""),"",IF(AJ170=0,"",(AJ173/AJ170)-1)))</f>
        <v/>
      </c>
      <c r="AM173" s="24">
        <f>IF(ROW()&lt;9,"",IF(OR(AJ173="",AJ168=""),"",IF(AJ168=0,"",(AJ173/AJ168)-1)))</f>
        <v/>
      </c>
      <c r="AN173" s="13">
        <f>IF(ROW()&lt;23,"",AVERAGE(AJ154:AJ173))</f>
        <v/>
      </c>
      <c r="AO173">
        <f>IF(OR(AJ173="",AN173=""),"",IF(AJ173&gt;AN173,"Bull","Bear"))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8">
        <f>IFERROR((M174/M173)-1,"")</f>
        <v/>
      </c>
      <c r="O174" s="24">
        <f>IF(OR(N174="",N173=""),"",IF(N173=0,"",(N174/N173)-1))</f>
        <v/>
      </c>
      <c r="P174" s="11">
        <f>IF(ROW()&lt;7,"",IF(OR(E174="",E171=""),"",IF(E171=0,"",(E174/E171)-1)))</f>
        <v/>
      </c>
      <c r="Q174" s="24">
        <f>IF(ROW()&lt;9,"",IF(OR(E174="",E169=""),"",IF(E169=0,"",(E174/E169)-1)))</f>
        <v/>
      </c>
      <c r="R174" s="24">
        <f>IF(ROW()&lt;7,"",IF(OR(G174="",G171=""),"",IF(G171=0,"",(G174/G171)-1)))</f>
        <v/>
      </c>
      <c r="S174" s="24">
        <f>IF(ROW()&lt;9,"",IF(OR(G174="",G169=""),"",IF(G169=0,"",(G174/G169)-1)))</f>
        <v/>
      </c>
      <c r="T174" s="24">
        <f>IF(ROW()&lt;7,"",IF(OR(L174="",L171=""),"",IF(L171=0,"",(L174/L171)-1)))</f>
        <v/>
      </c>
      <c r="U174" s="24">
        <f>IF(ROW()&lt;9,"",IF(OR(L174="",L169=""),"",IF(L169=0,"",(L174/L169)-1)))</f>
        <v/>
      </c>
      <c r="V174" s="24">
        <f>IF(ROW()&lt;7,"",IF(OR(N174="",N171=""),"",IF(N171=0,"",(N174/N171)-1)))</f>
        <v/>
      </c>
      <c r="W174" s="24">
        <f>IF(ROW()&lt;9,"",IF(OR(N174="",N169=""),"",IF(N169=0,"",(N174/N169)-1)))</f>
        <v/>
      </c>
      <c r="X174" s="24">
        <f>IF(OR(F174="",M174=""),"",F174-M174)</f>
        <v/>
      </c>
      <c r="Y174" s="24">
        <f>IF(OR(P174="",T174=""),"",P174-T174)</f>
        <v/>
      </c>
      <c r="Z174" s="24">
        <f>IF(OR(Q174="",U174=""),"",Q174-U174)</f>
        <v/>
      </c>
      <c r="AA174" s="24">
        <f>IF(OR(H174="",O174=""),"",H174-O174)</f>
        <v/>
      </c>
      <c r="AB174" s="24">
        <f>IF(OR(R174="",V174=""),"",R174-V174)</f>
        <v/>
      </c>
      <c r="AC174" s="24">
        <f>IF(OR(S174="",W174=""),"",S174-W174)</f>
        <v/>
      </c>
      <c r="AD174" s="13" t="n"/>
      <c r="AE174" s="24">
        <f>IF(OR(AD174="",AD173=""),"",IF(AD173=0,"",(AD174/AD173)-1))</f>
        <v/>
      </c>
      <c r="AF174" s="24">
        <f>IF(ROW()&lt;7,"",IF(OR(AD174="",AD171=""),"",IF(AD171=0,"",(AD174/AD171)-1)))</f>
        <v/>
      </c>
      <c r="AG174" s="24">
        <f>IF(ROW()&lt;9,"",IF(OR(AD174="",AD169=""),"",IF(AD169=0,"",(AD174/AD169)-1)))</f>
        <v/>
      </c>
      <c r="AH174" s="13">
        <f>IF(ROW()&lt;23,"",AVERAGE(AD155:AD174))</f>
        <v/>
      </c>
      <c r="AI174">
        <f>IF(OR(AD174="",AH174=""),"",IF(AD174&gt;AH174,"Bull","Bear"))</f>
        <v/>
      </c>
      <c r="AJ174" s="13" t="n"/>
      <c r="AK174" s="24">
        <f>IF(OR(AJ174="",AJ173=""),"",IF(AJ173=0,"",(AJ174/AJ173)-1))</f>
        <v/>
      </c>
      <c r="AL174" s="24">
        <f>IF(ROW()&lt;7,"",IF(OR(AJ174="",AJ171=""),"",IF(AJ171=0,"",(AJ174/AJ171)-1)))</f>
        <v/>
      </c>
      <c r="AM174" s="24">
        <f>IF(ROW()&lt;9,"",IF(OR(AJ174="",AJ169=""),"",IF(AJ169=0,"",(AJ174/AJ169)-1)))</f>
        <v/>
      </c>
      <c r="AN174" s="13">
        <f>IF(ROW()&lt;23,"",AVERAGE(AJ155:AJ174))</f>
        <v/>
      </c>
      <c r="AO174">
        <f>IF(OR(AJ174="",AN174=""),"",IF(AJ174&gt;AN174,"Bull","Bear"))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8">
        <f>IFERROR((M175/M174)-1,"")</f>
        <v/>
      </c>
      <c r="O175" s="24">
        <f>IF(OR(N175="",N174=""),"",IF(N174=0,"",(N175/N174)-1))</f>
        <v/>
      </c>
      <c r="P175" s="11">
        <f>IF(ROW()&lt;7,"",IF(OR(E175="",E172=""),"",IF(E172=0,"",(E175/E172)-1)))</f>
        <v/>
      </c>
      <c r="Q175" s="24">
        <f>IF(ROW()&lt;9,"",IF(OR(E175="",E170=""),"",IF(E170=0,"",(E175/E170)-1)))</f>
        <v/>
      </c>
      <c r="R175" s="24">
        <f>IF(ROW()&lt;7,"",IF(OR(G175="",G172=""),"",IF(G172=0,"",(G175/G172)-1)))</f>
        <v/>
      </c>
      <c r="S175" s="24">
        <f>IF(ROW()&lt;9,"",IF(OR(G175="",G170=""),"",IF(G170=0,"",(G175/G170)-1)))</f>
        <v/>
      </c>
      <c r="T175" s="24">
        <f>IF(ROW()&lt;7,"",IF(OR(L175="",L172=""),"",IF(L172=0,"",(L175/L172)-1)))</f>
        <v/>
      </c>
      <c r="U175" s="24">
        <f>IF(ROW()&lt;9,"",IF(OR(L175="",L170=""),"",IF(L170=0,"",(L175/L170)-1)))</f>
        <v/>
      </c>
      <c r="V175" s="24">
        <f>IF(ROW()&lt;7,"",IF(OR(N175="",N172=""),"",IF(N172=0,"",(N175/N172)-1)))</f>
        <v/>
      </c>
      <c r="W175" s="24">
        <f>IF(ROW()&lt;9,"",IF(OR(N175="",N170=""),"",IF(N170=0,"",(N175/N170)-1)))</f>
        <v/>
      </c>
      <c r="X175" s="24">
        <f>IF(OR(F175="",M175=""),"",F175-M175)</f>
        <v/>
      </c>
      <c r="Y175" s="24">
        <f>IF(OR(P175="",T175=""),"",P175-T175)</f>
        <v/>
      </c>
      <c r="Z175" s="24">
        <f>IF(OR(Q175="",U175=""),"",Q175-U175)</f>
        <v/>
      </c>
      <c r="AA175" s="24">
        <f>IF(OR(H175="",O175=""),"",H175-O175)</f>
        <v/>
      </c>
      <c r="AB175" s="24">
        <f>IF(OR(R175="",V175=""),"",R175-V175)</f>
        <v/>
      </c>
      <c r="AC175" s="24">
        <f>IF(OR(S175="",W175=""),"",S175-W175)</f>
        <v/>
      </c>
      <c r="AD175" s="13" t="n"/>
      <c r="AE175" s="24">
        <f>IF(OR(AD175="",AD174=""),"",IF(AD174=0,"",(AD175/AD174)-1))</f>
        <v/>
      </c>
      <c r="AF175" s="24">
        <f>IF(ROW()&lt;7,"",IF(OR(AD175="",AD172=""),"",IF(AD172=0,"",(AD175/AD172)-1)))</f>
        <v/>
      </c>
      <c r="AG175" s="24">
        <f>IF(ROW()&lt;9,"",IF(OR(AD175="",AD170=""),"",IF(AD170=0,"",(AD175/AD170)-1)))</f>
        <v/>
      </c>
      <c r="AH175" s="13">
        <f>IF(ROW()&lt;23,"",AVERAGE(AD156:AD175))</f>
        <v/>
      </c>
      <c r="AI175">
        <f>IF(OR(AD175="",AH175=""),"",IF(AD175&gt;AH175,"Bull","Bear"))</f>
        <v/>
      </c>
      <c r="AJ175" s="13" t="n"/>
      <c r="AK175" s="24">
        <f>IF(OR(AJ175="",AJ174=""),"",IF(AJ174=0,"",(AJ175/AJ174)-1))</f>
        <v/>
      </c>
      <c r="AL175" s="24">
        <f>IF(ROW()&lt;7,"",IF(OR(AJ175="",AJ172=""),"",IF(AJ172=0,"",(AJ175/AJ172)-1)))</f>
        <v/>
      </c>
      <c r="AM175" s="24">
        <f>IF(ROW()&lt;9,"",IF(OR(AJ175="",AJ170=""),"",IF(AJ170=0,"",(AJ175/AJ170)-1)))</f>
        <v/>
      </c>
      <c r="AN175" s="13">
        <f>IF(ROW()&lt;23,"",AVERAGE(AJ156:AJ175))</f>
        <v/>
      </c>
      <c r="AO175">
        <f>IF(OR(AJ175="",AN175=""),"",IF(AJ175&gt;AN175,"Bull","Bear"))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8">
        <f>IFERROR((M176/M175)-1,"")</f>
        <v/>
      </c>
      <c r="O176" s="24">
        <f>IF(OR(N176="",N175=""),"",IF(N175=0,"",(N176/N175)-1))</f>
        <v/>
      </c>
      <c r="P176" s="11">
        <f>IF(ROW()&lt;7,"",IF(OR(E176="",E173=""),"",IF(E173=0,"",(E176/E173)-1)))</f>
        <v/>
      </c>
      <c r="Q176" s="24">
        <f>IF(ROW()&lt;9,"",IF(OR(E176="",E171=""),"",IF(E171=0,"",(E176/E171)-1)))</f>
        <v/>
      </c>
      <c r="R176" s="24">
        <f>IF(ROW()&lt;7,"",IF(OR(G176="",G173=""),"",IF(G173=0,"",(G176/G173)-1)))</f>
        <v/>
      </c>
      <c r="S176" s="24">
        <f>IF(ROW()&lt;9,"",IF(OR(G176="",G171=""),"",IF(G171=0,"",(G176/G171)-1)))</f>
        <v/>
      </c>
      <c r="T176" s="24">
        <f>IF(ROW()&lt;7,"",IF(OR(L176="",L173=""),"",IF(L173=0,"",(L176/L173)-1)))</f>
        <v/>
      </c>
      <c r="U176" s="24">
        <f>IF(ROW()&lt;9,"",IF(OR(L176="",L171=""),"",IF(L171=0,"",(L176/L171)-1)))</f>
        <v/>
      </c>
      <c r="V176" s="24">
        <f>IF(ROW()&lt;7,"",IF(OR(N176="",N173=""),"",IF(N173=0,"",(N176/N173)-1)))</f>
        <v/>
      </c>
      <c r="W176" s="24">
        <f>IF(ROW()&lt;9,"",IF(OR(N176="",N171=""),"",IF(N171=0,"",(N176/N171)-1)))</f>
        <v/>
      </c>
      <c r="X176" s="24">
        <f>IF(OR(F176="",M176=""),"",F176-M176)</f>
        <v/>
      </c>
      <c r="Y176" s="24">
        <f>IF(OR(P176="",T176=""),"",P176-T176)</f>
        <v/>
      </c>
      <c r="Z176" s="24">
        <f>IF(OR(Q176="",U176=""),"",Q176-U176)</f>
        <v/>
      </c>
      <c r="AA176" s="24">
        <f>IF(OR(H176="",O176=""),"",H176-O176)</f>
        <v/>
      </c>
      <c r="AB176" s="24">
        <f>IF(OR(R176="",V176=""),"",R176-V176)</f>
        <v/>
      </c>
      <c r="AC176" s="24">
        <f>IF(OR(S176="",W176=""),"",S176-W176)</f>
        <v/>
      </c>
      <c r="AD176" s="13" t="n"/>
      <c r="AE176" s="24">
        <f>IF(OR(AD176="",AD175=""),"",IF(AD175=0,"",(AD176/AD175)-1))</f>
        <v/>
      </c>
      <c r="AF176" s="24">
        <f>IF(ROW()&lt;7,"",IF(OR(AD176="",AD173=""),"",IF(AD173=0,"",(AD176/AD173)-1)))</f>
        <v/>
      </c>
      <c r="AG176" s="24">
        <f>IF(ROW()&lt;9,"",IF(OR(AD176="",AD171=""),"",IF(AD171=0,"",(AD176/AD171)-1)))</f>
        <v/>
      </c>
      <c r="AH176" s="13">
        <f>IF(ROW()&lt;23,"",AVERAGE(AD157:AD176))</f>
        <v/>
      </c>
      <c r="AI176">
        <f>IF(OR(AD176="",AH176=""),"",IF(AD176&gt;AH176,"Bull","Bear"))</f>
        <v/>
      </c>
      <c r="AJ176" s="13" t="n"/>
      <c r="AK176" s="24">
        <f>IF(OR(AJ176="",AJ175=""),"",IF(AJ175=0,"",(AJ176/AJ175)-1))</f>
        <v/>
      </c>
      <c r="AL176" s="24">
        <f>IF(ROW()&lt;7,"",IF(OR(AJ176="",AJ173=""),"",IF(AJ173=0,"",(AJ176/AJ173)-1)))</f>
        <v/>
      </c>
      <c r="AM176" s="24">
        <f>IF(ROW()&lt;9,"",IF(OR(AJ176="",AJ171=""),"",IF(AJ171=0,"",(AJ176/AJ171)-1)))</f>
        <v/>
      </c>
      <c r="AN176" s="13">
        <f>IF(ROW()&lt;23,"",AVERAGE(AJ157:AJ176))</f>
        <v/>
      </c>
      <c r="AO176">
        <f>IF(OR(AJ176="",AN176=""),"",IF(AJ176&gt;AN176,"Bull","Bear"))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8">
        <f>IFERROR((M177/M176)-1,"")</f>
        <v/>
      </c>
      <c r="O177" s="24">
        <f>IF(OR(N177="",N176=""),"",IF(N176=0,"",(N177/N176)-1))</f>
        <v/>
      </c>
      <c r="P177" s="11">
        <f>IF(ROW()&lt;7,"",IF(OR(E177="",E174=""),"",IF(E174=0,"",(E177/E174)-1)))</f>
        <v/>
      </c>
      <c r="Q177" s="24">
        <f>IF(ROW()&lt;9,"",IF(OR(E177="",E172=""),"",IF(E172=0,"",(E177/E172)-1)))</f>
        <v/>
      </c>
      <c r="R177" s="24">
        <f>IF(ROW()&lt;7,"",IF(OR(G177="",G174=""),"",IF(G174=0,"",(G177/G174)-1)))</f>
        <v/>
      </c>
      <c r="S177" s="24">
        <f>IF(ROW()&lt;9,"",IF(OR(G177="",G172=""),"",IF(G172=0,"",(G177/G172)-1)))</f>
        <v/>
      </c>
      <c r="T177" s="24">
        <f>IF(ROW()&lt;7,"",IF(OR(L177="",L174=""),"",IF(L174=0,"",(L177/L174)-1)))</f>
        <v/>
      </c>
      <c r="U177" s="24">
        <f>IF(ROW()&lt;9,"",IF(OR(L177="",L172=""),"",IF(L172=0,"",(L177/L172)-1)))</f>
        <v/>
      </c>
      <c r="V177" s="24">
        <f>IF(ROW()&lt;7,"",IF(OR(N177="",N174=""),"",IF(N174=0,"",(N177/N174)-1)))</f>
        <v/>
      </c>
      <c r="W177" s="24">
        <f>IF(ROW()&lt;9,"",IF(OR(N177="",N172=""),"",IF(N172=0,"",(N177/N172)-1)))</f>
        <v/>
      </c>
      <c r="X177" s="24">
        <f>IF(OR(F177="",M177=""),"",F177-M177)</f>
        <v/>
      </c>
      <c r="Y177" s="24">
        <f>IF(OR(P177="",T177=""),"",P177-T177)</f>
        <v/>
      </c>
      <c r="Z177" s="24">
        <f>IF(OR(Q177="",U177=""),"",Q177-U177)</f>
        <v/>
      </c>
      <c r="AA177" s="24">
        <f>IF(OR(H177="",O177=""),"",H177-O177)</f>
        <v/>
      </c>
      <c r="AB177" s="24">
        <f>IF(OR(R177="",V177=""),"",R177-V177)</f>
        <v/>
      </c>
      <c r="AC177" s="24">
        <f>IF(OR(S177="",W177=""),"",S177-W177)</f>
        <v/>
      </c>
      <c r="AD177" s="13" t="n"/>
      <c r="AE177" s="24">
        <f>IF(OR(AD177="",AD176=""),"",IF(AD176=0,"",(AD177/AD176)-1))</f>
        <v/>
      </c>
      <c r="AF177" s="24">
        <f>IF(ROW()&lt;7,"",IF(OR(AD177="",AD174=""),"",IF(AD174=0,"",(AD177/AD174)-1)))</f>
        <v/>
      </c>
      <c r="AG177" s="24">
        <f>IF(ROW()&lt;9,"",IF(OR(AD177="",AD172=""),"",IF(AD172=0,"",(AD177/AD172)-1)))</f>
        <v/>
      </c>
      <c r="AH177" s="13">
        <f>IF(ROW()&lt;23,"",AVERAGE(AD158:AD177))</f>
        <v/>
      </c>
      <c r="AI177">
        <f>IF(OR(AD177="",AH177=""),"",IF(AD177&gt;AH177,"Bull","Bear"))</f>
        <v/>
      </c>
      <c r="AJ177" s="13" t="n"/>
      <c r="AK177" s="24">
        <f>IF(OR(AJ177="",AJ176=""),"",IF(AJ176=0,"",(AJ177/AJ176)-1))</f>
        <v/>
      </c>
      <c r="AL177" s="24">
        <f>IF(ROW()&lt;7,"",IF(OR(AJ177="",AJ174=""),"",IF(AJ174=0,"",(AJ177/AJ174)-1)))</f>
        <v/>
      </c>
      <c r="AM177" s="24">
        <f>IF(ROW()&lt;9,"",IF(OR(AJ177="",AJ172=""),"",IF(AJ172=0,"",(AJ177/AJ172)-1)))</f>
        <v/>
      </c>
      <c r="AN177" s="13">
        <f>IF(ROW()&lt;23,"",AVERAGE(AJ158:AJ177))</f>
        <v/>
      </c>
      <c r="AO177">
        <f>IF(OR(AJ177="",AN177=""),"",IF(AJ177&gt;AN177,"Bull","Bear"))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8">
        <f>IFERROR((M178/M177)-1,"")</f>
        <v/>
      </c>
      <c r="O178" s="24">
        <f>IF(OR(N178="",N177=""),"",IF(N177=0,"",(N178/N177)-1))</f>
        <v/>
      </c>
      <c r="P178" s="11">
        <f>IF(ROW()&lt;7,"",IF(OR(E178="",E175=""),"",IF(E175=0,"",(E178/E175)-1)))</f>
        <v/>
      </c>
      <c r="Q178" s="24">
        <f>IF(ROW()&lt;9,"",IF(OR(E178="",E173=""),"",IF(E173=0,"",(E178/E173)-1)))</f>
        <v/>
      </c>
      <c r="R178" s="24">
        <f>IF(ROW()&lt;7,"",IF(OR(G178="",G175=""),"",IF(G175=0,"",(G178/G175)-1)))</f>
        <v/>
      </c>
      <c r="S178" s="24">
        <f>IF(ROW()&lt;9,"",IF(OR(G178="",G173=""),"",IF(G173=0,"",(G178/G173)-1)))</f>
        <v/>
      </c>
      <c r="T178" s="24">
        <f>IF(ROW()&lt;7,"",IF(OR(L178="",L175=""),"",IF(L175=0,"",(L178/L175)-1)))</f>
        <v/>
      </c>
      <c r="U178" s="24">
        <f>IF(ROW()&lt;9,"",IF(OR(L178="",L173=""),"",IF(L173=0,"",(L178/L173)-1)))</f>
        <v/>
      </c>
      <c r="V178" s="24">
        <f>IF(ROW()&lt;7,"",IF(OR(N178="",N175=""),"",IF(N175=0,"",(N178/N175)-1)))</f>
        <v/>
      </c>
      <c r="W178" s="24">
        <f>IF(ROW()&lt;9,"",IF(OR(N178="",N173=""),"",IF(N173=0,"",(N178/N173)-1)))</f>
        <v/>
      </c>
      <c r="X178" s="24">
        <f>IF(OR(F178="",M178=""),"",F178-M178)</f>
        <v/>
      </c>
      <c r="Y178" s="24">
        <f>IF(OR(P178="",T178=""),"",P178-T178)</f>
        <v/>
      </c>
      <c r="Z178" s="24">
        <f>IF(OR(Q178="",U178=""),"",Q178-U178)</f>
        <v/>
      </c>
      <c r="AA178" s="24">
        <f>IF(OR(H178="",O178=""),"",H178-O178)</f>
        <v/>
      </c>
      <c r="AB178" s="24">
        <f>IF(OR(R178="",V178=""),"",R178-V178)</f>
        <v/>
      </c>
      <c r="AC178" s="24">
        <f>IF(OR(S178="",W178=""),"",S178-W178)</f>
        <v/>
      </c>
      <c r="AD178" s="13" t="n"/>
      <c r="AE178" s="24">
        <f>IF(OR(AD178="",AD177=""),"",IF(AD177=0,"",(AD178/AD177)-1))</f>
        <v/>
      </c>
      <c r="AF178" s="24">
        <f>IF(ROW()&lt;7,"",IF(OR(AD178="",AD175=""),"",IF(AD175=0,"",(AD178/AD175)-1)))</f>
        <v/>
      </c>
      <c r="AG178" s="24">
        <f>IF(ROW()&lt;9,"",IF(OR(AD178="",AD173=""),"",IF(AD173=0,"",(AD178/AD173)-1)))</f>
        <v/>
      </c>
      <c r="AH178" s="13">
        <f>IF(ROW()&lt;23,"",AVERAGE(AD159:AD178))</f>
        <v/>
      </c>
      <c r="AI178">
        <f>IF(OR(AD178="",AH178=""),"",IF(AD178&gt;AH178,"Bull","Bear"))</f>
        <v/>
      </c>
      <c r="AJ178" s="13" t="n"/>
      <c r="AK178" s="24">
        <f>IF(OR(AJ178="",AJ177=""),"",IF(AJ177=0,"",(AJ178/AJ177)-1))</f>
        <v/>
      </c>
      <c r="AL178" s="24">
        <f>IF(ROW()&lt;7,"",IF(OR(AJ178="",AJ175=""),"",IF(AJ175=0,"",(AJ178/AJ175)-1)))</f>
        <v/>
      </c>
      <c r="AM178" s="24">
        <f>IF(ROW()&lt;9,"",IF(OR(AJ178="",AJ173=""),"",IF(AJ173=0,"",(AJ178/AJ173)-1)))</f>
        <v/>
      </c>
      <c r="AN178" s="13">
        <f>IF(ROW()&lt;23,"",AVERAGE(AJ159:AJ178))</f>
        <v/>
      </c>
      <c r="AO178">
        <f>IF(OR(AJ178="",AN178=""),"",IF(AJ178&gt;AN178,"Bull","Bear"))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8">
        <f>IFERROR((M179/M178)-1,"")</f>
        <v/>
      </c>
      <c r="O179" s="24">
        <f>IF(OR(N179="",N178=""),"",IF(N178=0,"",(N179/N178)-1))</f>
        <v/>
      </c>
      <c r="P179" s="11">
        <f>IF(ROW()&lt;7,"",IF(OR(E179="",E176=""),"",IF(E176=0,"",(E179/E176)-1)))</f>
        <v/>
      </c>
      <c r="Q179" s="24">
        <f>IF(ROW()&lt;9,"",IF(OR(E179="",E174=""),"",IF(E174=0,"",(E179/E174)-1)))</f>
        <v/>
      </c>
      <c r="R179" s="24">
        <f>IF(ROW()&lt;7,"",IF(OR(G179="",G176=""),"",IF(G176=0,"",(G179/G176)-1)))</f>
        <v/>
      </c>
      <c r="S179" s="24">
        <f>IF(ROW()&lt;9,"",IF(OR(G179="",G174=""),"",IF(G174=0,"",(G179/G174)-1)))</f>
        <v/>
      </c>
      <c r="T179" s="24">
        <f>IF(ROW()&lt;7,"",IF(OR(L179="",L176=""),"",IF(L176=0,"",(L179/L176)-1)))</f>
        <v/>
      </c>
      <c r="U179" s="24">
        <f>IF(ROW()&lt;9,"",IF(OR(L179="",L174=""),"",IF(L174=0,"",(L179/L174)-1)))</f>
        <v/>
      </c>
      <c r="V179" s="24">
        <f>IF(ROW()&lt;7,"",IF(OR(N179="",N176=""),"",IF(N176=0,"",(N179/N176)-1)))</f>
        <v/>
      </c>
      <c r="W179" s="24">
        <f>IF(ROW()&lt;9,"",IF(OR(N179="",N174=""),"",IF(N174=0,"",(N179/N174)-1)))</f>
        <v/>
      </c>
      <c r="X179" s="24">
        <f>IF(OR(F179="",M179=""),"",F179-M179)</f>
        <v/>
      </c>
      <c r="Y179" s="24">
        <f>IF(OR(P179="",T179=""),"",P179-T179)</f>
        <v/>
      </c>
      <c r="Z179" s="24">
        <f>IF(OR(Q179="",U179=""),"",Q179-U179)</f>
        <v/>
      </c>
      <c r="AA179" s="24">
        <f>IF(OR(H179="",O179=""),"",H179-O179)</f>
        <v/>
      </c>
      <c r="AB179" s="24">
        <f>IF(OR(R179="",V179=""),"",R179-V179)</f>
        <v/>
      </c>
      <c r="AC179" s="24">
        <f>IF(OR(S179="",W179=""),"",S179-W179)</f>
        <v/>
      </c>
      <c r="AD179" s="13" t="n"/>
      <c r="AE179" s="24">
        <f>IF(OR(AD179="",AD178=""),"",IF(AD178=0,"",(AD179/AD178)-1))</f>
        <v/>
      </c>
      <c r="AF179" s="24">
        <f>IF(ROW()&lt;7,"",IF(OR(AD179="",AD176=""),"",IF(AD176=0,"",(AD179/AD176)-1)))</f>
        <v/>
      </c>
      <c r="AG179" s="24">
        <f>IF(ROW()&lt;9,"",IF(OR(AD179="",AD174=""),"",IF(AD174=0,"",(AD179/AD174)-1)))</f>
        <v/>
      </c>
      <c r="AH179" s="13">
        <f>IF(ROW()&lt;23,"",AVERAGE(AD160:AD179))</f>
        <v/>
      </c>
      <c r="AI179">
        <f>IF(OR(AD179="",AH179=""),"",IF(AD179&gt;AH179,"Bull","Bear"))</f>
        <v/>
      </c>
      <c r="AJ179" s="13" t="n"/>
      <c r="AK179" s="24">
        <f>IF(OR(AJ179="",AJ178=""),"",IF(AJ178=0,"",(AJ179/AJ178)-1))</f>
        <v/>
      </c>
      <c r="AL179" s="24">
        <f>IF(ROW()&lt;7,"",IF(OR(AJ179="",AJ176=""),"",IF(AJ176=0,"",(AJ179/AJ176)-1)))</f>
        <v/>
      </c>
      <c r="AM179" s="24">
        <f>IF(ROW()&lt;9,"",IF(OR(AJ179="",AJ174=""),"",IF(AJ174=0,"",(AJ179/AJ174)-1)))</f>
        <v/>
      </c>
      <c r="AN179" s="13">
        <f>IF(ROW()&lt;23,"",AVERAGE(AJ160:AJ179))</f>
        <v/>
      </c>
      <c r="AO179">
        <f>IF(OR(AJ179="",AN179=""),"",IF(AJ179&gt;AN179,"Bull","Bear"))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8">
        <f>IFERROR((M180/M179)-1,"")</f>
        <v/>
      </c>
      <c r="O180" s="24">
        <f>IF(OR(N180="",N179=""),"",IF(N179=0,"",(N180/N179)-1))</f>
        <v/>
      </c>
      <c r="P180" s="11">
        <f>IF(ROW()&lt;7,"",IF(OR(E180="",E177=""),"",IF(E177=0,"",(E180/E177)-1)))</f>
        <v/>
      </c>
      <c r="Q180" s="24">
        <f>IF(ROW()&lt;9,"",IF(OR(E180="",E175=""),"",IF(E175=0,"",(E180/E175)-1)))</f>
        <v/>
      </c>
      <c r="R180" s="24">
        <f>IF(ROW()&lt;7,"",IF(OR(G180="",G177=""),"",IF(G177=0,"",(G180/G177)-1)))</f>
        <v/>
      </c>
      <c r="S180" s="24">
        <f>IF(ROW()&lt;9,"",IF(OR(G180="",G175=""),"",IF(G175=0,"",(G180/G175)-1)))</f>
        <v/>
      </c>
      <c r="T180" s="24">
        <f>IF(ROW()&lt;7,"",IF(OR(L180="",L177=""),"",IF(L177=0,"",(L180/L177)-1)))</f>
        <v/>
      </c>
      <c r="U180" s="24">
        <f>IF(ROW()&lt;9,"",IF(OR(L180="",L175=""),"",IF(L175=0,"",(L180/L175)-1)))</f>
        <v/>
      </c>
      <c r="V180" s="24">
        <f>IF(ROW()&lt;7,"",IF(OR(N180="",N177=""),"",IF(N177=0,"",(N180/N177)-1)))</f>
        <v/>
      </c>
      <c r="W180" s="24">
        <f>IF(ROW()&lt;9,"",IF(OR(N180="",N175=""),"",IF(N175=0,"",(N180/N175)-1)))</f>
        <v/>
      </c>
      <c r="X180" s="24">
        <f>IF(OR(F180="",M180=""),"",F180-M180)</f>
        <v/>
      </c>
      <c r="Y180" s="24">
        <f>IF(OR(P180="",T180=""),"",P180-T180)</f>
        <v/>
      </c>
      <c r="Z180" s="24">
        <f>IF(OR(Q180="",U180=""),"",Q180-U180)</f>
        <v/>
      </c>
      <c r="AA180" s="24">
        <f>IF(OR(H180="",O180=""),"",H180-O180)</f>
        <v/>
      </c>
      <c r="AB180" s="24">
        <f>IF(OR(R180="",V180=""),"",R180-V180)</f>
        <v/>
      </c>
      <c r="AC180" s="24">
        <f>IF(OR(S180="",W180=""),"",S180-W180)</f>
        <v/>
      </c>
      <c r="AD180" s="13" t="n"/>
      <c r="AE180" s="24">
        <f>IF(OR(AD180="",AD179=""),"",IF(AD179=0,"",(AD180/AD179)-1))</f>
        <v/>
      </c>
      <c r="AF180" s="24">
        <f>IF(ROW()&lt;7,"",IF(OR(AD180="",AD177=""),"",IF(AD177=0,"",(AD180/AD177)-1)))</f>
        <v/>
      </c>
      <c r="AG180" s="24">
        <f>IF(ROW()&lt;9,"",IF(OR(AD180="",AD175=""),"",IF(AD175=0,"",(AD180/AD175)-1)))</f>
        <v/>
      </c>
      <c r="AH180" s="13">
        <f>IF(ROW()&lt;23,"",AVERAGE(AD161:AD180))</f>
        <v/>
      </c>
      <c r="AI180">
        <f>IF(OR(AD180="",AH180=""),"",IF(AD180&gt;AH180,"Bull","Bear"))</f>
        <v/>
      </c>
      <c r="AJ180" s="13" t="n"/>
      <c r="AK180" s="24">
        <f>IF(OR(AJ180="",AJ179=""),"",IF(AJ179=0,"",(AJ180/AJ179)-1))</f>
        <v/>
      </c>
      <c r="AL180" s="24">
        <f>IF(ROW()&lt;7,"",IF(OR(AJ180="",AJ177=""),"",IF(AJ177=0,"",(AJ180/AJ177)-1)))</f>
        <v/>
      </c>
      <c r="AM180" s="24">
        <f>IF(ROW()&lt;9,"",IF(OR(AJ180="",AJ175=""),"",IF(AJ175=0,"",(AJ180/AJ175)-1)))</f>
        <v/>
      </c>
      <c r="AN180" s="13">
        <f>IF(ROW()&lt;23,"",AVERAGE(AJ161:AJ180))</f>
        <v/>
      </c>
      <c r="AO180">
        <f>IF(OR(AJ180="",AN180=""),"",IF(AJ180&gt;AN180,"Bull","Bear"))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8">
        <f>IFERROR((M181/M180)-1,"")</f>
        <v/>
      </c>
      <c r="O181" s="24">
        <f>IF(OR(N181="",N180=""),"",IF(N180=0,"",(N181/N180)-1))</f>
        <v/>
      </c>
      <c r="P181" s="11">
        <f>IF(ROW()&lt;7,"",IF(OR(E181="",E178=""),"",IF(E178=0,"",(E181/E178)-1)))</f>
        <v/>
      </c>
      <c r="Q181" s="24">
        <f>IF(ROW()&lt;9,"",IF(OR(E181="",E176=""),"",IF(E176=0,"",(E181/E176)-1)))</f>
        <v/>
      </c>
      <c r="R181" s="24">
        <f>IF(ROW()&lt;7,"",IF(OR(G181="",G178=""),"",IF(G178=0,"",(G181/G178)-1)))</f>
        <v/>
      </c>
      <c r="S181" s="24">
        <f>IF(ROW()&lt;9,"",IF(OR(G181="",G176=""),"",IF(G176=0,"",(G181/G176)-1)))</f>
        <v/>
      </c>
      <c r="T181" s="24">
        <f>IF(ROW()&lt;7,"",IF(OR(L181="",L178=""),"",IF(L178=0,"",(L181/L178)-1)))</f>
        <v/>
      </c>
      <c r="U181" s="24">
        <f>IF(ROW()&lt;9,"",IF(OR(L181="",L176=""),"",IF(L176=0,"",(L181/L176)-1)))</f>
        <v/>
      </c>
      <c r="V181" s="24">
        <f>IF(ROW()&lt;7,"",IF(OR(N181="",N178=""),"",IF(N178=0,"",(N181/N178)-1)))</f>
        <v/>
      </c>
      <c r="W181" s="24">
        <f>IF(ROW()&lt;9,"",IF(OR(N181="",N176=""),"",IF(N176=0,"",(N181/N176)-1)))</f>
        <v/>
      </c>
      <c r="X181" s="24">
        <f>IF(OR(F181="",M181=""),"",F181-M181)</f>
        <v/>
      </c>
      <c r="Y181" s="24">
        <f>IF(OR(P181="",T181=""),"",P181-T181)</f>
        <v/>
      </c>
      <c r="Z181" s="24">
        <f>IF(OR(Q181="",U181=""),"",Q181-U181)</f>
        <v/>
      </c>
      <c r="AA181" s="24">
        <f>IF(OR(H181="",O181=""),"",H181-O181)</f>
        <v/>
      </c>
      <c r="AB181" s="24">
        <f>IF(OR(R181="",V181=""),"",R181-V181)</f>
        <v/>
      </c>
      <c r="AC181" s="24">
        <f>IF(OR(S181="",W181=""),"",S181-W181)</f>
        <v/>
      </c>
      <c r="AD181" s="13" t="n"/>
      <c r="AE181" s="24">
        <f>IF(OR(AD181="",AD180=""),"",IF(AD180=0,"",(AD181/AD180)-1))</f>
        <v/>
      </c>
      <c r="AF181" s="24">
        <f>IF(ROW()&lt;7,"",IF(OR(AD181="",AD178=""),"",IF(AD178=0,"",(AD181/AD178)-1)))</f>
        <v/>
      </c>
      <c r="AG181" s="24">
        <f>IF(ROW()&lt;9,"",IF(OR(AD181="",AD176=""),"",IF(AD176=0,"",(AD181/AD176)-1)))</f>
        <v/>
      </c>
      <c r="AH181" s="13">
        <f>IF(ROW()&lt;23,"",AVERAGE(AD162:AD181))</f>
        <v/>
      </c>
      <c r="AI181">
        <f>IF(OR(AD181="",AH181=""),"",IF(AD181&gt;AH181,"Bull","Bear"))</f>
        <v/>
      </c>
      <c r="AJ181" s="13" t="n"/>
      <c r="AK181" s="24">
        <f>IF(OR(AJ181="",AJ180=""),"",IF(AJ180=0,"",(AJ181/AJ180)-1))</f>
        <v/>
      </c>
      <c r="AL181" s="24">
        <f>IF(ROW()&lt;7,"",IF(OR(AJ181="",AJ178=""),"",IF(AJ178=0,"",(AJ181/AJ178)-1)))</f>
        <v/>
      </c>
      <c r="AM181" s="24">
        <f>IF(ROW()&lt;9,"",IF(OR(AJ181="",AJ176=""),"",IF(AJ176=0,"",(AJ181/AJ176)-1)))</f>
        <v/>
      </c>
      <c r="AN181" s="13">
        <f>IF(ROW()&lt;23,"",AVERAGE(AJ162:AJ181))</f>
        <v/>
      </c>
      <c r="AO181">
        <f>IF(OR(AJ181="",AN181=""),"",IF(AJ181&gt;AN181,"Bull","Bear"))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8">
        <f>IFERROR((M182/M181)-1,"")</f>
        <v/>
      </c>
      <c r="O182" s="24">
        <f>IF(OR(N182="",N181=""),"",IF(N181=0,"",(N182/N181)-1))</f>
        <v/>
      </c>
      <c r="P182" s="11">
        <f>IF(ROW()&lt;7,"",IF(OR(E182="",E179=""),"",IF(E179=0,"",(E182/E179)-1)))</f>
        <v/>
      </c>
      <c r="Q182" s="24">
        <f>IF(ROW()&lt;9,"",IF(OR(E182="",E177=""),"",IF(E177=0,"",(E182/E177)-1)))</f>
        <v/>
      </c>
      <c r="R182" s="24">
        <f>IF(ROW()&lt;7,"",IF(OR(G182="",G179=""),"",IF(G179=0,"",(G182/G179)-1)))</f>
        <v/>
      </c>
      <c r="S182" s="24">
        <f>IF(ROW()&lt;9,"",IF(OR(G182="",G177=""),"",IF(G177=0,"",(G182/G177)-1)))</f>
        <v/>
      </c>
      <c r="T182" s="24">
        <f>IF(ROW()&lt;7,"",IF(OR(L182="",L179=""),"",IF(L179=0,"",(L182/L179)-1)))</f>
        <v/>
      </c>
      <c r="U182" s="24">
        <f>IF(ROW()&lt;9,"",IF(OR(L182="",L177=""),"",IF(L177=0,"",(L182/L177)-1)))</f>
        <v/>
      </c>
      <c r="V182" s="24">
        <f>IF(ROW()&lt;7,"",IF(OR(N182="",N179=""),"",IF(N179=0,"",(N182/N179)-1)))</f>
        <v/>
      </c>
      <c r="W182" s="24">
        <f>IF(ROW()&lt;9,"",IF(OR(N182="",N177=""),"",IF(N177=0,"",(N182/N177)-1)))</f>
        <v/>
      </c>
      <c r="X182" s="24">
        <f>IF(OR(F182="",M182=""),"",F182-M182)</f>
        <v/>
      </c>
      <c r="Y182" s="24">
        <f>IF(OR(P182="",T182=""),"",P182-T182)</f>
        <v/>
      </c>
      <c r="Z182" s="24">
        <f>IF(OR(Q182="",U182=""),"",Q182-U182)</f>
        <v/>
      </c>
      <c r="AA182" s="24">
        <f>IF(OR(H182="",O182=""),"",H182-O182)</f>
        <v/>
      </c>
      <c r="AB182" s="24">
        <f>IF(OR(R182="",V182=""),"",R182-V182)</f>
        <v/>
      </c>
      <c r="AC182" s="24">
        <f>IF(OR(S182="",W182=""),"",S182-W182)</f>
        <v/>
      </c>
      <c r="AD182" s="13" t="n"/>
      <c r="AE182" s="24">
        <f>IF(OR(AD182="",AD181=""),"",IF(AD181=0,"",(AD182/AD181)-1))</f>
        <v/>
      </c>
      <c r="AF182" s="24">
        <f>IF(ROW()&lt;7,"",IF(OR(AD182="",AD179=""),"",IF(AD179=0,"",(AD182/AD179)-1)))</f>
        <v/>
      </c>
      <c r="AG182" s="24">
        <f>IF(ROW()&lt;9,"",IF(OR(AD182="",AD177=""),"",IF(AD177=0,"",(AD182/AD177)-1)))</f>
        <v/>
      </c>
      <c r="AH182" s="13">
        <f>IF(ROW()&lt;23,"",AVERAGE(AD163:AD182))</f>
        <v/>
      </c>
      <c r="AI182">
        <f>IF(OR(AD182="",AH182=""),"",IF(AD182&gt;AH182,"Bull","Bear"))</f>
        <v/>
      </c>
      <c r="AJ182" s="13" t="n"/>
      <c r="AK182" s="24">
        <f>IF(OR(AJ182="",AJ181=""),"",IF(AJ181=0,"",(AJ182/AJ181)-1))</f>
        <v/>
      </c>
      <c r="AL182" s="24">
        <f>IF(ROW()&lt;7,"",IF(OR(AJ182="",AJ179=""),"",IF(AJ179=0,"",(AJ182/AJ179)-1)))</f>
        <v/>
      </c>
      <c r="AM182" s="24">
        <f>IF(ROW()&lt;9,"",IF(OR(AJ182="",AJ177=""),"",IF(AJ177=0,"",(AJ182/AJ177)-1)))</f>
        <v/>
      </c>
      <c r="AN182" s="13">
        <f>IF(ROW()&lt;23,"",AVERAGE(AJ163:AJ182))</f>
        <v/>
      </c>
      <c r="AO182">
        <f>IF(OR(AJ182="",AN182=""),"",IF(AJ182&gt;AN182,"Bull","Bear"))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8">
        <f>IFERROR((M183/M182)-1,"")</f>
        <v/>
      </c>
      <c r="O183" s="24">
        <f>IF(OR(N183="",N182=""),"",IF(N182=0,"",(N183/N182)-1))</f>
        <v/>
      </c>
      <c r="P183" s="11">
        <f>IF(ROW()&lt;7,"",IF(OR(E183="",E180=""),"",IF(E180=0,"",(E183/E180)-1)))</f>
        <v/>
      </c>
      <c r="Q183" s="24">
        <f>IF(ROW()&lt;9,"",IF(OR(E183="",E178=""),"",IF(E178=0,"",(E183/E178)-1)))</f>
        <v/>
      </c>
      <c r="R183" s="24">
        <f>IF(ROW()&lt;7,"",IF(OR(G183="",G180=""),"",IF(G180=0,"",(G183/G180)-1)))</f>
        <v/>
      </c>
      <c r="S183" s="24">
        <f>IF(ROW()&lt;9,"",IF(OR(G183="",G178=""),"",IF(G178=0,"",(G183/G178)-1)))</f>
        <v/>
      </c>
      <c r="T183" s="24">
        <f>IF(ROW()&lt;7,"",IF(OR(L183="",L180=""),"",IF(L180=0,"",(L183/L180)-1)))</f>
        <v/>
      </c>
      <c r="U183" s="24">
        <f>IF(ROW()&lt;9,"",IF(OR(L183="",L178=""),"",IF(L178=0,"",(L183/L178)-1)))</f>
        <v/>
      </c>
      <c r="V183" s="24">
        <f>IF(ROW()&lt;7,"",IF(OR(N183="",N180=""),"",IF(N180=0,"",(N183/N180)-1)))</f>
        <v/>
      </c>
      <c r="W183" s="24">
        <f>IF(ROW()&lt;9,"",IF(OR(N183="",N178=""),"",IF(N178=0,"",(N183/N178)-1)))</f>
        <v/>
      </c>
      <c r="X183" s="24">
        <f>IF(OR(F183="",M183=""),"",F183-M183)</f>
        <v/>
      </c>
      <c r="Y183" s="24">
        <f>IF(OR(P183="",T183=""),"",P183-T183)</f>
        <v/>
      </c>
      <c r="Z183" s="24">
        <f>IF(OR(Q183="",U183=""),"",Q183-U183)</f>
        <v/>
      </c>
      <c r="AA183" s="24">
        <f>IF(OR(H183="",O183=""),"",H183-O183)</f>
        <v/>
      </c>
      <c r="AB183" s="24">
        <f>IF(OR(R183="",V183=""),"",R183-V183)</f>
        <v/>
      </c>
      <c r="AC183" s="24">
        <f>IF(OR(S183="",W183=""),"",S183-W183)</f>
        <v/>
      </c>
      <c r="AD183" s="13" t="n"/>
      <c r="AE183" s="24">
        <f>IF(OR(AD183="",AD182=""),"",IF(AD182=0,"",(AD183/AD182)-1))</f>
        <v/>
      </c>
      <c r="AF183" s="24">
        <f>IF(ROW()&lt;7,"",IF(OR(AD183="",AD180=""),"",IF(AD180=0,"",(AD183/AD180)-1)))</f>
        <v/>
      </c>
      <c r="AG183" s="24">
        <f>IF(ROW()&lt;9,"",IF(OR(AD183="",AD178=""),"",IF(AD178=0,"",(AD183/AD178)-1)))</f>
        <v/>
      </c>
      <c r="AH183" s="13">
        <f>IF(ROW()&lt;23,"",AVERAGE(AD164:AD183))</f>
        <v/>
      </c>
      <c r="AI183">
        <f>IF(OR(AD183="",AH183=""),"",IF(AD183&gt;AH183,"Bull","Bear"))</f>
        <v/>
      </c>
      <c r="AJ183" s="13" t="n"/>
      <c r="AK183" s="24">
        <f>IF(OR(AJ183="",AJ182=""),"",IF(AJ182=0,"",(AJ183/AJ182)-1))</f>
        <v/>
      </c>
      <c r="AL183" s="24">
        <f>IF(ROW()&lt;7,"",IF(OR(AJ183="",AJ180=""),"",IF(AJ180=0,"",(AJ183/AJ180)-1)))</f>
        <v/>
      </c>
      <c r="AM183" s="24">
        <f>IF(ROW()&lt;9,"",IF(OR(AJ183="",AJ178=""),"",IF(AJ178=0,"",(AJ183/AJ178)-1)))</f>
        <v/>
      </c>
      <c r="AN183" s="13">
        <f>IF(ROW()&lt;23,"",AVERAGE(AJ164:AJ183))</f>
        <v/>
      </c>
      <c r="AO183">
        <f>IF(OR(AJ183="",AN183=""),"",IF(AJ183&gt;AN183,"Bull","Bear"))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8">
        <f>IFERROR((M184/M183)-1,"")</f>
        <v/>
      </c>
      <c r="O184" s="24">
        <f>IF(OR(N184="",N183=""),"",IF(N183=0,"",(N184/N183)-1))</f>
        <v/>
      </c>
      <c r="P184" s="11">
        <f>IF(ROW()&lt;7,"",IF(OR(E184="",E181=""),"",IF(E181=0,"",(E184/E181)-1)))</f>
        <v/>
      </c>
      <c r="Q184" s="24">
        <f>IF(ROW()&lt;9,"",IF(OR(E184="",E179=""),"",IF(E179=0,"",(E184/E179)-1)))</f>
        <v/>
      </c>
      <c r="R184" s="24">
        <f>IF(ROW()&lt;7,"",IF(OR(G184="",G181=""),"",IF(G181=0,"",(G184/G181)-1)))</f>
        <v/>
      </c>
      <c r="S184" s="24">
        <f>IF(ROW()&lt;9,"",IF(OR(G184="",G179=""),"",IF(G179=0,"",(G184/G179)-1)))</f>
        <v/>
      </c>
      <c r="T184" s="24">
        <f>IF(ROW()&lt;7,"",IF(OR(L184="",L181=""),"",IF(L181=0,"",(L184/L181)-1)))</f>
        <v/>
      </c>
      <c r="U184" s="24">
        <f>IF(ROW()&lt;9,"",IF(OR(L184="",L179=""),"",IF(L179=0,"",(L184/L179)-1)))</f>
        <v/>
      </c>
      <c r="V184" s="24">
        <f>IF(ROW()&lt;7,"",IF(OR(N184="",N181=""),"",IF(N181=0,"",(N184/N181)-1)))</f>
        <v/>
      </c>
      <c r="W184" s="24">
        <f>IF(ROW()&lt;9,"",IF(OR(N184="",N179=""),"",IF(N179=0,"",(N184/N179)-1)))</f>
        <v/>
      </c>
      <c r="X184" s="24">
        <f>IF(OR(F184="",M184=""),"",F184-M184)</f>
        <v/>
      </c>
      <c r="Y184" s="24">
        <f>IF(OR(P184="",T184=""),"",P184-T184)</f>
        <v/>
      </c>
      <c r="Z184" s="24">
        <f>IF(OR(Q184="",U184=""),"",Q184-U184)</f>
        <v/>
      </c>
      <c r="AA184" s="24">
        <f>IF(OR(H184="",O184=""),"",H184-O184)</f>
        <v/>
      </c>
      <c r="AB184" s="24">
        <f>IF(OR(R184="",V184=""),"",R184-V184)</f>
        <v/>
      </c>
      <c r="AC184" s="24">
        <f>IF(OR(S184="",W184=""),"",S184-W184)</f>
        <v/>
      </c>
      <c r="AD184" s="13" t="n"/>
      <c r="AE184" s="24">
        <f>IF(OR(AD184="",AD183=""),"",IF(AD183=0,"",(AD184/AD183)-1))</f>
        <v/>
      </c>
      <c r="AF184" s="24">
        <f>IF(ROW()&lt;7,"",IF(OR(AD184="",AD181=""),"",IF(AD181=0,"",(AD184/AD181)-1)))</f>
        <v/>
      </c>
      <c r="AG184" s="24">
        <f>IF(ROW()&lt;9,"",IF(OR(AD184="",AD179=""),"",IF(AD179=0,"",(AD184/AD179)-1)))</f>
        <v/>
      </c>
      <c r="AH184" s="13">
        <f>IF(ROW()&lt;23,"",AVERAGE(AD165:AD184))</f>
        <v/>
      </c>
      <c r="AI184">
        <f>IF(OR(AD184="",AH184=""),"",IF(AD184&gt;AH184,"Bull","Bear"))</f>
        <v/>
      </c>
      <c r="AJ184" s="13" t="n"/>
      <c r="AK184" s="24">
        <f>IF(OR(AJ184="",AJ183=""),"",IF(AJ183=0,"",(AJ184/AJ183)-1))</f>
        <v/>
      </c>
      <c r="AL184" s="24">
        <f>IF(ROW()&lt;7,"",IF(OR(AJ184="",AJ181=""),"",IF(AJ181=0,"",(AJ184/AJ181)-1)))</f>
        <v/>
      </c>
      <c r="AM184" s="24">
        <f>IF(ROW()&lt;9,"",IF(OR(AJ184="",AJ179=""),"",IF(AJ179=0,"",(AJ184/AJ179)-1)))</f>
        <v/>
      </c>
      <c r="AN184" s="13">
        <f>IF(ROW()&lt;23,"",AVERAGE(AJ165:AJ184))</f>
        <v/>
      </c>
      <c r="AO184">
        <f>IF(OR(AJ184="",AN184=""),"",IF(AJ184&gt;AN184,"Bull","Bear"))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8">
        <f>IFERROR((M185/M184)-1,"")</f>
        <v/>
      </c>
      <c r="O185" s="24">
        <f>IF(OR(N185="",N184=""),"",IF(N184=0,"",(N185/N184)-1))</f>
        <v/>
      </c>
      <c r="P185" s="11">
        <f>IF(ROW()&lt;7,"",IF(OR(E185="",E182=""),"",IF(E182=0,"",(E185/E182)-1)))</f>
        <v/>
      </c>
      <c r="Q185" s="24">
        <f>IF(ROW()&lt;9,"",IF(OR(E185="",E180=""),"",IF(E180=0,"",(E185/E180)-1)))</f>
        <v/>
      </c>
      <c r="R185" s="24">
        <f>IF(ROW()&lt;7,"",IF(OR(G185="",G182=""),"",IF(G182=0,"",(G185/G182)-1)))</f>
        <v/>
      </c>
      <c r="S185" s="24">
        <f>IF(ROW()&lt;9,"",IF(OR(G185="",G180=""),"",IF(G180=0,"",(G185/G180)-1)))</f>
        <v/>
      </c>
      <c r="T185" s="24">
        <f>IF(ROW()&lt;7,"",IF(OR(L185="",L182=""),"",IF(L182=0,"",(L185/L182)-1)))</f>
        <v/>
      </c>
      <c r="U185" s="24">
        <f>IF(ROW()&lt;9,"",IF(OR(L185="",L180=""),"",IF(L180=0,"",(L185/L180)-1)))</f>
        <v/>
      </c>
      <c r="V185" s="24">
        <f>IF(ROW()&lt;7,"",IF(OR(N185="",N182=""),"",IF(N182=0,"",(N185/N182)-1)))</f>
        <v/>
      </c>
      <c r="W185" s="24">
        <f>IF(ROW()&lt;9,"",IF(OR(N185="",N180=""),"",IF(N180=0,"",(N185/N180)-1)))</f>
        <v/>
      </c>
      <c r="X185" s="24">
        <f>IF(OR(F185="",M185=""),"",F185-M185)</f>
        <v/>
      </c>
      <c r="Y185" s="24">
        <f>IF(OR(P185="",T185=""),"",P185-T185)</f>
        <v/>
      </c>
      <c r="Z185" s="24">
        <f>IF(OR(Q185="",U185=""),"",Q185-U185)</f>
        <v/>
      </c>
      <c r="AA185" s="24">
        <f>IF(OR(H185="",O185=""),"",H185-O185)</f>
        <v/>
      </c>
      <c r="AB185" s="24">
        <f>IF(OR(R185="",V185=""),"",R185-V185)</f>
        <v/>
      </c>
      <c r="AC185" s="24">
        <f>IF(OR(S185="",W185=""),"",S185-W185)</f>
        <v/>
      </c>
      <c r="AD185" s="13" t="n"/>
      <c r="AE185" s="24">
        <f>IF(OR(AD185="",AD184=""),"",IF(AD184=0,"",(AD185/AD184)-1))</f>
        <v/>
      </c>
      <c r="AF185" s="24">
        <f>IF(ROW()&lt;7,"",IF(OR(AD185="",AD182=""),"",IF(AD182=0,"",(AD185/AD182)-1)))</f>
        <v/>
      </c>
      <c r="AG185" s="24">
        <f>IF(ROW()&lt;9,"",IF(OR(AD185="",AD180=""),"",IF(AD180=0,"",(AD185/AD180)-1)))</f>
        <v/>
      </c>
      <c r="AH185" s="13">
        <f>IF(ROW()&lt;23,"",AVERAGE(AD166:AD185))</f>
        <v/>
      </c>
      <c r="AI185">
        <f>IF(OR(AD185="",AH185=""),"",IF(AD185&gt;AH185,"Bull","Bear"))</f>
        <v/>
      </c>
      <c r="AJ185" s="13" t="n"/>
      <c r="AK185" s="24">
        <f>IF(OR(AJ185="",AJ184=""),"",IF(AJ184=0,"",(AJ185/AJ184)-1))</f>
        <v/>
      </c>
      <c r="AL185" s="24">
        <f>IF(ROW()&lt;7,"",IF(OR(AJ185="",AJ182=""),"",IF(AJ182=0,"",(AJ185/AJ182)-1)))</f>
        <v/>
      </c>
      <c r="AM185" s="24">
        <f>IF(ROW()&lt;9,"",IF(OR(AJ185="",AJ180=""),"",IF(AJ180=0,"",(AJ185/AJ180)-1)))</f>
        <v/>
      </c>
      <c r="AN185" s="13">
        <f>IF(ROW()&lt;23,"",AVERAGE(AJ166:AJ185))</f>
        <v/>
      </c>
      <c r="AO185">
        <f>IF(OR(AJ185="",AN185=""),"",IF(AJ185&gt;AN185,"Bull","Bear"))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8">
        <f>IFERROR((M186/M185)-1,"")</f>
        <v/>
      </c>
      <c r="O186" s="24">
        <f>IF(OR(N186="",N185=""),"",IF(N185=0,"",(N186/N185)-1))</f>
        <v/>
      </c>
      <c r="P186" s="11">
        <f>IF(ROW()&lt;7,"",IF(OR(E186="",E183=""),"",IF(E183=0,"",(E186/E183)-1)))</f>
        <v/>
      </c>
      <c r="Q186" s="24">
        <f>IF(ROW()&lt;9,"",IF(OR(E186="",E181=""),"",IF(E181=0,"",(E186/E181)-1)))</f>
        <v/>
      </c>
      <c r="R186" s="24">
        <f>IF(ROW()&lt;7,"",IF(OR(G186="",G183=""),"",IF(G183=0,"",(G186/G183)-1)))</f>
        <v/>
      </c>
      <c r="S186" s="24">
        <f>IF(ROW()&lt;9,"",IF(OR(G186="",G181=""),"",IF(G181=0,"",(G186/G181)-1)))</f>
        <v/>
      </c>
      <c r="T186" s="24">
        <f>IF(ROW()&lt;7,"",IF(OR(L186="",L183=""),"",IF(L183=0,"",(L186/L183)-1)))</f>
        <v/>
      </c>
      <c r="U186" s="24">
        <f>IF(ROW()&lt;9,"",IF(OR(L186="",L181=""),"",IF(L181=0,"",(L186/L181)-1)))</f>
        <v/>
      </c>
      <c r="V186" s="24">
        <f>IF(ROW()&lt;7,"",IF(OR(N186="",N183=""),"",IF(N183=0,"",(N186/N183)-1)))</f>
        <v/>
      </c>
      <c r="W186" s="24">
        <f>IF(ROW()&lt;9,"",IF(OR(N186="",N181=""),"",IF(N181=0,"",(N186/N181)-1)))</f>
        <v/>
      </c>
      <c r="X186" s="24">
        <f>IF(OR(F186="",M186=""),"",F186-M186)</f>
        <v/>
      </c>
      <c r="Y186" s="24">
        <f>IF(OR(P186="",T186=""),"",P186-T186)</f>
        <v/>
      </c>
      <c r="Z186" s="24">
        <f>IF(OR(Q186="",U186=""),"",Q186-U186)</f>
        <v/>
      </c>
      <c r="AA186" s="24">
        <f>IF(OR(H186="",O186=""),"",H186-O186)</f>
        <v/>
      </c>
      <c r="AB186" s="24">
        <f>IF(OR(R186="",V186=""),"",R186-V186)</f>
        <v/>
      </c>
      <c r="AC186" s="24">
        <f>IF(OR(S186="",W186=""),"",S186-W186)</f>
        <v/>
      </c>
      <c r="AD186" s="13" t="n"/>
      <c r="AE186" s="24">
        <f>IF(OR(AD186="",AD185=""),"",IF(AD185=0,"",(AD186/AD185)-1))</f>
        <v/>
      </c>
      <c r="AF186" s="24">
        <f>IF(ROW()&lt;7,"",IF(OR(AD186="",AD183=""),"",IF(AD183=0,"",(AD186/AD183)-1)))</f>
        <v/>
      </c>
      <c r="AG186" s="24">
        <f>IF(ROW()&lt;9,"",IF(OR(AD186="",AD181=""),"",IF(AD181=0,"",(AD186/AD181)-1)))</f>
        <v/>
      </c>
      <c r="AH186" s="13">
        <f>IF(ROW()&lt;23,"",AVERAGE(AD167:AD186))</f>
        <v/>
      </c>
      <c r="AI186">
        <f>IF(OR(AD186="",AH186=""),"",IF(AD186&gt;AH186,"Bull","Bear"))</f>
        <v/>
      </c>
      <c r="AJ186" s="13" t="n"/>
      <c r="AK186" s="24">
        <f>IF(OR(AJ186="",AJ185=""),"",IF(AJ185=0,"",(AJ186/AJ185)-1))</f>
        <v/>
      </c>
      <c r="AL186" s="24">
        <f>IF(ROW()&lt;7,"",IF(OR(AJ186="",AJ183=""),"",IF(AJ183=0,"",(AJ186/AJ183)-1)))</f>
        <v/>
      </c>
      <c r="AM186" s="24">
        <f>IF(ROW()&lt;9,"",IF(OR(AJ186="",AJ181=""),"",IF(AJ181=0,"",(AJ186/AJ181)-1)))</f>
        <v/>
      </c>
      <c r="AN186" s="13">
        <f>IF(ROW()&lt;23,"",AVERAGE(AJ167:AJ186))</f>
        <v/>
      </c>
      <c r="AO186">
        <f>IF(OR(AJ186="",AN186=""),"",IF(AJ186&gt;AN186,"Bull","Bear"))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8">
        <f>IFERROR((M187/M186)-1,"")</f>
        <v/>
      </c>
      <c r="O187" s="24">
        <f>IF(OR(N187="",N186=""),"",IF(N186=0,"",(N187/N186)-1))</f>
        <v/>
      </c>
      <c r="P187" s="11">
        <f>IF(ROW()&lt;7,"",IF(OR(E187="",E184=""),"",IF(E184=0,"",(E187/E184)-1)))</f>
        <v/>
      </c>
      <c r="Q187" s="24">
        <f>IF(ROW()&lt;9,"",IF(OR(E187="",E182=""),"",IF(E182=0,"",(E187/E182)-1)))</f>
        <v/>
      </c>
      <c r="R187" s="24">
        <f>IF(ROW()&lt;7,"",IF(OR(G187="",G184=""),"",IF(G184=0,"",(G187/G184)-1)))</f>
        <v/>
      </c>
      <c r="S187" s="24">
        <f>IF(ROW()&lt;9,"",IF(OR(G187="",G182=""),"",IF(G182=0,"",(G187/G182)-1)))</f>
        <v/>
      </c>
      <c r="T187" s="24">
        <f>IF(ROW()&lt;7,"",IF(OR(L187="",L184=""),"",IF(L184=0,"",(L187/L184)-1)))</f>
        <v/>
      </c>
      <c r="U187" s="24">
        <f>IF(ROW()&lt;9,"",IF(OR(L187="",L182=""),"",IF(L182=0,"",(L187/L182)-1)))</f>
        <v/>
      </c>
      <c r="V187" s="24">
        <f>IF(ROW()&lt;7,"",IF(OR(N187="",N184=""),"",IF(N184=0,"",(N187/N184)-1)))</f>
        <v/>
      </c>
      <c r="W187" s="24">
        <f>IF(ROW()&lt;9,"",IF(OR(N187="",N182=""),"",IF(N182=0,"",(N187/N182)-1)))</f>
        <v/>
      </c>
      <c r="X187" s="24">
        <f>IF(OR(F187="",M187=""),"",F187-M187)</f>
        <v/>
      </c>
      <c r="Y187" s="24">
        <f>IF(OR(P187="",T187=""),"",P187-T187)</f>
        <v/>
      </c>
      <c r="Z187" s="24">
        <f>IF(OR(Q187="",U187=""),"",Q187-U187)</f>
        <v/>
      </c>
      <c r="AA187" s="24">
        <f>IF(OR(H187="",O187=""),"",H187-O187)</f>
        <v/>
      </c>
      <c r="AB187" s="24">
        <f>IF(OR(R187="",V187=""),"",R187-V187)</f>
        <v/>
      </c>
      <c r="AC187" s="24">
        <f>IF(OR(S187="",W187=""),"",S187-W187)</f>
        <v/>
      </c>
      <c r="AD187" s="13" t="n"/>
      <c r="AE187" s="24">
        <f>IF(OR(AD187="",AD186=""),"",IF(AD186=0,"",(AD187/AD186)-1))</f>
        <v/>
      </c>
      <c r="AF187" s="24">
        <f>IF(ROW()&lt;7,"",IF(OR(AD187="",AD184=""),"",IF(AD184=0,"",(AD187/AD184)-1)))</f>
        <v/>
      </c>
      <c r="AG187" s="24">
        <f>IF(ROW()&lt;9,"",IF(OR(AD187="",AD182=""),"",IF(AD182=0,"",(AD187/AD182)-1)))</f>
        <v/>
      </c>
      <c r="AH187" s="13">
        <f>IF(ROW()&lt;23,"",AVERAGE(AD168:AD187))</f>
        <v/>
      </c>
      <c r="AI187">
        <f>IF(OR(AD187="",AH187=""),"",IF(AD187&gt;AH187,"Bull","Bear"))</f>
        <v/>
      </c>
      <c r="AJ187" s="13" t="n"/>
      <c r="AK187" s="24">
        <f>IF(OR(AJ187="",AJ186=""),"",IF(AJ186=0,"",(AJ187/AJ186)-1))</f>
        <v/>
      </c>
      <c r="AL187" s="24">
        <f>IF(ROW()&lt;7,"",IF(OR(AJ187="",AJ184=""),"",IF(AJ184=0,"",(AJ187/AJ184)-1)))</f>
        <v/>
      </c>
      <c r="AM187" s="24">
        <f>IF(ROW()&lt;9,"",IF(OR(AJ187="",AJ182=""),"",IF(AJ182=0,"",(AJ187/AJ182)-1)))</f>
        <v/>
      </c>
      <c r="AN187" s="13">
        <f>IF(ROW()&lt;23,"",AVERAGE(AJ168:AJ187))</f>
        <v/>
      </c>
      <c r="AO187">
        <f>IF(OR(AJ187="",AN187=""),"",IF(AJ187&gt;AN187,"Bull","Bear"))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8">
        <f>IFERROR((M188/M187)-1,"")</f>
        <v/>
      </c>
      <c r="O188" s="24">
        <f>IF(OR(N188="",N187=""),"",IF(N187=0,"",(N188/N187)-1))</f>
        <v/>
      </c>
      <c r="P188" s="11">
        <f>IF(ROW()&lt;7,"",IF(OR(E188="",E185=""),"",IF(E185=0,"",(E188/E185)-1)))</f>
        <v/>
      </c>
      <c r="Q188" s="24">
        <f>IF(ROW()&lt;9,"",IF(OR(E188="",E183=""),"",IF(E183=0,"",(E188/E183)-1)))</f>
        <v/>
      </c>
      <c r="R188" s="24">
        <f>IF(ROW()&lt;7,"",IF(OR(G188="",G185=""),"",IF(G185=0,"",(G188/G185)-1)))</f>
        <v/>
      </c>
      <c r="S188" s="24">
        <f>IF(ROW()&lt;9,"",IF(OR(G188="",G183=""),"",IF(G183=0,"",(G188/G183)-1)))</f>
        <v/>
      </c>
      <c r="T188" s="24">
        <f>IF(ROW()&lt;7,"",IF(OR(L188="",L185=""),"",IF(L185=0,"",(L188/L185)-1)))</f>
        <v/>
      </c>
      <c r="U188" s="24">
        <f>IF(ROW()&lt;9,"",IF(OR(L188="",L183=""),"",IF(L183=0,"",(L188/L183)-1)))</f>
        <v/>
      </c>
      <c r="V188" s="24">
        <f>IF(ROW()&lt;7,"",IF(OR(N188="",N185=""),"",IF(N185=0,"",(N188/N185)-1)))</f>
        <v/>
      </c>
      <c r="W188" s="24">
        <f>IF(ROW()&lt;9,"",IF(OR(N188="",N183=""),"",IF(N183=0,"",(N188/N183)-1)))</f>
        <v/>
      </c>
      <c r="X188" s="24">
        <f>IF(OR(F188="",M188=""),"",F188-M188)</f>
        <v/>
      </c>
      <c r="Y188" s="24">
        <f>IF(OR(P188="",T188=""),"",P188-T188)</f>
        <v/>
      </c>
      <c r="Z188" s="24">
        <f>IF(OR(Q188="",U188=""),"",Q188-U188)</f>
        <v/>
      </c>
      <c r="AA188" s="24">
        <f>IF(OR(H188="",O188=""),"",H188-O188)</f>
        <v/>
      </c>
      <c r="AB188" s="24">
        <f>IF(OR(R188="",V188=""),"",R188-V188)</f>
        <v/>
      </c>
      <c r="AC188" s="24">
        <f>IF(OR(S188="",W188=""),"",S188-W188)</f>
        <v/>
      </c>
      <c r="AD188" s="13" t="n"/>
      <c r="AE188" s="24">
        <f>IF(OR(AD188="",AD187=""),"",IF(AD187=0,"",(AD188/AD187)-1))</f>
        <v/>
      </c>
      <c r="AF188" s="24">
        <f>IF(ROW()&lt;7,"",IF(OR(AD188="",AD185=""),"",IF(AD185=0,"",(AD188/AD185)-1)))</f>
        <v/>
      </c>
      <c r="AG188" s="24">
        <f>IF(ROW()&lt;9,"",IF(OR(AD188="",AD183=""),"",IF(AD183=0,"",(AD188/AD183)-1)))</f>
        <v/>
      </c>
      <c r="AH188" s="13">
        <f>IF(ROW()&lt;23,"",AVERAGE(AD169:AD188))</f>
        <v/>
      </c>
      <c r="AI188">
        <f>IF(OR(AD188="",AH188=""),"",IF(AD188&gt;AH188,"Bull","Bear"))</f>
        <v/>
      </c>
      <c r="AJ188" s="13" t="n"/>
      <c r="AK188" s="24">
        <f>IF(OR(AJ188="",AJ187=""),"",IF(AJ187=0,"",(AJ188/AJ187)-1))</f>
        <v/>
      </c>
      <c r="AL188" s="24">
        <f>IF(ROW()&lt;7,"",IF(OR(AJ188="",AJ185=""),"",IF(AJ185=0,"",(AJ188/AJ185)-1)))</f>
        <v/>
      </c>
      <c r="AM188" s="24">
        <f>IF(ROW()&lt;9,"",IF(OR(AJ188="",AJ183=""),"",IF(AJ183=0,"",(AJ188/AJ183)-1)))</f>
        <v/>
      </c>
      <c r="AN188" s="13">
        <f>IF(ROW()&lt;23,"",AVERAGE(AJ169:AJ188))</f>
        <v/>
      </c>
      <c r="AO188">
        <f>IF(OR(AJ188="",AN188=""),"",IF(AJ188&gt;AN188,"Bull","Bear"))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8">
        <f>IFERROR((M189/M188)-1,"")</f>
        <v/>
      </c>
      <c r="O189" s="24">
        <f>IF(OR(N189="",N188=""),"",IF(N188=0,"",(N189/N188)-1))</f>
        <v/>
      </c>
      <c r="P189" s="11">
        <f>IF(ROW()&lt;7,"",IF(OR(E189="",E186=""),"",IF(E186=0,"",(E189/E186)-1)))</f>
        <v/>
      </c>
      <c r="Q189" s="24">
        <f>IF(ROW()&lt;9,"",IF(OR(E189="",E184=""),"",IF(E184=0,"",(E189/E184)-1)))</f>
        <v/>
      </c>
      <c r="R189" s="24">
        <f>IF(ROW()&lt;7,"",IF(OR(G189="",G186=""),"",IF(G186=0,"",(G189/G186)-1)))</f>
        <v/>
      </c>
      <c r="S189" s="24">
        <f>IF(ROW()&lt;9,"",IF(OR(G189="",G184=""),"",IF(G184=0,"",(G189/G184)-1)))</f>
        <v/>
      </c>
      <c r="T189" s="24">
        <f>IF(ROW()&lt;7,"",IF(OR(L189="",L186=""),"",IF(L186=0,"",(L189/L186)-1)))</f>
        <v/>
      </c>
      <c r="U189" s="24">
        <f>IF(ROW()&lt;9,"",IF(OR(L189="",L184=""),"",IF(L184=0,"",(L189/L184)-1)))</f>
        <v/>
      </c>
      <c r="V189" s="24">
        <f>IF(ROW()&lt;7,"",IF(OR(N189="",N186=""),"",IF(N186=0,"",(N189/N186)-1)))</f>
        <v/>
      </c>
      <c r="W189" s="24">
        <f>IF(ROW()&lt;9,"",IF(OR(N189="",N184=""),"",IF(N184=0,"",(N189/N184)-1)))</f>
        <v/>
      </c>
      <c r="X189" s="24">
        <f>IF(OR(F189="",M189=""),"",F189-M189)</f>
        <v/>
      </c>
      <c r="Y189" s="24">
        <f>IF(OR(P189="",T189=""),"",P189-T189)</f>
        <v/>
      </c>
      <c r="Z189" s="24">
        <f>IF(OR(Q189="",U189=""),"",Q189-U189)</f>
        <v/>
      </c>
      <c r="AA189" s="24">
        <f>IF(OR(H189="",O189=""),"",H189-O189)</f>
        <v/>
      </c>
      <c r="AB189" s="24">
        <f>IF(OR(R189="",V189=""),"",R189-V189)</f>
        <v/>
      </c>
      <c r="AC189" s="24">
        <f>IF(OR(S189="",W189=""),"",S189-W189)</f>
        <v/>
      </c>
      <c r="AD189" s="13" t="n"/>
      <c r="AE189" s="24">
        <f>IF(OR(AD189="",AD188=""),"",IF(AD188=0,"",(AD189/AD188)-1))</f>
        <v/>
      </c>
      <c r="AF189" s="24">
        <f>IF(ROW()&lt;7,"",IF(OR(AD189="",AD186=""),"",IF(AD186=0,"",(AD189/AD186)-1)))</f>
        <v/>
      </c>
      <c r="AG189" s="24">
        <f>IF(ROW()&lt;9,"",IF(OR(AD189="",AD184=""),"",IF(AD184=0,"",(AD189/AD184)-1)))</f>
        <v/>
      </c>
      <c r="AH189" s="13">
        <f>IF(ROW()&lt;23,"",AVERAGE(AD170:AD189))</f>
        <v/>
      </c>
      <c r="AI189">
        <f>IF(OR(AD189="",AH189=""),"",IF(AD189&gt;AH189,"Bull","Bear"))</f>
        <v/>
      </c>
      <c r="AJ189" s="13" t="n"/>
      <c r="AK189" s="24">
        <f>IF(OR(AJ189="",AJ188=""),"",IF(AJ188=0,"",(AJ189/AJ188)-1))</f>
        <v/>
      </c>
      <c r="AL189" s="24">
        <f>IF(ROW()&lt;7,"",IF(OR(AJ189="",AJ186=""),"",IF(AJ186=0,"",(AJ189/AJ186)-1)))</f>
        <v/>
      </c>
      <c r="AM189" s="24">
        <f>IF(ROW()&lt;9,"",IF(OR(AJ189="",AJ184=""),"",IF(AJ184=0,"",(AJ189/AJ184)-1)))</f>
        <v/>
      </c>
      <c r="AN189" s="13">
        <f>IF(ROW()&lt;23,"",AVERAGE(AJ170:AJ189))</f>
        <v/>
      </c>
      <c r="AO189">
        <f>IF(OR(AJ189="",AN189=""),"",IF(AJ189&gt;AN189,"Bull","Bear"))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8">
        <f>IFERROR((M190/M189)-1,"")</f>
        <v/>
      </c>
      <c r="O190" s="24">
        <f>IF(OR(N190="",N189=""),"",IF(N189=0,"",(N190/N189)-1))</f>
        <v/>
      </c>
      <c r="P190" s="11">
        <f>IF(ROW()&lt;7,"",IF(OR(E190="",E187=""),"",IF(E187=0,"",(E190/E187)-1)))</f>
        <v/>
      </c>
      <c r="Q190" s="24">
        <f>IF(ROW()&lt;9,"",IF(OR(E190="",E185=""),"",IF(E185=0,"",(E190/E185)-1)))</f>
        <v/>
      </c>
      <c r="R190" s="24">
        <f>IF(ROW()&lt;7,"",IF(OR(G190="",G187=""),"",IF(G187=0,"",(G190/G187)-1)))</f>
        <v/>
      </c>
      <c r="S190" s="24">
        <f>IF(ROW()&lt;9,"",IF(OR(G190="",G185=""),"",IF(G185=0,"",(G190/G185)-1)))</f>
        <v/>
      </c>
      <c r="T190" s="24">
        <f>IF(ROW()&lt;7,"",IF(OR(L190="",L187=""),"",IF(L187=0,"",(L190/L187)-1)))</f>
        <v/>
      </c>
      <c r="U190" s="24">
        <f>IF(ROW()&lt;9,"",IF(OR(L190="",L185=""),"",IF(L185=0,"",(L190/L185)-1)))</f>
        <v/>
      </c>
      <c r="V190" s="24">
        <f>IF(ROW()&lt;7,"",IF(OR(N190="",N187=""),"",IF(N187=0,"",(N190/N187)-1)))</f>
        <v/>
      </c>
      <c r="W190" s="24">
        <f>IF(ROW()&lt;9,"",IF(OR(N190="",N185=""),"",IF(N185=0,"",(N190/N185)-1)))</f>
        <v/>
      </c>
      <c r="X190" s="24">
        <f>IF(OR(F190="",M190=""),"",F190-M190)</f>
        <v/>
      </c>
      <c r="Y190" s="24">
        <f>IF(OR(P190="",T190=""),"",P190-T190)</f>
        <v/>
      </c>
      <c r="Z190" s="24">
        <f>IF(OR(Q190="",U190=""),"",Q190-U190)</f>
        <v/>
      </c>
      <c r="AA190" s="24">
        <f>IF(OR(H190="",O190=""),"",H190-O190)</f>
        <v/>
      </c>
      <c r="AB190" s="24">
        <f>IF(OR(R190="",V190=""),"",R190-V190)</f>
        <v/>
      </c>
      <c r="AC190" s="24">
        <f>IF(OR(S190="",W190=""),"",S190-W190)</f>
        <v/>
      </c>
      <c r="AD190" s="13" t="n"/>
      <c r="AE190" s="24">
        <f>IF(OR(AD190="",AD189=""),"",IF(AD189=0,"",(AD190/AD189)-1))</f>
        <v/>
      </c>
      <c r="AF190" s="24">
        <f>IF(ROW()&lt;7,"",IF(OR(AD190="",AD187=""),"",IF(AD187=0,"",(AD190/AD187)-1)))</f>
        <v/>
      </c>
      <c r="AG190" s="24">
        <f>IF(ROW()&lt;9,"",IF(OR(AD190="",AD185=""),"",IF(AD185=0,"",(AD190/AD185)-1)))</f>
        <v/>
      </c>
      <c r="AH190" s="13">
        <f>IF(ROW()&lt;23,"",AVERAGE(AD171:AD190))</f>
        <v/>
      </c>
      <c r="AI190">
        <f>IF(OR(AD190="",AH190=""),"",IF(AD190&gt;AH190,"Bull","Bear"))</f>
        <v/>
      </c>
      <c r="AJ190" s="13" t="n"/>
      <c r="AK190" s="24">
        <f>IF(OR(AJ190="",AJ189=""),"",IF(AJ189=0,"",(AJ190/AJ189)-1))</f>
        <v/>
      </c>
      <c r="AL190" s="24">
        <f>IF(ROW()&lt;7,"",IF(OR(AJ190="",AJ187=""),"",IF(AJ187=0,"",(AJ190/AJ187)-1)))</f>
        <v/>
      </c>
      <c r="AM190" s="24">
        <f>IF(ROW()&lt;9,"",IF(OR(AJ190="",AJ185=""),"",IF(AJ185=0,"",(AJ190/AJ185)-1)))</f>
        <v/>
      </c>
      <c r="AN190" s="13">
        <f>IF(ROW()&lt;23,"",AVERAGE(AJ171:AJ190))</f>
        <v/>
      </c>
      <c r="AO190">
        <f>IF(OR(AJ190="",AN190=""),"",IF(AJ190&gt;AN190,"Bull","Bear"))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8">
        <f>IFERROR((M191/M190)-1,"")</f>
        <v/>
      </c>
      <c r="O191" s="24">
        <f>IF(OR(N191="",N190=""),"",IF(N190=0,"",(N191/N190)-1))</f>
        <v/>
      </c>
      <c r="P191" s="11">
        <f>IF(ROW()&lt;7,"",IF(OR(E191="",E188=""),"",IF(E188=0,"",(E191/E188)-1)))</f>
        <v/>
      </c>
      <c r="Q191" s="24">
        <f>IF(ROW()&lt;9,"",IF(OR(E191="",E186=""),"",IF(E186=0,"",(E191/E186)-1)))</f>
        <v/>
      </c>
      <c r="R191" s="24">
        <f>IF(ROW()&lt;7,"",IF(OR(G191="",G188=""),"",IF(G188=0,"",(G191/G188)-1)))</f>
        <v/>
      </c>
      <c r="S191" s="24">
        <f>IF(ROW()&lt;9,"",IF(OR(G191="",G186=""),"",IF(G186=0,"",(G191/G186)-1)))</f>
        <v/>
      </c>
      <c r="T191" s="24">
        <f>IF(ROW()&lt;7,"",IF(OR(L191="",L188=""),"",IF(L188=0,"",(L191/L188)-1)))</f>
        <v/>
      </c>
      <c r="U191" s="24">
        <f>IF(ROW()&lt;9,"",IF(OR(L191="",L186=""),"",IF(L186=0,"",(L191/L186)-1)))</f>
        <v/>
      </c>
      <c r="V191" s="24">
        <f>IF(ROW()&lt;7,"",IF(OR(N191="",N188=""),"",IF(N188=0,"",(N191/N188)-1)))</f>
        <v/>
      </c>
      <c r="W191" s="24">
        <f>IF(ROW()&lt;9,"",IF(OR(N191="",N186=""),"",IF(N186=0,"",(N191/N186)-1)))</f>
        <v/>
      </c>
      <c r="X191" s="24">
        <f>IF(OR(F191="",M191=""),"",F191-M191)</f>
        <v/>
      </c>
      <c r="Y191" s="24">
        <f>IF(OR(P191="",T191=""),"",P191-T191)</f>
        <v/>
      </c>
      <c r="Z191" s="24">
        <f>IF(OR(Q191="",U191=""),"",Q191-U191)</f>
        <v/>
      </c>
      <c r="AA191" s="24">
        <f>IF(OR(H191="",O191=""),"",H191-O191)</f>
        <v/>
      </c>
      <c r="AB191" s="24">
        <f>IF(OR(R191="",V191=""),"",R191-V191)</f>
        <v/>
      </c>
      <c r="AC191" s="24">
        <f>IF(OR(S191="",W191=""),"",S191-W191)</f>
        <v/>
      </c>
      <c r="AD191" s="13" t="n"/>
      <c r="AE191" s="24">
        <f>IF(OR(AD191="",AD190=""),"",IF(AD190=0,"",(AD191/AD190)-1))</f>
        <v/>
      </c>
      <c r="AF191" s="24">
        <f>IF(ROW()&lt;7,"",IF(OR(AD191="",AD188=""),"",IF(AD188=0,"",(AD191/AD188)-1)))</f>
        <v/>
      </c>
      <c r="AG191" s="24">
        <f>IF(ROW()&lt;9,"",IF(OR(AD191="",AD186=""),"",IF(AD186=0,"",(AD191/AD186)-1)))</f>
        <v/>
      </c>
      <c r="AH191" s="13">
        <f>IF(ROW()&lt;23,"",AVERAGE(AD172:AD191))</f>
        <v/>
      </c>
      <c r="AI191">
        <f>IF(OR(AD191="",AH191=""),"",IF(AD191&gt;AH191,"Bull","Bear"))</f>
        <v/>
      </c>
      <c r="AJ191" s="13" t="n"/>
      <c r="AK191" s="24">
        <f>IF(OR(AJ191="",AJ190=""),"",IF(AJ190=0,"",(AJ191/AJ190)-1))</f>
        <v/>
      </c>
      <c r="AL191" s="24">
        <f>IF(ROW()&lt;7,"",IF(OR(AJ191="",AJ188=""),"",IF(AJ188=0,"",(AJ191/AJ188)-1)))</f>
        <v/>
      </c>
      <c r="AM191" s="24">
        <f>IF(ROW()&lt;9,"",IF(OR(AJ191="",AJ186=""),"",IF(AJ186=0,"",(AJ191/AJ186)-1)))</f>
        <v/>
      </c>
      <c r="AN191" s="13">
        <f>IF(ROW()&lt;23,"",AVERAGE(AJ172:AJ191))</f>
        <v/>
      </c>
      <c r="AO191">
        <f>IF(OR(AJ191="",AN191=""),"",IF(AJ191&gt;AN191,"Bull","Bear"))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8">
        <f>IFERROR((M192/M191)-1,"")</f>
        <v/>
      </c>
      <c r="O192" s="24">
        <f>IF(OR(N192="",N191=""),"",IF(N191=0,"",(N192/N191)-1))</f>
        <v/>
      </c>
      <c r="P192" s="11">
        <f>IF(ROW()&lt;7,"",IF(OR(E192="",E189=""),"",IF(E189=0,"",(E192/E189)-1)))</f>
        <v/>
      </c>
      <c r="Q192" s="24">
        <f>IF(ROW()&lt;9,"",IF(OR(E192="",E187=""),"",IF(E187=0,"",(E192/E187)-1)))</f>
        <v/>
      </c>
      <c r="R192" s="24">
        <f>IF(ROW()&lt;7,"",IF(OR(G192="",G189=""),"",IF(G189=0,"",(G192/G189)-1)))</f>
        <v/>
      </c>
      <c r="S192" s="24">
        <f>IF(ROW()&lt;9,"",IF(OR(G192="",G187=""),"",IF(G187=0,"",(G192/G187)-1)))</f>
        <v/>
      </c>
      <c r="T192" s="24">
        <f>IF(ROW()&lt;7,"",IF(OR(L192="",L189=""),"",IF(L189=0,"",(L192/L189)-1)))</f>
        <v/>
      </c>
      <c r="U192" s="24">
        <f>IF(ROW()&lt;9,"",IF(OR(L192="",L187=""),"",IF(L187=0,"",(L192/L187)-1)))</f>
        <v/>
      </c>
      <c r="V192" s="24">
        <f>IF(ROW()&lt;7,"",IF(OR(N192="",N189=""),"",IF(N189=0,"",(N192/N189)-1)))</f>
        <v/>
      </c>
      <c r="W192" s="24">
        <f>IF(ROW()&lt;9,"",IF(OR(N192="",N187=""),"",IF(N187=0,"",(N192/N187)-1)))</f>
        <v/>
      </c>
      <c r="X192" s="24">
        <f>IF(OR(F192="",M192=""),"",F192-M192)</f>
        <v/>
      </c>
      <c r="Y192" s="24">
        <f>IF(OR(P192="",T192=""),"",P192-T192)</f>
        <v/>
      </c>
      <c r="Z192" s="24">
        <f>IF(OR(Q192="",U192=""),"",Q192-U192)</f>
        <v/>
      </c>
      <c r="AA192" s="24">
        <f>IF(OR(H192="",O192=""),"",H192-O192)</f>
        <v/>
      </c>
      <c r="AB192" s="24">
        <f>IF(OR(R192="",V192=""),"",R192-V192)</f>
        <v/>
      </c>
      <c r="AC192" s="24">
        <f>IF(OR(S192="",W192=""),"",S192-W192)</f>
        <v/>
      </c>
      <c r="AD192" s="13" t="n"/>
      <c r="AE192" s="24">
        <f>IF(OR(AD192="",AD191=""),"",IF(AD191=0,"",(AD192/AD191)-1))</f>
        <v/>
      </c>
      <c r="AF192" s="24">
        <f>IF(ROW()&lt;7,"",IF(OR(AD192="",AD189=""),"",IF(AD189=0,"",(AD192/AD189)-1)))</f>
        <v/>
      </c>
      <c r="AG192" s="24">
        <f>IF(ROW()&lt;9,"",IF(OR(AD192="",AD187=""),"",IF(AD187=0,"",(AD192/AD187)-1)))</f>
        <v/>
      </c>
      <c r="AH192" s="13">
        <f>IF(ROW()&lt;23,"",AVERAGE(AD173:AD192))</f>
        <v/>
      </c>
      <c r="AI192">
        <f>IF(OR(AD192="",AH192=""),"",IF(AD192&gt;AH192,"Bull","Bear"))</f>
        <v/>
      </c>
      <c r="AJ192" s="13" t="n"/>
      <c r="AK192" s="24">
        <f>IF(OR(AJ192="",AJ191=""),"",IF(AJ191=0,"",(AJ192/AJ191)-1))</f>
        <v/>
      </c>
      <c r="AL192" s="24">
        <f>IF(ROW()&lt;7,"",IF(OR(AJ192="",AJ189=""),"",IF(AJ189=0,"",(AJ192/AJ189)-1)))</f>
        <v/>
      </c>
      <c r="AM192" s="24">
        <f>IF(ROW()&lt;9,"",IF(OR(AJ192="",AJ187=""),"",IF(AJ187=0,"",(AJ192/AJ187)-1)))</f>
        <v/>
      </c>
      <c r="AN192" s="13">
        <f>IF(ROW()&lt;23,"",AVERAGE(AJ173:AJ192))</f>
        <v/>
      </c>
      <c r="AO192">
        <f>IF(OR(AJ192="",AN192=""),"",IF(AJ192&gt;AN192,"Bull","Bear"))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8">
        <f>IFERROR((M193/M192)-1,"")</f>
        <v/>
      </c>
      <c r="O193" s="24">
        <f>IF(OR(N193="",N192=""),"",IF(N192=0,"",(N193/N192)-1))</f>
        <v/>
      </c>
      <c r="P193" s="11">
        <f>IF(ROW()&lt;7,"",IF(OR(E193="",E190=""),"",IF(E190=0,"",(E193/E190)-1)))</f>
        <v/>
      </c>
      <c r="Q193" s="24">
        <f>IF(ROW()&lt;9,"",IF(OR(E193="",E188=""),"",IF(E188=0,"",(E193/E188)-1)))</f>
        <v/>
      </c>
      <c r="R193" s="24">
        <f>IF(ROW()&lt;7,"",IF(OR(G193="",G190=""),"",IF(G190=0,"",(G193/G190)-1)))</f>
        <v/>
      </c>
      <c r="S193" s="24">
        <f>IF(ROW()&lt;9,"",IF(OR(G193="",G188=""),"",IF(G188=0,"",(G193/G188)-1)))</f>
        <v/>
      </c>
      <c r="T193" s="24">
        <f>IF(ROW()&lt;7,"",IF(OR(L193="",L190=""),"",IF(L190=0,"",(L193/L190)-1)))</f>
        <v/>
      </c>
      <c r="U193" s="24">
        <f>IF(ROW()&lt;9,"",IF(OR(L193="",L188=""),"",IF(L188=0,"",(L193/L188)-1)))</f>
        <v/>
      </c>
      <c r="V193" s="24">
        <f>IF(ROW()&lt;7,"",IF(OR(N193="",N190=""),"",IF(N190=0,"",(N193/N190)-1)))</f>
        <v/>
      </c>
      <c r="W193" s="24">
        <f>IF(ROW()&lt;9,"",IF(OR(N193="",N188=""),"",IF(N188=0,"",(N193/N188)-1)))</f>
        <v/>
      </c>
      <c r="X193" s="24">
        <f>IF(OR(F193="",M193=""),"",F193-M193)</f>
        <v/>
      </c>
      <c r="Y193" s="24">
        <f>IF(OR(P193="",T193=""),"",P193-T193)</f>
        <v/>
      </c>
      <c r="Z193" s="24">
        <f>IF(OR(Q193="",U193=""),"",Q193-U193)</f>
        <v/>
      </c>
      <c r="AA193" s="24">
        <f>IF(OR(H193="",O193=""),"",H193-O193)</f>
        <v/>
      </c>
      <c r="AB193" s="24">
        <f>IF(OR(R193="",V193=""),"",R193-V193)</f>
        <v/>
      </c>
      <c r="AC193" s="24">
        <f>IF(OR(S193="",W193=""),"",S193-W193)</f>
        <v/>
      </c>
      <c r="AD193" s="13" t="n"/>
      <c r="AE193" s="24">
        <f>IF(OR(AD193="",AD192=""),"",IF(AD192=0,"",(AD193/AD192)-1))</f>
        <v/>
      </c>
      <c r="AF193" s="24">
        <f>IF(ROW()&lt;7,"",IF(OR(AD193="",AD190=""),"",IF(AD190=0,"",(AD193/AD190)-1)))</f>
        <v/>
      </c>
      <c r="AG193" s="24">
        <f>IF(ROW()&lt;9,"",IF(OR(AD193="",AD188=""),"",IF(AD188=0,"",(AD193/AD188)-1)))</f>
        <v/>
      </c>
      <c r="AH193" s="13">
        <f>IF(ROW()&lt;23,"",AVERAGE(AD174:AD193))</f>
        <v/>
      </c>
      <c r="AI193">
        <f>IF(OR(AD193="",AH193=""),"",IF(AD193&gt;AH193,"Bull","Bear"))</f>
        <v/>
      </c>
      <c r="AJ193" s="13" t="n"/>
      <c r="AK193" s="24">
        <f>IF(OR(AJ193="",AJ192=""),"",IF(AJ192=0,"",(AJ193/AJ192)-1))</f>
        <v/>
      </c>
      <c r="AL193" s="24">
        <f>IF(ROW()&lt;7,"",IF(OR(AJ193="",AJ190=""),"",IF(AJ190=0,"",(AJ193/AJ190)-1)))</f>
        <v/>
      </c>
      <c r="AM193" s="24">
        <f>IF(ROW()&lt;9,"",IF(OR(AJ193="",AJ188=""),"",IF(AJ188=0,"",(AJ193/AJ188)-1)))</f>
        <v/>
      </c>
      <c r="AN193" s="13">
        <f>IF(ROW()&lt;23,"",AVERAGE(AJ174:AJ193))</f>
        <v/>
      </c>
      <c r="AO193">
        <f>IF(OR(AJ193="",AN193=""),"",IF(AJ193&gt;AN193,"Bull","Bear"))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8">
        <f>IFERROR((M194/M193)-1,"")</f>
        <v/>
      </c>
      <c r="O194" s="24">
        <f>IF(OR(N194="",N193=""),"",IF(N193=0,"",(N194/N193)-1))</f>
        <v/>
      </c>
      <c r="P194" s="11">
        <f>IF(ROW()&lt;7,"",IF(OR(E194="",E191=""),"",IF(E191=0,"",(E194/E191)-1)))</f>
        <v/>
      </c>
      <c r="Q194" s="24">
        <f>IF(ROW()&lt;9,"",IF(OR(E194="",E189=""),"",IF(E189=0,"",(E194/E189)-1)))</f>
        <v/>
      </c>
      <c r="R194" s="24">
        <f>IF(ROW()&lt;7,"",IF(OR(G194="",G191=""),"",IF(G191=0,"",(G194/G191)-1)))</f>
        <v/>
      </c>
      <c r="S194" s="24">
        <f>IF(ROW()&lt;9,"",IF(OR(G194="",G189=""),"",IF(G189=0,"",(G194/G189)-1)))</f>
        <v/>
      </c>
      <c r="T194" s="24">
        <f>IF(ROW()&lt;7,"",IF(OR(L194="",L191=""),"",IF(L191=0,"",(L194/L191)-1)))</f>
        <v/>
      </c>
      <c r="U194" s="24">
        <f>IF(ROW()&lt;9,"",IF(OR(L194="",L189=""),"",IF(L189=0,"",(L194/L189)-1)))</f>
        <v/>
      </c>
      <c r="V194" s="24">
        <f>IF(ROW()&lt;7,"",IF(OR(N194="",N191=""),"",IF(N191=0,"",(N194/N191)-1)))</f>
        <v/>
      </c>
      <c r="W194" s="24">
        <f>IF(ROW()&lt;9,"",IF(OR(N194="",N189=""),"",IF(N189=0,"",(N194/N189)-1)))</f>
        <v/>
      </c>
      <c r="X194" s="24">
        <f>IF(OR(F194="",M194=""),"",F194-M194)</f>
        <v/>
      </c>
      <c r="Y194" s="24">
        <f>IF(OR(P194="",T194=""),"",P194-T194)</f>
        <v/>
      </c>
      <c r="Z194" s="24">
        <f>IF(OR(Q194="",U194=""),"",Q194-U194)</f>
        <v/>
      </c>
      <c r="AA194" s="24">
        <f>IF(OR(H194="",O194=""),"",H194-O194)</f>
        <v/>
      </c>
      <c r="AB194" s="24">
        <f>IF(OR(R194="",V194=""),"",R194-V194)</f>
        <v/>
      </c>
      <c r="AC194" s="24">
        <f>IF(OR(S194="",W194=""),"",S194-W194)</f>
        <v/>
      </c>
      <c r="AD194" s="13" t="n"/>
      <c r="AE194" s="24">
        <f>IF(OR(AD194="",AD193=""),"",IF(AD193=0,"",(AD194/AD193)-1))</f>
        <v/>
      </c>
      <c r="AF194" s="24">
        <f>IF(ROW()&lt;7,"",IF(OR(AD194="",AD191=""),"",IF(AD191=0,"",(AD194/AD191)-1)))</f>
        <v/>
      </c>
      <c r="AG194" s="24">
        <f>IF(ROW()&lt;9,"",IF(OR(AD194="",AD189=""),"",IF(AD189=0,"",(AD194/AD189)-1)))</f>
        <v/>
      </c>
      <c r="AH194" s="13">
        <f>IF(ROW()&lt;23,"",AVERAGE(AD175:AD194))</f>
        <v/>
      </c>
      <c r="AI194">
        <f>IF(OR(AD194="",AH194=""),"",IF(AD194&gt;AH194,"Bull","Bear"))</f>
        <v/>
      </c>
      <c r="AJ194" s="13" t="n"/>
      <c r="AK194" s="24">
        <f>IF(OR(AJ194="",AJ193=""),"",IF(AJ193=0,"",(AJ194/AJ193)-1))</f>
        <v/>
      </c>
      <c r="AL194" s="24">
        <f>IF(ROW()&lt;7,"",IF(OR(AJ194="",AJ191=""),"",IF(AJ191=0,"",(AJ194/AJ191)-1)))</f>
        <v/>
      </c>
      <c r="AM194" s="24">
        <f>IF(ROW()&lt;9,"",IF(OR(AJ194="",AJ189=""),"",IF(AJ189=0,"",(AJ194/AJ189)-1)))</f>
        <v/>
      </c>
      <c r="AN194" s="13">
        <f>IF(ROW()&lt;23,"",AVERAGE(AJ175:AJ194))</f>
        <v/>
      </c>
      <c r="AO194">
        <f>IF(OR(AJ194="",AN194=""),"",IF(AJ194&gt;AN194,"Bull","Bear"))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8">
        <f>IFERROR((M195/M194)-1,"")</f>
        <v/>
      </c>
      <c r="O195" s="24">
        <f>IF(OR(N195="",N194=""),"",IF(N194=0,"",(N195/N194)-1))</f>
        <v/>
      </c>
      <c r="P195" s="11">
        <f>IF(ROW()&lt;7,"",IF(OR(E195="",E192=""),"",IF(E192=0,"",(E195/E192)-1)))</f>
        <v/>
      </c>
      <c r="Q195" s="24">
        <f>IF(ROW()&lt;9,"",IF(OR(E195="",E190=""),"",IF(E190=0,"",(E195/E190)-1)))</f>
        <v/>
      </c>
      <c r="R195" s="24">
        <f>IF(ROW()&lt;7,"",IF(OR(G195="",G192=""),"",IF(G192=0,"",(G195/G192)-1)))</f>
        <v/>
      </c>
      <c r="S195" s="24">
        <f>IF(ROW()&lt;9,"",IF(OR(G195="",G190=""),"",IF(G190=0,"",(G195/G190)-1)))</f>
        <v/>
      </c>
      <c r="T195" s="24">
        <f>IF(ROW()&lt;7,"",IF(OR(L195="",L192=""),"",IF(L192=0,"",(L195/L192)-1)))</f>
        <v/>
      </c>
      <c r="U195" s="24">
        <f>IF(ROW()&lt;9,"",IF(OR(L195="",L190=""),"",IF(L190=0,"",(L195/L190)-1)))</f>
        <v/>
      </c>
      <c r="V195" s="24">
        <f>IF(ROW()&lt;7,"",IF(OR(N195="",N192=""),"",IF(N192=0,"",(N195/N192)-1)))</f>
        <v/>
      </c>
      <c r="W195" s="24">
        <f>IF(ROW()&lt;9,"",IF(OR(N195="",N190=""),"",IF(N190=0,"",(N195/N190)-1)))</f>
        <v/>
      </c>
      <c r="X195" s="24">
        <f>IF(OR(F195="",M195=""),"",F195-M195)</f>
        <v/>
      </c>
      <c r="Y195" s="24">
        <f>IF(OR(P195="",T195=""),"",P195-T195)</f>
        <v/>
      </c>
      <c r="Z195" s="24">
        <f>IF(OR(Q195="",U195=""),"",Q195-U195)</f>
        <v/>
      </c>
      <c r="AA195" s="24">
        <f>IF(OR(H195="",O195=""),"",H195-O195)</f>
        <v/>
      </c>
      <c r="AB195" s="24">
        <f>IF(OR(R195="",V195=""),"",R195-V195)</f>
        <v/>
      </c>
      <c r="AC195" s="24">
        <f>IF(OR(S195="",W195=""),"",S195-W195)</f>
        <v/>
      </c>
      <c r="AD195" s="13" t="n"/>
      <c r="AE195" s="24">
        <f>IF(OR(AD195="",AD194=""),"",IF(AD194=0,"",(AD195/AD194)-1))</f>
        <v/>
      </c>
      <c r="AF195" s="24">
        <f>IF(ROW()&lt;7,"",IF(OR(AD195="",AD192=""),"",IF(AD192=0,"",(AD195/AD192)-1)))</f>
        <v/>
      </c>
      <c r="AG195" s="24">
        <f>IF(ROW()&lt;9,"",IF(OR(AD195="",AD190=""),"",IF(AD190=0,"",(AD195/AD190)-1)))</f>
        <v/>
      </c>
      <c r="AH195" s="13">
        <f>IF(ROW()&lt;23,"",AVERAGE(AD176:AD195))</f>
        <v/>
      </c>
      <c r="AI195">
        <f>IF(OR(AD195="",AH195=""),"",IF(AD195&gt;AH195,"Bull","Bear"))</f>
        <v/>
      </c>
      <c r="AJ195" s="13" t="n"/>
      <c r="AK195" s="24">
        <f>IF(OR(AJ195="",AJ194=""),"",IF(AJ194=0,"",(AJ195/AJ194)-1))</f>
        <v/>
      </c>
      <c r="AL195" s="24">
        <f>IF(ROW()&lt;7,"",IF(OR(AJ195="",AJ192=""),"",IF(AJ192=0,"",(AJ195/AJ192)-1)))</f>
        <v/>
      </c>
      <c r="AM195" s="24">
        <f>IF(ROW()&lt;9,"",IF(OR(AJ195="",AJ190=""),"",IF(AJ190=0,"",(AJ195/AJ190)-1)))</f>
        <v/>
      </c>
      <c r="AN195" s="13">
        <f>IF(ROW()&lt;23,"",AVERAGE(AJ176:AJ195))</f>
        <v/>
      </c>
      <c r="AO195">
        <f>IF(OR(AJ195="",AN195=""),"",IF(AJ195&gt;AN195,"Bull","Bear"))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8">
        <f>IFERROR((M196/M195)-1,"")</f>
        <v/>
      </c>
      <c r="O196" s="24">
        <f>IF(OR(N196="",N195=""),"",IF(N195=0,"",(N196/N195)-1))</f>
        <v/>
      </c>
      <c r="P196" s="11">
        <f>IF(ROW()&lt;7,"",IF(OR(E196="",E193=""),"",IF(E193=0,"",(E196/E193)-1)))</f>
        <v/>
      </c>
      <c r="Q196" s="24">
        <f>IF(ROW()&lt;9,"",IF(OR(E196="",E191=""),"",IF(E191=0,"",(E196/E191)-1)))</f>
        <v/>
      </c>
      <c r="R196" s="24">
        <f>IF(ROW()&lt;7,"",IF(OR(G196="",G193=""),"",IF(G193=0,"",(G196/G193)-1)))</f>
        <v/>
      </c>
      <c r="S196" s="24">
        <f>IF(ROW()&lt;9,"",IF(OR(G196="",G191=""),"",IF(G191=0,"",(G196/G191)-1)))</f>
        <v/>
      </c>
      <c r="T196" s="24">
        <f>IF(ROW()&lt;7,"",IF(OR(L196="",L193=""),"",IF(L193=0,"",(L196/L193)-1)))</f>
        <v/>
      </c>
      <c r="U196" s="24">
        <f>IF(ROW()&lt;9,"",IF(OR(L196="",L191=""),"",IF(L191=0,"",(L196/L191)-1)))</f>
        <v/>
      </c>
      <c r="V196" s="24">
        <f>IF(ROW()&lt;7,"",IF(OR(N196="",N193=""),"",IF(N193=0,"",(N196/N193)-1)))</f>
        <v/>
      </c>
      <c r="W196" s="24">
        <f>IF(ROW()&lt;9,"",IF(OR(N196="",N191=""),"",IF(N191=0,"",(N196/N191)-1)))</f>
        <v/>
      </c>
      <c r="X196" s="24">
        <f>IF(OR(F196="",M196=""),"",F196-M196)</f>
        <v/>
      </c>
      <c r="Y196" s="24">
        <f>IF(OR(P196="",T196=""),"",P196-T196)</f>
        <v/>
      </c>
      <c r="Z196" s="24">
        <f>IF(OR(Q196="",U196=""),"",Q196-U196)</f>
        <v/>
      </c>
      <c r="AA196" s="24">
        <f>IF(OR(H196="",O196=""),"",H196-O196)</f>
        <v/>
      </c>
      <c r="AB196" s="24">
        <f>IF(OR(R196="",V196=""),"",R196-V196)</f>
        <v/>
      </c>
      <c r="AC196" s="24">
        <f>IF(OR(S196="",W196=""),"",S196-W196)</f>
        <v/>
      </c>
      <c r="AD196" s="13" t="n"/>
      <c r="AE196" s="24">
        <f>IF(OR(AD196="",AD195=""),"",IF(AD195=0,"",(AD196/AD195)-1))</f>
        <v/>
      </c>
      <c r="AF196" s="24">
        <f>IF(ROW()&lt;7,"",IF(OR(AD196="",AD193=""),"",IF(AD193=0,"",(AD196/AD193)-1)))</f>
        <v/>
      </c>
      <c r="AG196" s="24">
        <f>IF(ROW()&lt;9,"",IF(OR(AD196="",AD191=""),"",IF(AD191=0,"",(AD196/AD191)-1)))</f>
        <v/>
      </c>
      <c r="AH196" s="13">
        <f>IF(ROW()&lt;23,"",AVERAGE(AD177:AD196))</f>
        <v/>
      </c>
      <c r="AI196">
        <f>IF(OR(AD196="",AH196=""),"",IF(AD196&gt;AH196,"Bull","Bear"))</f>
        <v/>
      </c>
      <c r="AJ196" s="13" t="n"/>
      <c r="AK196" s="24">
        <f>IF(OR(AJ196="",AJ195=""),"",IF(AJ195=0,"",(AJ196/AJ195)-1))</f>
        <v/>
      </c>
      <c r="AL196" s="24">
        <f>IF(ROW()&lt;7,"",IF(OR(AJ196="",AJ193=""),"",IF(AJ193=0,"",(AJ196/AJ193)-1)))</f>
        <v/>
      </c>
      <c r="AM196" s="24">
        <f>IF(ROW()&lt;9,"",IF(OR(AJ196="",AJ191=""),"",IF(AJ191=0,"",(AJ196/AJ191)-1)))</f>
        <v/>
      </c>
      <c r="AN196" s="13">
        <f>IF(ROW()&lt;23,"",AVERAGE(AJ177:AJ196))</f>
        <v/>
      </c>
      <c r="AO196">
        <f>IF(OR(AJ196="",AN196=""),"",IF(AJ196&gt;AN196,"Bull","Bear"))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8">
        <f>IFERROR((M197/M196)-1,"")</f>
        <v/>
      </c>
      <c r="O197" s="24">
        <f>IF(OR(N197="",N196=""),"",IF(N196=0,"",(N197/N196)-1))</f>
        <v/>
      </c>
      <c r="P197" s="11">
        <f>IF(ROW()&lt;7,"",IF(OR(E197="",E194=""),"",IF(E194=0,"",(E197/E194)-1)))</f>
        <v/>
      </c>
      <c r="Q197" s="24">
        <f>IF(ROW()&lt;9,"",IF(OR(E197="",E192=""),"",IF(E192=0,"",(E197/E192)-1)))</f>
        <v/>
      </c>
      <c r="R197" s="24">
        <f>IF(ROW()&lt;7,"",IF(OR(G197="",G194=""),"",IF(G194=0,"",(G197/G194)-1)))</f>
        <v/>
      </c>
      <c r="S197" s="24">
        <f>IF(ROW()&lt;9,"",IF(OR(G197="",G192=""),"",IF(G192=0,"",(G197/G192)-1)))</f>
        <v/>
      </c>
      <c r="T197" s="24">
        <f>IF(ROW()&lt;7,"",IF(OR(L197="",L194=""),"",IF(L194=0,"",(L197/L194)-1)))</f>
        <v/>
      </c>
      <c r="U197" s="24">
        <f>IF(ROW()&lt;9,"",IF(OR(L197="",L192=""),"",IF(L192=0,"",(L197/L192)-1)))</f>
        <v/>
      </c>
      <c r="V197" s="24">
        <f>IF(ROW()&lt;7,"",IF(OR(N197="",N194=""),"",IF(N194=0,"",(N197/N194)-1)))</f>
        <v/>
      </c>
      <c r="W197" s="24">
        <f>IF(ROW()&lt;9,"",IF(OR(N197="",N192=""),"",IF(N192=0,"",(N197/N192)-1)))</f>
        <v/>
      </c>
      <c r="X197" s="24">
        <f>IF(OR(F197="",M197=""),"",F197-M197)</f>
        <v/>
      </c>
      <c r="Y197" s="24">
        <f>IF(OR(P197="",T197=""),"",P197-T197)</f>
        <v/>
      </c>
      <c r="Z197" s="24">
        <f>IF(OR(Q197="",U197=""),"",Q197-U197)</f>
        <v/>
      </c>
      <c r="AA197" s="24">
        <f>IF(OR(H197="",O197=""),"",H197-O197)</f>
        <v/>
      </c>
      <c r="AB197" s="24">
        <f>IF(OR(R197="",V197=""),"",R197-V197)</f>
        <v/>
      </c>
      <c r="AC197" s="24">
        <f>IF(OR(S197="",W197=""),"",S197-W197)</f>
        <v/>
      </c>
      <c r="AD197" s="13" t="n"/>
      <c r="AE197" s="24">
        <f>IF(OR(AD197="",AD196=""),"",IF(AD196=0,"",(AD197/AD196)-1))</f>
        <v/>
      </c>
      <c r="AF197" s="24">
        <f>IF(ROW()&lt;7,"",IF(OR(AD197="",AD194=""),"",IF(AD194=0,"",(AD197/AD194)-1)))</f>
        <v/>
      </c>
      <c r="AG197" s="24">
        <f>IF(ROW()&lt;9,"",IF(OR(AD197="",AD192=""),"",IF(AD192=0,"",(AD197/AD192)-1)))</f>
        <v/>
      </c>
      <c r="AH197" s="13">
        <f>IF(ROW()&lt;23,"",AVERAGE(AD178:AD197))</f>
        <v/>
      </c>
      <c r="AI197">
        <f>IF(OR(AD197="",AH197=""),"",IF(AD197&gt;AH197,"Bull","Bear"))</f>
        <v/>
      </c>
      <c r="AJ197" s="13" t="n"/>
      <c r="AK197" s="24">
        <f>IF(OR(AJ197="",AJ196=""),"",IF(AJ196=0,"",(AJ197/AJ196)-1))</f>
        <v/>
      </c>
      <c r="AL197" s="24">
        <f>IF(ROW()&lt;7,"",IF(OR(AJ197="",AJ194=""),"",IF(AJ194=0,"",(AJ197/AJ194)-1)))</f>
        <v/>
      </c>
      <c r="AM197" s="24">
        <f>IF(ROW()&lt;9,"",IF(OR(AJ197="",AJ192=""),"",IF(AJ192=0,"",(AJ197/AJ192)-1)))</f>
        <v/>
      </c>
      <c r="AN197" s="13">
        <f>IF(ROW()&lt;23,"",AVERAGE(AJ178:AJ197))</f>
        <v/>
      </c>
      <c r="AO197">
        <f>IF(OR(AJ197="",AN197=""),"",IF(AJ197&gt;AN197,"Bull","Bear"))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8">
        <f>IFERROR((M198/M197)-1,"")</f>
        <v/>
      </c>
      <c r="O198" s="24">
        <f>IF(OR(N198="",N197=""),"",IF(N197=0,"",(N198/N197)-1))</f>
        <v/>
      </c>
      <c r="P198" s="11">
        <f>IF(ROW()&lt;7,"",IF(OR(E198="",E195=""),"",IF(E195=0,"",(E198/E195)-1)))</f>
        <v/>
      </c>
      <c r="Q198" s="24">
        <f>IF(ROW()&lt;9,"",IF(OR(E198="",E193=""),"",IF(E193=0,"",(E198/E193)-1)))</f>
        <v/>
      </c>
      <c r="R198" s="24">
        <f>IF(ROW()&lt;7,"",IF(OR(G198="",G195=""),"",IF(G195=0,"",(G198/G195)-1)))</f>
        <v/>
      </c>
      <c r="S198" s="24">
        <f>IF(ROW()&lt;9,"",IF(OR(G198="",G193=""),"",IF(G193=0,"",(G198/G193)-1)))</f>
        <v/>
      </c>
      <c r="T198" s="24">
        <f>IF(ROW()&lt;7,"",IF(OR(L198="",L195=""),"",IF(L195=0,"",(L198/L195)-1)))</f>
        <v/>
      </c>
      <c r="U198" s="24">
        <f>IF(ROW()&lt;9,"",IF(OR(L198="",L193=""),"",IF(L193=0,"",(L198/L193)-1)))</f>
        <v/>
      </c>
      <c r="V198" s="24">
        <f>IF(ROW()&lt;7,"",IF(OR(N198="",N195=""),"",IF(N195=0,"",(N198/N195)-1)))</f>
        <v/>
      </c>
      <c r="W198" s="24">
        <f>IF(ROW()&lt;9,"",IF(OR(N198="",N193=""),"",IF(N193=0,"",(N198/N193)-1)))</f>
        <v/>
      </c>
      <c r="X198" s="24">
        <f>IF(OR(F198="",M198=""),"",F198-M198)</f>
        <v/>
      </c>
      <c r="Y198" s="24">
        <f>IF(OR(P198="",T198=""),"",P198-T198)</f>
        <v/>
      </c>
      <c r="Z198" s="24">
        <f>IF(OR(Q198="",U198=""),"",Q198-U198)</f>
        <v/>
      </c>
      <c r="AA198" s="24">
        <f>IF(OR(H198="",O198=""),"",H198-O198)</f>
        <v/>
      </c>
      <c r="AB198" s="24">
        <f>IF(OR(R198="",V198=""),"",R198-V198)</f>
        <v/>
      </c>
      <c r="AC198" s="24">
        <f>IF(OR(S198="",W198=""),"",S198-W198)</f>
        <v/>
      </c>
      <c r="AD198" s="13" t="n"/>
      <c r="AE198" s="24">
        <f>IF(OR(AD198="",AD197=""),"",IF(AD197=0,"",(AD198/AD197)-1))</f>
        <v/>
      </c>
      <c r="AF198" s="24">
        <f>IF(ROW()&lt;7,"",IF(OR(AD198="",AD195=""),"",IF(AD195=0,"",(AD198/AD195)-1)))</f>
        <v/>
      </c>
      <c r="AG198" s="24">
        <f>IF(ROW()&lt;9,"",IF(OR(AD198="",AD193=""),"",IF(AD193=0,"",(AD198/AD193)-1)))</f>
        <v/>
      </c>
      <c r="AH198" s="13">
        <f>IF(ROW()&lt;23,"",AVERAGE(AD179:AD198))</f>
        <v/>
      </c>
      <c r="AI198">
        <f>IF(OR(AD198="",AH198=""),"",IF(AD198&gt;AH198,"Bull","Bear"))</f>
        <v/>
      </c>
      <c r="AJ198" s="13" t="n"/>
      <c r="AK198" s="24">
        <f>IF(OR(AJ198="",AJ197=""),"",IF(AJ197=0,"",(AJ198/AJ197)-1))</f>
        <v/>
      </c>
      <c r="AL198" s="24">
        <f>IF(ROW()&lt;7,"",IF(OR(AJ198="",AJ195=""),"",IF(AJ195=0,"",(AJ198/AJ195)-1)))</f>
        <v/>
      </c>
      <c r="AM198" s="24">
        <f>IF(ROW()&lt;9,"",IF(OR(AJ198="",AJ193=""),"",IF(AJ193=0,"",(AJ198/AJ193)-1)))</f>
        <v/>
      </c>
      <c r="AN198" s="13">
        <f>IF(ROW()&lt;23,"",AVERAGE(AJ179:AJ198))</f>
        <v/>
      </c>
      <c r="AO198">
        <f>IF(OR(AJ198="",AN198=""),"",IF(AJ198&gt;AN198,"Bull","Bear"))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8">
        <f>IFERROR((M199/M198)-1,"")</f>
        <v/>
      </c>
      <c r="O199" s="24">
        <f>IF(OR(N199="",N198=""),"",IF(N198=0,"",(N199/N198)-1))</f>
        <v/>
      </c>
      <c r="P199" s="11">
        <f>IF(ROW()&lt;7,"",IF(OR(E199="",E196=""),"",IF(E196=0,"",(E199/E196)-1)))</f>
        <v/>
      </c>
      <c r="Q199" s="24">
        <f>IF(ROW()&lt;9,"",IF(OR(E199="",E194=""),"",IF(E194=0,"",(E199/E194)-1)))</f>
        <v/>
      </c>
      <c r="R199" s="24">
        <f>IF(ROW()&lt;7,"",IF(OR(G199="",G196=""),"",IF(G196=0,"",(G199/G196)-1)))</f>
        <v/>
      </c>
      <c r="S199" s="24">
        <f>IF(ROW()&lt;9,"",IF(OR(G199="",G194=""),"",IF(G194=0,"",(G199/G194)-1)))</f>
        <v/>
      </c>
      <c r="T199" s="24">
        <f>IF(ROW()&lt;7,"",IF(OR(L199="",L196=""),"",IF(L196=0,"",(L199/L196)-1)))</f>
        <v/>
      </c>
      <c r="U199" s="24">
        <f>IF(ROW()&lt;9,"",IF(OR(L199="",L194=""),"",IF(L194=0,"",(L199/L194)-1)))</f>
        <v/>
      </c>
      <c r="V199" s="24">
        <f>IF(ROW()&lt;7,"",IF(OR(N199="",N196=""),"",IF(N196=0,"",(N199/N196)-1)))</f>
        <v/>
      </c>
      <c r="W199" s="24">
        <f>IF(ROW()&lt;9,"",IF(OR(N199="",N194=""),"",IF(N194=0,"",(N199/N194)-1)))</f>
        <v/>
      </c>
      <c r="X199" s="24">
        <f>IF(OR(F199="",M199=""),"",F199-M199)</f>
        <v/>
      </c>
      <c r="Y199" s="24">
        <f>IF(OR(P199="",T199=""),"",P199-T199)</f>
        <v/>
      </c>
      <c r="Z199" s="24">
        <f>IF(OR(Q199="",U199=""),"",Q199-U199)</f>
        <v/>
      </c>
      <c r="AA199" s="24">
        <f>IF(OR(H199="",O199=""),"",H199-O199)</f>
        <v/>
      </c>
      <c r="AB199" s="24">
        <f>IF(OR(R199="",V199=""),"",R199-V199)</f>
        <v/>
      </c>
      <c r="AC199" s="24">
        <f>IF(OR(S199="",W199=""),"",S199-W199)</f>
        <v/>
      </c>
      <c r="AD199" s="13" t="n"/>
      <c r="AE199" s="24">
        <f>IF(OR(AD199="",AD198=""),"",IF(AD198=0,"",(AD199/AD198)-1))</f>
        <v/>
      </c>
      <c r="AF199" s="24">
        <f>IF(ROW()&lt;7,"",IF(OR(AD199="",AD196=""),"",IF(AD196=0,"",(AD199/AD196)-1)))</f>
        <v/>
      </c>
      <c r="AG199" s="24">
        <f>IF(ROW()&lt;9,"",IF(OR(AD199="",AD194=""),"",IF(AD194=0,"",(AD199/AD194)-1)))</f>
        <v/>
      </c>
      <c r="AH199" s="13">
        <f>IF(ROW()&lt;23,"",AVERAGE(AD180:AD199))</f>
        <v/>
      </c>
      <c r="AI199">
        <f>IF(OR(AD199="",AH199=""),"",IF(AD199&gt;AH199,"Bull","Bear"))</f>
        <v/>
      </c>
      <c r="AJ199" s="13" t="n"/>
      <c r="AK199" s="24">
        <f>IF(OR(AJ199="",AJ198=""),"",IF(AJ198=0,"",(AJ199/AJ198)-1))</f>
        <v/>
      </c>
      <c r="AL199" s="24">
        <f>IF(ROW()&lt;7,"",IF(OR(AJ199="",AJ196=""),"",IF(AJ196=0,"",(AJ199/AJ196)-1)))</f>
        <v/>
      </c>
      <c r="AM199" s="24">
        <f>IF(ROW()&lt;9,"",IF(OR(AJ199="",AJ194=""),"",IF(AJ194=0,"",(AJ199/AJ194)-1)))</f>
        <v/>
      </c>
      <c r="AN199" s="13">
        <f>IF(ROW()&lt;23,"",AVERAGE(AJ180:AJ199))</f>
        <v/>
      </c>
      <c r="AO199">
        <f>IF(OR(AJ199="",AN199=""),"",IF(AJ199&gt;AN199,"Bull","Bear"))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8">
        <f>IFERROR((M200/M199)-1,"")</f>
        <v/>
      </c>
      <c r="O200" s="24">
        <f>IF(OR(N200="",N199=""),"",IF(N199=0,"",(N200/N199)-1))</f>
        <v/>
      </c>
      <c r="P200" s="11">
        <f>IF(ROW()&lt;7,"",IF(OR(E200="",E197=""),"",IF(E197=0,"",(E200/E197)-1)))</f>
        <v/>
      </c>
      <c r="Q200" s="24">
        <f>IF(ROW()&lt;9,"",IF(OR(E200="",E195=""),"",IF(E195=0,"",(E200/E195)-1)))</f>
        <v/>
      </c>
      <c r="R200" s="24">
        <f>IF(ROW()&lt;7,"",IF(OR(G200="",G197=""),"",IF(G197=0,"",(G200/G197)-1)))</f>
        <v/>
      </c>
      <c r="S200" s="24">
        <f>IF(ROW()&lt;9,"",IF(OR(G200="",G195=""),"",IF(G195=0,"",(G200/G195)-1)))</f>
        <v/>
      </c>
      <c r="T200" s="24">
        <f>IF(ROW()&lt;7,"",IF(OR(L200="",L197=""),"",IF(L197=0,"",(L200/L197)-1)))</f>
        <v/>
      </c>
      <c r="U200" s="24">
        <f>IF(ROW()&lt;9,"",IF(OR(L200="",L195=""),"",IF(L195=0,"",(L200/L195)-1)))</f>
        <v/>
      </c>
      <c r="V200" s="24">
        <f>IF(ROW()&lt;7,"",IF(OR(N200="",N197=""),"",IF(N197=0,"",(N200/N197)-1)))</f>
        <v/>
      </c>
      <c r="W200" s="24">
        <f>IF(ROW()&lt;9,"",IF(OR(N200="",N195=""),"",IF(N195=0,"",(N200/N195)-1)))</f>
        <v/>
      </c>
      <c r="X200" s="24">
        <f>IF(OR(F200="",M200=""),"",F200-M200)</f>
        <v/>
      </c>
      <c r="Y200" s="24">
        <f>IF(OR(P200="",T200=""),"",P200-T200)</f>
        <v/>
      </c>
      <c r="Z200" s="24">
        <f>IF(OR(Q200="",U200=""),"",Q200-U200)</f>
        <v/>
      </c>
      <c r="AA200" s="24">
        <f>IF(OR(H200="",O200=""),"",H200-O200)</f>
        <v/>
      </c>
      <c r="AB200" s="24">
        <f>IF(OR(R200="",V200=""),"",R200-V200)</f>
        <v/>
      </c>
      <c r="AC200" s="24">
        <f>IF(OR(S200="",W200=""),"",S200-W200)</f>
        <v/>
      </c>
      <c r="AD200" s="13" t="n"/>
      <c r="AE200" s="24">
        <f>IF(OR(AD200="",AD199=""),"",IF(AD199=0,"",(AD200/AD199)-1))</f>
        <v/>
      </c>
      <c r="AF200" s="24">
        <f>IF(ROW()&lt;7,"",IF(OR(AD200="",AD197=""),"",IF(AD197=0,"",(AD200/AD197)-1)))</f>
        <v/>
      </c>
      <c r="AG200" s="24">
        <f>IF(ROW()&lt;9,"",IF(OR(AD200="",AD195=""),"",IF(AD195=0,"",(AD200/AD195)-1)))</f>
        <v/>
      </c>
      <c r="AH200" s="13">
        <f>IF(ROW()&lt;23,"",AVERAGE(AD181:AD200))</f>
        <v/>
      </c>
      <c r="AI200">
        <f>IF(OR(AD200="",AH200=""),"",IF(AD200&gt;AH200,"Bull","Bear"))</f>
        <v/>
      </c>
      <c r="AJ200" s="13" t="n"/>
      <c r="AK200" s="24">
        <f>IF(OR(AJ200="",AJ199=""),"",IF(AJ199=0,"",(AJ200/AJ199)-1))</f>
        <v/>
      </c>
      <c r="AL200" s="24">
        <f>IF(ROW()&lt;7,"",IF(OR(AJ200="",AJ197=""),"",IF(AJ197=0,"",(AJ200/AJ197)-1)))</f>
        <v/>
      </c>
      <c r="AM200" s="24">
        <f>IF(ROW()&lt;9,"",IF(OR(AJ200="",AJ195=""),"",IF(AJ195=0,"",(AJ200/AJ195)-1)))</f>
        <v/>
      </c>
      <c r="AN200" s="13">
        <f>IF(ROW()&lt;23,"",AVERAGE(AJ181:AJ200))</f>
        <v/>
      </c>
      <c r="AO200">
        <f>IF(OR(AJ200="",AN200=""),"",IF(AJ200&gt;AN200,"Bull","Bear"))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8">
        <f>IFERROR((M201/M200)-1,"")</f>
        <v/>
      </c>
      <c r="O201" s="24">
        <f>IF(OR(N201="",N200=""),"",IF(N200=0,"",(N201/N200)-1))</f>
        <v/>
      </c>
      <c r="P201" s="11">
        <f>IF(ROW()&lt;7,"",IF(OR(E201="",E198=""),"",IF(E198=0,"",(E201/E198)-1)))</f>
        <v/>
      </c>
      <c r="Q201" s="24">
        <f>IF(ROW()&lt;9,"",IF(OR(E201="",E196=""),"",IF(E196=0,"",(E201/E196)-1)))</f>
        <v/>
      </c>
      <c r="R201" s="24">
        <f>IF(ROW()&lt;7,"",IF(OR(G201="",G198=""),"",IF(G198=0,"",(G201/G198)-1)))</f>
        <v/>
      </c>
      <c r="S201" s="24">
        <f>IF(ROW()&lt;9,"",IF(OR(G201="",G196=""),"",IF(G196=0,"",(G201/G196)-1)))</f>
        <v/>
      </c>
      <c r="T201" s="24">
        <f>IF(ROW()&lt;7,"",IF(OR(L201="",L198=""),"",IF(L198=0,"",(L201/L198)-1)))</f>
        <v/>
      </c>
      <c r="U201" s="24">
        <f>IF(ROW()&lt;9,"",IF(OR(L201="",L196=""),"",IF(L196=0,"",(L201/L196)-1)))</f>
        <v/>
      </c>
      <c r="V201" s="24">
        <f>IF(ROW()&lt;7,"",IF(OR(N201="",N198=""),"",IF(N198=0,"",(N201/N198)-1)))</f>
        <v/>
      </c>
      <c r="W201" s="24">
        <f>IF(ROW()&lt;9,"",IF(OR(N201="",N196=""),"",IF(N196=0,"",(N201/N196)-1)))</f>
        <v/>
      </c>
      <c r="X201" s="24">
        <f>IF(OR(F201="",M201=""),"",F201-M201)</f>
        <v/>
      </c>
      <c r="Y201" s="24">
        <f>IF(OR(P201="",T201=""),"",P201-T201)</f>
        <v/>
      </c>
      <c r="Z201" s="24">
        <f>IF(OR(Q201="",U201=""),"",Q201-U201)</f>
        <v/>
      </c>
      <c r="AA201" s="24">
        <f>IF(OR(H201="",O201=""),"",H201-O201)</f>
        <v/>
      </c>
      <c r="AB201" s="24">
        <f>IF(OR(R201="",V201=""),"",R201-V201)</f>
        <v/>
      </c>
      <c r="AC201" s="24">
        <f>IF(OR(S201="",W201=""),"",S201-W201)</f>
        <v/>
      </c>
      <c r="AD201" s="13" t="n"/>
      <c r="AE201" s="24">
        <f>IF(OR(AD201="",AD200=""),"",IF(AD200=0,"",(AD201/AD200)-1))</f>
        <v/>
      </c>
      <c r="AF201" s="24">
        <f>IF(ROW()&lt;7,"",IF(OR(AD201="",AD198=""),"",IF(AD198=0,"",(AD201/AD198)-1)))</f>
        <v/>
      </c>
      <c r="AG201" s="24">
        <f>IF(ROW()&lt;9,"",IF(OR(AD201="",AD196=""),"",IF(AD196=0,"",(AD201/AD196)-1)))</f>
        <v/>
      </c>
      <c r="AH201" s="13">
        <f>IF(ROW()&lt;23,"",AVERAGE(AD182:AD201))</f>
        <v/>
      </c>
      <c r="AI201">
        <f>IF(OR(AD201="",AH201=""),"",IF(AD201&gt;AH201,"Bull","Bear"))</f>
        <v/>
      </c>
      <c r="AJ201" s="13" t="n"/>
      <c r="AK201" s="24">
        <f>IF(OR(AJ201="",AJ200=""),"",IF(AJ200=0,"",(AJ201/AJ200)-1))</f>
        <v/>
      </c>
      <c r="AL201" s="24">
        <f>IF(ROW()&lt;7,"",IF(OR(AJ201="",AJ198=""),"",IF(AJ198=0,"",(AJ201/AJ198)-1)))</f>
        <v/>
      </c>
      <c r="AM201" s="24">
        <f>IF(ROW()&lt;9,"",IF(OR(AJ201="",AJ196=""),"",IF(AJ196=0,"",(AJ201/AJ196)-1)))</f>
        <v/>
      </c>
      <c r="AN201" s="13">
        <f>IF(ROW()&lt;23,"",AVERAGE(AJ182:AJ201))</f>
        <v/>
      </c>
      <c r="AO201">
        <f>IF(OR(AJ201="",AN201=""),"",IF(AJ201&gt;AN201,"Bull","Bear"))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8">
        <f>IFERROR((M202/M201)-1,"")</f>
        <v/>
      </c>
      <c r="O202" s="24">
        <f>IF(OR(N202="",N201=""),"",IF(N201=0,"",(N202/N201)-1))</f>
        <v/>
      </c>
      <c r="P202" s="11">
        <f>IF(ROW()&lt;7,"",IF(OR(E202="",E199=""),"",IF(E199=0,"",(E202/E199)-1)))</f>
        <v/>
      </c>
      <c r="Q202" s="24">
        <f>IF(ROW()&lt;9,"",IF(OR(E202="",E197=""),"",IF(E197=0,"",(E202/E197)-1)))</f>
        <v/>
      </c>
      <c r="R202" s="24">
        <f>IF(ROW()&lt;7,"",IF(OR(G202="",G199=""),"",IF(G199=0,"",(G202/G199)-1)))</f>
        <v/>
      </c>
      <c r="S202" s="24">
        <f>IF(ROW()&lt;9,"",IF(OR(G202="",G197=""),"",IF(G197=0,"",(G202/G197)-1)))</f>
        <v/>
      </c>
      <c r="T202" s="24">
        <f>IF(ROW()&lt;7,"",IF(OR(L202="",L199=""),"",IF(L199=0,"",(L202/L199)-1)))</f>
        <v/>
      </c>
      <c r="U202" s="24">
        <f>IF(ROW()&lt;9,"",IF(OR(L202="",L197=""),"",IF(L197=0,"",(L202/L197)-1)))</f>
        <v/>
      </c>
      <c r="V202" s="24">
        <f>IF(ROW()&lt;7,"",IF(OR(N202="",N199=""),"",IF(N199=0,"",(N202/N199)-1)))</f>
        <v/>
      </c>
      <c r="W202" s="24">
        <f>IF(ROW()&lt;9,"",IF(OR(N202="",N197=""),"",IF(N197=0,"",(N202/N197)-1)))</f>
        <v/>
      </c>
      <c r="X202" s="24">
        <f>IF(OR(F202="",M202=""),"",F202-M202)</f>
        <v/>
      </c>
      <c r="Y202" s="24">
        <f>IF(OR(P202="",T202=""),"",P202-T202)</f>
        <v/>
      </c>
      <c r="Z202" s="24">
        <f>IF(OR(Q202="",U202=""),"",Q202-U202)</f>
        <v/>
      </c>
      <c r="AA202" s="24">
        <f>IF(OR(H202="",O202=""),"",H202-O202)</f>
        <v/>
      </c>
      <c r="AB202" s="24">
        <f>IF(OR(R202="",V202=""),"",R202-V202)</f>
        <v/>
      </c>
      <c r="AC202" s="24">
        <f>IF(OR(S202="",W202=""),"",S202-W202)</f>
        <v/>
      </c>
      <c r="AD202" s="13" t="n"/>
      <c r="AE202" s="24">
        <f>IF(OR(AD202="",AD201=""),"",IF(AD201=0,"",(AD202/AD201)-1))</f>
        <v/>
      </c>
      <c r="AF202" s="24">
        <f>IF(ROW()&lt;7,"",IF(OR(AD202="",AD199=""),"",IF(AD199=0,"",(AD202/AD199)-1)))</f>
        <v/>
      </c>
      <c r="AG202" s="24">
        <f>IF(ROW()&lt;9,"",IF(OR(AD202="",AD197=""),"",IF(AD197=0,"",(AD202/AD197)-1)))</f>
        <v/>
      </c>
      <c r="AH202" s="13">
        <f>IF(ROW()&lt;23,"",AVERAGE(AD183:AD202))</f>
        <v/>
      </c>
      <c r="AI202">
        <f>IF(OR(AD202="",AH202=""),"",IF(AD202&gt;AH202,"Bull","Bear"))</f>
        <v/>
      </c>
      <c r="AJ202" s="13" t="n"/>
      <c r="AK202" s="24">
        <f>IF(OR(AJ202="",AJ201=""),"",IF(AJ201=0,"",(AJ202/AJ201)-1))</f>
        <v/>
      </c>
      <c r="AL202" s="24">
        <f>IF(ROW()&lt;7,"",IF(OR(AJ202="",AJ199=""),"",IF(AJ199=0,"",(AJ202/AJ199)-1)))</f>
        <v/>
      </c>
      <c r="AM202" s="24">
        <f>IF(ROW()&lt;9,"",IF(OR(AJ202="",AJ197=""),"",IF(AJ197=0,"",(AJ202/AJ197)-1)))</f>
        <v/>
      </c>
      <c r="AN202" s="13">
        <f>IF(ROW()&lt;23,"",AVERAGE(AJ183:AJ202))</f>
        <v/>
      </c>
      <c r="AO202">
        <f>IF(OR(AJ202="",AN202=""),"",IF(AJ202&gt;AN202,"Bull","Bear"))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8">
        <f>IFERROR((M203/M202)-1,"")</f>
        <v/>
      </c>
      <c r="O203" s="24">
        <f>IF(OR(N203="",N202=""),"",IF(N202=0,"",(N203/N202)-1))</f>
        <v/>
      </c>
      <c r="P203" s="11">
        <f>IF(ROW()&lt;7,"",IF(OR(E203="",E200=""),"",IF(E200=0,"",(E203/E200)-1)))</f>
        <v/>
      </c>
      <c r="Q203" s="24">
        <f>IF(ROW()&lt;9,"",IF(OR(E203="",E198=""),"",IF(E198=0,"",(E203/E198)-1)))</f>
        <v/>
      </c>
      <c r="R203" s="24">
        <f>IF(ROW()&lt;7,"",IF(OR(G203="",G200=""),"",IF(G200=0,"",(G203/G200)-1)))</f>
        <v/>
      </c>
      <c r="S203" s="24">
        <f>IF(ROW()&lt;9,"",IF(OR(G203="",G198=""),"",IF(G198=0,"",(G203/G198)-1)))</f>
        <v/>
      </c>
      <c r="T203" s="24">
        <f>IF(ROW()&lt;7,"",IF(OR(L203="",L200=""),"",IF(L200=0,"",(L203/L200)-1)))</f>
        <v/>
      </c>
      <c r="U203" s="24">
        <f>IF(ROW()&lt;9,"",IF(OR(L203="",L198=""),"",IF(L198=0,"",(L203/L198)-1)))</f>
        <v/>
      </c>
      <c r="V203" s="24">
        <f>IF(ROW()&lt;7,"",IF(OR(N203="",N200=""),"",IF(N200=0,"",(N203/N200)-1)))</f>
        <v/>
      </c>
      <c r="W203" s="24">
        <f>IF(ROW()&lt;9,"",IF(OR(N203="",N198=""),"",IF(N198=0,"",(N203/N198)-1)))</f>
        <v/>
      </c>
      <c r="X203" s="24">
        <f>IF(OR(F203="",M203=""),"",F203-M203)</f>
        <v/>
      </c>
      <c r="Y203" s="24">
        <f>IF(OR(P203="",T203=""),"",P203-T203)</f>
        <v/>
      </c>
      <c r="Z203" s="24">
        <f>IF(OR(Q203="",U203=""),"",Q203-U203)</f>
        <v/>
      </c>
      <c r="AA203" s="24">
        <f>IF(OR(H203="",O203=""),"",H203-O203)</f>
        <v/>
      </c>
      <c r="AB203" s="24">
        <f>IF(OR(R203="",V203=""),"",R203-V203)</f>
        <v/>
      </c>
      <c r="AC203" s="24">
        <f>IF(OR(S203="",W203=""),"",S203-W203)</f>
        <v/>
      </c>
      <c r="AD203" s="13" t="n"/>
      <c r="AE203" s="24">
        <f>IF(OR(AD203="",AD202=""),"",IF(AD202=0,"",(AD203/AD202)-1))</f>
        <v/>
      </c>
      <c r="AF203" s="24">
        <f>IF(ROW()&lt;7,"",IF(OR(AD203="",AD200=""),"",IF(AD200=0,"",(AD203/AD200)-1)))</f>
        <v/>
      </c>
      <c r="AG203" s="24">
        <f>IF(ROW()&lt;9,"",IF(OR(AD203="",AD198=""),"",IF(AD198=0,"",(AD203/AD198)-1)))</f>
        <v/>
      </c>
      <c r="AH203" s="13">
        <f>IF(ROW()&lt;23,"",AVERAGE(AD184:AD203))</f>
        <v/>
      </c>
      <c r="AI203">
        <f>IF(OR(AD203="",AH203=""),"",IF(AD203&gt;AH203,"Bull","Bear"))</f>
        <v/>
      </c>
      <c r="AJ203" s="13" t="n"/>
      <c r="AK203" s="24">
        <f>IF(OR(AJ203="",AJ202=""),"",IF(AJ202=0,"",(AJ203/AJ202)-1))</f>
        <v/>
      </c>
      <c r="AL203" s="24">
        <f>IF(ROW()&lt;7,"",IF(OR(AJ203="",AJ200=""),"",IF(AJ200=0,"",(AJ203/AJ200)-1)))</f>
        <v/>
      </c>
      <c r="AM203" s="24">
        <f>IF(ROW()&lt;9,"",IF(OR(AJ203="",AJ198=""),"",IF(AJ198=0,"",(AJ203/AJ198)-1)))</f>
        <v/>
      </c>
      <c r="AN203" s="13">
        <f>IF(ROW()&lt;23,"",AVERAGE(AJ184:AJ203))</f>
        <v/>
      </c>
      <c r="AO203">
        <f>IF(OR(AJ203="",AN203=""),"",IF(AJ203&gt;AN203,"Bull","Bear"))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8">
        <f>IFERROR((M204/M203)-1,"")</f>
        <v/>
      </c>
      <c r="O204" s="24">
        <f>IF(OR(N204="",N203=""),"",IF(N203=0,"",(N204/N203)-1))</f>
        <v/>
      </c>
      <c r="P204" s="11">
        <f>IF(ROW()&lt;7,"",IF(OR(E204="",E201=""),"",IF(E201=0,"",(E204/E201)-1)))</f>
        <v/>
      </c>
      <c r="Q204" s="24">
        <f>IF(ROW()&lt;9,"",IF(OR(E204="",E199=""),"",IF(E199=0,"",(E204/E199)-1)))</f>
        <v/>
      </c>
      <c r="R204" s="24">
        <f>IF(ROW()&lt;7,"",IF(OR(G204="",G201=""),"",IF(G201=0,"",(G204/G201)-1)))</f>
        <v/>
      </c>
      <c r="S204" s="24">
        <f>IF(ROW()&lt;9,"",IF(OR(G204="",G199=""),"",IF(G199=0,"",(G204/G199)-1)))</f>
        <v/>
      </c>
      <c r="T204" s="24">
        <f>IF(ROW()&lt;7,"",IF(OR(L204="",L201=""),"",IF(L201=0,"",(L204/L201)-1)))</f>
        <v/>
      </c>
      <c r="U204" s="24">
        <f>IF(ROW()&lt;9,"",IF(OR(L204="",L199=""),"",IF(L199=0,"",(L204/L199)-1)))</f>
        <v/>
      </c>
      <c r="V204" s="24">
        <f>IF(ROW()&lt;7,"",IF(OR(N204="",N201=""),"",IF(N201=0,"",(N204/N201)-1)))</f>
        <v/>
      </c>
      <c r="W204" s="24">
        <f>IF(ROW()&lt;9,"",IF(OR(N204="",N199=""),"",IF(N199=0,"",(N204/N199)-1)))</f>
        <v/>
      </c>
      <c r="X204" s="24">
        <f>IF(OR(F204="",M204=""),"",F204-M204)</f>
        <v/>
      </c>
      <c r="Y204" s="24">
        <f>IF(OR(P204="",T204=""),"",P204-T204)</f>
        <v/>
      </c>
      <c r="Z204" s="24">
        <f>IF(OR(Q204="",U204=""),"",Q204-U204)</f>
        <v/>
      </c>
      <c r="AA204" s="24">
        <f>IF(OR(H204="",O204=""),"",H204-O204)</f>
        <v/>
      </c>
      <c r="AB204" s="24">
        <f>IF(OR(R204="",V204=""),"",R204-V204)</f>
        <v/>
      </c>
      <c r="AC204" s="24">
        <f>IF(OR(S204="",W204=""),"",S204-W204)</f>
        <v/>
      </c>
      <c r="AD204" s="13" t="n"/>
      <c r="AE204" s="24">
        <f>IF(OR(AD204="",AD203=""),"",IF(AD203=0,"",(AD204/AD203)-1))</f>
        <v/>
      </c>
      <c r="AF204" s="24">
        <f>IF(ROW()&lt;7,"",IF(OR(AD204="",AD201=""),"",IF(AD201=0,"",(AD204/AD201)-1)))</f>
        <v/>
      </c>
      <c r="AG204" s="24">
        <f>IF(ROW()&lt;9,"",IF(OR(AD204="",AD199=""),"",IF(AD199=0,"",(AD204/AD199)-1)))</f>
        <v/>
      </c>
      <c r="AH204" s="13">
        <f>IF(ROW()&lt;23,"",AVERAGE(AD185:AD204))</f>
        <v/>
      </c>
      <c r="AI204">
        <f>IF(OR(AD204="",AH204=""),"",IF(AD204&gt;AH204,"Bull","Bear"))</f>
        <v/>
      </c>
      <c r="AJ204" s="13" t="n"/>
      <c r="AK204" s="24">
        <f>IF(OR(AJ204="",AJ203=""),"",IF(AJ203=0,"",(AJ204/AJ203)-1))</f>
        <v/>
      </c>
      <c r="AL204" s="24">
        <f>IF(ROW()&lt;7,"",IF(OR(AJ204="",AJ201=""),"",IF(AJ201=0,"",(AJ204/AJ201)-1)))</f>
        <v/>
      </c>
      <c r="AM204" s="24">
        <f>IF(ROW()&lt;9,"",IF(OR(AJ204="",AJ199=""),"",IF(AJ199=0,"",(AJ204/AJ199)-1)))</f>
        <v/>
      </c>
      <c r="AN204" s="13">
        <f>IF(ROW()&lt;23,"",AVERAGE(AJ185:AJ204))</f>
        <v/>
      </c>
      <c r="AO204">
        <f>IF(OR(AJ204="",AN204=""),"",IF(AJ204&gt;AN204,"Bull","Bear"))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8">
        <f>IFERROR((M205/M204)-1,"")</f>
        <v/>
      </c>
      <c r="O205" s="24">
        <f>IF(OR(N205="",N204=""),"",IF(N204=0,"",(N205/N204)-1))</f>
        <v/>
      </c>
      <c r="P205" s="11">
        <f>IF(ROW()&lt;7,"",IF(OR(E205="",E202=""),"",IF(E202=0,"",(E205/E202)-1)))</f>
        <v/>
      </c>
      <c r="Q205" s="24">
        <f>IF(ROW()&lt;9,"",IF(OR(E205="",E200=""),"",IF(E200=0,"",(E205/E200)-1)))</f>
        <v/>
      </c>
      <c r="R205" s="24">
        <f>IF(ROW()&lt;7,"",IF(OR(G205="",G202=""),"",IF(G202=0,"",(G205/G202)-1)))</f>
        <v/>
      </c>
      <c r="S205" s="24">
        <f>IF(ROW()&lt;9,"",IF(OR(G205="",G200=""),"",IF(G200=0,"",(G205/G200)-1)))</f>
        <v/>
      </c>
      <c r="T205" s="24">
        <f>IF(ROW()&lt;7,"",IF(OR(L205="",L202=""),"",IF(L202=0,"",(L205/L202)-1)))</f>
        <v/>
      </c>
      <c r="U205" s="24">
        <f>IF(ROW()&lt;9,"",IF(OR(L205="",L200=""),"",IF(L200=0,"",(L205/L200)-1)))</f>
        <v/>
      </c>
      <c r="V205" s="24">
        <f>IF(ROW()&lt;7,"",IF(OR(N205="",N202=""),"",IF(N202=0,"",(N205/N202)-1)))</f>
        <v/>
      </c>
      <c r="W205" s="24">
        <f>IF(ROW()&lt;9,"",IF(OR(N205="",N200=""),"",IF(N200=0,"",(N205/N200)-1)))</f>
        <v/>
      </c>
      <c r="X205" s="24">
        <f>IF(OR(F205="",M205=""),"",F205-M205)</f>
        <v/>
      </c>
      <c r="Y205" s="24">
        <f>IF(OR(P205="",T205=""),"",P205-T205)</f>
        <v/>
      </c>
      <c r="Z205" s="24">
        <f>IF(OR(Q205="",U205=""),"",Q205-U205)</f>
        <v/>
      </c>
      <c r="AA205" s="24">
        <f>IF(OR(H205="",O205=""),"",H205-O205)</f>
        <v/>
      </c>
      <c r="AB205" s="24">
        <f>IF(OR(R205="",V205=""),"",R205-V205)</f>
        <v/>
      </c>
      <c r="AC205" s="24">
        <f>IF(OR(S205="",W205=""),"",S205-W205)</f>
        <v/>
      </c>
      <c r="AD205" s="13" t="n"/>
      <c r="AE205" s="24">
        <f>IF(OR(AD205="",AD204=""),"",IF(AD204=0,"",(AD205/AD204)-1))</f>
        <v/>
      </c>
      <c r="AF205" s="24">
        <f>IF(ROW()&lt;7,"",IF(OR(AD205="",AD202=""),"",IF(AD202=0,"",(AD205/AD202)-1)))</f>
        <v/>
      </c>
      <c r="AG205" s="24">
        <f>IF(ROW()&lt;9,"",IF(OR(AD205="",AD200=""),"",IF(AD200=0,"",(AD205/AD200)-1)))</f>
        <v/>
      </c>
      <c r="AH205" s="13">
        <f>IF(ROW()&lt;23,"",AVERAGE(AD186:AD205))</f>
        <v/>
      </c>
      <c r="AI205">
        <f>IF(OR(AD205="",AH205=""),"",IF(AD205&gt;AH205,"Bull","Bear"))</f>
        <v/>
      </c>
      <c r="AJ205" s="13" t="n"/>
      <c r="AK205" s="24">
        <f>IF(OR(AJ205="",AJ204=""),"",IF(AJ204=0,"",(AJ205/AJ204)-1))</f>
        <v/>
      </c>
      <c r="AL205" s="24">
        <f>IF(ROW()&lt;7,"",IF(OR(AJ205="",AJ202=""),"",IF(AJ202=0,"",(AJ205/AJ202)-1)))</f>
        <v/>
      </c>
      <c r="AM205" s="24">
        <f>IF(ROW()&lt;9,"",IF(OR(AJ205="",AJ200=""),"",IF(AJ200=0,"",(AJ205/AJ200)-1)))</f>
        <v/>
      </c>
      <c r="AN205" s="13">
        <f>IF(ROW()&lt;23,"",AVERAGE(AJ186:AJ205))</f>
        <v/>
      </c>
      <c r="AO205">
        <f>IF(OR(AJ205="",AN205=""),"",IF(AJ205&gt;AN205,"Bull","Bear"))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8">
        <f>IFERROR((M206/M205)-1,"")</f>
        <v/>
      </c>
      <c r="O206" s="24">
        <f>IF(OR(N206="",N205=""),"",IF(N205=0,"",(N206/N205)-1))</f>
        <v/>
      </c>
      <c r="P206" s="11">
        <f>IF(ROW()&lt;7,"",IF(OR(E206="",E203=""),"",IF(E203=0,"",(E206/E203)-1)))</f>
        <v/>
      </c>
      <c r="Q206" s="24">
        <f>IF(ROW()&lt;9,"",IF(OR(E206="",E201=""),"",IF(E201=0,"",(E206/E201)-1)))</f>
        <v/>
      </c>
      <c r="R206" s="24">
        <f>IF(ROW()&lt;7,"",IF(OR(G206="",G203=""),"",IF(G203=0,"",(G206/G203)-1)))</f>
        <v/>
      </c>
      <c r="S206" s="24">
        <f>IF(ROW()&lt;9,"",IF(OR(G206="",G201=""),"",IF(G201=0,"",(G206/G201)-1)))</f>
        <v/>
      </c>
      <c r="T206" s="24">
        <f>IF(ROW()&lt;7,"",IF(OR(L206="",L203=""),"",IF(L203=0,"",(L206/L203)-1)))</f>
        <v/>
      </c>
      <c r="U206" s="24">
        <f>IF(ROW()&lt;9,"",IF(OR(L206="",L201=""),"",IF(L201=0,"",(L206/L201)-1)))</f>
        <v/>
      </c>
      <c r="V206" s="24">
        <f>IF(ROW()&lt;7,"",IF(OR(N206="",N203=""),"",IF(N203=0,"",(N206/N203)-1)))</f>
        <v/>
      </c>
      <c r="W206" s="24">
        <f>IF(ROW()&lt;9,"",IF(OR(N206="",N201=""),"",IF(N201=0,"",(N206/N201)-1)))</f>
        <v/>
      </c>
      <c r="X206" s="24">
        <f>IF(OR(F206="",M206=""),"",F206-M206)</f>
        <v/>
      </c>
      <c r="Y206" s="24">
        <f>IF(OR(P206="",T206=""),"",P206-T206)</f>
        <v/>
      </c>
      <c r="Z206" s="24">
        <f>IF(OR(Q206="",U206=""),"",Q206-U206)</f>
        <v/>
      </c>
      <c r="AA206" s="24">
        <f>IF(OR(H206="",O206=""),"",H206-O206)</f>
        <v/>
      </c>
      <c r="AB206" s="24">
        <f>IF(OR(R206="",V206=""),"",R206-V206)</f>
        <v/>
      </c>
      <c r="AC206" s="24">
        <f>IF(OR(S206="",W206=""),"",S206-W206)</f>
        <v/>
      </c>
      <c r="AD206" s="13" t="n"/>
      <c r="AE206" s="24">
        <f>IF(OR(AD206="",AD205=""),"",IF(AD205=0,"",(AD206/AD205)-1))</f>
        <v/>
      </c>
      <c r="AF206" s="24">
        <f>IF(ROW()&lt;7,"",IF(OR(AD206="",AD203=""),"",IF(AD203=0,"",(AD206/AD203)-1)))</f>
        <v/>
      </c>
      <c r="AG206" s="24">
        <f>IF(ROW()&lt;9,"",IF(OR(AD206="",AD201=""),"",IF(AD201=0,"",(AD206/AD201)-1)))</f>
        <v/>
      </c>
      <c r="AH206" s="13">
        <f>IF(ROW()&lt;23,"",AVERAGE(AD187:AD206))</f>
        <v/>
      </c>
      <c r="AI206">
        <f>IF(OR(AD206="",AH206=""),"",IF(AD206&gt;AH206,"Bull","Bear"))</f>
        <v/>
      </c>
      <c r="AJ206" s="13" t="n"/>
      <c r="AK206" s="24">
        <f>IF(OR(AJ206="",AJ205=""),"",IF(AJ205=0,"",(AJ206/AJ205)-1))</f>
        <v/>
      </c>
      <c r="AL206" s="24">
        <f>IF(ROW()&lt;7,"",IF(OR(AJ206="",AJ203=""),"",IF(AJ203=0,"",(AJ206/AJ203)-1)))</f>
        <v/>
      </c>
      <c r="AM206" s="24">
        <f>IF(ROW()&lt;9,"",IF(OR(AJ206="",AJ201=""),"",IF(AJ201=0,"",(AJ206/AJ201)-1)))</f>
        <v/>
      </c>
      <c r="AN206" s="13">
        <f>IF(ROW()&lt;23,"",AVERAGE(AJ187:AJ206))</f>
        <v/>
      </c>
      <c r="AO206">
        <f>IF(OR(AJ206="",AN206=""),"",IF(AJ206&gt;AN206,"Bull","Bear"))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8">
        <f>IFERROR((M207/M206)-1,"")</f>
        <v/>
      </c>
      <c r="O207" s="24">
        <f>IF(OR(N207="",N206=""),"",IF(N206=0,"",(N207/N206)-1))</f>
        <v/>
      </c>
      <c r="P207" s="11">
        <f>IF(ROW()&lt;7,"",IF(OR(E207="",E204=""),"",IF(E204=0,"",(E207/E204)-1)))</f>
        <v/>
      </c>
      <c r="Q207" s="24">
        <f>IF(ROW()&lt;9,"",IF(OR(E207="",E202=""),"",IF(E202=0,"",(E207/E202)-1)))</f>
        <v/>
      </c>
      <c r="R207" s="24">
        <f>IF(ROW()&lt;7,"",IF(OR(G207="",G204=""),"",IF(G204=0,"",(G207/G204)-1)))</f>
        <v/>
      </c>
      <c r="S207" s="24">
        <f>IF(ROW()&lt;9,"",IF(OR(G207="",G202=""),"",IF(G202=0,"",(G207/G202)-1)))</f>
        <v/>
      </c>
      <c r="T207" s="24">
        <f>IF(ROW()&lt;7,"",IF(OR(L207="",L204=""),"",IF(L204=0,"",(L207/L204)-1)))</f>
        <v/>
      </c>
      <c r="U207" s="24">
        <f>IF(ROW()&lt;9,"",IF(OR(L207="",L202=""),"",IF(L202=0,"",(L207/L202)-1)))</f>
        <v/>
      </c>
      <c r="V207" s="24">
        <f>IF(ROW()&lt;7,"",IF(OR(N207="",N204=""),"",IF(N204=0,"",(N207/N204)-1)))</f>
        <v/>
      </c>
      <c r="W207" s="24">
        <f>IF(ROW()&lt;9,"",IF(OR(N207="",N202=""),"",IF(N202=0,"",(N207/N202)-1)))</f>
        <v/>
      </c>
      <c r="X207" s="24">
        <f>IF(OR(F207="",M207=""),"",F207-M207)</f>
        <v/>
      </c>
      <c r="Y207" s="24">
        <f>IF(OR(P207="",T207=""),"",P207-T207)</f>
        <v/>
      </c>
      <c r="Z207" s="24">
        <f>IF(OR(Q207="",U207=""),"",Q207-U207)</f>
        <v/>
      </c>
      <c r="AA207" s="24">
        <f>IF(OR(H207="",O207=""),"",H207-O207)</f>
        <v/>
      </c>
      <c r="AB207" s="24">
        <f>IF(OR(R207="",V207=""),"",R207-V207)</f>
        <v/>
      </c>
      <c r="AC207" s="24">
        <f>IF(OR(S207="",W207=""),"",S207-W207)</f>
        <v/>
      </c>
      <c r="AD207" s="13" t="n"/>
      <c r="AE207" s="24">
        <f>IF(OR(AD207="",AD206=""),"",IF(AD206=0,"",(AD207/AD206)-1))</f>
        <v/>
      </c>
      <c r="AF207" s="24">
        <f>IF(ROW()&lt;7,"",IF(OR(AD207="",AD204=""),"",IF(AD204=0,"",(AD207/AD204)-1)))</f>
        <v/>
      </c>
      <c r="AG207" s="24">
        <f>IF(ROW()&lt;9,"",IF(OR(AD207="",AD202=""),"",IF(AD202=0,"",(AD207/AD202)-1)))</f>
        <v/>
      </c>
      <c r="AH207" s="13">
        <f>IF(ROW()&lt;23,"",AVERAGE(AD188:AD207))</f>
        <v/>
      </c>
      <c r="AI207">
        <f>IF(OR(AD207="",AH207=""),"",IF(AD207&gt;AH207,"Bull","Bear"))</f>
        <v/>
      </c>
      <c r="AJ207" s="13" t="n"/>
      <c r="AK207" s="24">
        <f>IF(OR(AJ207="",AJ206=""),"",IF(AJ206=0,"",(AJ207/AJ206)-1))</f>
        <v/>
      </c>
      <c r="AL207" s="24">
        <f>IF(ROW()&lt;7,"",IF(OR(AJ207="",AJ204=""),"",IF(AJ204=0,"",(AJ207/AJ204)-1)))</f>
        <v/>
      </c>
      <c r="AM207" s="24">
        <f>IF(ROW()&lt;9,"",IF(OR(AJ207="",AJ202=""),"",IF(AJ202=0,"",(AJ207/AJ202)-1)))</f>
        <v/>
      </c>
      <c r="AN207" s="13">
        <f>IF(ROW()&lt;23,"",AVERAGE(AJ188:AJ207))</f>
        <v/>
      </c>
      <c r="AO207">
        <f>IF(OR(AJ207="",AN207=""),"",IF(AJ207&gt;AN207,"Bull","Bear"))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8">
        <f>IFERROR((M208/M207)-1,"")</f>
        <v/>
      </c>
      <c r="O208" s="24">
        <f>IF(OR(N208="",N207=""),"",IF(N207=0,"",(N208/N207)-1))</f>
        <v/>
      </c>
      <c r="P208" s="11">
        <f>IF(ROW()&lt;7,"",IF(OR(E208="",E205=""),"",IF(E205=0,"",(E208/E205)-1)))</f>
        <v/>
      </c>
      <c r="Q208" s="24">
        <f>IF(ROW()&lt;9,"",IF(OR(E208="",E203=""),"",IF(E203=0,"",(E208/E203)-1)))</f>
        <v/>
      </c>
      <c r="R208" s="24">
        <f>IF(ROW()&lt;7,"",IF(OR(G208="",G205=""),"",IF(G205=0,"",(G208/G205)-1)))</f>
        <v/>
      </c>
      <c r="S208" s="24">
        <f>IF(ROW()&lt;9,"",IF(OR(G208="",G203=""),"",IF(G203=0,"",(G208/G203)-1)))</f>
        <v/>
      </c>
      <c r="T208" s="24">
        <f>IF(ROW()&lt;7,"",IF(OR(L208="",L205=""),"",IF(L205=0,"",(L208/L205)-1)))</f>
        <v/>
      </c>
      <c r="U208" s="24">
        <f>IF(ROW()&lt;9,"",IF(OR(L208="",L203=""),"",IF(L203=0,"",(L208/L203)-1)))</f>
        <v/>
      </c>
      <c r="V208" s="24">
        <f>IF(ROW()&lt;7,"",IF(OR(N208="",N205=""),"",IF(N205=0,"",(N208/N205)-1)))</f>
        <v/>
      </c>
      <c r="W208" s="24">
        <f>IF(ROW()&lt;9,"",IF(OR(N208="",N203=""),"",IF(N203=0,"",(N208/N203)-1)))</f>
        <v/>
      </c>
      <c r="X208" s="24">
        <f>IF(OR(F208="",M208=""),"",F208-M208)</f>
        <v/>
      </c>
      <c r="Y208" s="24">
        <f>IF(OR(P208="",T208=""),"",P208-T208)</f>
        <v/>
      </c>
      <c r="Z208" s="24">
        <f>IF(OR(Q208="",U208=""),"",Q208-U208)</f>
        <v/>
      </c>
      <c r="AA208" s="24">
        <f>IF(OR(H208="",O208=""),"",H208-O208)</f>
        <v/>
      </c>
      <c r="AB208" s="24">
        <f>IF(OR(R208="",V208=""),"",R208-V208)</f>
        <v/>
      </c>
      <c r="AC208" s="24">
        <f>IF(OR(S208="",W208=""),"",S208-W208)</f>
        <v/>
      </c>
      <c r="AD208" s="13" t="n"/>
      <c r="AE208" s="24">
        <f>IF(OR(AD208="",AD207=""),"",IF(AD207=0,"",(AD208/AD207)-1))</f>
        <v/>
      </c>
      <c r="AF208" s="24">
        <f>IF(ROW()&lt;7,"",IF(OR(AD208="",AD205=""),"",IF(AD205=0,"",(AD208/AD205)-1)))</f>
        <v/>
      </c>
      <c r="AG208" s="24">
        <f>IF(ROW()&lt;9,"",IF(OR(AD208="",AD203=""),"",IF(AD203=0,"",(AD208/AD203)-1)))</f>
        <v/>
      </c>
      <c r="AH208" s="13">
        <f>IF(ROW()&lt;23,"",AVERAGE(AD189:AD208))</f>
        <v/>
      </c>
      <c r="AI208">
        <f>IF(OR(AD208="",AH208=""),"",IF(AD208&gt;AH208,"Bull","Bear"))</f>
        <v/>
      </c>
      <c r="AJ208" s="13" t="n"/>
      <c r="AK208" s="24">
        <f>IF(OR(AJ208="",AJ207=""),"",IF(AJ207=0,"",(AJ208/AJ207)-1))</f>
        <v/>
      </c>
      <c r="AL208" s="24">
        <f>IF(ROW()&lt;7,"",IF(OR(AJ208="",AJ205=""),"",IF(AJ205=0,"",(AJ208/AJ205)-1)))</f>
        <v/>
      </c>
      <c r="AM208" s="24">
        <f>IF(ROW()&lt;9,"",IF(OR(AJ208="",AJ203=""),"",IF(AJ203=0,"",(AJ208/AJ203)-1)))</f>
        <v/>
      </c>
      <c r="AN208" s="13">
        <f>IF(ROW()&lt;23,"",AVERAGE(AJ189:AJ208))</f>
        <v/>
      </c>
      <c r="AO208">
        <f>IF(OR(AJ208="",AN208=""),"",IF(AJ208&gt;AN208,"Bull","Bear"))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8">
        <f>IFERROR((M209/M208)-1,"")</f>
        <v/>
      </c>
      <c r="O209" s="24">
        <f>IF(OR(N209="",N208=""),"",IF(N208=0,"",(N209/N208)-1))</f>
        <v/>
      </c>
      <c r="P209" s="11">
        <f>IF(ROW()&lt;7,"",IF(OR(E209="",E206=""),"",IF(E206=0,"",(E209/E206)-1)))</f>
        <v/>
      </c>
      <c r="Q209" s="24">
        <f>IF(ROW()&lt;9,"",IF(OR(E209="",E204=""),"",IF(E204=0,"",(E209/E204)-1)))</f>
        <v/>
      </c>
      <c r="R209" s="24">
        <f>IF(ROW()&lt;7,"",IF(OR(G209="",G206=""),"",IF(G206=0,"",(G209/G206)-1)))</f>
        <v/>
      </c>
      <c r="S209" s="24">
        <f>IF(ROW()&lt;9,"",IF(OR(G209="",G204=""),"",IF(G204=0,"",(G209/G204)-1)))</f>
        <v/>
      </c>
      <c r="T209" s="24">
        <f>IF(ROW()&lt;7,"",IF(OR(L209="",L206=""),"",IF(L206=0,"",(L209/L206)-1)))</f>
        <v/>
      </c>
      <c r="U209" s="24">
        <f>IF(ROW()&lt;9,"",IF(OR(L209="",L204=""),"",IF(L204=0,"",(L209/L204)-1)))</f>
        <v/>
      </c>
      <c r="V209" s="24">
        <f>IF(ROW()&lt;7,"",IF(OR(N209="",N206=""),"",IF(N206=0,"",(N209/N206)-1)))</f>
        <v/>
      </c>
      <c r="W209" s="24">
        <f>IF(ROW()&lt;9,"",IF(OR(N209="",N204=""),"",IF(N204=0,"",(N209/N204)-1)))</f>
        <v/>
      </c>
      <c r="X209" s="24">
        <f>IF(OR(F209="",M209=""),"",F209-M209)</f>
        <v/>
      </c>
      <c r="Y209" s="24">
        <f>IF(OR(P209="",T209=""),"",P209-T209)</f>
        <v/>
      </c>
      <c r="Z209" s="24">
        <f>IF(OR(Q209="",U209=""),"",Q209-U209)</f>
        <v/>
      </c>
      <c r="AA209" s="24">
        <f>IF(OR(H209="",O209=""),"",H209-O209)</f>
        <v/>
      </c>
      <c r="AB209" s="24">
        <f>IF(OR(R209="",V209=""),"",R209-V209)</f>
        <v/>
      </c>
      <c r="AC209" s="24">
        <f>IF(OR(S209="",W209=""),"",S209-W209)</f>
        <v/>
      </c>
      <c r="AD209" s="13" t="n"/>
      <c r="AE209" s="24">
        <f>IF(OR(AD209="",AD208=""),"",IF(AD208=0,"",(AD209/AD208)-1))</f>
        <v/>
      </c>
      <c r="AF209" s="24">
        <f>IF(ROW()&lt;7,"",IF(OR(AD209="",AD206=""),"",IF(AD206=0,"",(AD209/AD206)-1)))</f>
        <v/>
      </c>
      <c r="AG209" s="24">
        <f>IF(ROW()&lt;9,"",IF(OR(AD209="",AD204=""),"",IF(AD204=0,"",(AD209/AD204)-1)))</f>
        <v/>
      </c>
      <c r="AH209" s="13">
        <f>IF(ROW()&lt;23,"",AVERAGE(AD190:AD209))</f>
        <v/>
      </c>
      <c r="AI209">
        <f>IF(OR(AD209="",AH209=""),"",IF(AD209&gt;AH209,"Bull","Bear"))</f>
        <v/>
      </c>
      <c r="AJ209" s="13" t="n"/>
      <c r="AK209" s="24">
        <f>IF(OR(AJ209="",AJ208=""),"",IF(AJ208=0,"",(AJ209/AJ208)-1))</f>
        <v/>
      </c>
      <c r="AL209" s="24">
        <f>IF(ROW()&lt;7,"",IF(OR(AJ209="",AJ206=""),"",IF(AJ206=0,"",(AJ209/AJ206)-1)))</f>
        <v/>
      </c>
      <c r="AM209" s="24">
        <f>IF(ROW()&lt;9,"",IF(OR(AJ209="",AJ204=""),"",IF(AJ204=0,"",(AJ209/AJ204)-1)))</f>
        <v/>
      </c>
      <c r="AN209" s="13">
        <f>IF(ROW()&lt;23,"",AVERAGE(AJ190:AJ209))</f>
        <v/>
      </c>
      <c r="AO209">
        <f>IF(OR(AJ209="",AN209=""),"",IF(AJ209&gt;AN209,"Bull","Bear"))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8">
        <f>IFERROR((M210/M209)-1,"")</f>
        <v/>
      </c>
      <c r="O210" s="24">
        <f>IF(OR(N210="",N209=""),"",IF(N209=0,"",(N210/N209)-1))</f>
        <v/>
      </c>
      <c r="P210" s="11">
        <f>IF(ROW()&lt;7,"",IF(OR(E210="",E207=""),"",IF(E207=0,"",(E210/E207)-1)))</f>
        <v/>
      </c>
      <c r="Q210" s="24">
        <f>IF(ROW()&lt;9,"",IF(OR(E210="",E205=""),"",IF(E205=0,"",(E210/E205)-1)))</f>
        <v/>
      </c>
      <c r="R210" s="24">
        <f>IF(ROW()&lt;7,"",IF(OR(G210="",G207=""),"",IF(G207=0,"",(G210/G207)-1)))</f>
        <v/>
      </c>
      <c r="S210" s="24">
        <f>IF(ROW()&lt;9,"",IF(OR(G210="",G205=""),"",IF(G205=0,"",(G210/G205)-1)))</f>
        <v/>
      </c>
      <c r="T210" s="24">
        <f>IF(ROW()&lt;7,"",IF(OR(L210="",L207=""),"",IF(L207=0,"",(L210/L207)-1)))</f>
        <v/>
      </c>
      <c r="U210" s="24">
        <f>IF(ROW()&lt;9,"",IF(OR(L210="",L205=""),"",IF(L205=0,"",(L210/L205)-1)))</f>
        <v/>
      </c>
      <c r="V210" s="24">
        <f>IF(ROW()&lt;7,"",IF(OR(N210="",N207=""),"",IF(N207=0,"",(N210/N207)-1)))</f>
        <v/>
      </c>
      <c r="W210" s="24">
        <f>IF(ROW()&lt;9,"",IF(OR(N210="",N205=""),"",IF(N205=0,"",(N210/N205)-1)))</f>
        <v/>
      </c>
      <c r="X210" s="24">
        <f>IF(OR(F210="",M210=""),"",F210-M210)</f>
        <v/>
      </c>
      <c r="Y210" s="24">
        <f>IF(OR(P210="",T210=""),"",P210-T210)</f>
        <v/>
      </c>
      <c r="Z210" s="24">
        <f>IF(OR(Q210="",U210=""),"",Q210-U210)</f>
        <v/>
      </c>
      <c r="AA210" s="24">
        <f>IF(OR(H210="",O210=""),"",H210-O210)</f>
        <v/>
      </c>
      <c r="AB210" s="24">
        <f>IF(OR(R210="",V210=""),"",R210-V210)</f>
        <v/>
      </c>
      <c r="AC210" s="24">
        <f>IF(OR(S210="",W210=""),"",S210-W210)</f>
        <v/>
      </c>
      <c r="AD210" s="13" t="n"/>
      <c r="AE210" s="24">
        <f>IF(OR(AD210="",AD209=""),"",IF(AD209=0,"",(AD210/AD209)-1))</f>
        <v/>
      </c>
      <c r="AF210" s="24">
        <f>IF(ROW()&lt;7,"",IF(OR(AD210="",AD207=""),"",IF(AD207=0,"",(AD210/AD207)-1)))</f>
        <v/>
      </c>
      <c r="AG210" s="24">
        <f>IF(ROW()&lt;9,"",IF(OR(AD210="",AD205=""),"",IF(AD205=0,"",(AD210/AD205)-1)))</f>
        <v/>
      </c>
      <c r="AH210" s="13">
        <f>IF(ROW()&lt;23,"",AVERAGE(AD191:AD210))</f>
        <v/>
      </c>
      <c r="AI210">
        <f>IF(OR(AD210="",AH210=""),"",IF(AD210&gt;AH210,"Bull","Bear"))</f>
        <v/>
      </c>
      <c r="AJ210" s="13" t="n"/>
      <c r="AK210" s="24">
        <f>IF(OR(AJ210="",AJ209=""),"",IF(AJ209=0,"",(AJ210/AJ209)-1))</f>
        <v/>
      </c>
      <c r="AL210" s="24">
        <f>IF(ROW()&lt;7,"",IF(OR(AJ210="",AJ207=""),"",IF(AJ207=0,"",(AJ210/AJ207)-1)))</f>
        <v/>
      </c>
      <c r="AM210" s="24">
        <f>IF(ROW()&lt;9,"",IF(OR(AJ210="",AJ205=""),"",IF(AJ205=0,"",(AJ210/AJ205)-1)))</f>
        <v/>
      </c>
      <c r="AN210" s="13">
        <f>IF(ROW()&lt;23,"",AVERAGE(AJ191:AJ210))</f>
        <v/>
      </c>
      <c r="AO210">
        <f>IF(OR(AJ210="",AN210=""),"",IF(AJ210&gt;AN210,"Bull","Bear"))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8">
        <f>IFERROR((M211/M210)-1,"")</f>
        <v/>
      </c>
      <c r="O211" s="24">
        <f>IF(OR(N211="",N210=""),"",IF(N210=0,"",(N211/N210)-1))</f>
        <v/>
      </c>
      <c r="P211" s="11">
        <f>IF(ROW()&lt;7,"",IF(OR(E211="",E208=""),"",IF(E208=0,"",(E211/E208)-1)))</f>
        <v/>
      </c>
      <c r="Q211" s="24">
        <f>IF(ROW()&lt;9,"",IF(OR(E211="",E206=""),"",IF(E206=0,"",(E211/E206)-1)))</f>
        <v/>
      </c>
      <c r="R211" s="24">
        <f>IF(ROW()&lt;7,"",IF(OR(G211="",G208=""),"",IF(G208=0,"",(G211/G208)-1)))</f>
        <v/>
      </c>
      <c r="S211" s="24">
        <f>IF(ROW()&lt;9,"",IF(OR(G211="",G206=""),"",IF(G206=0,"",(G211/G206)-1)))</f>
        <v/>
      </c>
      <c r="T211" s="24">
        <f>IF(ROW()&lt;7,"",IF(OR(L211="",L208=""),"",IF(L208=0,"",(L211/L208)-1)))</f>
        <v/>
      </c>
      <c r="U211" s="24">
        <f>IF(ROW()&lt;9,"",IF(OR(L211="",L206=""),"",IF(L206=0,"",(L211/L206)-1)))</f>
        <v/>
      </c>
      <c r="V211" s="24">
        <f>IF(ROW()&lt;7,"",IF(OR(N211="",N208=""),"",IF(N208=0,"",(N211/N208)-1)))</f>
        <v/>
      </c>
      <c r="W211" s="24">
        <f>IF(ROW()&lt;9,"",IF(OR(N211="",N206=""),"",IF(N206=0,"",(N211/N206)-1)))</f>
        <v/>
      </c>
      <c r="X211" s="24">
        <f>IF(OR(F211="",M211=""),"",F211-M211)</f>
        <v/>
      </c>
      <c r="Y211" s="24">
        <f>IF(OR(P211="",T211=""),"",P211-T211)</f>
        <v/>
      </c>
      <c r="Z211" s="24">
        <f>IF(OR(Q211="",U211=""),"",Q211-U211)</f>
        <v/>
      </c>
      <c r="AA211" s="24">
        <f>IF(OR(H211="",O211=""),"",H211-O211)</f>
        <v/>
      </c>
      <c r="AB211" s="24">
        <f>IF(OR(R211="",V211=""),"",R211-V211)</f>
        <v/>
      </c>
      <c r="AC211" s="24">
        <f>IF(OR(S211="",W211=""),"",S211-W211)</f>
        <v/>
      </c>
      <c r="AD211" s="13" t="n"/>
      <c r="AE211" s="24">
        <f>IF(OR(AD211="",AD210=""),"",IF(AD210=0,"",(AD211/AD210)-1))</f>
        <v/>
      </c>
      <c r="AF211" s="24">
        <f>IF(ROW()&lt;7,"",IF(OR(AD211="",AD208=""),"",IF(AD208=0,"",(AD211/AD208)-1)))</f>
        <v/>
      </c>
      <c r="AG211" s="24">
        <f>IF(ROW()&lt;9,"",IF(OR(AD211="",AD206=""),"",IF(AD206=0,"",(AD211/AD206)-1)))</f>
        <v/>
      </c>
      <c r="AH211" s="13">
        <f>IF(ROW()&lt;23,"",AVERAGE(AD192:AD211))</f>
        <v/>
      </c>
      <c r="AI211">
        <f>IF(OR(AD211="",AH211=""),"",IF(AD211&gt;AH211,"Bull","Bear"))</f>
        <v/>
      </c>
      <c r="AJ211" s="13" t="n"/>
      <c r="AK211" s="24">
        <f>IF(OR(AJ211="",AJ210=""),"",IF(AJ210=0,"",(AJ211/AJ210)-1))</f>
        <v/>
      </c>
      <c r="AL211" s="24">
        <f>IF(ROW()&lt;7,"",IF(OR(AJ211="",AJ208=""),"",IF(AJ208=0,"",(AJ211/AJ208)-1)))</f>
        <v/>
      </c>
      <c r="AM211" s="24">
        <f>IF(ROW()&lt;9,"",IF(OR(AJ211="",AJ206=""),"",IF(AJ206=0,"",(AJ211/AJ206)-1)))</f>
        <v/>
      </c>
      <c r="AN211" s="13">
        <f>IF(ROW()&lt;23,"",AVERAGE(AJ192:AJ211))</f>
        <v/>
      </c>
      <c r="AO211">
        <f>IF(OR(AJ211="",AN211=""),"",IF(AJ211&gt;AN211,"Bull","Bear"))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8">
        <f>IFERROR((M212/M211)-1,"")</f>
        <v/>
      </c>
      <c r="O212" s="24">
        <f>IF(OR(N212="",N211=""),"",IF(N211=0,"",(N212/N211)-1))</f>
        <v/>
      </c>
      <c r="P212" s="11">
        <f>IF(ROW()&lt;7,"",IF(OR(E212="",E209=""),"",IF(E209=0,"",(E212/E209)-1)))</f>
        <v/>
      </c>
      <c r="Q212" s="24">
        <f>IF(ROW()&lt;9,"",IF(OR(E212="",E207=""),"",IF(E207=0,"",(E212/E207)-1)))</f>
        <v/>
      </c>
      <c r="R212" s="24">
        <f>IF(ROW()&lt;7,"",IF(OR(G212="",G209=""),"",IF(G209=0,"",(G212/G209)-1)))</f>
        <v/>
      </c>
      <c r="S212" s="24">
        <f>IF(ROW()&lt;9,"",IF(OR(G212="",G207=""),"",IF(G207=0,"",(G212/G207)-1)))</f>
        <v/>
      </c>
      <c r="T212" s="24">
        <f>IF(ROW()&lt;7,"",IF(OR(L212="",L209=""),"",IF(L209=0,"",(L212/L209)-1)))</f>
        <v/>
      </c>
      <c r="U212" s="24">
        <f>IF(ROW()&lt;9,"",IF(OR(L212="",L207=""),"",IF(L207=0,"",(L212/L207)-1)))</f>
        <v/>
      </c>
      <c r="V212" s="24">
        <f>IF(ROW()&lt;7,"",IF(OR(N212="",N209=""),"",IF(N209=0,"",(N212/N209)-1)))</f>
        <v/>
      </c>
      <c r="W212" s="24">
        <f>IF(ROW()&lt;9,"",IF(OR(N212="",N207=""),"",IF(N207=0,"",(N212/N207)-1)))</f>
        <v/>
      </c>
      <c r="X212" s="24">
        <f>IF(OR(F212="",M212=""),"",F212-M212)</f>
        <v/>
      </c>
      <c r="Y212" s="24">
        <f>IF(OR(P212="",T212=""),"",P212-T212)</f>
        <v/>
      </c>
      <c r="Z212" s="24">
        <f>IF(OR(Q212="",U212=""),"",Q212-U212)</f>
        <v/>
      </c>
      <c r="AA212" s="24">
        <f>IF(OR(H212="",O212=""),"",H212-O212)</f>
        <v/>
      </c>
      <c r="AB212" s="24">
        <f>IF(OR(R212="",V212=""),"",R212-V212)</f>
        <v/>
      </c>
      <c r="AC212" s="24">
        <f>IF(OR(S212="",W212=""),"",S212-W212)</f>
        <v/>
      </c>
      <c r="AD212" s="13" t="n"/>
      <c r="AE212" s="24">
        <f>IF(OR(AD212="",AD211=""),"",IF(AD211=0,"",(AD212/AD211)-1))</f>
        <v/>
      </c>
      <c r="AF212" s="24">
        <f>IF(ROW()&lt;7,"",IF(OR(AD212="",AD209=""),"",IF(AD209=0,"",(AD212/AD209)-1)))</f>
        <v/>
      </c>
      <c r="AG212" s="24">
        <f>IF(ROW()&lt;9,"",IF(OR(AD212="",AD207=""),"",IF(AD207=0,"",(AD212/AD207)-1)))</f>
        <v/>
      </c>
      <c r="AH212" s="13">
        <f>IF(ROW()&lt;23,"",AVERAGE(AD193:AD212))</f>
        <v/>
      </c>
      <c r="AI212">
        <f>IF(OR(AD212="",AH212=""),"",IF(AD212&gt;AH212,"Bull","Bear"))</f>
        <v/>
      </c>
      <c r="AJ212" s="13" t="n"/>
      <c r="AK212" s="24">
        <f>IF(OR(AJ212="",AJ211=""),"",IF(AJ211=0,"",(AJ212/AJ211)-1))</f>
        <v/>
      </c>
      <c r="AL212" s="24">
        <f>IF(ROW()&lt;7,"",IF(OR(AJ212="",AJ209=""),"",IF(AJ209=0,"",(AJ212/AJ209)-1)))</f>
        <v/>
      </c>
      <c r="AM212" s="24">
        <f>IF(ROW()&lt;9,"",IF(OR(AJ212="",AJ207=""),"",IF(AJ207=0,"",(AJ212/AJ207)-1)))</f>
        <v/>
      </c>
      <c r="AN212" s="13">
        <f>IF(ROW()&lt;23,"",AVERAGE(AJ193:AJ212))</f>
        <v/>
      </c>
      <c r="AO212">
        <f>IF(OR(AJ212="",AN212=""),"",IF(AJ212&gt;AN212,"Bull","Bear"))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8">
        <f>IFERROR((M213/M212)-1,"")</f>
        <v/>
      </c>
      <c r="O213" s="24">
        <f>IF(OR(N213="",N212=""),"",IF(N212=0,"",(N213/N212)-1))</f>
        <v/>
      </c>
      <c r="P213" s="11">
        <f>IF(ROW()&lt;7,"",IF(OR(E213="",E210=""),"",IF(E210=0,"",(E213/E210)-1)))</f>
        <v/>
      </c>
      <c r="Q213" s="24">
        <f>IF(ROW()&lt;9,"",IF(OR(E213="",E208=""),"",IF(E208=0,"",(E213/E208)-1)))</f>
        <v/>
      </c>
      <c r="R213" s="24">
        <f>IF(ROW()&lt;7,"",IF(OR(G213="",G210=""),"",IF(G210=0,"",(G213/G210)-1)))</f>
        <v/>
      </c>
      <c r="S213" s="24">
        <f>IF(ROW()&lt;9,"",IF(OR(G213="",G208=""),"",IF(G208=0,"",(G213/G208)-1)))</f>
        <v/>
      </c>
      <c r="T213" s="24">
        <f>IF(ROW()&lt;7,"",IF(OR(L213="",L210=""),"",IF(L210=0,"",(L213/L210)-1)))</f>
        <v/>
      </c>
      <c r="U213" s="24">
        <f>IF(ROW()&lt;9,"",IF(OR(L213="",L208=""),"",IF(L208=0,"",(L213/L208)-1)))</f>
        <v/>
      </c>
      <c r="V213" s="24">
        <f>IF(ROW()&lt;7,"",IF(OR(N213="",N210=""),"",IF(N210=0,"",(N213/N210)-1)))</f>
        <v/>
      </c>
      <c r="W213" s="24">
        <f>IF(ROW()&lt;9,"",IF(OR(N213="",N208=""),"",IF(N208=0,"",(N213/N208)-1)))</f>
        <v/>
      </c>
      <c r="X213" s="24">
        <f>IF(OR(F213="",M213=""),"",F213-M213)</f>
        <v/>
      </c>
      <c r="Y213" s="24">
        <f>IF(OR(P213="",T213=""),"",P213-T213)</f>
        <v/>
      </c>
      <c r="Z213" s="24">
        <f>IF(OR(Q213="",U213=""),"",Q213-U213)</f>
        <v/>
      </c>
      <c r="AA213" s="24">
        <f>IF(OR(H213="",O213=""),"",H213-O213)</f>
        <v/>
      </c>
      <c r="AB213" s="24">
        <f>IF(OR(R213="",V213=""),"",R213-V213)</f>
        <v/>
      </c>
      <c r="AC213" s="24">
        <f>IF(OR(S213="",W213=""),"",S213-W213)</f>
        <v/>
      </c>
      <c r="AD213" s="13" t="n"/>
      <c r="AE213" s="24">
        <f>IF(OR(AD213="",AD212=""),"",IF(AD212=0,"",(AD213/AD212)-1))</f>
        <v/>
      </c>
      <c r="AF213" s="24">
        <f>IF(ROW()&lt;7,"",IF(OR(AD213="",AD210=""),"",IF(AD210=0,"",(AD213/AD210)-1)))</f>
        <v/>
      </c>
      <c r="AG213" s="24">
        <f>IF(ROW()&lt;9,"",IF(OR(AD213="",AD208=""),"",IF(AD208=0,"",(AD213/AD208)-1)))</f>
        <v/>
      </c>
      <c r="AH213" s="13">
        <f>IF(ROW()&lt;23,"",AVERAGE(AD194:AD213))</f>
        <v/>
      </c>
      <c r="AI213">
        <f>IF(OR(AD213="",AH213=""),"",IF(AD213&gt;AH213,"Bull","Bear"))</f>
        <v/>
      </c>
      <c r="AJ213" s="13" t="n"/>
      <c r="AK213" s="24">
        <f>IF(OR(AJ213="",AJ212=""),"",IF(AJ212=0,"",(AJ213/AJ212)-1))</f>
        <v/>
      </c>
      <c r="AL213" s="24">
        <f>IF(ROW()&lt;7,"",IF(OR(AJ213="",AJ210=""),"",IF(AJ210=0,"",(AJ213/AJ210)-1)))</f>
        <v/>
      </c>
      <c r="AM213" s="24">
        <f>IF(ROW()&lt;9,"",IF(OR(AJ213="",AJ208=""),"",IF(AJ208=0,"",(AJ213/AJ208)-1)))</f>
        <v/>
      </c>
      <c r="AN213" s="13">
        <f>IF(ROW()&lt;23,"",AVERAGE(AJ194:AJ213))</f>
        <v/>
      </c>
      <c r="AO213">
        <f>IF(OR(AJ213="",AN213=""),"",IF(AJ213&gt;AN213,"Bull","Bear"))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8">
        <f>IFERROR((M214/M213)-1,"")</f>
        <v/>
      </c>
      <c r="O214" s="24">
        <f>IF(OR(N214="",N213=""),"",IF(N213=0,"",(N214/N213)-1))</f>
        <v/>
      </c>
      <c r="P214" s="11">
        <f>IF(ROW()&lt;7,"",IF(OR(E214="",E211=""),"",IF(E211=0,"",(E214/E211)-1)))</f>
        <v/>
      </c>
      <c r="Q214" s="24">
        <f>IF(ROW()&lt;9,"",IF(OR(E214="",E209=""),"",IF(E209=0,"",(E214/E209)-1)))</f>
        <v/>
      </c>
      <c r="R214" s="24">
        <f>IF(ROW()&lt;7,"",IF(OR(G214="",G211=""),"",IF(G211=0,"",(G214/G211)-1)))</f>
        <v/>
      </c>
      <c r="S214" s="24">
        <f>IF(ROW()&lt;9,"",IF(OR(G214="",G209=""),"",IF(G209=0,"",(G214/G209)-1)))</f>
        <v/>
      </c>
      <c r="T214" s="24">
        <f>IF(ROW()&lt;7,"",IF(OR(L214="",L211=""),"",IF(L211=0,"",(L214/L211)-1)))</f>
        <v/>
      </c>
      <c r="U214" s="24">
        <f>IF(ROW()&lt;9,"",IF(OR(L214="",L209=""),"",IF(L209=0,"",(L214/L209)-1)))</f>
        <v/>
      </c>
      <c r="V214" s="24">
        <f>IF(ROW()&lt;7,"",IF(OR(N214="",N211=""),"",IF(N211=0,"",(N214/N211)-1)))</f>
        <v/>
      </c>
      <c r="W214" s="24">
        <f>IF(ROW()&lt;9,"",IF(OR(N214="",N209=""),"",IF(N209=0,"",(N214/N209)-1)))</f>
        <v/>
      </c>
      <c r="X214" s="24">
        <f>IF(OR(F214="",M214=""),"",F214-M214)</f>
        <v/>
      </c>
      <c r="Y214" s="24">
        <f>IF(OR(P214="",T214=""),"",P214-T214)</f>
        <v/>
      </c>
      <c r="Z214" s="24">
        <f>IF(OR(Q214="",U214=""),"",Q214-U214)</f>
        <v/>
      </c>
      <c r="AA214" s="24">
        <f>IF(OR(H214="",O214=""),"",H214-O214)</f>
        <v/>
      </c>
      <c r="AB214" s="24">
        <f>IF(OR(R214="",V214=""),"",R214-V214)</f>
        <v/>
      </c>
      <c r="AC214" s="24">
        <f>IF(OR(S214="",W214=""),"",S214-W214)</f>
        <v/>
      </c>
      <c r="AD214" s="13" t="n"/>
      <c r="AE214" s="24">
        <f>IF(OR(AD214="",AD213=""),"",IF(AD213=0,"",(AD214/AD213)-1))</f>
        <v/>
      </c>
      <c r="AF214" s="24">
        <f>IF(ROW()&lt;7,"",IF(OR(AD214="",AD211=""),"",IF(AD211=0,"",(AD214/AD211)-1)))</f>
        <v/>
      </c>
      <c r="AG214" s="24">
        <f>IF(ROW()&lt;9,"",IF(OR(AD214="",AD209=""),"",IF(AD209=0,"",(AD214/AD209)-1)))</f>
        <v/>
      </c>
      <c r="AH214" s="13">
        <f>IF(ROW()&lt;23,"",AVERAGE(AD195:AD214))</f>
        <v/>
      </c>
      <c r="AI214">
        <f>IF(OR(AD214="",AH214=""),"",IF(AD214&gt;AH214,"Bull","Bear"))</f>
        <v/>
      </c>
      <c r="AJ214" s="13" t="n"/>
      <c r="AK214" s="24">
        <f>IF(OR(AJ214="",AJ213=""),"",IF(AJ213=0,"",(AJ214/AJ213)-1))</f>
        <v/>
      </c>
      <c r="AL214" s="24">
        <f>IF(ROW()&lt;7,"",IF(OR(AJ214="",AJ211=""),"",IF(AJ211=0,"",(AJ214/AJ211)-1)))</f>
        <v/>
      </c>
      <c r="AM214" s="24">
        <f>IF(ROW()&lt;9,"",IF(OR(AJ214="",AJ209=""),"",IF(AJ209=0,"",(AJ214/AJ209)-1)))</f>
        <v/>
      </c>
      <c r="AN214" s="13">
        <f>IF(ROW()&lt;23,"",AVERAGE(AJ195:AJ214))</f>
        <v/>
      </c>
      <c r="AO214">
        <f>IF(OR(AJ214="",AN214=""),"",IF(AJ214&gt;AN214,"Bull","Bear"))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8">
        <f>IFERROR((M215/M214)-1,"")</f>
        <v/>
      </c>
      <c r="O215" s="24">
        <f>IF(OR(N215="",N214=""),"",IF(N214=0,"",(N215/N214)-1))</f>
        <v/>
      </c>
      <c r="P215" s="11">
        <f>IF(ROW()&lt;7,"",IF(OR(E215="",E212=""),"",IF(E212=0,"",(E215/E212)-1)))</f>
        <v/>
      </c>
      <c r="Q215" s="24">
        <f>IF(ROW()&lt;9,"",IF(OR(E215="",E210=""),"",IF(E210=0,"",(E215/E210)-1)))</f>
        <v/>
      </c>
      <c r="R215" s="24">
        <f>IF(ROW()&lt;7,"",IF(OR(G215="",G212=""),"",IF(G212=0,"",(G215/G212)-1)))</f>
        <v/>
      </c>
      <c r="S215" s="24">
        <f>IF(ROW()&lt;9,"",IF(OR(G215="",G210=""),"",IF(G210=0,"",(G215/G210)-1)))</f>
        <v/>
      </c>
      <c r="T215" s="24">
        <f>IF(ROW()&lt;7,"",IF(OR(L215="",L212=""),"",IF(L212=0,"",(L215/L212)-1)))</f>
        <v/>
      </c>
      <c r="U215" s="24">
        <f>IF(ROW()&lt;9,"",IF(OR(L215="",L210=""),"",IF(L210=0,"",(L215/L210)-1)))</f>
        <v/>
      </c>
      <c r="V215" s="24">
        <f>IF(ROW()&lt;7,"",IF(OR(N215="",N212=""),"",IF(N212=0,"",(N215/N212)-1)))</f>
        <v/>
      </c>
      <c r="W215" s="24">
        <f>IF(ROW()&lt;9,"",IF(OR(N215="",N210=""),"",IF(N210=0,"",(N215/N210)-1)))</f>
        <v/>
      </c>
      <c r="X215" s="24">
        <f>IF(OR(F215="",M215=""),"",F215-M215)</f>
        <v/>
      </c>
      <c r="Y215" s="24">
        <f>IF(OR(P215="",T215=""),"",P215-T215)</f>
        <v/>
      </c>
      <c r="Z215" s="24">
        <f>IF(OR(Q215="",U215=""),"",Q215-U215)</f>
        <v/>
      </c>
      <c r="AA215" s="24">
        <f>IF(OR(H215="",O215=""),"",H215-O215)</f>
        <v/>
      </c>
      <c r="AB215" s="24">
        <f>IF(OR(R215="",V215=""),"",R215-V215)</f>
        <v/>
      </c>
      <c r="AC215" s="24">
        <f>IF(OR(S215="",W215=""),"",S215-W215)</f>
        <v/>
      </c>
      <c r="AD215" s="13" t="n"/>
      <c r="AE215" s="24">
        <f>IF(OR(AD215="",AD214=""),"",IF(AD214=0,"",(AD215/AD214)-1))</f>
        <v/>
      </c>
      <c r="AF215" s="24">
        <f>IF(ROW()&lt;7,"",IF(OR(AD215="",AD212=""),"",IF(AD212=0,"",(AD215/AD212)-1)))</f>
        <v/>
      </c>
      <c r="AG215" s="24">
        <f>IF(ROW()&lt;9,"",IF(OR(AD215="",AD210=""),"",IF(AD210=0,"",(AD215/AD210)-1)))</f>
        <v/>
      </c>
      <c r="AH215" s="13">
        <f>IF(ROW()&lt;23,"",AVERAGE(AD196:AD215))</f>
        <v/>
      </c>
      <c r="AI215">
        <f>IF(OR(AD215="",AH215=""),"",IF(AD215&gt;AH215,"Bull","Bear"))</f>
        <v/>
      </c>
      <c r="AJ215" s="13" t="n"/>
      <c r="AK215" s="24">
        <f>IF(OR(AJ215="",AJ214=""),"",IF(AJ214=0,"",(AJ215/AJ214)-1))</f>
        <v/>
      </c>
      <c r="AL215" s="24">
        <f>IF(ROW()&lt;7,"",IF(OR(AJ215="",AJ212=""),"",IF(AJ212=0,"",(AJ215/AJ212)-1)))</f>
        <v/>
      </c>
      <c r="AM215" s="24">
        <f>IF(ROW()&lt;9,"",IF(OR(AJ215="",AJ210=""),"",IF(AJ210=0,"",(AJ215/AJ210)-1)))</f>
        <v/>
      </c>
      <c r="AN215" s="13">
        <f>IF(ROW()&lt;23,"",AVERAGE(AJ196:AJ215))</f>
        <v/>
      </c>
      <c r="AO215">
        <f>IF(OR(AJ215="",AN215=""),"",IF(AJ215&gt;AN215,"Bull","Bear"))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8">
        <f>IFERROR((M216/M215)-1,"")</f>
        <v/>
      </c>
      <c r="O216" s="24">
        <f>IF(OR(N216="",N215=""),"",IF(N215=0,"",(N216/N215)-1))</f>
        <v/>
      </c>
      <c r="P216" s="11">
        <f>IF(ROW()&lt;7,"",IF(OR(E216="",E213=""),"",IF(E213=0,"",(E216/E213)-1)))</f>
        <v/>
      </c>
      <c r="Q216" s="24">
        <f>IF(ROW()&lt;9,"",IF(OR(E216="",E211=""),"",IF(E211=0,"",(E216/E211)-1)))</f>
        <v/>
      </c>
      <c r="R216" s="24">
        <f>IF(ROW()&lt;7,"",IF(OR(G216="",G213=""),"",IF(G213=0,"",(G216/G213)-1)))</f>
        <v/>
      </c>
      <c r="S216" s="24">
        <f>IF(ROW()&lt;9,"",IF(OR(G216="",G211=""),"",IF(G211=0,"",(G216/G211)-1)))</f>
        <v/>
      </c>
      <c r="T216" s="24">
        <f>IF(ROW()&lt;7,"",IF(OR(L216="",L213=""),"",IF(L213=0,"",(L216/L213)-1)))</f>
        <v/>
      </c>
      <c r="U216" s="24">
        <f>IF(ROW()&lt;9,"",IF(OR(L216="",L211=""),"",IF(L211=0,"",(L216/L211)-1)))</f>
        <v/>
      </c>
      <c r="V216" s="24">
        <f>IF(ROW()&lt;7,"",IF(OR(N216="",N213=""),"",IF(N213=0,"",(N216/N213)-1)))</f>
        <v/>
      </c>
      <c r="W216" s="24">
        <f>IF(ROW()&lt;9,"",IF(OR(N216="",N211=""),"",IF(N211=0,"",(N216/N211)-1)))</f>
        <v/>
      </c>
      <c r="X216" s="24">
        <f>IF(OR(F216="",M216=""),"",F216-M216)</f>
        <v/>
      </c>
      <c r="Y216" s="24">
        <f>IF(OR(P216="",T216=""),"",P216-T216)</f>
        <v/>
      </c>
      <c r="Z216" s="24">
        <f>IF(OR(Q216="",U216=""),"",Q216-U216)</f>
        <v/>
      </c>
      <c r="AA216" s="24">
        <f>IF(OR(H216="",O216=""),"",H216-O216)</f>
        <v/>
      </c>
      <c r="AB216" s="24">
        <f>IF(OR(R216="",V216=""),"",R216-V216)</f>
        <v/>
      </c>
      <c r="AC216" s="24">
        <f>IF(OR(S216="",W216=""),"",S216-W216)</f>
        <v/>
      </c>
      <c r="AD216" s="13" t="n"/>
      <c r="AE216" s="24">
        <f>IF(OR(AD216="",AD215=""),"",IF(AD215=0,"",(AD216/AD215)-1))</f>
        <v/>
      </c>
      <c r="AF216" s="24">
        <f>IF(ROW()&lt;7,"",IF(OR(AD216="",AD213=""),"",IF(AD213=0,"",(AD216/AD213)-1)))</f>
        <v/>
      </c>
      <c r="AG216" s="24">
        <f>IF(ROW()&lt;9,"",IF(OR(AD216="",AD211=""),"",IF(AD211=0,"",(AD216/AD211)-1)))</f>
        <v/>
      </c>
      <c r="AH216" s="13">
        <f>IF(ROW()&lt;23,"",AVERAGE(AD197:AD216))</f>
        <v/>
      </c>
      <c r="AI216">
        <f>IF(OR(AD216="",AH216=""),"",IF(AD216&gt;AH216,"Bull","Bear"))</f>
        <v/>
      </c>
      <c r="AJ216" s="13" t="n"/>
      <c r="AK216" s="24">
        <f>IF(OR(AJ216="",AJ215=""),"",IF(AJ215=0,"",(AJ216/AJ215)-1))</f>
        <v/>
      </c>
      <c r="AL216" s="24">
        <f>IF(ROW()&lt;7,"",IF(OR(AJ216="",AJ213=""),"",IF(AJ213=0,"",(AJ216/AJ213)-1)))</f>
        <v/>
      </c>
      <c r="AM216" s="24">
        <f>IF(ROW()&lt;9,"",IF(OR(AJ216="",AJ211=""),"",IF(AJ211=0,"",(AJ216/AJ211)-1)))</f>
        <v/>
      </c>
      <c r="AN216" s="13">
        <f>IF(ROW()&lt;23,"",AVERAGE(AJ197:AJ216))</f>
        <v/>
      </c>
      <c r="AO216">
        <f>IF(OR(AJ216="",AN216=""),"",IF(AJ216&gt;AN216,"Bull","Bear"))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8">
        <f>IFERROR((M217/M216)-1,"")</f>
        <v/>
      </c>
      <c r="O217" s="24">
        <f>IF(OR(N217="",N216=""),"",IF(N216=0,"",(N217/N216)-1))</f>
        <v/>
      </c>
      <c r="P217" s="11">
        <f>IF(ROW()&lt;7,"",IF(OR(E217="",E214=""),"",IF(E214=0,"",(E217/E214)-1)))</f>
        <v/>
      </c>
      <c r="Q217" s="24">
        <f>IF(ROW()&lt;9,"",IF(OR(E217="",E212=""),"",IF(E212=0,"",(E217/E212)-1)))</f>
        <v/>
      </c>
      <c r="R217" s="24">
        <f>IF(ROW()&lt;7,"",IF(OR(G217="",G214=""),"",IF(G214=0,"",(G217/G214)-1)))</f>
        <v/>
      </c>
      <c r="S217" s="24">
        <f>IF(ROW()&lt;9,"",IF(OR(G217="",G212=""),"",IF(G212=0,"",(G217/G212)-1)))</f>
        <v/>
      </c>
      <c r="T217" s="24">
        <f>IF(ROW()&lt;7,"",IF(OR(L217="",L214=""),"",IF(L214=0,"",(L217/L214)-1)))</f>
        <v/>
      </c>
      <c r="U217" s="24">
        <f>IF(ROW()&lt;9,"",IF(OR(L217="",L212=""),"",IF(L212=0,"",(L217/L212)-1)))</f>
        <v/>
      </c>
      <c r="V217" s="24">
        <f>IF(ROW()&lt;7,"",IF(OR(N217="",N214=""),"",IF(N214=0,"",(N217/N214)-1)))</f>
        <v/>
      </c>
      <c r="W217" s="24">
        <f>IF(ROW()&lt;9,"",IF(OR(N217="",N212=""),"",IF(N212=0,"",(N217/N212)-1)))</f>
        <v/>
      </c>
      <c r="X217" s="24">
        <f>IF(OR(F217="",M217=""),"",F217-M217)</f>
        <v/>
      </c>
      <c r="Y217" s="24">
        <f>IF(OR(P217="",T217=""),"",P217-T217)</f>
        <v/>
      </c>
      <c r="Z217" s="24">
        <f>IF(OR(Q217="",U217=""),"",Q217-U217)</f>
        <v/>
      </c>
      <c r="AA217" s="24">
        <f>IF(OR(H217="",O217=""),"",H217-O217)</f>
        <v/>
      </c>
      <c r="AB217" s="24">
        <f>IF(OR(R217="",V217=""),"",R217-V217)</f>
        <v/>
      </c>
      <c r="AC217" s="24">
        <f>IF(OR(S217="",W217=""),"",S217-W217)</f>
        <v/>
      </c>
      <c r="AD217" s="13" t="n"/>
      <c r="AE217" s="24">
        <f>IF(OR(AD217="",AD216=""),"",IF(AD216=0,"",(AD217/AD216)-1))</f>
        <v/>
      </c>
      <c r="AF217" s="24">
        <f>IF(ROW()&lt;7,"",IF(OR(AD217="",AD214=""),"",IF(AD214=0,"",(AD217/AD214)-1)))</f>
        <v/>
      </c>
      <c r="AG217" s="24">
        <f>IF(ROW()&lt;9,"",IF(OR(AD217="",AD212=""),"",IF(AD212=0,"",(AD217/AD212)-1)))</f>
        <v/>
      </c>
      <c r="AH217" s="13">
        <f>IF(ROW()&lt;23,"",AVERAGE(AD198:AD217))</f>
        <v/>
      </c>
      <c r="AI217">
        <f>IF(OR(AD217="",AH217=""),"",IF(AD217&gt;AH217,"Bull","Bear"))</f>
        <v/>
      </c>
      <c r="AJ217" s="13" t="n"/>
      <c r="AK217" s="24">
        <f>IF(OR(AJ217="",AJ216=""),"",IF(AJ216=0,"",(AJ217/AJ216)-1))</f>
        <v/>
      </c>
      <c r="AL217" s="24">
        <f>IF(ROW()&lt;7,"",IF(OR(AJ217="",AJ214=""),"",IF(AJ214=0,"",(AJ217/AJ214)-1)))</f>
        <v/>
      </c>
      <c r="AM217" s="24">
        <f>IF(ROW()&lt;9,"",IF(OR(AJ217="",AJ212=""),"",IF(AJ212=0,"",(AJ217/AJ212)-1)))</f>
        <v/>
      </c>
      <c r="AN217" s="13">
        <f>IF(ROW()&lt;23,"",AVERAGE(AJ198:AJ217))</f>
        <v/>
      </c>
      <c r="AO217">
        <f>IF(OR(AJ217="",AN217=""),"",IF(AJ217&gt;AN217,"Bull","Bear"))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8">
        <f>IFERROR((M218/M217)-1,"")</f>
        <v/>
      </c>
      <c r="O218" s="24">
        <f>IF(OR(N218="",N217=""),"",IF(N217=0,"",(N218/N217)-1))</f>
        <v/>
      </c>
      <c r="P218" s="11">
        <f>IF(ROW()&lt;7,"",IF(OR(E218="",E215=""),"",IF(E215=0,"",(E218/E215)-1)))</f>
        <v/>
      </c>
      <c r="Q218" s="24">
        <f>IF(ROW()&lt;9,"",IF(OR(E218="",E213=""),"",IF(E213=0,"",(E218/E213)-1)))</f>
        <v/>
      </c>
      <c r="R218" s="24">
        <f>IF(ROW()&lt;7,"",IF(OR(G218="",G215=""),"",IF(G215=0,"",(G218/G215)-1)))</f>
        <v/>
      </c>
      <c r="S218" s="24">
        <f>IF(ROW()&lt;9,"",IF(OR(G218="",G213=""),"",IF(G213=0,"",(G218/G213)-1)))</f>
        <v/>
      </c>
      <c r="T218" s="24">
        <f>IF(ROW()&lt;7,"",IF(OR(L218="",L215=""),"",IF(L215=0,"",(L218/L215)-1)))</f>
        <v/>
      </c>
      <c r="U218" s="24">
        <f>IF(ROW()&lt;9,"",IF(OR(L218="",L213=""),"",IF(L213=0,"",(L218/L213)-1)))</f>
        <v/>
      </c>
      <c r="V218" s="24">
        <f>IF(ROW()&lt;7,"",IF(OR(N218="",N215=""),"",IF(N215=0,"",(N218/N215)-1)))</f>
        <v/>
      </c>
      <c r="W218" s="24">
        <f>IF(ROW()&lt;9,"",IF(OR(N218="",N213=""),"",IF(N213=0,"",(N218/N213)-1)))</f>
        <v/>
      </c>
      <c r="X218" s="24">
        <f>IF(OR(F218="",M218=""),"",F218-M218)</f>
        <v/>
      </c>
      <c r="Y218" s="24">
        <f>IF(OR(P218="",T218=""),"",P218-T218)</f>
        <v/>
      </c>
      <c r="Z218" s="24">
        <f>IF(OR(Q218="",U218=""),"",Q218-U218)</f>
        <v/>
      </c>
      <c r="AA218" s="24">
        <f>IF(OR(H218="",O218=""),"",H218-O218)</f>
        <v/>
      </c>
      <c r="AB218" s="24">
        <f>IF(OR(R218="",V218=""),"",R218-V218)</f>
        <v/>
      </c>
      <c r="AC218" s="24">
        <f>IF(OR(S218="",W218=""),"",S218-W218)</f>
        <v/>
      </c>
      <c r="AD218" s="13" t="n"/>
      <c r="AE218" s="24">
        <f>IF(OR(AD218="",AD217=""),"",IF(AD217=0,"",(AD218/AD217)-1))</f>
        <v/>
      </c>
      <c r="AF218" s="24">
        <f>IF(ROW()&lt;7,"",IF(OR(AD218="",AD215=""),"",IF(AD215=0,"",(AD218/AD215)-1)))</f>
        <v/>
      </c>
      <c r="AG218" s="24">
        <f>IF(ROW()&lt;9,"",IF(OR(AD218="",AD213=""),"",IF(AD213=0,"",(AD218/AD213)-1)))</f>
        <v/>
      </c>
      <c r="AH218" s="13">
        <f>IF(ROW()&lt;23,"",AVERAGE(AD199:AD218))</f>
        <v/>
      </c>
      <c r="AI218">
        <f>IF(OR(AD218="",AH218=""),"",IF(AD218&gt;AH218,"Bull","Bear"))</f>
        <v/>
      </c>
      <c r="AJ218" s="13" t="n"/>
      <c r="AK218" s="24">
        <f>IF(OR(AJ218="",AJ217=""),"",IF(AJ217=0,"",(AJ218/AJ217)-1))</f>
        <v/>
      </c>
      <c r="AL218" s="24">
        <f>IF(ROW()&lt;7,"",IF(OR(AJ218="",AJ215=""),"",IF(AJ215=0,"",(AJ218/AJ215)-1)))</f>
        <v/>
      </c>
      <c r="AM218" s="24">
        <f>IF(ROW()&lt;9,"",IF(OR(AJ218="",AJ213=""),"",IF(AJ213=0,"",(AJ218/AJ213)-1)))</f>
        <v/>
      </c>
      <c r="AN218" s="13">
        <f>IF(ROW()&lt;23,"",AVERAGE(AJ199:AJ218))</f>
        <v/>
      </c>
      <c r="AO218">
        <f>IF(OR(AJ218="",AN218=""),"",IF(AJ218&gt;AN218,"Bull","Bear"))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8">
        <f>IFERROR((M219/M218)-1,"")</f>
        <v/>
      </c>
      <c r="O219" s="24">
        <f>IF(OR(N219="",N218=""),"",IF(N218=0,"",(N219/N218)-1))</f>
        <v/>
      </c>
      <c r="P219" s="11">
        <f>IF(ROW()&lt;7,"",IF(OR(E219="",E216=""),"",IF(E216=0,"",(E219/E216)-1)))</f>
        <v/>
      </c>
      <c r="Q219" s="24">
        <f>IF(ROW()&lt;9,"",IF(OR(E219="",E214=""),"",IF(E214=0,"",(E219/E214)-1)))</f>
        <v/>
      </c>
      <c r="R219" s="24">
        <f>IF(ROW()&lt;7,"",IF(OR(G219="",G216=""),"",IF(G216=0,"",(G219/G216)-1)))</f>
        <v/>
      </c>
      <c r="S219" s="24">
        <f>IF(ROW()&lt;9,"",IF(OR(G219="",G214=""),"",IF(G214=0,"",(G219/G214)-1)))</f>
        <v/>
      </c>
      <c r="T219" s="24">
        <f>IF(ROW()&lt;7,"",IF(OR(L219="",L216=""),"",IF(L216=0,"",(L219/L216)-1)))</f>
        <v/>
      </c>
      <c r="U219" s="24">
        <f>IF(ROW()&lt;9,"",IF(OR(L219="",L214=""),"",IF(L214=0,"",(L219/L214)-1)))</f>
        <v/>
      </c>
      <c r="V219" s="24">
        <f>IF(ROW()&lt;7,"",IF(OR(N219="",N216=""),"",IF(N216=0,"",(N219/N216)-1)))</f>
        <v/>
      </c>
      <c r="W219" s="24">
        <f>IF(ROW()&lt;9,"",IF(OR(N219="",N214=""),"",IF(N214=0,"",(N219/N214)-1)))</f>
        <v/>
      </c>
      <c r="X219" s="24">
        <f>IF(OR(F219="",M219=""),"",F219-M219)</f>
        <v/>
      </c>
      <c r="Y219" s="24">
        <f>IF(OR(P219="",T219=""),"",P219-T219)</f>
        <v/>
      </c>
      <c r="Z219" s="24">
        <f>IF(OR(Q219="",U219=""),"",Q219-U219)</f>
        <v/>
      </c>
      <c r="AA219" s="24">
        <f>IF(OR(H219="",O219=""),"",H219-O219)</f>
        <v/>
      </c>
      <c r="AB219" s="24">
        <f>IF(OR(R219="",V219=""),"",R219-V219)</f>
        <v/>
      </c>
      <c r="AC219" s="24">
        <f>IF(OR(S219="",W219=""),"",S219-W219)</f>
        <v/>
      </c>
      <c r="AD219" s="13" t="n"/>
      <c r="AE219" s="24">
        <f>IF(OR(AD219="",AD218=""),"",IF(AD218=0,"",(AD219/AD218)-1))</f>
        <v/>
      </c>
      <c r="AF219" s="24">
        <f>IF(ROW()&lt;7,"",IF(OR(AD219="",AD216=""),"",IF(AD216=0,"",(AD219/AD216)-1)))</f>
        <v/>
      </c>
      <c r="AG219" s="24">
        <f>IF(ROW()&lt;9,"",IF(OR(AD219="",AD214=""),"",IF(AD214=0,"",(AD219/AD214)-1)))</f>
        <v/>
      </c>
      <c r="AH219" s="13">
        <f>IF(ROW()&lt;23,"",AVERAGE(AD200:AD219))</f>
        <v/>
      </c>
      <c r="AI219">
        <f>IF(OR(AD219="",AH219=""),"",IF(AD219&gt;AH219,"Bull","Bear"))</f>
        <v/>
      </c>
      <c r="AJ219" s="13" t="n"/>
      <c r="AK219" s="24">
        <f>IF(OR(AJ219="",AJ218=""),"",IF(AJ218=0,"",(AJ219/AJ218)-1))</f>
        <v/>
      </c>
      <c r="AL219" s="24">
        <f>IF(ROW()&lt;7,"",IF(OR(AJ219="",AJ216=""),"",IF(AJ216=0,"",(AJ219/AJ216)-1)))</f>
        <v/>
      </c>
      <c r="AM219" s="24">
        <f>IF(ROW()&lt;9,"",IF(OR(AJ219="",AJ214=""),"",IF(AJ214=0,"",(AJ219/AJ214)-1)))</f>
        <v/>
      </c>
      <c r="AN219" s="13">
        <f>IF(ROW()&lt;23,"",AVERAGE(AJ200:AJ219))</f>
        <v/>
      </c>
      <c r="AO219">
        <f>IF(OR(AJ219="",AN219=""),"",IF(AJ219&gt;AN219,"Bull","Bear"))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8">
        <f>IFERROR((M220/M219)-1,"")</f>
        <v/>
      </c>
      <c r="O220" s="24">
        <f>IF(OR(N220="",N219=""),"",IF(N219=0,"",(N220/N219)-1))</f>
        <v/>
      </c>
      <c r="P220" s="11">
        <f>IF(ROW()&lt;7,"",IF(OR(E220="",E217=""),"",IF(E217=0,"",(E220/E217)-1)))</f>
        <v/>
      </c>
      <c r="Q220" s="24">
        <f>IF(ROW()&lt;9,"",IF(OR(E220="",E215=""),"",IF(E215=0,"",(E220/E215)-1)))</f>
        <v/>
      </c>
      <c r="R220" s="24">
        <f>IF(ROW()&lt;7,"",IF(OR(G220="",G217=""),"",IF(G217=0,"",(G220/G217)-1)))</f>
        <v/>
      </c>
      <c r="S220" s="24">
        <f>IF(ROW()&lt;9,"",IF(OR(G220="",G215=""),"",IF(G215=0,"",(G220/G215)-1)))</f>
        <v/>
      </c>
      <c r="T220" s="24">
        <f>IF(ROW()&lt;7,"",IF(OR(L220="",L217=""),"",IF(L217=0,"",(L220/L217)-1)))</f>
        <v/>
      </c>
      <c r="U220" s="24">
        <f>IF(ROW()&lt;9,"",IF(OR(L220="",L215=""),"",IF(L215=0,"",(L220/L215)-1)))</f>
        <v/>
      </c>
      <c r="V220" s="24">
        <f>IF(ROW()&lt;7,"",IF(OR(N220="",N217=""),"",IF(N217=0,"",(N220/N217)-1)))</f>
        <v/>
      </c>
      <c r="W220" s="24">
        <f>IF(ROW()&lt;9,"",IF(OR(N220="",N215=""),"",IF(N215=0,"",(N220/N215)-1)))</f>
        <v/>
      </c>
      <c r="X220" s="24">
        <f>IF(OR(F220="",M220=""),"",F220-M220)</f>
        <v/>
      </c>
      <c r="Y220" s="24">
        <f>IF(OR(P220="",T220=""),"",P220-T220)</f>
        <v/>
      </c>
      <c r="Z220" s="24">
        <f>IF(OR(Q220="",U220=""),"",Q220-U220)</f>
        <v/>
      </c>
      <c r="AA220" s="24">
        <f>IF(OR(H220="",O220=""),"",H220-O220)</f>
        <v/>
      </c>
      <c r="AB220" s="24">
        <f>IF(OR(R220="",V220=""),"",R220-V220)</f>
        <v/>
      </c>
      <c r="AC220" s="24">
        <f>IF(OR(S220="",W220=""),"",S220-W220)</f>
        <v/>
      </c>
      <c r="AD220" s="13" t="n"/>
      <c r="AE220" s="24">
        <f>IF(OR(AD220="",AD219=""),"",IF(AD219=0,"",(AD220/AD219)-1))</f>
        <v/>
      </c>
      <c r="AF220" s="24">
        <f>IF(ROW()&lt;7,"",IF(OR(AD220="",AD217=""),"",IF(AD217=0,"",(AD220/AD217)-1)))</f>
        <v/>
      </c>
      <c r="AG220" s="24">
        <f>IF(ROW()&lt;9,"",IF(OR(AD220="",AD215=""),"",IF(AD215=0,"",(AD220/AD215)-1)))</f>
        <v/>
      </c>
      <c r="AH220" s="13">
        <f>IF(ROW()&lt;23,"",AVERAGE(AD201:AD220))</f>
        <v/>
      </c>
      <c r="AI220">
        <f>IF(OR(AD220="",AH220=""),"",IF(AD220&gt;AH220,"Bull","Bear"))</f>
        <v/>
      </c>
      <c r="AJ220" s="13" t="n"/>
      <c r="AK220" s="24">
        <f>IF(OR(AJ220="",AJ219=""),"",IF(AJ219=0,"",(AJ220/AJ219)-1))</f>
        <v/>
      </c>
      <c r="AL220" s="24">
        <f>IF(ROW()&lt;7,"",IF(OR(AJ220="",AJ217=""),"",IF(AJ217=0,"",(AJ220/AJ217)-1)))</f>
        <v/>
      </c>
      <c r="AM220" s="24">
        <f>IF(ROW()&lt;9,"",IF(OR(AJ220="",AJ215=""),"",IF(AJ215=0,"",(AJ220/AJ215)-1)))</f>
        <v/>
      </c>
      <c r="AN220" s="13">
        <f>IF(ROW()&lt;23,"",AVERAGE(AJ201:AJ220))</f>
        <v/>
      </c>
      <c r="AO220">
        <f>IF(OR(AJ220="",AN220=""),"",IF(AJ220&gt;AN220,"Bull","Bear"))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8">
        <f>IFERROR((M221/M220)-1,"")</f>
        <v/>
      </c>
      <c r="O221" s="24">
        <f>IF(OR(N221="",N220=""),"",IF(N220=0,"",(N221/N220)-1))</f>
        <v/>
      </c>
      <c r="P221" s="11">
        <f>IF(ROW()&lt;7,"",IF(OR(E221="",E218=""),"",IF(E218=0,"",(E221/E218)-1)))</f>
        <v/>
      </c>
      <c r="Q221" s="24">
        <f>IF(ROW()&lt;9,"",IF(OR(E221="",E216=""),"",IF(E216=0,"",(E221/E216)-1)))</f>
        <v/>
      </c>
      <c r="R221" s="24">
        <f>IF(ROW()&lt;7,"",IF(OR(G221="",G218=""),"",IF(G218=0,"",(G221/G218)-1)))</f>
        <v/>
      </c>
      <c r="S221" s="24">
        <f>IF(ROW()&lt;9,"",IF(OR(G221="",G216=""),"",IF(G216=0,"",(G221/G216)-1)))</f>
        <v/>
      </c>
      <c r="T221" s="24">
        <f>IF(ROW()&lt;7,"",IF(OR(L221="",L218=""),"",IF(L218=0,"",(L221/L218)-1)))</f>
        <v/>
      </c>
      <c r="U221" s="24">
        <f>IF(ROW()&lt;9,"",IF(OR(L221="",L216=""),"",IF(L216=0,"",(L221/L216)-1)))</f>
        <v/>
      </c>
      <c r="V221" s="24">
        <f>IF(ROW()&lt;7,"",IF(OR(N221="",N218=""),"",IF(N218=0,"",(N221/N218)-1)))</f>
        <v/>
      </c>
      <c r="W221" s="24">
        <f>IF(ROW()&lt;9,"",IF(OR(N221="",N216=""),"",IF(N216=0,"",(N221/N216)-1)))</f>
        <v/>
      </c>
      <c r="X221" s="24">
        <f>IF(OR(F221="",M221=""),"",F221-M221)</f>
        <v/>
      </c>
      <c r="Y221" s="24">
        <f>IF(OR(P221="",T221=""),"",P221-T221)</f>
        <v/>
      </c>
      <c r="Z221" s="24">
        <f>IF(OR(Q221="",U221=""),"",Q221-U221)</f>
        <v/>
      </c>
      <c r="AA221" s="24">
        <f>IF(OR(H221="",O221=""),"",H221-O221)</f>
        <v/>
      </c>
      <c r="AB221" s="24">
        <f>IF(OR(R221="",V221=""),"",R221-V221)</f>
        <v/>
      </c>
      <c r="AC221" s="24">
        <f>IF(OR(S221="",W221=""),"",S221-W221)</f>
        <v/>
      </c>
      <c r="AD221" s="13" t="n"/>
      <c r="AE221" s="24">
        <f>IF(OR(AD221="",AD220=""),"",IF(AD220=0,"",(AD221/AD220)-1))</f>
        <v/>
      </c>
      <c r="AF221" s="24">
        <f>IF(ROW()&lt;7,"",IF(OR(AD221="",AD218=""),"",IF(AD218=0,"",(AD221/AD218)-1)))</f>
        <v/>
      </c>
      <c r="AG221" s="24">
        <f>IF(ROW()&lt;9,"",IF(OR(AD221="",AD216=""),"",IF(AD216=0,"",(AD221/AD216)-1)))</f>
        <v/>
      </c>
      <c r="AH221" s="13">
        <f>IF(ROW()&lt;23,"",AVERAGE(AD202:AD221))</f>
        <v/>
      </c>
      <c r="AI221">
        <f>IF(OR(AD221="",AH221=""),"",IF(AD221&gt;AH221,"Bull","Bear"))</f>
        <v/>
      </c>
      <c r="AJ221" s="13" t="n"/>
      <c r="AK221" s="24">
        <f>IF(OR(AJ221="",AJ220=""),"",IF(AJ220=0,"",(AJ221/AJ220)-1))</f>
        <v/>
      </c>
      <c r="AL221" s="24">
        <f>IF(ROW()&lt;7,"",IF(OR(AJ221="",AJ218=""),"",IF(AJ218=0,"",(AJ221/AJ218)-1)))</f>
        <v/>
      </c>
      <c r="AM221" s="24">
        <f>IF(ROW()&lt;9,"",IF(OR(AJ221="",AJ216=""),"",IF(AJ216=0,"",(AJ221/AJ216)-1)))</f>
        <v/>
      </c>
      <c r="AN221" s="13">
        <f>IF(ROW()&lt;23,"",AVERAGE(AJ202:AJ221))</f>
        <v/>
      </c>
      <c r="AO221">
        <f>IF(OR(AJ221="",AN221=""),"",IF(AJ221&gt;AN221,"Bull","Bear"))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8">
        <f>IFERROR((M222/M221)-1,"")</f>
        <v/>
      </c>
      <c r="O222" s="24">
        <f>IF(OR(N222="",N221=""),"",IF(N221=0,"",(N222/N221)-1))</f>
        <v/>
      </c>
      <c r="P222" s="11">
        <f>IF(ROW()&lt;7,"",IF(OR(E222="",E219=""),"",IF(E219=0,"",(E222/E219)-1)))</f>
        <v/>
      </c>
      <c r="Q222" s="24">
        <f>IF(ROW()&lt;9,"",IF(OR(E222="",E217=""),"",IF(E217=0,"",(E222/E217)-1)))</f>
        <v/>
      </c>
      <c r="R222" s="24">
        <f>IF(ROW()&lt;7,"",IF(OR(G222="",G219=""),"",IF(G219=0,"",(G222/G219)-1)))</f>
        <v/>
      </c>
      <c r="S222" s="24">
        <f>IF(ROW()&lt;9,"",IF(OR(G222="",G217=""),"",IF(G217=0,"",(G222/G217)-1)))</f>
        <v/>
      </c>
      <c r="T222" s="24">
        <f>IF(ROW()&lt;7,"",IF(OR(L222="",L219=""),"",IF(L219=0,"",(L222/L219)-1)))</f>
        <v/>
      </c>
      <c r="U222" s="24">
        <f>IF(ROW()&lt;9,"",IF(OR(L222="",L217=""),"",IF(L217=0,"",(L222/L217)-1)))</f>
        <v/>
      </c>
      <c r="V222" s="24">
        <f>IF(ROW()&lt;7,"",IF(OR(N222="",N219=""),"",IF(N219=0,"",(N222/N219)-1)))</f>
        <v/>
      </c>
      <c r="W222" s="24">
        <f>IF(ROW()&lt;9,"",IF(OR(N222="",N217=""),"",IF(N217=0,"",(N222/N217)-1)))</f>
        <v/>
      </c>
      <c r="X222" s="24">
        <f>IF(OR(F222="",M222=""),"",F222-M222)</f>
        <v/>
      </c>
      <c r="Y222" s="24">
        <f>IF(OR(P222="",T222=""),"",P222-T222)</f>
        <v/>
      </c>
      <c r="Z222" s="24">
        <f>IF(OR(Q222="",U222=""),"",Q222-U222)</f>
        <v/>
      </c>
      <c r="AA222" s="24">
        <f>IF(OR(H222="",O222=""),"",H222-O222)</f>
        <v/>
      </c>
      <c r="AB222" s="24">
        <f>IF(OR(R222="",V222=""),"",R222-V222)</f>
        <v/>
      </c>
      <c r="AC222" s="24">
        <f>IF(OR(S222="",W222=""),"",S222-W222)</f>
        <v/>
      </c>
      <c r="AD222" s="13" t="n"/>
      <c r="AE222" s="24">
        <f>IF(OR(AD222="",AD221=""),"",IF(AD221=0,"",(AD222/AD221)-1))</f>
        <v/>
      </c>
      <c r="AF222" s="24">
        <f>IF(ROW()&lt;7,"",IF(OR(AD222="",AD219=""),"",IF(AD219=0,"",(AD222/AD219)-1)))</f>
        <v/>
      </c>
      <c r="AG222" s="24">
        <f>IF(ROW()&lt;9,"",IF(OR(AD222="",AD217=""),"",IF(AD217=0,"",(AD222/AD217)-1)))</f>
        <v/>
      </c>
      <c r="AH222" s="13">
        <f>IF(ROW()&lt;23,"",AVERAGE(AD203:AD222))</f>
        <v/>
      </c>
      <c r="AI222">
        <f>IF(OR(AD222="",AH222=""),"",IF(AD222&gt;AH222,"Bull","Bear"))</f>
        <v/>
      </c>
      <c r="AJ222" s="13" t="n"/>
      <c r="AK222" s="24">
        <f>IF(OR(AJ222="",AJ221=""),"",IF(AJ221=0,"",(AJ222/AJ221)-1))</f>
        <v/>
      </c>
      <c r="AL222" s="24">
        <f>IF(ROW()&lt;7,"",IF(OR(AJ222="",AJ219=""),"",IF(AJ219=0,"",(AJ222/AJ219)-1)))</f>
        <v/>
      </c>
      <c r="AM222" s="24">
        <f>IF(ROW()&lt;9,"",IF(OR(AJ222="",AJ217=""),"",IF(AJ217=0,"",(AJ222/AJ217)-1)))</f>
        <v/>
      </c>
      <c r="AN222" s="13">
        <f>IF(ROW()&lt;23,"",AVERAGE(AJ203:AJ222))</f>
        <v/>
      </c>
      <c r="AO222">
        <f>IF(OR(AJ222="",AN222=""),"",IF(AJ222&gt;AN222,"Bull","Bear"))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8">
        <f>IFERROR((M223/M222)-1,"")</f>
        <v/>
      </c>
      <c r="O223" s="24">
        <f>IF(OR(N223="",N222=""),"",IF(N222=0,"",(N223/N222)-1))</f>
        <v/>
      </c>
      <c r="P223" s="11">
        <f>IF(ROW()&lt;7,"",IF(OR(E223="",E220=""),"",IF(E220=0,"",(E223/E220)-1)))</f>
        <v/>
      </c>
      <c r="Q223" s="24">
        <f>IF(ROW()&lt;9,"",IF(OR(E223="",E218=""),"",IF(E218=0,"",(E223/E218)-1)))</f>
        <v/>
      </c>
      <c r="R223" s="24">
        <f>IF(ROW()&lt;7,"",IF(OR(G223="",G220=""),"",IF(G220=0,"",(G223/G220)-1)))</f>
        <v/>
      </c>
      <c r="S223" s="24">
        <f>IF(ROW()&lt;9,"",IF(OR(G223="",G218=""),"",IF(G218=0,"",(G223/G218)-1)))</f>
        <v/>
      </c>
      <c r="T223" s="24">
        <f>IF(ROW()&lt;7,"",IF(OR(L223="",L220=""),"",IF(L220=0,"",(L223/L220)-1)))</f>
        <v/>
      </c>
      <c r="U223" s="24">
        <f>IF(ROW()&lt;9,"",IF(OR(L223="",L218=""),"",IF(L218=0,"",(L223/L218)-1)))</f>
        <v/>
      </c>
      <c r="V223" s="24">
        <f>IF(ROW()&lt;7,"",IF(OR(N223="",N220=""),"",IF(N220=0,"",(N223/N220)-1)))</f>
        <v/>
      </c>
      <c r="W223" s="24">
        <f>IF(ROW()&lt;9,"",IF(OR(N223="",N218=""),"",IF(N218=0,"",(N223/N218)-1)))</f>
        <v/>
      </c>
      <c r="X223" s="24">
        <f>IF(OR(F223="",M223=""),"",F223-M223)</f>
        <v/>
      </c>
      <c r="Y223" s="24">
        <f>IF(OR(P223="",T223=""),"",P223-T223)</f>
        <v/>
      </c>
      <c r="Z223" s="24">
        <f>IF(OR(Q223="",U223=""),"",Q223-U223)</f>
        <v/>
      </c>
      <c r="AA223" s="24">
        <f>IF(OR(H223="",O223=""),"",H223-O223)</f>
        <v/>
      </c>
      <c r="AB223" s="24">
        <f>IF(OR(R223="",V223=""),"",R223-V223)</f>
        <v/>
      </c>
      <c r="AC223" s="24">
        <f>IF(OR(S223="",W223=""),"",S223-W223)</f>
        <v/>
      </c>
      <c r="AD223" s="13" t="n"/>
      <c r="AE223" s="24">
        <f>IF(OR(AD223="",AD222=""),"",IF(AD222=0,"",(AD223/AD222)-1))</f>
        <v/>
      </c>
      <c r="AF223" s="24">
        <f>IF(ROW()&lt;7,"",IF(OR(AD223="",AD220=""),"",IF(AD220=0,"",(AD223/AD220)-1)))</f>
        <v/>
      </c>
      <c r="AG223" s="24">
        <f>IF(ROW()&lt;9,"",IF(OR(AD223="",AD218=""),"",IF(AD218=0,"",(AD223/AD218)-1)))</f>
        <v/>
      </c>
      <c r="AH223" s="13">
        <f>IF(ROW()&lt;23,"",AVERAGE(AD204:AD223))</f>
        <v/>
      </c>
      <c r="AI223">
        <f>IF(OR(AD223="",AH223=""),"",IF(AD223&gt;AH223,"Bull","Bear"))</f>
        <v/>
      </c>
      <c r="AJ223" s="13" t="n"/>
      <c r="AK223" s="24">
        <f>IF(OR(AJ223="",AJ222=""),"",IF(AJ222=0,"",(AJ223/AJ222)-1))</f>
        <v/>
      </c>
      <c r="AL223" s="24">
        <f>IF(ROW()&lt;7,"",IF(OR(AJ223="",AJ220=""),"",IF(AJ220=0,"",(AJ223/AJ220)-1)))</f>
        <v/>
      </c>
      <c r="AM223" s="24">
        <f>IF(ROW()&lt;9,"",IF(OR(AJ223="",AJ218=""),"",IF(AJ218=0,"",(AJ223/AJ218)-1)))</f>
        <v/>
      </c>
      <c r="AN223" s="13">
        <f>IF(ROW()&lt;23,"",AVERAGE(AJ204:AJ223))</f>
        <v/>
      </c>
      <c r="AO223">
        <f>IF(OR(AJ223="",AN223=""),"",IF(AJ223&gt;AN223,"Bull","Bear"))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8">
        <f>IFERROR((M224/M223)-1,"")</f>
        <v/>
      </c>
      <c r="O224" s="24">
        <f>IF(OR(N224="",N223=""),"",IF(N223=0,"",(N224/N223)-1))</f>
        <v/>
      </c>
      <c r="P224" s="11">
        <f>IF(ROW()&lt;7,"",IF(OR(E224="",E221=""),"",IF(E221=0,"",(E224/E221)-1)))</f>
        <v/>
      </c>
      <c r="Q224" s="24">
        <f>IF(ROW()&lt;9,"",IF(OR(E224="",E219=""),"",IF(E219=0,"",(E224/E219)-1)))</f>
        <v/>
      </c>
      <c r="R224" s="24">
        <f>IF(ROW()&lt;7,"",IF(OR(G224="",G221=""),"",IF(G221=0,"",(G224/G221)-1)))</f>
        <v/>
      </c>
      <c r="S224" s="24">
        <f>IF(ROW()&lt;9,"",IF(OR(G224="",G219=""),"",IF(G219=0,"",(G224/G219)-1)))</f>
        <v/>
      </c>
      <c r="T224" s="24">
        <f>IF(ROW()&lt;7,"",IF(OR(L224="",L221=""),"",IF(L221=0,"",(L224/L221)-1)))</f>
        <v/>
      </c>
      <c r="U224" s="24">
        <f>IF(ROW()&lt;9,"",IF(OR(L224="",L219=""),"",IF(L219=0,"",(L224/L219)-1)))</f>
        <v/>
      </c>
      <c r="V224" s="24">
        <f>IF(ROW()&lt;7,"",IF(OR(N224="",N221=""),"",IF(N221=0,"",(N224/N221)-1)))</f>
        <v/>
      </c>
      <c r="W224" s="24">
        <f>IF(ROW()&lt;9,"",IF(OR(N224="",N219=""),"",IF(N219=0,"",(N224/N219)-1)))</f>
        <v/>
      </c>
      <c r="X224" s="24">
        <f>IF(OR(F224="",M224=""),"",F224-M224)</f>
        <v/>
      </c>
      <c r="Y224" s="24">
        <f>IF(OR(P224="",T224=""),"",P224-T224)</f>
        <v/>
      </c>
      <c r="Z224" s="24">
        <f>IF(OR(Q224="",U224=""),"",Q224-U224)</f>
        <v/>
      </c>
      <c r="AA224" s="24">
        <f>IF(OR(H224="",O224=""),"",H224-O224)</f>
        <v/>
      </c>
      <c r="AB224" s="24">
        <f>IF(OR(R224="",V224=""),"",R224-V224)</f>
        <v/>
      </c>
      <c r="AC224" s="24">
        <f>IF(OR(S224="",W224=""),"",S224-W224)</f>
        <v/>
      </c>
      <c r="AD224" s="13" t="n"/>
      <c r="AE224" s="24">
        <f>IF(OR(AD224="",AD223=""),"",IF(AD223=0,"",(AD224/AD223)-1))</f>
        <v/>
      </c>
      <c r="AF224" s="24">
        <f>IF(ROW()&lt;7,"",IF(OR(AD224="",AD221=""),"",IF(AD221=0,"",(AD224/AD221)-1)))</f>
        <v/>
      </c>
      <c r="AG224" s="24">
        <f>IF(ROW()&lt;9,"",IF(OR(AD224="",AD219=""),"",IF(AD219=0,"",(AD224/AD219)-1)))</f>
        <v/>
      </c>
      <c r="AH224" s="13">
        <f>IF(ROW()&lt;23,"",AVERAGE(AD205:AD224))</f>
        <v/>
      </c>
      <c r="AI224">
        <f>IF(OR(AD224="",AH224=""),"",IF(AD224&gt;AH224,"Bull","Bear"))</f>
        <v/>
      </c>
      <c r="AJ224" s="13" t="n"/>
      <c r="AK224" s="24">
        <f>IF(OR(AJ224="",AJ223=""),"",IF(AJ223=0,"",(AJ224/AJ223)-1))</f>
        <v/>
      </c>
      <c r="AL224" s="24">
        <f>IF(ROW()&lt;7,"",IF(OR(AJ224="",AJ221=""),"",IF(AJ221=0,"",(AJ224/AJ221)-1)))</f>
        <v/>
      </c>
      <c r="AM224" s="24">
        <f>IF(ROW()&lt;9,"",IF(OR(AJ224="",AJ219=""),"",IF(AJ219=0,"",(AJ224/AJ219)-1)))</f>
        <v/>
      </c>
      <c r="AN224" s="13">
        <f>IF(ROW()&lt;23,"",AVERAGE(AJ205:AJ224))</f>
        <v/>
      </c>
      <c r="AO224">
        <f>IF(OR(AJ224="",AN224=""),"",IF(AJ224&gt;AN224,"Bull","Bear"))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8">
        <f>IFERROR((M225/M224)-1,"")</f>
        <v/>
      </c>
      <c r="O225" s="24">
        <f>IF(OR(N225="",N224=""),"",IF(N224=0,"",(N225/N224)-1))</f>
        <v/>
      </c>
      <c r="P225" s="11">
        <f>IF(ROW()&lt;7,"",IF(OR(E225="",E222=""),"",IF(E222=0,"",(E225/E222)-1)))</f>
        <v/>
      </c>
      <c r="Q225" s="24">
        <f>IF(ROW()&lt;9,"",IF(OR(E225="",E220=""),"",IF(E220=0,"",(E225/E220)-1)))</f>
        <v/>
      </c>
      <c r="R225" s="24">
        <f>IF(ROW()&lt;7,"",IF(OR(G225="",G222=""),"",IF(G222=0,"",(G225/G222)-1)))</f>
        <v/>
      </c>
      <c r="S225" s="24">
        <f>IF(ROW()&lt;9,"",IF(OR(G225="",G220=""),"",IF(G220=0,"",(G225/G220)-1)))</f>
        <v/>
      </c>
      <c r="T225" s="24">
        <f>IF(ROW()&lt;7,"",IF(OR(L225="",L222=""),"",IF(L222=0,"",(L225/L222)-1)))</f>
        <v/>
      </c>
      <c r="U225" s="24">
        <f>IF(ROW()&lt;9,"",IF(OR(L225="",L220=""),"",IF(L220=0,"",(L225/L220)-1)))</f>
        <v/>
      </c>
      <c r="V225" s="24">
        <f>IF(ROW()&lt;7,"",IF(OR(N225="",N222=""),"",IF(N222=0,"",(N225/N222)-1)))</f>
        <v/>
      </c>
      <c r="W225" s="24">
        <f>IF(ROW()&lt;9,"",IF(OR(N225="",N220=""),"",IF(N220=0,"",(N225/N220)-1)))</f>
        <v/>
      </c>
      <c r="X225" s="24">
        <f>IF(OR(F225="",M225=""),"",F225-M225)</f>
        <v/>
      </c>
      <c r="Y225" s="24">
        <f>IF(OR(P225="",T225=""),"",P225-T225)</f>
        <v/>
      </c>
      <c r="Z225" s="24">
        <f>IF(OR(Q225="",U225=""),"",Q225-U225)</f>
        <v/>
      </c>
      <c r="AA225" s="24">
        <f>IF(OR(H225="",O225=""),"",H225-O225)</f>
        <v/>
      </c>
      <c r="AB225" s="24">
        <f>IF(OR(R225="",V225=""),"",R225-V225)</f>
        <v/>
      </c>
      <c r="AC225" s="24">
        <f>IF(OR(S225="",W225=""),"",S225-W225)</f>
        <v/>
      </c>
      <c r="AD225" s="13" t="n"/>
      <c r="AE225" s="24">
        <f>IF(OR(AD225="",AD224=""),"",IF(AD224=0,"",(AD225/AD224)-1))</f>
        <v/>
      </c>
      <c r="AF225" s="24">
        <f>IF(ROW()&lt;7,"",IF(OR(AD225="",AD222=""),"",IF(AD222=0,"",(AD225/AD222)-1)))</f>
        <v/>
      </c>
      <c r="AG225" s="24">
        <f>IF(ROW()&lt;9,"",IF(OR(AD225="",AD220=""),"",IF(AD220=0,"",(AD225/AD220)-1)))</f>
        <v/>
      </c>
      <c r="AH225" s="13">
        <f>IF(ROW()&lt;23,"",AVERAGE(AD206:AD225))</f>
        <v/>
      </c>
      <c r="AI225">
        <f>IF(OR(AD225="",AH225=""),"",IF(AD225&gt;AH225,"Bull","Bear"))</f>
        <v/>
      </c>
      <c r="AJ225" s="13" t="n"/>
      <c r="AK225" s="24">
        <f>IF(OR(AJ225="",AJ224=""),"",IF(AJ224=0,"",(AJ225/AJ224)-1))</f>
        <v/>
      </c>
      <c r="AL225" s="24">
        <f>IF(ROW()&lt;7,"",IF(OR(AJ225="",AJ222=""),"",IF(AJ222=0,"",(AJ225/AJ222)-1)))</f>
        <v/>
      </c>
      <c r="AM225" s="24">
        <f>IF(ROW()&lt;9,"",IF(OR(AJ225="",AJ220=""),"",IF(AJ220=0,"",(AJ225/AJ220)-1)))</f>
        <v/>
      </c>
      <c r="AN225" s="13">
        <f>IF(ROW()&lt;23,"",AVERAGE(AJ206:AJ225))</f>
        <v/>
      </c>
      <c r="AO225">
        <f>IF(OR(AJ225="",AN225=""),"",IF(AJ225&gt;AN225,"Bull","Bear"))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8">
        <f>IFERROR((M226/M225)-1,"")</f>
        <v/>
      </c>
      <c r="O226" s="24">
        <f>IF(OR(N226="",N225=""),"",IF(N225=0,"",(N226/N225)-1))</f>
        <v/>
      </c>
      <c r="P226" s="11">
        <f>IF(ROW()&lt;7,"",IF(OR(E226="",E223=""),"",IF(E223=0,"",(E226/E223)-1)))</f>
        <v/>
      </c>
      <c r="Q226" s="24">
        <f>IF(ROW()&lt;9,"",IF(OR(E226="",E221=""),"",IF(E221=0,"",(E226/E221)-1)))</f>
        <v/>
      </c>
      <c r="R226" s="24">
        <f>IF(ROW()&lt;7,"",IF(OR(G226="",G223=""),"",IF(G223=0,"",(G226/G223)-1)))</f>
        <v/>
      </c>
      <c r="S226" s="24">
        <f>IF(ROW()&lt;9,"",IF(OR(G226="",G221=""),"",IF(G221=0,"",(G226/G221)-1)))</f>
        <v/>
      </c>
      <c r="T226" s="24">
        <f>IF(ROW()&lt;7,"",IF(OR(L226="",L223=""),"",IF(L223=0,"",(L226/L223)-1)))</f>
        <v/>
      </c>
      <c r="U226" s="24">
        <f>IF(ROW()&lt;9,"",IF(OR(L226="",L221=""),"",IF(L221=0,"",(L226/L221)-1)))</f>
        <v/>
      </c>
      <c r="V226" s="24">
        <f>IF(ROW()&lt;7,"",IF(OR(N226="",N223=""),"",IF(N223=0,"",(N226/N223)-1)))</f>
        <v/>
      </c>
      <c r="W226" s="24">
        <f>IF(ROW()&lt;9,"",IF(OR(N226="",N221=""),"",IF(N221=0,"",(N226/N221)-1)))</f>
        <v/>
      </c>
      <c r="X226" s="24">
        <f>IF(OR(F226="",M226=""),"",F226-M226)</f>
        <v/>
      </c>
      <c r="Y226" s="24">
        <f>IF(OR(P226="",T226=""),"",P226-T226)</f>
        <v/>
      </c>
      <c r="Z226" s="24">
        <f>IF(OR(Q226="",U226=""),"",Q226-U226)</f>
        <v/>
      </c>
      <c r="AA226" s="24">
        <f>IF(OR(H226="",O226=""),"",H226-O226)</f>
        <v/>
      </c>
      <c r="AB226" s="24">
        <f>IF(OR(R226="",V226=""),"",R226-V226)</f>
        <v/>
      </c>
      <c r="AC226" s="24">
        <f>IF(OR(S226="",W226=""),"",S226-W226)</f>
        <v/>
      </c>
      <c r="AD226" s="13" t="n"/>
      <c r="AE226" s="24">
        <f>IF(OR(AD226="",AD225=""),"",IF(AD225=0,"",(AD226/AD225)-1))</f>
        <v/>
      </c>
      <c r="AF226" s="24">
        <f>IF(ROW()&lt;7,"",IF(OR(AD226="",AD223=""),"",IF(AD223=0,"",(AD226/AD223)-1)))</f>
        <v/>
      </c>
      <c r="AG226" s="24">
        <f>IF(ROW()&lt;9,"",IF(OR(AD226="",AD221=""),"",IF(AD221=0,"",(AD226/AD221)-1)))</f>
        <v/>
      </c>
      <c r="AH226" s="13">
        <f>IF(ROW()&lt;23,"",AVERAGE(AD207:AD226))</f>
        <v/>
      </c>
      <c r="AI226">
        <f>IF(OR(AD226="",AH226=""),"",IF(AD226&gt;AH226,"Bull","Bear"))</f>
        <v/>
      </c>
      <c r="AJ226" s="13" t="n"/>
      <c r="AK226" s="24">
        <f>IF(OR(AJ226="",AJ225=""),"",IF(AJ225=0,"",(AJ226/AJ225)-1))</f>
        <v/>
      </c>
      <c r="AL226" s="24">
        <f>IF(ROW()&lt;7,"",IF(OR(AJ226="",AJ223=""),"",IF(AJ223=0,"",(AJ226/AJ223)-1)))</f>
        <v/>
      </c>
      <c r="AM226" s="24">
        <f>IF(ROW()&lt;9,"",IF(OR(AJ226="",AJ221=""),"",IF(AJ221=0,"",(AJ226/AJ221)-1)))</f>
        <v/>
      </c>
      <c r="AN226" s="13">
        <f>IF(ROW()&lt;23,"",AVERAGE(AJ207:AJ226))</f>
        <v/>
      </c>
      <c r="AO226">
        <f>IF(OR(AJ226="",AN226=""),"",IF(AJ226&gt;AN226,"Bull","Bear"))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8">
        <f>IFERROR((M227/M226)-1,"")</f>
        <v/>
      </c>
      <c r="O227" s="24">
        <f>IF(OR(N227="",N226=""),"",IF(N226=0,"",(N227/N226)-1))</f>
        <v/>
      </c>
      <c r="P227" s="11">
        <f>IF(ROW()&lt;7,"",IF(OR(E227="",E224=""),"",IF(E224=0,"",(E227/E224)-1)))</f>
        <v/>
      </c>
      <c r="Q227" s="24">
        <f>IF(ROW()&lt;9,"",IF(OR(E227="",E222=""),"",IF(E222=0,"",(E227/E222)-1)))</f>
        <v/>
      </c>
      <c r="R227" s="24">
        <f>IF(ROW()&lt;7,"",IF(OR(G227="",G224=""),"",IF(G224=0,"",(G227/G224)-1)))</f>
        <v/>
      </c>
      <c r="S227" s="24">
        <f>IF(ROW()&lt;9,"",IF(OR(G227="",G222=""),"",IF(G222=0,"",(G227/G222)-1)))</f>
        <v/>
      </c>
      <c r="T227" s="24">
        <f>IF(ROW()&lt;7,"",IF(OR(L227="",L224=""),"",IF(L224=0,"",(L227/L224)-1)))</f>
        <v/>
      </c>
      <c r="U227" s="24">
        <f>IF(ROW()&lt;9,"",IF(OR(L227="",L222=""),"",IF(L222=0,"",(L227/L222)-1)))</f>
        <v/>
      </c>
      <c r="V227" s="24">
        <f>IF(ROW()&lt;7,"",IF(OR(N227="",N224=""),"",IF(N224=0,"",(N227/N224)-1)))</f>
        <v/>
      </c>
      <c r="W227" s="24">
        <f>IF(ROW()&lt;9,"",IF(OR(N227="",N222=""),"",IF(N222=0,"",(N227/N222)-1)))</f>
        <v/>
      </c>
      <c r="X227" s="24">
        <f>IF(OR(F227="",M227=""),"",F227-M227)</f>
        <v/>
      </c>
      <c r="Y227" s="24">
        <f>IF(OR(P227="",T227=""),"",P227-T227)</f>
        <v/>
      </c>
      <c r="Z227" s="24">
        <f>IF(OR(Q227="",U227=""),"",Q227-U227)</f>
        <v/>
      </c>
      <c r="AA227" s="24">
        <f>IF(OR(H227="",O227=""),"",H227-O227)</f>
        <v/>
      </c>
      <c r="AB227" s="24">
        <f>IF(OR(R227="",V227=""),"",R227-V227)</f>
        <v/>
      </c>
      <c r="AC227" s="24">
        <f>IF(OR(S227="",W227=""),"",S227-W227)</f>
        <v/>
      </c>
      <c r="AD227" s="13" t="n"/>
      <c r="AE227" s="24">
        <f>IF(OR(AD227="",AD226=""),"",IF(AD226=0,"",(AD227/AD226)-1))</f>
        <v/>
      </c>
      <c r="AF227" s="24">
        <f>IF(ROW()&lt;7,"",IF(OR(AD227="",AD224=""),"",IF(AD224=0,"",(AD227/AD224)-1)))</f>
        <v/>
      </c>
      <c r="AG227" s="24">
        <f>IF(ROW()&lt;9,"",IF(OR(AD227="",AD222=""),"",IF(AD222=0,"",(AD227/AD222)-1)))</f>
        <v/>
      </c>
      <c r="AH227" s="13">
        <f>IF(ROW()&lt;23,"",AVERAGE(AD208:AD227))</f>
        <v/>
      </c>
      <c r="AI227">
        <f>IF(OR(AD227="",AH227=""),"",IF(AD227&gt;AH227,"Bull","Bear"))</f>
        <v/>
      </c>
      <c r="AJ227" s="13" t="n"/>
      <c r="AK227" s="24">
        <f>IF(OR(AJ227="",AJ226=""),"",IF(AJ226=0,"",(AJ227/AJ226)-1))</f>
        <v/>
      </c>
      <c r="AL227" s="24">
        <f>IF(ROW()&lt;7,"",IF(OR(AJ227="",AJ224=""),"",IF(AJ224=0,"",(AJ227/AJ224)-1)))</f>
        <v/>
      </c>
      <c r="AM227" s="24">
        <f>IF(ROW()&lt;9,"",IF(OR(AJ227="",AJ222=""),"",IF(AJ222=0,"",(AJ227/AJ222)-1)))</f>
        <v/>
      </c>
      <c r="AN227" s="13">
        <f>IF(ROW()&lt;23,"",AVERAGE(AJ208:AJ227))</f>
        <v/>
      </c>
      <c r="AO227">
        <f>IF(OR(AJ227="",AN227=""),"",IF(AJ227&gt;AN227,"Bull","Bear"))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8">
        <f>IFERROR((M228/M227)-1,"")</f>
        <v/>
      </c>
      <c r="O228" s="24">
        <f>IF(OR(N228="",N227=""),"",IF(N227=0,"",(N228/N227)-1))</f>
        <v/>
      </c>
      <c r="P228" s="11">
        <f>IF(ROW()&lt;7,"",IF(OR(E228="",E225=""),"",IF(E225=0,"",(E228/E225)-1)))</f>
        <v/>
      </c>
      <c r="Q228" s="24">
        <f>IF(ROW()&lt;9,"",IF(OR(E228="",E223=""),"",IF(E223=0,"",(E228/E223)-1)))</f>
        <v/>
      </c>
      <c r="R228" s="24">
        <f>IF(ROW()&lt;7,"",IF(OR(G228="",G225=""),"",IF(G225=0,"",(G228/G225)-1)))</f>
        <v/>
      </c>
      <c r="S228" s="24">
        <f>IF(ROW()&lt;9,"",IF(OR(G228="",G223=""),"",IF(G223=0,"",(G228/G223)-1)))</f>
        <v/>
      </c>
      <c r="T228" s="24">
        <f>IF(ROW()&lt;7,"",IF(OR(L228="",L225=""),"",IF(L225=0,"",(L228/L225)-1)))</f>
        <v/>
      </c>
      <c r="U228" s="24">
        <f>IF(ROW()&lt;9,"",IF(OR(L228="",L223=""),"",IF(L223=0,"",(L228/L223)-1)))</f>
        <v/>
      </c>
      <c r="V228" s="24">
        <f>IF(ROW()&lt;7,"",IF(OR(N228="",N225=""),"",IF(N225=0,"",(N228/N225)-1)))</f>
        <v/>
      </c>
      <c r="W228" s="24">
        <f>IF(ROW()&lt;9,"",IF(OR(N228="",N223=""),"",IF(N223=0,"",(N228/N223)-1)))</f>
        <v/>
      </c>
      <c r="X228" s="24">
        <f>IF(OR(F228="",M228=""),"",F228-M228)</f>
        <v/>
      </c>
      <c r="Y228" s="24">
        <f>IF(OR(P228="",T228=""),"",P228-T228)</f>
        <v/>
      </c>
      <c r="Z228" s="24">
        <f>IF(OR(Q228="",U228=""),"",Q228-U228)</f>
        <v/>
      </c>
      <c r="AA228" s="24">
        <f>IF(OR(H228="",O228=""),"",H228-O228)</f>
        <v/>
      </c>
      <c r="AB228" s="24">
        <f>IF(OR(R228="",V228=""),"",R228-V228)</f>
        <v/>
      </c>
      <c r="AC228" s="24">
        <f>IF(OR(S228="",W228=""),"",S228-W228)</f>
        <v/>
      </c>
      <c r="AD228" s="13" t="n"/>
      <c r="AE228" s="24">
        <f>IF(OR(AD228="",AD227=""),"",IF(AD227=0,"",(AD228/AD227)-1))</f>
        <v/>
      </c>
      <c r="AF228" s="24">
        <f>IF(ROW()&lt;7,"",IF(OR(AD228="",AD225=""),"",IF(AD225=0,"",(AD228/AD225)-1)))</f>
        <v/>
      </c>
      <c r="AG228" s="24">
        <f>IF(ROW()&lt;9,"",IF(OR(AD228="",AD223=""),"",IF(AD223=0,"",(AD228/AD223)-1)))</f>
        <v/>
      </c>
      <c r="AH228" s="13">
        <f>IF(ROW()&lt;23,"",AVERAGE(AD209:AD228))</f>
        <v/>
      </c>
      <c r="AI228">
        <f>IF(OR(AD228="",AH228=""),"",IF(AD228&gt;AH228,"Bull","Bear"))</f>
        <v/>
      </c>
      <c r="AJ228" s="13" t="n"/>
      <c r="AK228" s="24">
        <f>IF(OR(AJ228="",AJ227=""),"",IF(AJ227=0,"",(AJ228/AJ227)-1))</f>
        <v/>
      </c>
      <c r="AL228" s="24">
        <f>IF(ROW()&lt;7,"",IF(OR(AJ228="",AJ225=""),"",IF(AJ225=0,"",(AJ228/AJ225)-1)))</f>
        <v/>
      </c>
      <c r="AM228" s="24">
        <f>IF(ROW()&lt;9,"",IF(OR(AJ228="",AJ223=""),"",IF(AJ223=0,"",(AJ228/AJ223)-1)))</f>
        <v/>
      </c>
      <c r="AN228" s="13">
        <f>IF(ROW()&lt;23,"",AVERAGE(AJ209:AJ228))</f>
        <v/>
      </c>
      <c r="AO228">
        <f>IF(OR(AJ228="",AN228=""),"",IF(AJ228&gt;AN228,"Bull","Bear"))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8">
        <f>IFERROR((M229/M228)-1,"")</f>
        <v/>
      </c>
      <c r="O229" s="24">
        <f>IF(OR(N229="",N228=""),"",IF(N228=0,"",(N229/N228)-1))</f>
        <v/>
      </c>
      <c r="P229" s="11">
        <f>IF(ROW()&lt;7,"",IF(OR(E229="",E226=""),"",IF(E226=0,"",(E229/E226)-1)))</f>
        <v/>
      </c>
      <c r="Q229" s="24">
        <f>IF(ROW()&lt;9,"",IF(OR(E229="",E224=""),"",IF(E224=0,"",(E229/E224)-1)))</f>
        <v/>
      </c>
      <c r="R229" s="24">
        <f>IF(ROW()&lt;7,"",IF(OR(G229="",G226=""),"",IF(G226=0,"",(G229/G226)-1)))</f>
        <v/>
      </c>
      <c r="S229" s="24">
        <f>IF(ROW()&lt;9,"",IF(OR(G229="",G224=""),"",IF(G224=0,"",(G229/G224)-1)))</f>
        <v/>
      </c>
      <c r="T229" s="24">
        <f>IF(ROW()&lt;7,"",IF(OR(L229="",L226=""),"",IF(L226=0,"",(L229/L226)-1)))</f>
        <v/>
      </c>
      <c r="U229" s="24">
        <f>IF(ROW()&lt;9,"",IF(OR(L229="",L224=""),"",IF(L224=0,"",(L229/L224)-1)))</f>
        <v/>
      </c>
      <c r="V229" s="24">
        <f>IF(ROW()&lt;7,"",IF(OR(N229="",N226=""),"",IF(N226=0,"",(N229/N226)-1)))</f>
        <v/>
      </c>
      <c r="W229" s="24">
        <f>IF(ROW()&lt;9,"",IF(OR(N229="",N224=""),"",IF(N224=0,"",(N229/N224)-1)))</f>
        <v/>
      </c>
      <c r="X229" s="24">
        <f>IF(OR(F229="",M229=""),"",F229-M229)</f>
        <v/>
      </c>
      <c r="Y229" s="24">
        <f>IF(OR(P229="",T229=""),"",P229-T229)</f>
        <v/>
      </c>
      <c r="Z229" s="24">
        <f>IF(OR(Q229="",U229=""),"",Q229-U229)</f>
        <v/>
      </c>
      <c r="AA229" s="24">
        <f>IF(OR(H229="",O229=""),"",H229-O229)</f>
        <v/>
      </c>
      <c r="AB229" s="24">
        <f>IF(OR(R229="",V229=""),"",R229-V229)</f>
        <v/>
      </c>
      <c r="AC229" s="24">
        <f>IF(OR(S229="",W229=""),"",S229-W229)</f>
        <v/>
      </c>
      <c r="AD229" s="13" t="n"/>
      <c r="AE229" s="24">
        <f>IF(OR(AD229="",AD228=""),"",IF(AD228=0,"",(AD229/AD228)-1))</f>
        <v/>
      </c>
      <c r="AF229" s="24">
        <f>IF(ROW()&lt;7,"",IF(OR(AD229="",AD226=""),"",IF(AD226=0,"",(AD229/AD226)-1)))</f>
        <v/>
      </c>
      <c r="AG229" s="24">
        <f>IF(ROW()&lt;9,"",IF(OR(AD229="",AD224=""),"",IF(AD224=0,"",(AD229/AD224)-1)))</f>
        <v/>
      </c>
      <c r="AH229" s="13">
        <f>IF(ROW()&lt;23,"",AVERAGE(AD210:AD229))</f>
        <v/>
      </c>
      <c r="AI229">
        <f>IF(OR(AD229="",AH229=""),"",IF(AD229&gt;AH229,"Bull","Bear"))</f>
        <v/>
      </c>
      <c r="AJ229" s="13" t="n"/>
      <c r="AK229" s="24">
        <f>IF(OR(AJ229="",AJ228=""),"",IF(AJ228=0,"",(AJ229/AJ228)-1))</f>
        <v/>
      </c>
      <c r="AL229" s="24">
        <f>IF(ROW()&lt;7,"",IF(OR(AJ229="",AJ226=""),"",IF(AJ226=0,"",(AJ229/AJ226)-1)))</f>
        <v/>
      </c>
      <c r="AM229" s="24">
        <f>IF(ROW()&lt;9,"",IF(OR(AJ229="",AJ224=""),"",IF(AJ224=0,"",(AJ229/AJ224)-1)))</f>
        <v/>
      </c>
      <c r="AN229" s="13">
        <f>IF(ROW()&lt;23,"",AVERAGE(AJ210:AJ229))</f>
        <v/>
      </c>
      <c r="AO229">
        <f>IF(OR(AJ229="",AN229=""),"",IF(AJ229&gt;AN229,"Bull","Bear"))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8">
        <f>IFERROR((M230/M229)-1,"")</f>
        <v/>
      </c>
      <c r="O230" s="24">
        <f>IF(OR(N230="",N229=""),"",IF(N229=0,"",(N230/N229)-1))</f>
        <v/>
      </c>
      <c r="P230" s="11">
        <f>IF(ROW()&lt;7,"",IF(OR(E230="",E227=""),"",IF(E227=0,"",(E230/E227)-1)))</f>
        <v/>
      </c>
      <c r="Q230" s="24">
        <f>IF(ROW()&lt;9,"",IF(OR(E230="",E225=""),"",IF(E225=0,"",(E230/E225)-1)))</f>
        <v/>
      </c>
      <c r="R230" s="24">
        <f>IF(ROW()&lt;7,"",IF(OR(G230="",G227=""),"",IF(G227=0,"",(G230/G227)-1)))</f>
        <v/>
      </c>
      <c r="S230" s="24">
        <f>IF(ROW()&lt;9,"",IF(OR(G230="",G225=""),"",IF(G225=0,"",(G230/G225)-1)))</f>
        <v/>
      </c>
      <c r="T230" s="24">
        <f>IF(ROW()&lt;7,"",IF(OR(L230="",L227=""),"",IF(L227=0,"",(L230/L227)-1)))</f>
        <v/>
      </c>
      <c r="U230" s="24">
        <f>IF(ROW()&lt;9,"",IF(OR(L230="",L225=""),"",IF(L225=0,"",(L230/L225)-1)))</f>
        <v/>
      </c>
      <c r="V230" s="24">
        <f>IF(ROW()&lt;7,"",IF(OR(N230="",N227=""),"",IF(N227=0,"",(N230/N227)-1)))</f>
        <v/>
      </c>
      <c r="W230" s="24">
        <f>IF(ROW()&lt;9,"",IF(OR(N230="",N225=""),"",IF(N225=0,"",(N230/N225)-1)))</f>
        <v/>
      </c>
      <c r="X230" s="24">
        <f>IF(OR(F230="",M230=""),"",F230-M230)</f>
        <v/>
      </c>
      <c r="Y230" s="24">
        <f>IF(OR(P230="",T230=""),"",P230-T230)</f>
        <v/>
      </c>
      <c r="Z230" s="24">
        <f>IF(OR(Q230="",U230=""),"",Q230-U230)</f>
        <v/>
      </c>
      <c r="AA230" s="24">
        <f>IF(OR(H230="",O230=""),"",H230-O230)</f>
        <v/>
      </c>
      <c r="AB230" s="24">
        <f>IF(OR(R230="",V230=""),"",R230-V230)</f>
        <v/>
      </c>
      <c r="AC230" s="24">
        <f>IF(OR(S230="",W230=""),"",S230-W230)</f>
        <v/>
      </c>
      <c r="AD230" s="13" t="n"/>
      <c r="AE230" s="24">
        <f>IF(OR(AD230="",AD229=""),"",IF(AD229=0,"",(AD230/AD229)-1))</f>
        <v/>
      </c>
      <c r="AF230" s="24">
        <f>IF(ROW()&lt;7,"",IF(OR(AD230="",AD227=""),"",IF(AD227=0,"",(AD230/AD227)-1)))</f>
        <v/>
      </c>
      <c r="AG230" s="24">
        <f>IF(ROW()&lt;9,"",IF(OR(AD230="",AD225=""),"",IF(AD225=0,"",(AD230/AD225)-1)))</f>
        <v/>
      </c>
      <c r="AH230" s="13">
        <f>IF(ROW()&lt;23,"",AVERAGE(AD211:AD230))</f>
        <v/>
      </c>
      <c r="AI230">
        <f>IF(OR(AD230="",AH230=""),"",IF(AD230&gt;AH230,"Bull","Bear"))</f>
        <v/>
      </c>
      <c r="AJ230" s="13" t="n"/>
      <c r="AK230" s="24">
        <f>IF(OR(AJ230="",AJ229=""),"",IF(AJ229=0,"",(AJ230/AJ229)-1))</f>
        <v/>
      </c>
      <c r="AL230" s="24">
        <f>IF(ROW()&lt;7,"",IF(OR(AJ230="",AJ227=""),"",IF(AJ227=0,"",(AJ230/AJ227)-1)))</f>
        <v/>
      </c>
      <c r="AM230" s="24">
        <f>IF(ROW()&lt;9,"",IF(OR(AJ230="",AJ225=""),"",IF(AJ225=0,"",(AJ230/AJ225)-1)))</f>
        <v/>
      </c>
      <c r="AN230" s="13">
        <f>IF(ROW()&lt;23,"",AVERAGE(AJ211:AJ230))</f>
        <v/>
      </c>
      <c r="AO230">
        <f>IF(OR(AJ230="",AN230=""),"",IF(AJ230&gt;AN230,"Bull","Bear"))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8">
        <f>IFERROR((M231/M230)-1,"")</f>
        <v/>
      </c>
      <c r="O231" s="24">
        <f>IF(OR(N231="",N230=""),"",IF(N230=0,"",(N231/N230)-1))</f>
        <v/>
      </c>
      <c r="P231" s="11">
        <f>IF(ROW()&lt;7,"",IF(OR(E231="",E228=""),"",IF(E228=0,"",(E231/E228)-1)))</f>
        <v/>
      </c>
      <c r="Q231" s="24">
        <f>IF(ROW()&lt;9,"",IF(OR(E231="",E226=""),"",IF(E226=0,"",(E231/E226)-1)))</f>
        <v/>
      </c>
      <c r="R231" s="24">
        <f>IF(ROW()&lt;7,"",IF(OR(G231="",G228=""),"",IF(G228=0,"",(G231/G228)-1)))</f>
        <v/>
      </c>
      <c r="S231" s="24">
        <f>IF(ROW()&lt;9,"",IF(OR(G231="",G226=""),"",IF(G226=0,"",(G231/G226)-1)))</f>
        <v/>
      </c>
      <c r="T231" s="24">
        <f>IF(ROW()&lt;7,"",IF(OR(L231="",L228=""),"",IF(L228=0,"",(L231/L228)-1)))</f>
        <v/>
      </c>
      <c r="U231" s="24">
        <f>IF(ROW()&lt;9,"",IF(OR(L231="",L226=""),"",IF(L226=0,"",(L231/L226)-1)))</f>
        <v/>
      </c>
      <c r="V231" s="24">
        <f>IF(ROW()&lt;7,"",IF(OR(N231="",N228=""),"",IF(N228=0,"",(N231/N228)-1)))</f>
        <v/>
      </c>
      <c r="W231" s="24">
        <f>IF(ROW()&lt;9,"",IF(OR(N231="",N226=""),"",IF(N226=0,"",(N231/N226)-1)))</f>
        <v/>
      </c>
      <c r="X231" s="24">
        <f>IF(OR(F231="",M231=""),"",F231-M231)</f>
        <v/>
      </c>
      <c r="Y231" s="24">
        <f>IF(OR(P231="",T231=""),"",P231-T231)</f>
        <v/>
      </c>
      <c r="Z231" s="24">
        <f>IF(OR(Q231="",U231=""),"",Q231-U231)</f>
        <v/>
      </c>
      <c r="AA231" s="24">
        <f>IF(OR(H231="",O231=""),"",H231-O231)</f>
        <v/>
      </c>
      <c r="AB231" s="24">
        <f>IF(OR(R231="",V231=""),"",R231-V231)</f>
        <v/>
      </c>
      <c r="AC231" s="24">
        <f>IF(OR(S231="",W231=""),"",S231-W231)</f>
        <v/>
      </c>
      <c r="AD231" s="13" t="n"/>
      <c r="AE231" s="24">
        <f>IF(OR(AD231="",AD230=""),"",IF(AD230=0,"",(AD231/AD230)-1))</f>
        <v/>
      </c>
      <c r="AF231" s="24">
        <f>IF(ROW()&lt;7,"",IF(OR(AD231="",AD228=""),"",IF(AD228=0,"",(AD231/AD228)-1)))</f>
        <v/>
      </c>
      <c r="AG231" s="24">
        <f>IF(ROW()&lt;9,"",IF(OR(AD231="",AD226=""),"",IF(AD226=0,"",(AD231/AD226)-1)))</f>
        <v/>
      </c>
      <c r="AH231" s="13">
        <f>IF(ROW()&lt;23,"",AVERAGE(AD212:AD231))</f>
        <v/>
      </c>
      <c r="AI231">
        <f>IF(OR(AD231="",AH231=""),"",IF(AD231&gt;AH231,"Bull","Bear"))</f>
        <v/>
      </c>
      <c r="AJ231" s="13" t="n"/>
      <c r="AK231" s="24">
        <f>IF(OR(AJ231="",AJ230=""),"",IF(AJ230=0,"",(AJ231/AJ230)-1))</f>
        <v/>
      </c>
      <c r="AL231" s="24">
        <f>IF(ROW()&lt;7,"",IF(OR(AJ231="",AJ228=""),"",IF(AJ228=0,"",(AJ231/AJ228)-1)))</f>
        <v/>
      </c>
      <c r="AM231" s="24">
        <f>IF(ROW()&lt;9,"",IF(OR(AJ231="",AJ226=""),"",IF(AJ226=0,"",(AJ231/AJ226)-1)))</f>
        <v/>
      </c>
      <c r="AN231" s="13">
        <f>IF(ROW()&lt;23,"",AVERAGE(AJ212:AJ231))</f>
        <v/>
      </c>
      <c r="AO231">
        <f>IF(OR(AJ231="",AN231=""),"",IF(AJ231&gt;AN231,"Bull","Bear"))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8">
        <f>IFERROR((M232/M231)-1,"")</f>
        <v/>
      </c>
      <c r="O232" s="24">
        <f>IF(OR(N232="",N231=""),"",IF(N231=0,"",(N232/N231)-1))</f>
        <v/>
      </c>
      <c r="P232" s="11">
        <f>IF(ROW()&lt;7,"",IF(OR(E232="",E229=""),"",IF(E229=0,"",(E232/E229)-1)))</f>
        <v/>
      </c>
      <c r="Q232" s="24">
        <f>IF(ROW()&lt;9,"",IF(OR(E232="",E227=""),"",IF(E227=0,"",(E232/E227)-1)))</f>
        <v/>
      </c>
      <c r="R232" s="24">
        <f>IF(ROW()&lt;7,"",IF(OR(G232="",G229=""),"",IF(G229=0,"",(G232/G229)-1)))</f>
        <v/>
      </c>
      <c r="S232" s="24">
        <f>IF(ROW()&lt;9,"",IF(OR(G232="",G227=""),"",IF(G227=0,"",(G232/G227)-1)))</f>
        <v/>
      </c>
      <c r="T232" s="24">
        <f>IF(ROW()&lt;7,"",IF(OR(L232="",L229=""),"",IF(L229=0,"",(L232/L229)-1)))</f>
        <v/>
      </c>
      <c r="U232" s="24">
        <f>IF(ROW()&lt;9,"",IF(OR(L232="",L227=""),"",IF(L227=0,"",(L232/L227)-1)))</f>
        <v/>
      </c>
      <c r="V232" s="24">
        <f>IF(ROW()&lt;7,"",IF(OR(N232="",N229=""),"",IF(N229=0,"",(N232/N229)-1)))</f>
        <v/>
      </c>
      <c r="W232" s="24">
        <f>IF(ROW()&lt;9,"",IF(OR(N232="",N227=""),"",IF(N227=0,"",(N232/N227)-1)))</f>
        <v/>
      </c>
      <c r="X232" s="24">
        <f>IF(OR(F232="",M232=""),"",F232-M232)</f>
        <v/>
      </c>
      <c r="Y232" s="24">
        <f>IF(OR(P232="",T232=""),"",P232-T232)</f>
        <v/>
      </c>
      <c r="Z232" s="24">
        <f>IF(OR(Q232="",U232=""),"",Q232-U232)</f>
        <v/>
      </c>
      <c r="AA232" s="24">
        <f>IF(OR(H232="",O232=""),"",H232-O232)</f>
        <v/>
      </c>
      <c r="AB232" s="24">
        <f>IF(OR(R232="",V232=""),"",R232-V232)</f>
        <v/>
      </c>
      <c r="AC232" s="24">
        <f>IF(OR(S232="",W232=""),"",S232-W232)</f>
        <v/>
      </c>
      <c r="AD232" s="13" t="n"/>
      <c r="AE232" s="24">
        <f>IF(OR(AD232="",AD231=""),"",IF(AD231=0,"",(AD232/AD231)-1))</f>
        <v/>
      </c>
      <c r="AF232" s="24">
        <f>IF(ROW()&lt;7,"",IF(OR(AD232="",AD229=""),"",IF(AD229=0,"",(AD232/AD229)-1)))</f>
        <v/>
      </c>
      <c r="AG232" s="24">
        <f>IF(ROW()&lt;9,"",IF(OR(AD232="",AD227=""),"",IF(AD227=0,"",(AD232/AD227)-1)))</f>
        <v/>
      </c>
      <c r="AH232" s="13">
        <f>IF(ROW()&lt;23,"",AVERAGE(AD213:AD232))</f>
        <v/>
      </c>
      <c r="AI232">
        <f>IF(OR(AD232="",AH232=""),"",IF(AD232&gt;AH232,"Bull","Bear"))</f>
        <v/>
      </c>
      <c r="AJ232" s="13" t="n"/>
      <c r="AK232" s="24">
        <f>IF(OR(AJ232="",AJ231=""),"",IF(AJ231=0,"",(AJ232/AJ231)-1))</f>
        <v/>
      </c>
      <c r="AL232" s="24">
        <f>IF(ROW()&lt;7,"",IF(OR(AJ232="",AJ229=""),"",IF(AJ229=0,"",(AJ232/AJ229)-1)))</f>
        <v/>
      </c>
      <c r="AM232" s="24">
        <f>IF(ROW()&lt;9,"",IF(OR(AJ232="",AJ227=""),"",IF(AJ227=0,"",(AJ232/AJ227)-1)))</f>
        <v/>
      </c>
      <c r="AN232" s="13">
        <f>IF(ROW()&lt;23,"",AVERAGE(AJ213:AJ232))</f>
        <v/>
      </c>
      <c r="AO232">
        <f>IF(OR(AJ232="",AN232=""),"",IF(AJ232&gt;AN232,"Bull","Bear"))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8">
        <f>IFERROR((M233/M232)-1,"")</f>
        <v/>
      </c>
      <c r="O233" s="24">
        <f>IF(OR(N233="",N232=""),"",IF(N232=0,"",(N233/N232)-1))</f>
        <v/>
      </c>
      <c r="P233" s="11">
        <f>IF(ROW()&lt;7,"",IF(OR(E233="",E230=""),"",IF(E230=0,"",(E233/E230)-1)))</f>
        <v/>
      </c>
      <c r="Q233" s="24">
        <f>IF(ROW()&lt;9,"",IF(OR(E233="",E228=""),"",IF(E228=0,"",(E233/E228)-1)))</f>
        <v/>
      </c>
      <c r="R233" s="24">
        <f>IF(ROW()&lt;7,"",IF(OR(G233="",G230=""),"",IF(G230=0,"",(G233/G230)-1)))</f>
        <v/>
      </c>
      <c r="S233" s="24">
        <f>IF(ROW()&lt;9,"",IF(OR(G233="",G228=""),"",IF(G228=0,"",(G233/G228)-1)))</f>
        <v/>
      </c>
      <c r="T233" s="24">
        <f>IF(ROW()&lt;7,"",IF(OR(L233="",L230=""),"",IF(L230=0,"",(L233/L230)-1)))</f>
        <v/>
      </c>
      <c r="U233" s="24">
        <f>IF(ROW()&lt;9,"",IF(OR(L233="",L228=""),"",IF(L228=0,"",(L233/L228)-1)))</f>
        <v/>
      </c>
      <c r="V233" s="24">
        <f>IF(ROW()&lt;7,"",IF(OR(N233="",N230=""),"",IF(N230=0,"",(N233/N230)-1)))</f>
        <v/>
      </c>
      <c r="W233" s="24">
        <f>IF(ROW()&lt;9,"",IF(OR(N233="",N228=""),"",IF(N228=0,"",(N233/N228)-1)))</f>
        <v/>
      </c>
      <c r="X233" s="24">
        <f>IF(OR(F233="",M233=""),"",F233-M233)</f>
        <v/>
      </c>
      <c r="Y233" s="24">
        <f>IF(OR(P233="",T233=""),"",P233-T233)</f>
        <v/>
      </c>
      <c r="Z233" s="24">
        <f>IF(OR(Q233="",U233=""),"",Q233-U233)</f>
        <v/>
      </c>
      <c r="AA233" s="24">
        <f>IF(OR(H233="",O233=""),"",H233-O233)</f>
        <v/>
      </c>
      <c r="AB233" s="24">
        <f>IF(OR(R233="",V233=""),"",R233-V233)</f>
        <v/>
      </c>
      <c r="AC233" s="24">
        <f>IF(OR(S233="",W233=""),"",S233-W233)</f>
        <v/>
      </c>
      <c r="AD233" s="13" t="n"/>
      <c r="AE233" s="24">
        <f>IF(OR(AD233="",AD232=""),"",IF(AD232=0,"",(AD233/AD232)-1))</f>
        <v/>
      </c>
      <c r="AF233" s="24">
        <f>IF(ROW()&lt;7,"",IF(OR(AD233="",AD230=""),"",IF(AD230=0,"",(AD233/AD230)-1)))</f>
        <v/>
      </c>
      <c r="AG233" s="24">
        <f>IF(ROW()&lt;9,"",IF(OR(AD233="",AD228=""),"",IF(AD228=0,"",(AD233/AD228)-1)))</f>
        <v/>
      </c>
      <c r="AH233" s="13">
        <f>IF(ROW()&lt;23,"",AVERAGE(AD214:AD233))</f>
        <v/>
      </c>
      <c r="AI233">
        <f>IF(OR(AD233="",AH233=""),"",IF(AD233&gt;AH233,"Bull","Bear"))</f>
        <v/>
      </c>
      <c r="AJ233" s="13" t="n"/>
      <c r="AK233" s="24">
        <f>IF(OR(AJ233="",AJ232=""),"",IF(AJ232=0,"",(AJ233/AJ232)-1))</f>
        <v/>
      </c>
      <c r="AL233" s="24">
        <f>IF(ROW()&lt;7,"",IF(OR(AJ233="",AJ230=""),"",IF(AJ230=0,"",(AJ233/AJ230)-1)))</f>
        <v/>
      </c>
      <c r="AM233" s="24">
        <f>IF(ROW()&lt;9,"",IF(OR(AJ233="",AJ228=""),"",IF(AJ228=0,"",(AJ233/AJ228)-1)))</f>
        <v/>
      </c>
      <c r="AN233" s="13">
        <f>IF(ROW()&lt;23,"",AVERAGE(AJ214:AJ233))</f>
        <v/>
      </c>
      <c r="AO233">
        <f>IF(OR(AJ233="",AN233=""),"",IF(AJ233&gt;AN233,"Bull","Bear"))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8">
        <f>IFERROR((M234/M233)-1,"")</f>
        <v/>
      </c>
      <c r="O234" s="24">
        <f>IF(OR(N234="",N233=""),"",IF(N233=0,"",(N234/N233)-1))</f>
        <v/>
      </c>
      <c r="P234" s="11">
        <f>IF(ROW()&lt;7,"",IF(OR(E234="",E231=""),"",IF(E231=0,"",(E234/E231)-1)))</f>
        <v/>
      </c>
      <c r="Q234" s="24">
        <f>IF(ROW()&lt;9,"",IF(OR(E234="",E229=""),"",IF(E229=0,"",(E234/E229)-1)))</f>
        <v/>
      </c>
      <c r="R234" s="24">
        <f>IF(ROW()&lt;7,"",IF(OR(G234="",G231=""),"",IF(G231=0,"",(G234/G231)-1)))</f>
        <v/>
      </c>
      <c r="S234" s="24">
        <f>IF(ROW()&lt;9,"",IF(OR(G234="",G229=""),"",IF(G229=0,"",(G234/G229)-1)))</f>
        <v/>
      </c>
      <c r="T234" s="24">
        <f>IF(ROW()&lt;7,"",IF(OR(L234="",L231=""),"",IF(L231=0,"",(L234/L231)-1)))</f>
        <v/>
      </c>
      <c r="U234" s="24">
        <f>IF(ROW()&lt;9,"",IF(OR(L234="",L229=""),"",IF(L229=0,"",(L234/L229)-1)))</f>
        <v/>
      </c>
      <c r="V234" s="24">
        <f>IF(ROW()&lt;7,"",IF(OR(N234="",N231=""),"",IF(N231=0,"",(N234/N231)-1)))</f>
        <v/>
      </c>
      <c r="W234" s="24">
        <f>IF(ROW()&lt;9,"",IF(OR(N234="",N229=""),"",IF(N229=0,"",(N234/N229)-1)))</f>
        <v/>
      </c>
      <c r="X234" s="24">
        <f>IF(OR(F234="",M234=""),"",F234-M234)</f>
        <v/>
      </c>
      <c r="Y234" s="24">
        <f>IF(OR(P234="",T234=""),"",P234-T234)</f>
        <v/>
      </c>
      <c r="Z234" s="24">
        <f>IF(OR(Q234="",U234=""),"",Q234-U234)</f>
        <v/>
      </c>
      <c r="AA234" s="24">
        <f>IF(OR(H234="",O234=""),"",H234-O234)</f>
        <v/>
      </c>
      <c r="AB234" s="24">
        <f>IF(OR(R234="",V234=""),"",R234-V234)</f>
        <v/>
      </c>
      <c r="AC234" s="24">
        <f>IF(OR(S234="",W234=""),"",S234-W234)</f>
        <v/>
      </c>
      <c r="AD234" s="13" t="n"/>
      <c r="AE234" s="24">
        <f>IF(OR(AD234="",AD233=""),"",IF(AD233=0,"",(AD234/AD233)-1))</f>
        <v/>
      </c>
      <c r="AF234" s="24">
        <f>IF(ROW()&lt;7,"",IF(OR(AD234="",AD231=""),"",IF(AD231=0,"",(AD234/AD231)-1)))</f>
        <v/>
      </c>
      <c r="AG234" s="24">
        <f>IF(ROW()&lt;9,"",IF(OR(AD234="",AD229=""),"",IF(AD229=0,"",(AD234/AD229)-1)))</f>
        <v/>
      </c>
      <c r="AH234" s="13">
        <f>IF(ROW()&lt;23,"",AVERAGE(AD215:AD234))</f>
        <v/>
      </c>
      <c r="AI234">
        <f>IF(OR(AD234="",AH234=""),"",IF(AD234&gt;AH234,"Bull","Bear"))</f>
        <v/>
      </c>
      <c r="AJ234" s="13" t="n"/>
      <c r="AK234" s="24">
        <f>IF(OR(AJ234="",AJ233=""),"",IF(AJ233=0,"",(AJ234/AJ233)-1))</f>
        <v/>
      </c>
      <c r="AL234" s="24">
        <f>IF(ROW()&lt;7,"",IF(OR(AJ234="",AJ231=""),"",IF(AJ231=0,"",(AJ234/AJ231)-1)))</f>
        <v/>
      </c>
      <c r="AM234" s="24">
        <f>IF(ROW()&lt;9,"",IF(OR(AJ234="",AJ229=""),"",IF(AJ229=0,"",(AJ234/AJ229)-1)))</f>
        <v/>
      </c>
      <c r="AN234" s="13">
        <f>IF(ROW()&lt;23,"",AVERAGE(AJ215:AJ234))</f>
        <v/>
      </c>
      <c r="AO234">
        <f>IF(OR(AJ234="",AN234=""),"",IF(AJ234&gt;AN234,"Bull","Bear"))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8">
        <f>IFERROR((M235/M234)-1,"")</f>
        <v/>
      </c>
      <c r="O235" s="24">
        <f>IF(OR(N235="",N234=""),"",IF(N234=0,"",(N235/N234)-1))</f>
        <v/>
      </c>
      <c r="P235" s="11">
        <f>IF(ROW()&lt;7,"",IF(OR(E235="",E232=""),"",IF(E232=0,"",(E235/E232)-1)))</f>
        <v/>
      </c>
      <c r="Q235" s="24">
        <f>IF(ROW()&lt;9,"",IF(OR(E235="",E230=""),"",IF(E230=0,"",(E235/E230)-1)))</f>
        <v/>
      </c>
      <c r="R235" s="24">
        <f>IF(ROW()&lt;7,"",IF(OR(G235="",G232=""),"",IF(G232=0,"",(G235/G232)-1)))</f>
        <v/>
      </c>
      <c r="S235" s="24">
        <f>IF(ROW()&lt;9,"",IF(OR(G235="",G230=""),"",IF(G230=0,"",(G235/G230)-1)))</f>
        <v/>
      </c>
      <c r="T235" s="24">
        <f>IF(ROW()&lt;7,"",IF(OR(L235="",L232=""),"",IF(L232=0,"",(L235/L232)-1)))</f>
        <v/>
      </c>
      <c r="U235" s="24">
        <f>IF(ROW()&lt;9,"",IF(OR(L235="",L230=""),"",IF(L230=0,"",(L235/L230)-1)))</f>
        <v/>
      </c>
      <c r="V235" s="24">
        <f>IF(ROW()&lt;7,"",IF(OR(N235="",N232=""),"",IF(N232=0,"",(N235/N232)-1)))</f>
        <v/>
      </c>
      <c r="W235" s="24">
        <f>IF(ROW()&lt;9,"",IF(OR(N235="",N230=""),"",IF(N230=0,"",(N235/N230)-1)))</f>
        <v/>
      </c>
      <c r="X235" s="24">
        <f>IF(OR(F235="",M235=""),"",F235-M235)</f>
        <v/>
      </c>
      <c r="Y235" s="24">
        <f>IF(OR(P235="",T235=""),"",P235-T235)</f>
        <v/>
      </c>
      <c r="Z235" s="24">
        <f>IF(OR(Q235="",U235=""),"",Q235-U235)</f>
        <v/>
      </c>
      <c r="AA235" s="24">
        <f>IF(OR(H235="",O235=""),"",H235-O235)</f>
        <v/>
      </c>
      <c r="AB235" s="24">
        <f>IF(OR(R235="",V235=""),"",R235-V235)</f>
        <v/>
      </c>
      <c r="AC235" s="24">
        <f>IF(OR(S235="",W235=""),"",S235-W235)</f>
        <v/>
      </c>
      <c r="AD235" s="13" t="n"/>
      <c r="AE235" s="24">
        <f>IF(OR(AD235="",AD234=""),"",IF(AD234=0,"",(AD235/AD234)-1))</f>
        <v/>
      </c>
      <c r="AF235" s="24">
        <f>IF(ROW()&lt;7,"",IF(OR(AD235="",AD232=""),"",IF(AD232=0,"",(AD235/AD232)-1)))</f>
        <v/>
      </c>
      <c r="AG235" s="24">
        <f>IF(ROW()&lt;9,"",IF(OR(AD235="",AD230=""),"",IF(AD230=0,"",(AD235/AD230)-1)))</f>
        <v/>
      </c>
      <c r="AH235" s="13">
        <f>IF(ROW()&lt;23,"",AVERAGE(AD216:AD235))</f>
        <v/>
      </c>
      <c r="AI235">
        <f>IF(OR(AD235="",AH235=""),"",IF(AD235&gt;AH235,"Bull","Bear"))</f>
        <v/>
      </c>
      <c r="AJ235" s="13" t="n"/>
      <c r="AK235" s="24">
        <f>IF(OR(AJ235="",AJ234=""),"",IF(AJ234=0,"",(AJ235/AJ234)-1))</f>
        <v/>
      </c>
      <c r="AL235" s="24">
        <f>IF(ROW()&lt;7,"",IF(OR(AJ235="",AJ232=""),"",IF(AJ232=0,"",(AJ235/AJ232)-1)))</f>
        <v/>
      </c>
      <c r="AM235" s="24">
        <f>IF(ROW()&lt;9,"",IF(OR(AJ235="",AJ230=""),"",IF(AJ230=0,"",(AJ235/AJ230)-1)))</f>
        <v/>
      </c>
      <c r="AN235" s="13">
        <f>IF(ROW()&lt;23,"",AVERAGE(AJ216:AJ235))</f>
        <v/>
      </c>
      <c r="AO235">
        <f>IF(OR(AJ235="",AN235=""),"",IF(AJ235&gt;AN235,"Bull","Bear"))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8">
        <f>IFERROR((M236/M235)-1,"")</f>
        <v/>
      </c>
      <c r="O236" s="24">
        <f>IF(OR(N236="",N235=""),"",IF(N235=0,"",(N236/N235)-1))</f>
        <v/>
      </c>
      <c r="P236" s="11">
        <f>IF(ROW()&lt;7,"",IF(OR(E236="",E233=""),"",IF(E233=0,"",(E236/E233)-1)))</f>
        <v/>
      </c>
      <c r="Q236" s="24">
        <f>IF(ROW()&lt;9,"",IF(OR(E236="",E231=""),"",IF(E231=0,"",(E236/E231)-1)))</f>
        <v/>
      </c>
      <c r="R236" s="24">
        <f>IF(ROW()&lt;7,"",IF(OR(G236="",G233=""),"",IF(G233=0,"",(G236/G233)-1)))</f>
        <v/>
      </c>
      <c r="S236" s="24">
        <f>IF(ROW()&lt;9,"",IF(OR(G236="",G231=""),"",IF(G231=0,"",(G236/G231)-1)))</f>
        <v/>
      </c>
      <c r="T236" s="24">
        <f>IF(ROW()&lt;7,"",IF(OR(L236="",L233=""),"",IF(L233=0,"",(L236/L233)-1)))</f>
        <v/>
      </c>
      <c r="U236" s="24">
        <f>IF(ROW()&lt;9,"",IF(OR(L236="",L231=""),"",IF(L231=0,"",(L236/L231)-1)))</f>
        <v/>
      </c>
      <c r="V236" s="24">
        <f>IF(ROW()&lt;7,"",IF(OR(N236="",N233=""),"",IF(N233=0,"",(N236/N233)-1)))</f>
        <v/>
      </c>
      <c r="W236" s="24">
        <f>IF(ROW()&lt;9,"",IF(OR(N236="",N231=""),"",IF(N231=0,"",(N236/N231)-1)))</f>
        <v/>
      </c>
      <c r="X236" s="24">
        <f>IF(OR(F236="",M236=""),"",F236-M236)</f>
        <v/>
      </c>
      <c r="Y236" s="24">
        <f>IF(OR(P236="",T236=""),"",P236-T236)</f>
        <v/>
      </c>
      <c r="Z236" s="24">
        <f>IF(OR(Q236="",U236=""),"",Q236-U236)</f>
        <v/>
      </c>
      <c r="AA236" s="24">
        <f>IF(OR(H236="",O236=""),"",H236-O236)</f>
        <v/>
      </c>
      <c r="AB236" s="24">
        <f>IF(OR(R236="",V236=""),"",R236-V236)</f>
        <v/>
      </c>
      <c r="AC236" s="24">
        <f>IF(OR(S236="",W236=""),"",S236-W236)</f>
        <v/>
      </c>
      <c r="AD236" s="13" t="n"/>
      <c r="AE236" s="24">
        <f>IF(OR(AD236="",AD235=""),"",IF(AD235=0,"",(AD236/AD235)-1))</f>
        <v/>
      </c>
      <c r="AF236" s="24">
        <f>IF(ROW()&lt;7,"",IF(OR(AD236="",AD233=""),"",IF(AD233=0,"",(AD236/AD233)-1)))</f>
        <v/>
      </c>
      <c r="AG236" s="24">
        <f>IF(ROW()&lt;9,"",IF(OR(AD236="",AD231=""),"",IF(AD231=0,"",(AD236/AD231)-1)))</f>
        <v/>
      </c>
      <c r="AH236" s="13">
        <f>IF(ROW()&lt;23,"",AVERAGE(AD217:AD236))</f>
        <v/>
      </c>
      <c r="AI236">
        <f>IF(OR(AD236="",AH236=""),"",IF(AD236&gt;AH236,"Bull","Bear"))</f>
        <v/>
      </c>
      <c r="AJ236" s="13" t="n"/>
      <c r="AK236" s="24">
        <f>IF(OR(AJ236="",AJ235=""),"",IF(AJ235=0,"",(AJ236/AJ235)-1))</f>
        <v/>
      </c>
      <c r="AL236" s="24">
        <f>IF(ROW()&lt;7,"",IF(OR(AJ236="",AJ233=""),"",IF(AJ233=0,"",(AJ236/AJ233)-1)))</f>
        <v/>
      </c>
      <c r="AM236" s="24">
        <f>IF(ROW()&lt;9,"",IF(OR(AJ236="",AJ231=""),"",IF(AJ231=0,"",(AJ236/AJ231)-1)))</f>
        <v/>
      </c>
      <c r="AN236" s="13">
        <f>IF(ROW()&lt;23,"",AVERAGE(AJ217:AJ236))</f>
        <v/>
      </c>
      <c r="AO236">
        <f>IF(OR(AJ236="",AN236=""),"",IF(AJ236&gt;AN236,"Bull","Bear"))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8">
        <f>IFERROR((M237/M236)-1,"")</f>
        <v/>
      </c>
      <c r="O237" s="24">
        <f>IF(OR(N237="",N236=""),"",IF(N236=0,"",(N237/N236)-1))</f>
        <v/>
      </c>
      <c r="P237" s="11">
        <f>IF(ROW()&lt;7,"",IF(OR(E237="",E234=""),"",IF(E234=0,"",(E237/E234)-1)))</f>
        <v/>
      </c>
      <c r="Q237" s="24">
        <f>IF(ROW()&lt;9,"",IF(OR(E237="",E232=""),"",IF(E232=0,"",(E237/E232)-1)))</f>
        <v/>
      </c>
      <c r="R237" s="24">
        <f>IF(ROW()&lt;7,"",IF(OR(G237="",G234=""),"",IF(G234=0,"",(G237/G234)-1)))</f>
        <v/>
      </c>
      <c r="S237" s="24">
        <f>IF(ROW()&lt;9,"",IF(OR(G237="",G232=""),"",IF(G232=0,"",(G237/G232)-1)))</f>
        <v/>
      </c>
      <c r="T237" s="24">
        <f>IF(ROW()&lt;7,"",IF(OR(L237="",L234=""),"",IF(L234=0,"",(L237/L234)-1)))</f>
        <v/>
      </c>
      <c r="U237" s="24">
        <f>IF(ROW()&lt;9,"",IF(OR(L237="",L232=""),"",IF(L232=0,"",(L237/L232)-1)))</f>
        <v/>
      </c>
      <c r="V237" s="24">
        <f>IF(ROW()&lt;7,"",IF(OR(N237="",N234=""),"",IF(N234=0,"",(N237/N234)-1)))</f>
        <v/>
      </c>
      <c r="W237" s="24">
        <f>IF(ROW()&lt;9,"",IF(OR(N237="",N232=""),"",IF(N232=0,"",(N237/N232)-1)))</f>
        <v/>
      </c>
      <c r="X237" s="24">
        <f>IF(OR(F237="",M237=""),"",F237-M237)</f>
        <v/>
      </c>
      <c r="Y237" s="24">
        <f>IF(OR(P237="",T237=""),"",P237-T237)</f>
        <v/>
      </c>
      <c r="Z237" s="24">
        <f>IF(OR(Q237="",U237=""),"",Q237-U237)</f>
        <v/>
      </c>
      <c r="AA237" s="24">
        <f>IF(OR(H237="",O237=""),"",H237-O237)</f>
        <v/>
      </c>
      <c r="AB237" s="24">
        <f>IF(OR(R237="",V237=""),"",R237-V237)</f>
        <v/>
      </c>
      <c r="AC237" s="24">
        <f>IF(OR(S237="",W237=""),"",S237-W237)</f>
        <v/>
      </c>
      <c r="AD237" s="13" t="n"/>
      <c r="AE237" s="24">
        <f>IF(OR(AD237="",AD236=""),"",IF(AD236=0,"",(AD237/AD236)-1))</f>
        <v/>
      </c>
      <c r="AF237" s="24">
        <f>IF(ROW()&lt;7,"",IF(OR(AD237="",AD234=""),"",IF(AD234=0,"",(AD237/AD234)-1)))</f>
        <v/>
      </c>
      <c r="AG237" s="24">
        <f>IF(ROW()&lt;9,"",IF(OR(AD237="",AD232=""),"",IF(AD232=0,"",(AD237/AD232)-1)))</f>
        <v/>
      </c>
      <c r="AH237" s="13">
        <f>IF(ROW()&lt;23,"",AVERAGE(AD218:AD237))</f>
        <v/>
      </c>
      <c r="AI237">
        <f>IF(OR(AD237="",AH237=""),"",IF(AD237&gt;AH237,"Bull","Bear"))</f>
        <v/>
      </c>
      <c r="AJ237" s="13" t="n"/>
      <c r="AK237" s="24">
        <f>IF(OR(AJ237="",AJ236=""),"",IF(AJ236=0,"",(AJ237/AJ236)-1))</f>
        <v/>
      </c>
      <c r="AL237" s="24">
        <f>IF(ROW()&lt;7,"",IF(OR(AJ237="",AJ234=""),"",IF(AJ234=0,"",(AJ237/AJ234)-1)))</f>
        <v/>
      </c>
      <c r="AM237" s="24">
        <f>IF(ROW()&lt;9,"",IF(OR(AJ237="",AJ232=""),"",IF(AJ232=0,"",(AJ237/AJ232)-1)))</f>
        <v/>
      </c>
      <c r="AN237" s="13">
        <f>IF(ROW()&lt;23,"",AVERAGE(AJ218:AJ237))</f>
        <v/>
      </c>
      <c r="AO237">
        <f>IF(OR(AJ237="",AN237=""),"",IF(AJ237&gt;AN237,"Bull","Bear"))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8">
        <f>IFERROR((M238/M237)-1,"")</f>
        <v/>
      </c>
      <c r="O238" s="24">
        <f>IF(OR(N238="",N237=""),"",IF(N237=0,"",(N238/N237)-1))</f>
        <v/>
      </c>
      <c r="P238" s="11">
        <f>IF(ROW()&lt;7,"",IF(OR(E238="",E235=""),"",IF(E235=0,"",(E238/E235)-1)))</f>
        <v/>
      </c>
      <c r="Q238" s="24">
        <f>IF(ROW()&lt;9,"",IF(OR(E238="",E233=""),"",IF(E233=0,"",(E238/E233)-1)))</f>
        <v/>
      </c>
      <c r="R238" s="24">
        <f>IF(ROW()&lt;7,"",IF(OR(G238="",G235=""),"",IF(G235=0,"",(G238/G235)-1)))</f>
        <v/>
      </c>
      <c r="S238" s="24">
        <f>IF(ROW()&lt;9,"",IF(OR(G238="",G233=""),"",IF(G233=0,"",(G238/G233)-1)))</f>
        <v/>
      </c>
      <c r="T238" s="24">
        <f>IF(ROW()&lt;7,"",IF(OR(L238="",L235=""),"",IF(L235=0,"",(L238/L235)-1)))</f>
        <v/>
      </c>
      <c r="U238" s="24">
        <f>IF(ROW()&lt;9,"",IF(OR(L238="",L233=""),"",IF(L233=0,"",(L238/L233)-1)))</f>
        <v/>
      </c>
      <c r="V238" s="24">
        <f>IF(ROW()&lt;7,"",IF(OR(N238="",N235=""),"",IF(N235=0,"",(N238/N235)-1)))</f>
        <v/>
      </c>
      <c r="W238" s="24">
        <f>IF(ROW()&lt;9,"",IF(OR(N238="",N233=""),"",IF(N233=0,"",(N238/N233)-1)))</f>
        <v/>
      </c>
      <c r="X238" s="24">
        <f>IF(OR(F238="",M238=""),"",F238-M238)</f>
        <v/>
      </c>
      <c r="Y238" s="24">
        <f>IF(OR(P238="",T238=""),"",P238-T238)</f>
        <v/>
      </c>
      <c r="Z238" s="24">
        <f>IF(OR(Q238="",U238=""),"",Q238-U238)</f>
        <v/>
      </c>
      <c r="AA238" s="24">
        <f>IF(OR(H238="",O238=""),"",H238-O238)</f>
        <v/>
      </c>
      <c r="AB238" s="24">
        <f>IF(OR(R238="",V238=""),"",R238-V238)</f>
        <v/>
      </c>
      <c r="AC238" s="24">
        <f>IF(OR(S238="",W238=""),"",S238-W238)</f>
        <v/>
      </c>
      <c r="AD238" s="13" t="n"/>
      <c r="AE238" s="24">
        <f>IF(OR(AD238="",AD237=""),"",IF(AD237=0,"",(AD238/AD237)-1))</f>
        <v/>
      </c>
      <c r="AF238" s="24">
        <f>IF(ROW()&lt;7,"",IF(OR(AD238="",AD235=""),"",IF(AD235=0,"",(AD238/AD235)-1)))</f>
        <v/>
      </c>
      <c r="AG238" s="24">
        <f>IF(ROW()&lt;9,"",IF(OR(AD238="",AD233=""),"",IF(AD233=0,"",(AD238/AD233)-1)))</f>
        <v/>
      </c>
      <c r="AH238" s="13">
        <f>IF(ROW()&lt;23,"",AVERAGE(AD219:AD238))</f>
        <v/>
      </c>
      <c r="AI238">
        <f>IF(OR(AD238="",AH238=""),"",IF(AD238&gt;AH238,"Bull","Bear"))</f>
        <v/>
      </c>
      <c r="AJ238" s="13" t="n"/>
      <c r="AK238" s="24">
        <f>IF(OR(AJ238="",AJ237=""),"",IF(AJ237=0,"",(AJ238/AJ237)-1))</f>
        <v/>
      </c>
      <c r="AL238" s="24">
        <f>IF(ROW()&lt;7,"",IF(OR(AJ238="",AJ235=""),"",IF(AJ235=0,"",(AJ238/AJ235)-1)))</f>
        <v/>
      </c>
      <c r="AM238" s="24">
        <f>IF(ROW()&lt;9,"",IF(OR(AJ238="",AJ233=""),"",IF(AJ233=0,"",(AJ238/AJ233)-1)))</f>
        <v/>
      </c>
      <c r="AN238" s="13">
        <f>IF(ROW()&lt;23,"",AVERAGE(AJ219:AJ238))</f>
        <v/>
      </c>
      <c r="AO238">
        <f>IF(OR(AJ238="",AN238=""),"",IF(AJ238&gt;AN238,"Bull","Bear"))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8">
        <f>IFERROR((M239/M238)-1,"")</f>
        <v/>
      </c>
      <c r="O239" s="24">
        <f>IF(OR(N239="",N238=""),"",IF(N238=0,"",(N239/N238)-1))</f>
        <v/>
      </c>
      <c r="P239" s="11">
        <f>IF(ROW()&lt;7,"",IF(OR(E239="",E236=""),"",IF(E236=0,"",(E239/E236)-1)))</f>
        <v/>
      </c>
      <c r="Q239" s="24">
        <f>IF(ROW()&lt;9,"",IF(OR(E239="",E234=""),"",IF(E234=0,"",(E239/E234)-1)))</f>
        <v/>
      </c>
      <c r="R239" s="24">
        <f>IF(ROW()&lt;7,"",IF(OR(G239="",G236=""),"",IF(G236=0,"",(G239/G236)-1)))</f>
        <v/>
      </c>
      <c r="S239" s="24">
        <f>IF(ROW()&lt;9,"",IF(OR(G239="",G234=""),"",IF(G234=0,"",(G239/G234)-1)))</f>
        <v/>
      </c>
      <c r="T239" s="24">
        <f>IF(ROW()&lt;7,"",IF(OR(L239="",L236=""),"",IF(L236=0,"",(L239/L236)-1)))</f>
        <v/>
      </c>
      <c r="U239" s="24">
        <f>IF(ROW()&lt;9,"",IF(OR(L239="",L234=""),"",IF(L234=0,"",(L239/L234)-1)))</f>
        <v/>
      </c>
      <c r="V239" s="24">
        <f>IF(ROW()&lt;7,"",IF(OR(N239="",N236=""),"",IF(N236=0,"",(N239/N236)-1)))</f>
        <v/>
      </c>
      <c r="W239" s="24">
        <f>IF(ROW()&lt;9,"",IF(OR(N239="",N234=""),"",IF(N234=0,"",(N239/N234)-1)))</f>
        <v/>
      </c>
      <c r="X239" s="24">
        <f>IF(OR(F239="",M239=""),"",F239-M239)</f>
        <v/>
      </c>
      <c r="Y239" s="24">
        <f>IF(OR(P239="",T239=""),"",P239-T239)</f>
        <v/>
      </c>
      <c r="Z239" s="24">
        <f>IF(OR(Q239="",U239=""),"",Q239-U239)</f>
        <v/>
      </c>
      <c r="AA239" s="24">
        <f>IF(OR(H239="",O239=""),"",H239-O239)</f>
        <v/>
      </c>
      <c r="AB239" s="24">
        <f>IF(OR(R239="",V239=""),"",R239-V239)</f>
        <v/>
      </c>
      <c r="AC239" s="24">
        <f>IF(OR(S239="",W239=""),"",S239-W239)</f>
        <v/>
      </c>
      <c r="AD239" s="13" t="n"/>
      <c r="AE239" s="24">
        <f>IF(OR(AD239="",AD238=""),"",IF(AD238=0,"",(AD239/AD238)-1))</f>
        <v/>
      </c>
      <c r="AF239" s="24">
        <f>IF(ROW()&lt;7,"",IF(OR(AD239="",AD236=""),"",IF(AD236=0,"",(AD239/AD236)-1)))</f>
        <v/>
      </c>
      <c r="AG239" s="24">
        <f>IF(ROW()&lt;9,"",IF(OR(AD239="",AD234=""),"",IF(AD234=0,"",(AD239/AD234)-1)))</f>
        <v/>
      </c>
      <c r="AH239" s="13">
        <f>IF(ROW()&lt;23,"",AVERAGE(AD220:AD239))</f>
        <v/>
      </c>
      <c r="AI239">
        <f>IF(OR(AD239="",AH239=""),"",IF(AD239&gt;AH239,"Bull","Bear"))</f>
        <v/>
      </c>
      <c r="AJ239" s="13" t="n"/>
      <c r="AK239" s="24">
        <f>IF(OR(AJ239="",AJ238=""),"",IF(AJ238=0,"",(AJ239/AJ238)-1))</f>
        <v/>
      </c>
      <c r="AL239" s="24">
        <f>IF(ROW()&lt;7,"",IF(OR(AJ239="",AJ236=""),"",IF(AJ236=0,"",(AJ239/AJ236)-1)))</f>
        <v/>
      </c>
      <c r="AM239" s="24">
        <f>IF(ROW()&lt;9,"",IF(OR(AJ239="",AJ234=""),"",IF(AJ234=0,"",(AJ239/AJ234)-1)))</f>
        <v/>
      </c>
      <c r="AN239" s="13">
        <f>IF(ROW()&lt;23,"",AVERAGE(AJ220:AJ239))</f>
        <v/>
      </c>
      <c r="AO239">
        <f>IF(OR(AJ239="",AN239=""),"",IF(AJ239&gt;AN239,"Bull","Bear"))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8">
        <f>IFERROR((M240/M239)-1,"")</f>
        <v/>
      </c>
      <c r="O240" s="24">
        <f>IF(OR(N240="",N239=""),"",IF(N239=0,"",(N240/N239)-1))</f>
        <v/>
      </c>
      <c r="P240" s="11">
        <f>IF(ROW()&lt;7,"",IF(OR(E240="",E237=""),"",IF(E237=0,"",(E240/E237)-1)))</f>
        <v/>
      </c>
      <c r="Q240" s="24">
        <f>IF(ROW()&lt;9,"",IF(OR(E240="",E235=""),"",IF(E235=0,"",(E240/E235)-1)))</f>
        <v/>
      </c>
      <c r="R240" s="24">
        <f>IF(ROW()&lt;7,"",IF(OR(G240="",G237=""),"",IF(G237=0,"",(G240/G237)-1)))</f>
        <v/>
      </c>
      <c r="S240" s="24">
        <f>IF(ROW()&lt;9,"",IF(OR(G240="",G235=""),"",IF(G235=0,"",(G240/G235)-1)))</f>
        <v/>
      </c>
      <c r="T240" s="24">
        <f>IF(ROW()&lt;7,"",IF(OR(L240="",L237=""),"",IF(L237=0,"",(L240/L237)-1)))</f>
        <v/>
      </c>
      <c r="U240" s="24">
        <f>IF(ROW()&lt;9,"",IF(OR(L240="",L235=""),"",IF(L235=0,"",(L240/L235)-1)))</f>
        <v/>
      </c>
      <c r="V240" s="24">
        <f>IF(ROW()&lt;7,"",IF(OR(N240="",N237=""),"",IF(N237=0,"",(N240/N237)-1)))</f>
        <v/>
      </c>
      <c r="W240" s="24">
        <f>IF(ROW()&lt;9,"",IF(OR(N240="",N235=""),"",IF(N235=0,"",(N240/N235)-1)))</f>
        <v/>
      </c>
      <c r="X240" s="24">
        <f>IF(OR(F240="",M240=""),"",F240-M240)</f>
        <v/>
      </c>
      <c r="Y240" s="24">
        <f>IF(OR(P240="",T240=""),"",P240-T240)</f>
        <v/>
      </c>
      <c r="Z240" s="24">
        <f>IF(OR(Q240="",U240=""),"",Q240-U240)</f>
        <v/>
      </c>
      <c r="AA240" s="24">
        <f>IF(OR(H240="",O240=""),"",H240-O240)</f>
        <v/>
      </c>
      <c r="AB240" s="24">
        <f>IF(OR(R240="",V240=""),"",R240-V240)</f>
        <v/>
      </c>
      <c r="AC240" s="24">
        <f>IF(OR(S240="",W240=""),"",S240-W240)</f>
        <v/>
      </c>
      <c r="AD240" s="13" t="n"/>
      <c r="AE240" s="24">
        <f>IF(OR(AD240="",AD239=""),"",IF(AD239=0,"",(AD240/AD239)-1))</f>
        <v/>
      </c>
      <c r="AF240" s="24">
        <f>IF(ROW()&lt;7,"",IF(OR(AD240="",AD237=""),"",IF(AD237=0,"",(AD240/AD237)-1)))</f>
        <v/>
      </c>
      <c r="AG240" s="24">
        <f>IF(ROW()&lt;9,"",IF(OR(AD240="",AD235=""),"",IF(AD235=0,"",(AD240/AD235)-1)))</f>
        <v/>
      </c>
      <c r="AH240" s="13">
        <f>IF(ROW()&lt;23,"",AVERAGE(AD221:AD240))</f>
        <v/>
      </c>
      <c r="AI240">
        <f>IF(OR(AD240="",AH240=""),"",IF(AD240&gt;AH240,"Bull","Bear"))</f>
        <v/>
      </c>
      <c r="AJ240" s="13" t="n"/>
      <c r="AK240" s="24">
        <f>IF(OR(AJ240="",AJ239=""),"",IF(AJ239=0,"",(AJ240/AJ239)-1))</f>
        <v/>
      </c>
      <c r="AL240" s="24">
        <f>IF(ROW()&lt;7,"",IF(OR(AJ240="",AJ237=""),"",IF(AJ237=0,"",(AJ240/AJ237)-1)))</f>
        <v/>
      </c>
      <c r="AM240" s="24">
        <f>IF(ROW()&lt;9,"",IF(OR(AJ240="",AJ235=""),"",IF(AJ235=0,"",(AJ240/AJ235)-1)))</f>
        <v/>
      </c>
      <c r="AN240" s="13">
        <f>IF(ROW()&lt;23,"",AVERAGE(AJ221:AJ240))</f>
        <v/>
      </c>
      <c r="AO240">
        <f>IF(OR(AJ240="",AN240=""),"",IF(AJ240&gt;AN240,"Bull","Bear"))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8">
        <f>IFERROR((M241/M240)-1,"")</f>
        <v/>
      </c>
      <c r="O241" s="24">
        <f>IF(OR(N241="",N240=""),"",IF(N240=0,"",(N241/N240)-1))</f>
        <v/>
      </c>
      <c r="P241" s="11">
        <f>IF(ROW()&lt;7,"",IF(OR(E241="",E238=""),"",IF(E238=0,"",(E241/E238)-1)))</f>
        <v/>
      </c>
      <c r="Q241" s="24">
        <f>IF(ROW()&lt;9,"",IF(OR(E241="",E236=""),"",IF(E236=0,"",(E241/E236)-1)))</f>
        <v/>
      </c>
      <c r="R241" s="24">
        <f>IF(ROW()&lt;7,"",IF(OR(G241="",G238=""),"",IF(G238=0,"",(G241/G238)-1)))</f>
        <v/>
      </c>
      <c r="S241" s="24">
        <f>IF(ROW()&lt;9,"",IF(OR(G241="",G236=""),"",IF(G236=0,"",(G241/G236)-1)))</f>
        <v/>
      </c>
      <c r="T241" s="24">
        <f>IF(ROW()&lt;7,"",IF(OR(L241="",L238=""),"",IF(L238=0,"",(L241/L238)-1)))</f>
        <v/>
      </c>
      <c r="U241" s="24">
        <f>IF(ROW()&lt;9,"",IF(OR(L241="",L236=""),"",IF(L236=0,"",(L241/L236)-1)))</f>
        <v/>
      </c>
      <c r="V241" s="24">
        <f>IF(ROW()&lt;7,"",IF(OR(N241="",N238=""),"",IF(N238=0,"",(N241/N238)-1)))</f>
        <v/>
      </c>
      <c r="W241" s="24">
        <f>IF(ROW()&lt;9,"",IF(OR(N241="",N236=""),"",IF(N236=0,"",(N241/N236)-1)))</f>
        <v/>
      </c>
      <c r="X241" s="24">
        <f>IF(OR(F241="",M241=""),"",F241-M241)</f>
        <v/>
      </c>
      <c r="Y241" s="24">
        <f>IF(OR(P241="",T241=""),"",P241-T241)</f>
        <v/>
      </c>
      <c r="Z241" s="24">
        <f>IF(OR(Q241="",U241=""),"",Q241-U241)</f>
        <v/>
      </c>
      <c r="AA241" s="24">
        <f>IF(OR(H241="",O241=""),"",H241-O241)</f>
        <v/>
      </c>
      <c r="AB241" s="24">
        <f>IF(OR(R241="",V241=""),"",R241-V241)</f>
        <v/>
      </c>
      <c r="AC241" s="24">
        <f>IF(OR(S241="",W241=""),"",S241-W241)</f>
        <v/>
      </c>
      <c r="AD241" s="13" t="n"/>
      <c r="AE241" s="24">
        <f>IF(OR(AD241="",AD240=""),"",IF(AD240=0,"",(AD241/AD240)-1))</f>
        <v/>
      </c>
      <c r="AF241" s="24">
        <f>IF(ROW()&lt;7,"",IF(OR(AD241="",AD238=""),"",IF(AD238=0,"",(AD241/AD238)-1)))</f>
        <v/>
      </c>
      <c r="AG241" s="24">
        <f>IF(ROW()&lt;9,"",IF(OR(AD241="",AD236=""),"",IF(AD236=0,"",(AD241/AD236)-1)))</f>
        <v/>
      </c>
      <c r="AH241" s="13">
        <f>IF(ROW()&lt;23,"",AVERAGE(AD222:AD241))</f>
        <v/>
      </c>
      <c r="AI241">
        <f>IF(OR(AD241="",AH241=""),"",IF(AD241&gt;AH241,"Bull","Bear"))</f>
        <v/>
      </c>
      <c r="AJ241" s="13" t="n"/>
      <c r="AK241" s="24">
        <f>IF(OR(AJ241="",AJ240=""),"",IF(AJ240=0,"",(AJ241/AJ240)-1))</f>
        <v/>
      </c>
      <c r="AL241" s="24">
        <f>IF(ROW()&lt;7,"",IF(OR(AJ241="",AJ238=""),"",IF(AJ238=0,"",(AJ241/AJ238)-1)))</f>
        <v/>
      </c>
      <c r="AM241" s="24">
        <f>IF(ROW()&lt;9,"",IF(OR(AJ241="",AJ236=""),"",IF(AJ236=0,"",(AJ241/AJ236)-1)))</f>
        <v/>
      </c>
      <c r="AN241" s="13">
        <f>IF(ROW()&lt;23,"",AVERAGE(AJ222:AJ241))</f>
        <v/>
      </c>
      <c r="AO241">
        <f>IF(OR(AJ241="",AN241=""),"",IF(AJ241&gt;AN241,"Bull","Bear"))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8">
        <f>IFERROR((M242/M241)-1,"")</f>
        <v/>
      </c>
      <c r="O242" s="24">
        <f>IF(OR(N242="",N241=""),"",IF(N241=0,"",(N242/N241)-1))</f>
        <v/>
      </c>
      <c r="P242" s="11">
        <f>IF(ROW()&lt;7,"",IF(OR(E242="",E239=""),"",IF(E239=0,"",(E242/E239)-1)))</f>
        <v/>
      </c>
      <c r="Q242" s="24">
        <f>IF(ROW()&lt;9,"",IF(OR(E242="",E237=""),"",IF(E237=0,"",(E242/E237)-1)))</f>
        <v/>
      </c>
      <c r="R242" s="24">
        <f>IF(ROW()&lt;7,"",IF(OR(G242="",G239=""),"",IF(G239=0,"",(G242/G239)-1)))</f>
        <v/>
      </c>
      <c r="S242" s="24">
        <f>IF(ROW()&lt;9,"",IF(OR(G242="",G237=""),"",IF(G237=0,"",(G242/G237)-1)))</f>
        <v/>
      </c>
      <c r="T242" s="24">
        <f>IF(ROW()&lt;7,"",IF(OR(L242="",L239=""),"",IF(L239=0,"",(L242/L239)-1)))</f>
        <v/>
      </c>
      <c r="U242" s="24">
        <f>IF(ROW()&lt;9,"",IF(OR(L242="",L237=""),"",IF(L237=0,"",(L242/L237)-1)))</f>
        <v/>
      </c>
      <c r="V242" s="24">
        <f>IF(ROW()&lt;7,"",IF(OR(N242="",N239=""),"",IF(N239=0,"",(N242/N239)-1)))</f>
        <v/>
      </c>
      <c r="W242" s="24">
        <f>IF(ROW()&lt;9,"",IF(OR(N242="",N237=""),"",IF(N237=0,"",(N242/N237)-1)))</f>
        <v/>
      </c>
      <c r="X242" s="24">
        <f>IF(OR(F242="",M242=""),"",F242-M242)</f>
        <v/>
      </c>
      <c r="Y242" s="24">
        <f>IF(OR(P242="",T242=""),"",P242-T242)</f>
        <v/>
      </c>
      <c r="Z242" s="24">
        <f>IF(OR(Q242="",U242=""),"",Q242-U242)</f>
        <v/>
      </c>
      <c r="AA242" s="24">
        <f>IF(OR(H242="",O242=""),"",H242-O242)</f>
        <v/>
      </c>
      <c r="AB242" s="24">
        <f>IF(OR(R242="",V242=""),"",R242-V242)</f>
        <v/>
      </c>
      <c r="AC242" s="24">
        <f>IF(OR(S242="",W242=""),"",S242-W242)</f>
        <v/>
      </c>
      <c r="AD242" s="13" t="n"/>
      <c r="AE242" s="24">
        <f>IF(OR(AD242="",AD241=""),"",IF(AD241=0,"",(AD242/AD241)-1))</f>
        <v/>
      </c>
      <c r="AF242" s="24">
        <f>IF(ROW()&lt;7,"",IF(OR(AD242="",AD239=""),"",IF(AD239=0,"",(AD242/AD239)-1)))</f>
        <v/>
      </c>
      <c r="AG242" s="24">
        <f>IF(ROW()&lt;9,"",IF(OR(AD242="",AD237=""),"",IF(AD237=0,"",(AD242/AD237)-1)))</f>
        <v/>
      </c>
      <c r="AH242" s="13">
        <f>IF(ROW()&lt;23,"",AVERAGE(AD223:AD242))</f>
        <v/>
      </c>
      <c r="AI242">
        <f>IF(OR(AD242="",AH242=""),"",IF(AD242&gt;AH242,"Bull","Bear"))</f>
        <v/>
      </c>
      <c r="AJ242" s="13" t="n"/>
      <c r="AK242" s="24">
        <f>IF(OR(AJ242="",AJ241=""),"",IF(AJ241=0,"",(AJ242/AJ241)-1))</f>
        <v/>
      </c>
      <c r="AL242" s="24">
        <f>IF(ROW()&lt;7,"",IF(OR(AJ242="",AJ239=""),"",IF(AJ239=0,"",(AJ242/AJ239)-1)))</f>
        <v/>
      </c>
      <c r="AM242" s="24">
        <f>IF(ROW()&lt;9,"",IF(OR(AJ242="",AJ237=""),"",IF(AJ237=0,"",(AJ242/AJ237)-1)))</f>
        <v/>
      </c>
      <c r="AN242" s="13">
        <f>IF(ROW()&lt;23,"",AVERAGE(AJ223:AJ242))</f>
        <v/>
      </c>
      <c r="AO242">
        <f>IF(OR(AJ242="",AN242=""),"",IF(AJ242&gt;AN242,"Bull","Bear"))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8">
        <f>IFERROR((M243/M242)-1,"")</f>
        <v/>
      </c>
      <c r="O243" s="24">
        <f>IF(OR(N243="",N242=""),"",IF(N242=0,"",(N243/N242)-1))</f>
        <v/>
      </c>
      <c r="P243" s="11">
        <f>IF(ROW()&lt;7,"",IF(OR(E243="",E240=""),"",IF(E240=0,"",(E243/E240)-1)))</f>
        <v/>
      </c>
      <c r="Q243" s="24">
        <f>IF(ROW()&lt;9,"",IF(OR(E243="",E238=""),"",IF(E238=0,"",(E243/E238)-1)))</f>
        <v/>
      </c>
      <c r="R243" s="24">
        <f>IF(ROW()&lt;7,"",IF(OR(G243="",G240=""),"",IF(G240=0,"",(G243/G240)-1)))</f>
        <v/>
      </c>
      <c r="S243" s="24">
        <f>IF(ROW()&lt;9,"",IF(OR(G243="",G238=""),"",IF(G238=0,"",(G243/G238)-1)))</f>
        <v/>
      </c>
      <c r="T243" s="24">
        <f>IF(ROW()&lt;7,"",IF(OR(L243="",L240=""),"",IF(L240=0,"",(L243/L240)-1)))</f>
        <v/>
      </c>
      <c r="U243" s="24">
        <f>IF(ROW()&lt;9,"",IF(OR(L243="",L238=""),"",IF(L238=0,"",(L243/L238)-1)))</f>
        <v/>
      </c>
      <c r="V243" s="24">
        <f>IF(ROW()&lt;7,"",IF(OR(N243="",N240=""),"",IF(N240=0,"",(N243/N240)-1)))</f>
        <v/>
      </c>
      <c r="W243" s="24">
        <f>IF(ROW()&lt;9,"",IF(OR(N243="",N238=""),"",IF(N238=0,"",(N243/N238)-1)))</f>
        <v/>
      </c>
      <c r="X243" s="24">
        <f>IF(OR(F243="",M243=""),"",F243-M243)</f>
        <v/>
      </c>
      <c r="Y243" s="24">
        <f>IF(OR(P243="",T243=""),"",P243-T243)</f>
        <v/>
      </c>
      <c r="Z243" s="24">
        <f>IF(OR(Q243="",U243=""),"",Q243-U243)</f>
        <v/>
      </c>
      <c r="AA243" s="24">
        <f>IF(OR(H243="",O243=""),"",H243-O243)</f>
        <v/>
      </c>
      <c r="AB243" s="24">
        <f>IF(OR(R243="",V243=""),"",R243-V243)</f>
        <v/>
      </c>
      <c r="AC243" s="24">
        <f>IF(OR(S243="",W243=""),"",S243-W243)</f>
        <v/>
      </c>
      <c r="AD243" s="13" t="n"/>
      <c r="AE243" s="24">
        <f>IF(OR(AD243="",AD242=""),"",IF(AD242=0,"",(AD243/AD242)-1))</f>
        <v/>
      </c>
      <c r="AF243" s="24">
        <f>IF(ROW()&lt;7,"",IF(OR(AD243="",AD240=""),"",IF(AD240=0,"",(AD243/AD240)-1)))</f>
        <v/>
      </c>
      <c r="AG243" s="24">
        <f>IF(ROW()&lt;9,"",IF(OR(AD243="",AD238=""),"",IF(AD238=0,"",(AD243/AD238)-1)))</f>
        <v/>
      </c>
      <c r="AH243" s="13">
        <f>IF(ROW()&lt;23,"",AVERAGE(AD224:AD243))</f>
        <v/>
      </c>
      <c r="AI243">
        <f>IF(OR(AD243="",AH243=""),"",IF(AD243&gt;AH243,"Bull","Bear"))</f>
        <v/>
      </c>
      <c r="AJ243" s="13" t="n"/>
      <c r="AK243" s="24">
        <f>IF(OR(AJ243="",AJ242=""),"",IF(AJ242=0,"",(AJ243/AJ242)-1))</f>
        <v/>
      </c>
      <c r="AL243" s="24">
        <f>IF(ROW()&lt;7,"",IF(OR(AJ243="",AJ240=""),"",IF(AJ240=0,"",(AJ243/AJ240)-1)))</f>
        <v/>
      </c>
      <c r="AM243" s="24">
        <f>IF(ROW()&lt;9,"",IF(OR(AJ243="",AJ238=""),"",IF(AJ238=0,"",(AJ243/AJ238)-1)))</f>
        <v/>
      </c>
      <c r="AN243" s="13">
        <f>IF(ROW()&lt;23,"",AVERAGE(AJ224:AJ243))</f>
        <v/>
      </c>
      <c r="AO243">
        <f>IF(OR(AJ243="",AN243=""),"",IF(AJ243&gt;AN243,"Bull","Bear"))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8">
        <f>IFERROR((M244/M243)-1,"")</f>
        <v/>
      </c>
      <c r="O244" s="24">
        <f>IF(OR(N244="",N243=""),"",IF(N243=0,"",(N244/N243)-1))</f>
        <v/>
      </c>
      <c r="P244" s="11">
        <f>IF(ROW()&lt;7,"",IF(OR(E244="",E241=""),"",IF(E241=0,"",(E244/E241)-1)))</f>
        <v/>
      </c>
      <c r="Q244" s="24">
        <f>IF(ROW()&lt;9,"",IF(OR(E244="",E239=""),"",IF(E239=0,"",(E244/E239)-1)))</f>
        <v/>
      </c>
      <c r="R244" s="24">
        <f>IF(ROW()&lt;7,"",IF(OR(G244="",G241=""),"",IF(G241=0,"",(G244/G241)-1)))</f>
        <v/>
      </c>
      <c r="S244" s="24">
        <f>IF(ROW()&lt;9,"",IF(OR(G244="",G239=""),"",IF(G239=0,"",(G244/G239)-1)))</f>
        <v/>
      </c>
      <c r="T244" s="24">
        <f>IF(ROW()&lt;7,"",IF(OR(L244="",L241=""),"",IF(L241=0,"",(L244/L241)-1)))</f>
        <v/>
      </c>
      <c r="U244" s="24">
        <f>IF(ROW()&lt;9,"",IF(OR(L244="",L239=""),"",IF(L239=0,"",(L244/L239)-1)))</f>
        <v/>
      </c>
      <c r="V244" s="24">
        <f>IF(ROW()&lt;7,"",IF(OR(N244="",N241=""),"",IF(N241=0,"",(N244/N241)-1)))</f>
        <v/>
      </c>
      <c r="W244" s="24">
        <f>IF(ROW()&lt;9,"",IF(OR(N244="",N239=""),"",IF(N239=0,"",(N244/N239)-1)))</f>
        <v/>
      </c>
      <c r="X244" s="24">
        <f>IF(OR(F244="",M244=""),"",F244-M244)</f>
        <v/>
      </c>
      <c r="Y244" s="24">
        <f>IF(OR(P244="",T244=""),"",P244-T244)</f>
        <v/>
      </c>
      <c r="Z244" s="24">
        <f>IF(OR(Q244="",U244=""),"",Q244-U244)</f>
        <v/>
      </c>
      <c r="AA244" s="24">
        <f>IF(OR(H244="",O244=""),"",H244-O244)</f>
        <v/>
      </c>
      <c r="AB244" s="24">
        <f>IF(OR(R244="",V244=""),"",R244-V244)</f>
        <v/>
      </c>
      <c r="AC244" s="24">
        <f>IF(OR(S244="",W244=""),"",S244-W244)</f>
        <v/>
      </c>
      <c r="AD244" s="13" t="n"/>
      <c r="AE244" s="24">
        <f>IF(OR(AD244="",AD243=""),"",IF(AD243=0,"",(AD244/AD243)-1))</f>
        <v/>
      </c>
      <c r="AF244" s="24">
        <f>IF(ROW()&lt;7,"",IF(OR(AD244="",AD241=""),"",IF(AD241=0,"",(AD244/AD241)-1)))</f>
        <v/>
      </c>
      <c r="AG244" s="24">
        <f>IF(ROW()&lt;9,"",IF(OR(AD244="",AD239=""),"",IF(AD239=0,"",(AD244/AD239)-1)))</f>
        <v/>
      </c>
      <c r="AH244" s="13">
        <f>IF(ROW()&lt;23,"",AVERAGE(AD225:AD244))</f>
        <v/>
      </c>
      <c r="AI244">
        <f>IF(OR(AD244="",AH244=""),"",IF(AD244&gt;AH244,"Bull","Bear"))</f>
        <v/>
      </c>
      <c r="AJ244" s="13" t="n"/>
      <c r="AK244" s="24">
        <f>IF(OR(AJ244="",AJ243=""),"",IF(AJ243=0,"",(AJ244/AJ243)-1))</f>
        <v/>
      </c>
      <c r="AL244" s="24">
        <f>IF(ROW()&lt;7,"",IF(OR(AJ244="",AJ241=""),"",IF(AJ241=0,"",(AJ244/AJ241)-1)))</f>
        <v/>
      </c>
      <c r="AM244" s="24">
        <f>IF(ROW()&lt;9,"",IF(OR(AJ244="",AJ239=""),"",IF(AJ239=0,"",(AJ244/AJ239)-1)))</f>
        <v/>
      </c>
      <c r="AN244" s="13">
        <f>IF(ROW()&lt;23,"",AVERAGE(AJ225:AJ244))</f>
        <v/>
      </c>
      <c r="AO244">
        <f>IF(OR(AJ244="",AN244=""),"",IF(AJ244&gt;AN244,"Bull","Bear"))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8">
        <f>IFERROR((M245/M244)-1,"")</f>
        <v/>
      </c>
      <c r="O245" s="24">
        <f>IF(OR(N245="",N244=""),"",IF(N244=0,"",(N245/N244)-1))</f>
        <v/>
      </c>
      <c r="P245" s="11">
        <f>IF(ROW()&lt;7,"",IF(OR(E245="",E242=""),"",IF(E242=0,"",(E245/E242)-1)))</f>
        <v/>
      </c>
      <c r="Q245" s="24">
        <f>IF(ROW()&lt;9,"",IF(OR(E245="",E240=""),"",IF(E240=0,"",(E245/E240)-1)))</f>
        <v/>
      </c>
      <c r="R245" s="24">
        <f>IF(ROW()&lt;7,"",IF(OR(G245="",G242=""),"",IF(G242=0,"",(G245/G242)-1)))</f>
        <v/>
      </c>
      <c r="S245" s="24">
        <f>IF(ROW()&lt;9,"",IF(OR(G245="",G240=""),"",IF(G240=0,"",(G245/G240)-1)))</f>
        <v/>
      </c>
      <c r="T245" s="24">
        <f>IF(ROW()&lt;7,"",IF(OR(L245="",L242=""),"",IF(L242=0,"",(L245/L242)-1)))</f>
        <v/>
      </c>
      <c r="U245" s="24">
        <f>IF(ROW()&lt;9,"",IF(OR(L245="",L240=""),"",IF(L240=0,"",(L245/L240)-1)))</f>
        <v/>
      </c>
      <c r="V245" s="24">
        <f>IF(ROW()&lt;7,"",IF(OR(N245="",N242=""),"",IF(N242=0,"",(N245/N242)-1)))</f>
        <v/>
      </c>
      <c r="W245" s="24">
        <f>IF(ROW()&lt;9,"",IF(OR(N245="",N240=""),"",IF(N240=0,"",(N245/N240)-1)))</f>
        <v/>
      </c>
      <c r="X245" s="24">
        <f>IF(OR(F245="",M245=""),"",F245-M245)</f>
        <v/>
      </c>
      <c r="Y245" s="24">
        <f>IF(OR(P245="",T245=""),"",P245-T245)</f>
        <v/>
      </c>
      <c r="Z245" s="24">
        <f>IF(OR(Q245="",U245=""),"",Q245-U245)</f>
        <v/>
      </c>
      <c r="AA245" s="24">
        <f>IF(OR(H245="",O245=""),"",H245-O245)</f>
        <v/>
      </c>
      <c r="AB245" s="24">
        <f>IF(OR(R245="",V245=""),"",R245-V245)</f>
        <v/>
      </c>
      <c r="AC245" s="24">
        <f>IF(OR(S245="",W245=""),"",S245-W245)</f>
        <v/>
      </c>
      <c r="AD245" s="13" t="n"/>
      <c r="AE245" s="24">
        <f>IF(OR(AD245="",AD244=""),"",IF(AD244=0,"",(AD245/AD244)-1))</f>
        <v/>
      </c>
      <c r="AF245" s="24">
        <f>IF(ROW()&lt;7,"",IF(OR(AD245="",AD242=""),"",IF(AD242=0,"",(AD245/AD242)-1)))</f>
        <v/>
      </c>
      <c r="AG245" s="24">
        <f>IF(ROW()&lt;9,"",IF(OR(AD245="",AD240=""),"",IF(AD240=0,"",(AD245/AD240)-1)))</f>
        <v/>
      </c>
      <c r="AH245" s="13">
        <f>IF(ROW()&lt;23,"",AVERAGE(AD226:AD245))</f>
        <v/>
      </c>
      <c r="AI245">
        <f>IF(OR(AD245="",AH245=""),"",IF(AD245&gt;AH245,"Bull","Bear"))</f>
        <v/>
      </c>
      <c r="AJ245" s="13" t="n"/>
      <c r="AK245" s="24">
        <f>IF(OR(AJ245="",AJ244=""),"",IF(AJ244=0,"",(AJ245/AJ244)-1))</f>
        <v/>
      </c>
      <c r="AL245" s="24">
        <f>IF(ROW()&lt;7,"",IF(OR(AJ245="",AJ242=""),"",IF(AJ242=0,"",(AJ245/AJ242)-1)))</f>
        <v/>
      </c>
      <c r="AM245" s="24">
        <f>IF(ROW()&lt;9,"",IF(OR(AJ245="",AJ240=""),"",IF(AJ240=0,"",(AJ245/AJ240)-1)))</f>
        <v/>
      </c>
      <c r="AN245" s="13">
        <f>IF(ROW()&lt;23,"",AVERAGE(AJ226:AJ245))</f>
        <v/>
      </c>
      <c r="AO245">
        <f>IF(OR(AJ245="",AN245=""),"",IF(AJ245&gt;AN245,"Bull","Bear"))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8">
        <f>IFERROR((M246/M245)-1,"")</f>
        <v/>
      </c>
      <c r="O246" s="24">
        <f>IF(OR(N246="",N245=""),"",IF(N245=0,"",(N246/N245)-1))</f>
        <v/>
      </c>
      <c r="P246" s="11">
        <f>IF(ROW()&lt;7,"",IF(OR(E246="",E243=""),"",IF(E243=0,"",(E246/E243)-1)))</f>
        <v/>
      </c>
      <c r="Q246" s="24">
        <f>IF(ROW()&lt;9,"",IF(OR(E246="",E241=""),"",IF(E241=0,"",(E246/E241)-1)))</f>
        <v/>
      </c>
      <c r="R246" s="24">
        <f>IF(ROW()&lt;7,"",IF(OR(G246="",G243=""),"",IF(G243=0,"",(G246/G243)-1)))</f>
        <v/>
      </c>
      <c r="S246" s="24">
        <f>IF(ROW()&lt;9,"",IF(OR(G246="",G241=""),"",IF(G241=0,"",(G246/G241)-1)))</f>
        <v/>
      </c>
      <c r="T246" s="24">
        <f>IF(ROW()&lt;7,"",IF(OR(L246="",L243=""),"",IF(L243=0,"",(L246/L243)-1)))</f>
        <v/>
      </c>
      <c r="U246" s="24">
        <f>IF(ROW()&lt;9,"",IF(OR(L246="",L241=""),"",IF(L241=0,"",(L246/L241)-1)))</f>
        <v/>
      </c>
      <c r="V246" s="24">
        <f>IF(ROW()&lt;7,"",IF(OR(N246="",N243=""),"",IF(N243=0,"",(N246/N243)-1)))</f>
        <v/>
      </c>
      <c r="W246" s="24">
        <f>IF(ROW()&lt;9,"",IF(OR(N246="",N241=""),"",IF(N241=0,"",(N246/N241)-1)))</f>
        <v/>
      </c>
      <c r="X246" s="24">
        <f>IF(OR(F246="",M246=""),"",F246-M246)</f>
        <v/>
      </c>
      <c r="Y246" s="24">
        <f>IF(OR(P246="",T246=""),"",P246-T246)</f>
        <v/>
      </c>
      <c r="Z246" s="24">
        <f>IF(OR(Q246="",U246=""),"",Q246-U246)</f>
        <v/>
      </c>
      <c r="AA246" s="24">
        <f>IF(OR(H246="",O246=""),"",H246-O246)</f>
        <v/>
      </c>
      <c r="AB246" s="24">
        <f>IF(OR(R246="",V246=""),"",R246-V246)</f>
        <v/>
      </c>
      <c r="AC246" s="24">
        <f>IF(OR(S246="",W246=""),"",S246-W246)</f>
        <v/>
      </c>
      <c r="AD246" s="13" t="n"/>
      <c r="AE246" s="24">
        <f>IF(OR(AD246="",AD245=""),"",IF(AD245=0,"",(AD246/AD245)-1))</f>
        <v/>
      </c>
      <c r="AF246" s="24">
        <f>IF(ROW()&lt;7,"",IF(OR(AD246="",AD243=""),"",IF(AD243=0,"",(AD246/AD243)-1)))</f>
        <v/>
      </c>
      <c r="AG246" s="24">
        <f>IF(ROW()&lt;9,"",IF(OR(AD246="",AD241=""),"",IF(AD241=0,"",(AD246/AD241)-1)))</f>
        <v/>
      </c>
      <c r="AH246" s="13">
        <f>IF(ROW()&lt;23,"",AVERAGE(AD227:AD246))</f>
        <v/>
      </c>
      <c r="AI246">
        <f>IF(OR(AD246="",AH246=""),"",IF(AD246&gt;AH246,"Bull","Bear"))</f>
        <v/>
      </c>
      <c r="AJ246" s="13" t="n"/>
      <c r="AK246" s="24">
        <f>IF(OR(AJ246="",AJ245=""),"",IF(AJ245=0,"",(AJ246/AJ245)-1))</f>
        <v/>
      </c>
      <c r="AL246" s="24">
        <f>IF(ROW()&lt;7,"",IF(OR(AJ246="",AJ243=""),"",IF(AJ243=0,"",(AJ246/AJ243)-1)))</f>
        <v/>
      </c>
      <c r="AM246" s="24">
        <f>IF(ROW()&lt;9,"",IF(OR(AJ246="",AJ241=""),"",IF(AJ241=0,"",(AJ246/AJ241)-1)))</f>
        <v/>
      </c>
      <c r="AN246" s="13">
        <f>IF(ROW()&lt;23,"",AVERAGE(AJ227:AJ246))</f>
        <v/>
      </c>
      <c r="AO246">
        <f>IF(OR(AJ246="",AN246=""),"",IF(AJ246&gt;AN246,"Bull","Bear"))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8">
        <f>IFERROR((M247/M246)-1,"")</f>
        <v/>
      </c>
      <c r="O247" s="24">
        <f>IF(OR(N247="",N246=""),"",IF(N246=0,"",(N247/N246)-1))</f>
        <v/>
      </c>
      <c r="P247" s="11">
        <f>IF(ROW()&lt;7,"",IF(OR(E247="",E244=""),"",IF(E244=0,"",(E247/E244)-1)))</f>
        <v/>
      </c>
      <c r="Q247" s="24">
        <f>IF(ROW()&lt;9,"",IF(OR(E247="",E242=""),"",IF(E242=0,"",(E247/E242)-1)))</f>
        <v/>
      </c>
      <c r="R247" s="24">
        <f>IF(ROW()&lt;7,"",IF(OR(G247="",G244=""),"",IF(G244=0,"",(G247/G244)-1)))</f>
        <v/>
      </c>
      <c r="S247" s="24">
        <f>IF(ROW()&lt;9,"",IF(OR(G247="",G242=""),"",IF(G242=0,"",(G247/G242)-1)))</f>
        <v/>
      </c>
      <c r="T247" s="24">
        <f>IF(ROW()&lt;7,"",IF(OR(L247="",L244=""),"",IF(L244=0,"",(L247/L244)-1)))</f>
        <v/>
      </c>
      <c r="U247" s="24">
        <f>IF(ROW()&lt;9,"",IF(OR(L247="",L242=""),"",IF(L242=0,"",(L247/L242)-1)))</f>
        <v/>
      </c>
      <c r="V247" s="24">
        <f>IF(ROW()&lt;7,"",IF(OR(N247="",N244=""),"",IF(N244=0,"",(N247/N244)-1)))</f>
        <v/>
      </c>
      <c r="W247" s="24">
        <f>IF(ROW()&lt;9,"",IF(OR(N247="",N242=""),"",IF(N242=0,"",(N247/N242)-1)))</f>
        <v/>
      </c>
      <c r="X247" s="24">
        <f>IF(OR(F247="",M247=""),"",F247-M247)</f>
        <v/>
      </c>
      <c r="Y247" s="24">
        <f>IF(OR(P247="",T247=""),"",P247-T247)</f>
        <v/>
      </c>
      <c r="Z247" s="24">
        <f>IF(OR(Q247="",U247=""),"",Q247-U247)</f>
        <v/>
      </c>
      <c r="AA247" s="24">
        <f>IF(OR(H247="",O247=""),"",H247-O247)</f>
        <v/>
      </c>
      <c r="AB247" s="24">
        <f>IF(OR(R247="",V247=""),"",R247-V247)</f>
        <v/>
      </c>
      <c r="AC247" s="24">
        <f>IF(OR(S247="",W247=""),"",S247-W247)</f>
        <v/>
      </c>
      <c r="AD247" s="13" t="n"/>
      <c r="AE247" s="24">
        <f>IF(OR(AD247="",AD246=""),"",IF(AD246=0,"",(AD247/AD246)-1))</f>
        <v/>
      </c>
      <c r="AF247" s="24">
        <f>IF(ROW()&lt;7,"",IF(OR(AD247="",AD244=""),"",IF(AD244=0,"",(AD247/AD244)-1)))</f>
        <v/>
      </c>
      <c r="AG247" s="24">
        <f>IF(ROW()&lt;9,"",IF(OR(AD247="",AD242=""),"",IF(AD242=0,"",(AD247/AD242)-1)))</f>
        <v/>
      </c>
      <c r="AH247" s="13">
        <f>IF(ROW()&lt;23,"",AVERAGE(AD228:AD247))</f>
        <v/>
      </c>
      <c r="AI247">
        <f>IF(OR(AD247="",AH247=""),"",IF(AD247&gt;AH247,"Bull","Bear"))</f>
        <v/>
      </c>
      <c r="AJ247" s="13" t="n"/>
      <c r="AK247" s="24">
        <f>IF(OR(AJ247="",AJ246=""),"",IF(AJ246=0,"",(AJ247/AJ246)-1))</f>
        <v/>
      </c>
      <c r="AL247" s="24">
        <f>IF(ROW()&lt;7,"",IF(OR(AJ247="",AJ244=""),"",IF(AJ244=0,"",(AJ247/AJ244)-1)))</f>
        <v/>
      </c>
      <c r="AM247" s="24">
        <f>IF(ROW()&lt;9,"",IF(OR(AJ247="",AJ242=""),"",IF(AJ242=0,"",(AJ247/AJ242)-1)))</f>
        <v/>
      </c>
      <c r="AN247" s="13">
        <f>IF(ROW()&lt;23,"",AVERAGE(AJ228:AJ247))</f>
        <v/>
      </c>
      <c r="AO247">
        <f>IF(OR(AJ247="",AN247=""),"",IF(AJ247&gt;AN247,"Bull","Bear"))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8">
        <f>IFERROR((M248/M247)-1,"")</f>
        <v/>
      </c>
      <c r="O248" s="24">
        <f>IF(OR(N248="",N247=""),"",IF(N247=0,"",(N248/N247)-1))</f>
        <v/>
      </c>
      <c r="P248" s="11">
        <f>IF(ROW()&lt;7,"",IF(OR(E248="",E245=""),"",IF(E245=0,"",(E248/E245)-1)))</f>
        <v/>
      </c>
      <c r="Q248" s="24">
        <f>IF(ROW()&lt;9,"",IF(OR(E248="",E243=""),"",IF(E243=0,"",(E248/E243)-1)))</f>
        <v/>
      </c>
      <c r="R248" s="24">
        <f>IF(ROW()&lt;7,"",IF(OR(G248="",G245=""),"",IF(G245=0,"",(G248/G245)-1)))</f>
        <v/>
      </c>
      <c r="S248" s="24">
        <f>IF(ROW()&lt;9,"",IF(OR(G248="",G243=""),"",IF(G243=0,"",(G248/G243)-1)))</f>
        <v/>
      </c>
      <c r="T248" s="24">
        <f>IF(ROW()&lt;7,"",IF(OR(L248="",L245=""),"",IF(L245=0,"",(L248/L245)-1)))</f>
        <v/>
      </c>
      <c r="U248" s="24">
        <f>IF(ROW()&lt;9,"",IF(OR(L248="",L243=""),"",IF(L243=0,"",(L248/L243)-1)))</f>
        <v/>
      </c>
      <c r="V248" s="24">
        <f>IF(ROW()&lt;7,"",IF(OR(N248="",N245=""),"",IF(N245=0,"",(N248/N245)-1)))</f>
        <v/>
      </c>
      <c r="W248" s="24">
        <f>IF(ROW()&lt;9,"",IF(OR(N248="",N243=""),"",IF(N243=0,"",(N248/N243)-1)))</f>
        <v/>
      </c>
      <c r="X248" s="24">
        <f>IF(OR(F248="",M248=""),"",F248-M248)</f>
        <v/>
      </c>
      <c r="Y248" s="24">
        <f>IF(OR(P248="",T248=""),"",P248-T248)</f>
        <v/>
      </c>
      <c r="Z248" s="24">
        <f>IF(OR(Q248="",U248=""),"",Q248-U248)</f>
        <v/>
      </c>
      <c r="AA248" s="24">
        <f>IF(OR(H248="",O248=""),"",H248-O248)</f>
        <v/>
      </c>
      <c r="AB248" s="24">
        <f>IF(OR(R248="",V248=""),"",R248-V248)</f>
        <v/>
      </c>
      <c r="AC248" s="24">
        <f>IF(OR(S248="",W248=""),"",S248-W248)</f>
        <v/>
      </c>
      <c r="AD248" s="13" t="n"/>
      <c r="AE248" s="24">
        <f>IF(OR(AD248="",AD247=""),"",IF(AD247=0,"",(AD248/AD247)-1))</f>
        <v/>
      </c>
      <c r="AF248" s="24">
        <f>IF(ROW()&lt;7,"",IF(OR(AD248="",AD245=""),"",IF(AD245=0,"",(AD248/AD245)-1)))</f>
        <v/>
      </c>
      <c r="AG248" s="24">
        <f>IF(ROW()&lt;9,"",IF(OR(AD248="",AD243=""),"",IF(AD243=0,"",(AD248/AD243)-1)))</f>
        <v/>
      </c>
      <c r="AH248" s="13">
        <f>IF(ROW()&lt;23,"",AVERAGE(AD229:AD248))</f>
        <v/>
      </c>
      <c r="AI248">
        <f>IF(OR(AD248="",AH248=""),"",IF(AD248&gt;AH248,"Bull","Bear"))</f>
        <v/>
      </c>
      <c r="AJ248" s="13" t="n"/>
      <c r="AK248" s="24">
        <f>IF(OR(AJ248="",AJ247=""),"",IF(AJ247=0,"",(AJ248/AJ247)-1))</f>
        <v/>
      </c>
      <c r="AL248" s="24">
        <f>IF(ROW()&lt;7,"",IF(OR(AJ248="",AJ245=""),"",IF(AJ245=0,"",(AJ248/AJ245)-1)))</f>
        <v/>
      </c>
      <c r="AM248" s="24">
        <f>IF(ROW()&lt;9,"",IF(OR(AJ248="",AJ243=""),"",IF(AJ243=0,"",(AJ248/AJ243)-1)))</f>
        <v/>
      </c>
      <c r="AN248" s="13">
        <f>IF(ROW()&lt;23,"",AVERAGE(AJ229:AJ248))</f>
        <v/>
      </c>
      <c r="AO248">
        <f>IF(OR(AJ248="",AN248=""),"",IF(AJ248&gt;AN248,"Bull","Bear"))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8">
        <f>IFERROR((M249/M248)-1,"")</f>
        <v/>
      </c>
      <c r="O249" s="24">
        <f>IF(OR(N249="",N248=""),"",IF(N248=0,"",(N249/N248)-1))</f>
        <v/>
      </c>
      <c r="P249" s="11">
        <f>IF(ROW()&lt;7,"",IF(OR(E249="",E246=""),"",IF(E246=0,"",(E249/E246)-1)))</f>
        <v/>
      </c>
      <c r="Q249" s="24">
        <f>IF(ROW()&lt;9,"",IF(OR(E249="",E244=""),"",IF(E244=0,"",(E249/E244)-1)))</f>
        <v/>
      </c>
      <c r="R249" s="24">
        <f>IF(ROW()&lt;7,"",IF(OR(G249="",G246=""),"",IF(G246=0,"",(G249/G246)-1)))</f>
        <v/>
      </c>
      <c r="S249" s="24">
        <f>IF(ROW()&lt;9,"",IF(OR(G249="",G244=""),"",IF(G244=0,"",(G249/G244)-1)))</f>
        <v/>
      </c>
      <c r="T249" s="24">
        <f>IF(ROW()&lt;7,"",IF(OR(L249="",L246=""),"",IF(L246=0,"",(L249/L246)-1)))</f>
        <v/>
      </c>
      <c r="U249" s="24">
        <f>IF(ROW()&lt;9,"",IF(OR(L249="",L244=""),"",IF(L244=0,"",(L249/L244)-1)))</f>
        <v/>
      </c>
      <c r="V249" s="24">
        <f>IF(ROW()&lt;7,"",IF(OR(N249="",N246=""),"",IF(N246=0,"",(N249/N246)-1)))</f>
        <v/>
      </c>
      <c r="W249" s="24">
        <f>IF(ROW()&lt;9,"",IF(OR(N249="",N244=""),"",IF(N244=0,"",(N249/N244)-1)))</f>
        <v/>
      </c>
      <c r="X249" s="24">
        <f>IF(OR(F249="",M249=""),"",F249-M249)</f>
        <v/>
      </c>
      <c r="Y249" s="24">
        <f>IF(OR(P249="",T249=""),"",P249-T249)</f>
        <v/>
      </c>
      <c r="Z249" s="24">
        <f>IF(OR(Q249="",U249=""),"",Q249-U249)</f>
        <v/>
      </c>
      <c r="AA249" s="24">
        <f>IF(OR(H249="",O249=""),"",H249-O249)</f>
        <v/>
      </c>
      <c r="AB249" s="24">
        <f>IF(OR(R249="",V249=""),"",R249-V249)</f>
        <v/>
      </c>
      <c r="AC249" s="24">
        <f>IF(OR(S249="",W249=""),"",S249-W249)</f>
        <v/>
      </c>
      <c r="AD249" s="13" t="n"/>
      <c r="AE249" s="24">
        <f>IF(OR(AD249="",AD248=""),"",IF(AD248=0,"",(AD249/AD248)-1))</f>
        <v/>
      </c>
      <c r="AF249" s="24">
        <f>IF(ROW()&lt;7,"",IF(OR(AD249="",AD246=""),"",IF(AD246=0,"",(AD249/AD246)-1)))</f>
        <v/>
      </c>
      <c r="AG249" s="24">
        <f>IF(ROW()&lt;9,"",IF(OR(AD249="",AD244=""),"",IF(AD244=0,"",(AD249/AD244)-1)))</f>
        <v/>
      </c>
      <c r="AH249" s="13">
        <f>IF(ROW()&lt;23,"",AVERAGE(AD230:AD249))</f>
        <v/>
      </c>
      <c r="AI249">
        <f>IF(OR(AD249="",AH249=""),"",IF(AD249&gt;AH249,"Bull","Bear"))</f>
        <v/>
      </c>
      <c r="AJ249" s="13" t="n"/>
      <c r="AK249" s="24">
        <f>IF(OR(AJ249="",AJ248=""),"",IF(AJ248=0,"",(AJ249/AJ248)-1))</f>
        <v/>
      </c>
      <c r="AL249" s="24">
        <f>IF(ROW()&lt;7,"",IF(OR(AJ249="",AJ246=""),"",IF(AJ246=0,"",(AJ249/AJ246)-1)))</f>
        <v/>
      </c>
      <c r="AM249" s="24">
        <f>IF(ROW()&lt;9,"",IF(OR(AJ249="",AJ244=""),"",IF(AJ244=0,"",(AJ249/AJ244)-1)))</f>
        <v/>
      </c>
      <c r="AN249" s="13">
        <f>IF(ROW()&lt;23,"",AVERAGE(AJ230:AJ249))</f>
        <v/>
      </c>
      <c r="AO249">
        <f>IF(OR(AJ249="",AN249=""),"",IF(AJ249&gt;AN249,"Bull","Bear"))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8">
        <f>IFERROR((M250/M249)-1,"")</f>
        <v/>
      </c>
      <c r="O250" s="24">
        <f>IF(OR(N250="",N249=""),"",IF(N249=0,"",(N250/N249)-1))</f>
        <v/>
      </c>
      <c r="P250" s="11">
        <f>IF(ROW()&lt;7,"",IF(OR(E250="",E247=""),"",IF(E247=0,"",(E250/E247)-1)))</f>
        <v/>
      </c>
      <c r="Q250" s="24">
        <f>IF(ROW()&lt;9,"",IF(OR(E250="",E245=""),"",IF(E245=0,"",(E250/E245)-1)))</f>
        <v/>
      </c>
      <c r="R250" s="24">
        <f>IF(ROW()&lt;7,"",IF(OR(G250="",G247=""),"",IF(G247=0,"",(G250/G247)-1)))</f>
        <v/>
      </c>
      <c r="S250" s="24">
        <f>IF(ROW()&lt;9,"",IF(OR(G250="",G245=""),"",IF(G245=0,"",(G250/G245)-1)))</f>
        <v/>
      </c>
      <c r="T250" s="24">
        <f>IF(ROW()&lt;7,"",IF(OR(L250="",L247=""),"",IF(L247=0,"",(L250/L247)-1)))</f>
        <v/>
      </c>
      <c r="U250" s="24">
        <f>IF(ROW()&lt;9,"",IF(OR(L250="",L245=""),"",IF(L245=0,"",(L250/L245)-1)))</f>
        <v/>
      </c>
      <c r="V250" s="24">
        <f>IF(ROW()&lt;7,"",IF(OR(N250="",N247=""),"",IF(N247=0,"",(N250/N247)-1)))</f>
        <v/>
      </c>
      <c r="W250" s="24">
        <f>IF(ROW()&lt;9,"",IF(OR(N250="",N245=""),"",IF(N245=0,"",(N250/N245)-1)))</f>
        <v/>
      </c>
      <c r="X250" s="24">
        <f>IF(OR(F250="",M250=""),"",F250-M250)</f>
        <v/>
      </c>
      <c r="Y250" s="24">
        <f>IF(OR(P250="",T250=""),"",P250-T250)</f>
        <v/>
      </c>
      <c r="Z250" s="24">
        <f>IF(OR(Q250="",U250=""),"",Q250-U250)</f>
        <v/>
      </c>
      <c r="AA250" s="24">
        <f>IF(OR(H250="",O250=""),"",H250-O250)</f>
        <v/>
      </c>
      <c r="AB250" s="24">
        <f>IF(OR(R250="",V250=""),"",R250-V250)</f>
        <v/>
      </c>
      <c r="AC250" s="24">
        <f>IF(OR(S250="",W250=""),"",S250-W250)</f>
        <v/>
      </c>
      <c r="AD250" s="13" t="n"/>
      <c r="AE250" s="24">
        <f>IF(OR(AD250="",AD249=""),"",IF(AD249=0,"",(AD250/AD249)-1))</f>
        <v/>
      </c>
      <c r="AF250" s="24">
        <f>IF(ROW()&lt;7,"",IF(OR(AD250="",AD247=""),"",IF(AD247=0,"",(AD250/AD247)-1)))</f>
        <v/>
      </c>
      <c r="AG250" s="24">
        <f>IF(ROW()&lt;9,"",IF(OR(AD250="",AD245=""),"",IF(AD245=0,"",(AD250/AD245)-1)))</f>
        <v/>
      </c>
      <c r="AH250" s="13">
        <f>IF(ROW()&lt;23,"",AVERAGE(AD231:AD250))</f>
        <v/>
      </c>
      <c r="AI250">
        <f>IF(OR(AD250="",AH250=""),"",IF(AD250&gt;AH250,"Bull","Bear"))</f>
        <v/>
      </c>
      <c r="AJ250" s="13" t="n"/>
      <c r="AK250" s="24">
        <f>IF(OR(AJ250="",AJ249=""),"",IF(AJ249=0,"",(AJ250/AJ249)-1))</f>
        <v/>
      </c>
      <c r="AL250" s="24">
        <f>IF(ROW()&lt;7,"",IF(OR(AJ250="",AJ247=""),"",IF(AJ247=0,"",(AJ250/AJ247)-1)))</f>
        <v/>
      </c>
      <c r="AM250" s="24">
        <f>IF(ROW()&lt;9,"",IF(OR(AJ250="",AJ245=""),"",IF(AJ245=0,"",(AJ250/AJ245)-1)))</f>
        <v/>
      </c>
      <c r="AN250" s="13">
        <f>IF(ROW()&lt;23,"",AVERAGE(AJ231:AJ250))</f>
        <v/>
      </c>
      <c r="AO250">
        <f>IF(OR(AJ250="",AN250=""),"",IF(AJ250&gt;AN250,"Bull","Bear"))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8">
        <f>IFERROR((M251/M250)-1,"")</f>
        <v/>
      </c>
      <c r="O251" s="24">
        <f>IF(OR(N251="",N250=""),"",IF(N250=0,"",(N251/N250)-1))</f>
        <v/>
      </c>
      <c r="P251" s="11">
        <f>IF(ROW()&lt;7,"",IF(OR(E251="",E248=""),"",IF(E248=0,"",(E251/E248)-1)))</f>
        <v/>
      </c>
      <c r="Q251" s="24">
        <f>IF(ROW()&lt;9,"",IF(OR(E251="",E246=""),"",IF(E246=0,"",(E251/E246)-1)))</f>
        <v/>
      </c>
      <c r="R251" s="24">
        <f>IF(ROW()&lt;7,"",IF(OR(G251="",G248=""),"",IF(G248=0,"",(G251/G248)-1)))</f>
        <v/>
      </c>
      <c r="S251" s="24">
        <f>IF(ROW()&lt;9,"",IF(OR(G251="",G246=""),"",IF(G246=0,"",(G251/G246)-1)))</f>
        <v/>
      </c>
      <c r="T251" s="24">
        <f>IF(ROW()&lt;7,"",IF(OR(L251="",L248=""),"",IF(L248=0,"",(L251/L248)-1)))</f>
        <v/>
      </c>
      <c r="U251" s="24">
        <f>IF(ROW()&lt;9,"",IF(OR(L251="",L246=""),"",IF(L246=0,"",(L251/L246)-1)))</f>
        <v/>
      </c>
      <c r="V251" s="24">
        <f>IF(ROW()&lt;7,"",IF(OR(N251="",N248=""),"",IF(N248=0,"",(N251/N248)-1)))</f>
        <v/>
      </c>
      <c r="W251" s="24">
        <f>IF(ROW()&lt;9,"",IF(OR(N251="",N246=""),"",IF(N246=0,"",(N251/N246)-1)))</f>
        <v/>
      </c>
      <c r="X251" s="24">
        <f>IF(OR(F251="",M251=""),"",F251-M251)</f>
        <v/>
      </c>
      <c r="Y251" s="24">
        <f>IF(OR(P251="",T251=""),"",P251-T251)</f>
        <v/>
      </c>
      <c r="Z251" s="24">
        <f>IF(OR(Q251="",U251=""),"",Q251-U251)</f>
        <v/>
      </c>
      <c r="AA251" s="24">
        <f>IF(OR(H251="",O251=""),"",H251-O251)</f>
        <v/>
      </c>
      <c r="AB251" s="24">
        <f>IF(OR(R251="",V251=""),"",R251-V251)</f>
        <v/>
      </c>
      <c r="AC251" s="24">
        <f>IF(OR(S251="",W251=""),"",S251-W251)</f>
        <v/>
      </c>
      <c r="AD251" s="13" t="n"/>
      <c r="AE251" s="24">
        <f>IF(OR(AD251="",AD250=""),"",IF(AD250=0,"",(AD251/AD250)-1))</f>
        <v/>
      </c>
      <c r="AF251" s="24">
        <f>IF(ROW()&lt;7,"",IF(OR(AD251="",AD248=""),"",IF(AD248=0,"",(AD251/AD248)-1)))</f>
        <v/>
      </c>
      <c r="AG251" s="24">
        <f>IF(ROW()&lt;9,"",IF(OR(AD251="",AD246=""),"",IF(AD246=0,"",(AD251/AD246)-1)))</f>
        <v/>
      </c>
      <c r="AH251" s="13">
        <f>IF(ROW()&lt;23,"",AVERAGE(AD232:AD251))</f>
        <v/>
      </c>
      <c r="AI251">
        <f>IF(OR(AD251="",AH251=""),"",IF(AD251&gt;AH251,"Bull","Bear"))</f>
        <v/>
      </c>
      <c r="AJ251" s="13" t="n"/>
      <c r="AK251" s="24">
        <f>IF(OR(AJ251="",AJ250=""),"",IF(AJ250=0,"",(AJ251/AJ250)-1))</f>
        <v/>
      </c>
      <c r="AL251" s="24">
        <f>IF(ROW()&lt;7,"",IF(OR(AJ251="",AJ248=""),"",IF(AJ248=0,"",(AJ251/AJ248)-1)))</f>
        <v/>
      </c>
      <c r="AM251" s="24">
        <f>IF(ROW()&lt;9,"",IF(OR(AJ251="",AJ246=""),"",IF(AJ246=0,"",(AJ251/AJ246)-1)))</f>
        <v/>
      </c>
      <c r="AN251" s="13">
        <f>IF(ROW()&lt;23,"",AVERAGE(AJ232:AJ251))</f>
        <v/>
      </c>
      <c r="AO251">
        <f>IF(OR(AJ251="",AN251=""),"",IF(AJ251&gt;AN251,"Bull","Bear"))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8">
        <f>IFERROR((M252/M251)-1,"")</f>
        <v/>
      </c>
      <c r="O252" s="24">
        <f>IF(OR(N252="",N251=""),"",IF(N251=0,"",(N252/N251)-1))</f>
        <v/>
      </c>
      <c r="P252" s="11">
        <f>IF(ROW()&lt;7,"",IF(OR(E252="",E249=""),"",IF(E249=0,"",(E252/E249)-1)))</f>
        <v/>
      </c>
      <c r="Q252" s="24">
        <f>IF(ROW()&lt;9,"",IF(OR(E252="",E247=""),"",IF(E247=0,"",(E252/E247)-1)))</f>
        <v/>
      </c>
      <c r="R252" s="24">
        <f>IF(ROW()&lt;7,"",IF(OR(G252="",G249=""),"",IF(G249=0,"",(G252/G249)-1)))</f>
        <v/>
      </c>
      <c r="S252" s="24">
        <f>IF(ROW()&lt;9,"",IF(OR(G252="",G247=""),"",IF(G247=0,"",(G252/G247)-1)))</f>
        <v/>
      </c>
      <c r="T252" s="24">
        <f>IF(ROW()&lt;7,"",IF(OR(L252="",L249=""),"",IF(L249=0,"",(L252/L249)-1)))</f>
        <v/>
      </c>
      <c r="U252" s="24">
        <f>IF(ROW()&lt;9,"",IF(OR(L252="",L247=""),"",IF(L247=0,"",(L252/L247)-1)))</f>
        <v/>
      </c>
      <c r="V252" s="24">
        <f>IF(ROW()&lt;7,"",IF(OR(N252="",N249=""),"",IF(N249=0,"",(N252/N249)-1)))</f>
        <v/>
      </c>
      <c r="W252" s="24">
        <f>IF(ROW()&lt;9,"",IF(OR(N252="",N247=""),"",IF(N247=0,"",(N252/N247)-1)))</f>
        <v/>
      </c>
      <c r="X252" s="24">
        <f>IF(OR(F252="",M252=""),"",F252-M252)</f>
        <v/>
      </c>
      <c r="Y252" s="24">
        <f>IF(OR(P252="",T252=""),"",P252-T252)</f>
        <v/>
      </c>
      <c r="Z252" s="24">
        <f>IF(OR(Q252="",U252=""),"",Q252-U252)</f>
        <v/>
      </c>
      <c r="AA252" s="24">
        <f>IF(OR(H252="",O252=""),"",H252-O252)</f>
        <v/>
      </c>
      <c r="AB252" s="24">
        <f>IF(OR(R252="",V252=""),"",R252-V252)</f>
        <v/>
      </c>
      <c r="AC252" s="24">
        <f>IF(OR(S252="",W252=""),"",S252-W252)</f>
        <v/>
      </c>
      <c r="AD252" s="13" t="n"/>
      <c r="AE252" s="24">
        <f>IF(OR(AD252="",AD251=""),"",IF(AD251=0,"",(AD252/AD251)-1))</f>
        <v/>
      </c>
      <c r="AF252" s="24">
        <f>IF(ROW()&lt;7,"",IF(OR(AD252="",AD249=""),"",IF(AD249=0,"",(AD252/AD249)-1)))</f>
        <v/>
      </c>
      <c r="AG252" s="24">
        <f>IF(ROW()&lt;9,"",IF(OR(AD252="",AD247=""),"",IF(AD247=0,"",(AD252/AD247)-1)))</f>
        <v/>
      </c>
      <c r="AH252" s="13">
        <f>IF(ROW()&lt;23,"",AVERAGE(AD233:AD252))</f>
        <v/>
      </c>
      <c r="AI252">
        <f>IF(OR(AD252="",AH252=""),"",IF(AD252&gt;AH252,"Bull","Bear"))</f>
        <v/>
      </c>
      <c r="AJ252" s="13" t="n"/>
      <c r="AK252" s="24">
        <f>IF(OR(AJ252="",AJ251=""),"",IF(AJ251=0,"",(AJ252/AJ251)-1))</f>
        <v/>
      </c>
      <c r="AL252" s="24">
        <f>IF(ROW()&lt;7,"",IF(OR(AJ252="",AJ249=""),"",IF(AJ249=0,"",(AJ252/AJ249)-1)))</f>
        <v/>
      </c>
      <c r="AM252" s="24">
        <f>IF(ROW()&lt;9,"",IF(OR(AJ252="",AJ247=""),"",IF(AJ247=0,"",(AJ252/AJ247)-1)))</f>
        <v/>
      </c>
      <c r="AN252" s="13">
        <f>IF(ROW()&lt;23,"",AVERAGE(AJ233:AJ252))</f>
        <v/>
      </c>
      <c r="AO252">
        <f>IF(OR(AJ252="",AN252=""),"",IF(AJ252&gt;AN252,"Bull","Bear"))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8">
        <f>IFERROR((M253/M252)-1,"")</f>
        <v/>
      </c>
      <c r="O253" s="24">
        <f>IF(OR(N253="",N252=""),"",IF(N252=0,"",(N253/N252)-1))</f>
        <v/>
      </c>
      <c r="P253" s="11">
        <f>IF(ROW()&lt;7,"",IF(OR(E253="",E250=""),"",IF(E250=0,"",(E253/E250)-1)))</f>
        <v/>
      </c>
      <c r="Q253" s="24">
        <f>IF(ROW()&lt;9,"",IF(OR(E253="",E248=""),"",IF(E248=0,"",(E253/E248)-1)))</f>
        <v/>
      </c>
      <c r="R253" s="24">
        <f>IF(ROW()&lt;7,"",IF(OR(G253="",G250=""),"",IF(G250=0,"",(G253/G250)-1)))</f>
        <v/>
      </c>
      <c r="S253" s="24">
        <f>IF(ROW()&lt;9,"",IF(OR(G253="",G248=""),"",IF(G248=0,"",(G253/G248)-1)))</f>
        <v/>
      </c>
      <c r="T253" s="24">
        <f>IF(ROW()&lt;7,"",IF(OR(L253="",L250=""),"",IF(L250=0,"",(L253/L250)-1)))</f>
        <v/>
      </c>
      <c r="U253" s="24">
        <f>IF(ROW()&lt;9,"",IF(OR(L253="",L248=""),"",IF(L248=0,"",(L253/L248)-1)))</f>
        <v/>
      </c>
      <c r="V253" s="24">
        <f>IF(ROW()&lt;7,"",IF(OR(N253="",N250=""),"",IF(N250=0,"",(N253/N250)-1)))</f>
        <v/>
      </c>
      <c r="W253" s="24">
        <f>IF(ROW()&lt;9,"",IF(OR(N253="",N248=""),"",IF(N248=0,"",(N253/N248)-1)))</f>
        <v/>
      </c>
      <c r="X253" s="24">
        <f>IF(OR(F253="",M253=""),"",F253-M253)</f>
        <v/>
      </c>
      <c r="Y253" s="24">
        <f>IF(OR(P253="",T253=""),"",P253-T253)</f>
        <v/>
      </c>
      <c r="Z253" s="24">
        <f>IF(OR(Q253="",U253=""),"",Q253-U253)</f>
        <v/>
      </c>
      <c r="AA253" s="24">
        <f>IF(OR(H253="",O253=""),"",H253-O253)</f>
        <v/>
      </c>
      <c r="AB253" s="24">
        <f>IF(OR(R253="",V253=""),"",R253-V253)</f>
        <v/>
      </c>
      <c r="AC253" s="24">
        <f>IF(OR(S253="",W253=""),"",S253-W253)</f>
        <v/>
      </c>
      <c r="AD253" s="13" t="n"/>
      <c r="AE253" s="24">
        <f>IF(OR(AD253="",AD252=""),"",IF(AD252=0,"",(AD253/AD252)-1))</f>
        <v/>
      </c>
      <c r="AF253" s="24">
        <f>IF(ROW()&lt;7,"",IF(OR(AD253="",AD250=""),"",IF(AD250=0,"",(AD253/AD250)-1)))</f>
        <v/>
      </c>
      <c r="AG253" s="24">
        <f>IF(ROW()&lt;9,"",IF(OR(AD253="",AD248=""),"",IF(AD248=0,"",(AD253/AD248)-1)))</f>
        <v/>
      </c>
      <c r="AH253" s="13">
        <f>IF(ROW()&lt;23,"",AVERAGE(AD234:AD253))</f>
        <v/>
      </c>
      <c r="AI253">
        <f>IF(OR(AD253="",AH253=""),"",IF(AD253&gt;AH253,"Bull","Bear"))</f>
        <v/>
      </c>
      <c r="AJ253" s="13" t="n"/>
      <c r="AK253" s="24">
        <f>IF(OR(AJ253="",AJ252=""),"",IF(AJ252=0,"",(AJ253/AJ252)-1))</f>
        <v/>
      </c>
      <c r="AL253" s="24">
        <f>IF(ROW()&lt;7,"",IF(OR(AJ253="",AJ250=""),"",IF(AJ250=0,"",(AJ253/AJ250)-1)))</f>
        <v/>
      </c>
      <c r="AM253" s="24">
        <f>IF(ROW()&lt;9,"",IF(OR(AJ253="",AJ248=""),"",IF(AJ248=0,"",(AJ253/AJ248)-1)))</f>
        <v/>
      </c>
      <c r="AN253" s="13">
        <f>IF(ROW()&lt;23,"",AVERAGE(AJ234:AJ253))</f>
        <v/>
      </c>
      <c r="AO253">
        <f>IF(OR(AJ253="",AN253=""),"",IF(AJ253&gt;AN253,"Bull","Bear"))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8">
        <f>IFERROR((M254/M253)-1,"")</f>
        <v/>
      </c>
      <c r="O254" s="24">
        <f>IF(OR(N254="",N253=""),"",IF(N253=0,"",(N254/N253)-1))</f>
        <v/>
      </c>
      <c r="P254" s="11">
        <f>IF(ROW()&lt;7,"",IF(OR(E254="",E251=""),"",IF(E251=0,"",(E254/E251)-1)))</f>
        <v/>
      </c>
      <c r="Q254" s="24">
        <f>IF(ROW()&lt;9,"",IF(OR(E254="",E249=""),"",IF(E249=0,"",(E254/E249)-1)))</f>
        <v/>
      </c>
      <c r="R254" s="24">
        <f>IF(ROW()&lt;7,"",IF(OR(G254="",G251=""),"",IF(G251=0,"",(G254/G251)-1)))</f>
        <v/>
      </c>
      <c r="S254" s="24">
        <f>IF(ROW()&lt;9,"",IF(OR(G254="",G249=""),"",IF(G249=0,"",(G254/G249)-1)))</f>
        <v/>
      </c>
      <c r="T254" s="24">
        <f>IF(ROW()&lt;7,"",IF(OR(L254="",L251=""),"",IF(L251=0,"",(L254/L251)-1)))</f>
        <v/>
      </c>
      <c r="U254" s="24">
        <f>IF(ROW()&lt;9,"",IF(OR(L254="",L249=""),"",IF(L249=0,"",(L254/L249)-1)))</f>
        <v/>
      </c>
      <c r="V254" s="24">
        <f>IF(ROW()&lt;7,"",IF(OR(N254="",N251=""),"",IF(N251=0,"",(N254/N251)-1)))</f>
        <v/>
      </c>
      <c r="W254" s="24">
        <f>IF(ROW()&lt;9,"",IF(OR(N254="",N249=""),"",IF(N249=0,"",(N254/N249)-1)))</f>
        <v/>
      </c>
      <c r="X254" s="24">
        <f>IF(OR(F254="",M254=""),"",F254-M254)</f>
        <v/>
      </c>
      <c r="Y254" s="24">
        <f>IF(OR(P254="",T254=""),"",P254-T254)</f>
        <v/>
      </c>
      <c r="Z254" s="24">
        <f>IF(OR(Q254="",U254=""),"",Q254-U254)</f>
        <v/>
      </c>
      <c r="AA254" s="24">
        <f>IF(OR(H254="",O254=""),"",H254-O254)</f>
        <v/>
      </c>
      <c r="AB254" s="24">
        <f>IF(OR(R254="",V254=""),"",R254-V254)</f>
        <v/>
      </c>
      <c r="AC254" s="24">
        <f>IF(OR(S254="",W254=""),"",S254-W254)</f>
        <v/>
      </c>
      <c r="AD254" s="13" t="n"/>
      <c r="AE254" s="24">
        <f>IF(OR(AD254="",AD253=""),"",IF(AD253=0,"",(AD254/AD253)-1))</f>
        <v/>
      </c>
      <c r="AF254" s="24">
        <f>IF(ROW()&lt;7,"",IF(OR(AD254="",AD251=""),"",IF(AD251=0,"",(AD254/AD251)-1)))</f>
        <v/>
      </c>
      <c r="AG254" s="24">
        <f>IF(ROW()&lt;9,"",IF(OR(AD254="",AD249=""),"",IF(AD249=0,"",(AD254/AD249)-1)))</f>
        <v/>
      </c>
      <c r="AH254" s="13">
        <f>IF(ROW()&lt;23,"",AVERAGE(AD235:AD254))</f>
        <v/>
      </c>
      <c r="AI254">
        <f>IF(OR(AD254="",AH254=""),"",IF(AD254&gt;AH254,"Bull","Bear"))</f>
        <v/>
      </c>
      <c r="AJ254" s="13" t="n"/>
      <c r="AK254" s="24">
        <f>IF(OR(AJ254="",AJ253=""),"",IF(AJ253=0,"",(AJ254/AJ253)-1))</f>
        <v/>
      </c>
      <c r="AL254" s="24">
        <f>IF(ROW()&lt;7,"",IF(OR(AJ254="",AJ251=""),"",IF(AJ251=0,"",(AJ254/AJ251)-1)))</f>
        <v/>
      </c>
      <c r="AM254" s="24">
        <f>IF(ROW()&lt;9,"",IF(OR(AJ254="",AJ249=""),"",IF(AJ249=0,"",(AJ254/AJ249)-1)))</f>
        <v/>
      </c>
      <c r="AN254" s="13">
        <f>IF(ROW()&lt;23,"",AVERAGE(AJ235:AJ254))</f>
        <v/>
      </c>
      <c r="AO254">
        <f>IF(OR(AJ254="",AN254=""),"",IF(AJ254&gt;AN254,"Bull","Bear"))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8">
        <f>IFERROR((M255/M254)-1,"")</f>
        <v/>
      </c>
      <c r="O255" s="24">
        <f>IF(OR(N255="",N254=""),"",IF(N254=0,"",(N255/N254)-1))</f>
        <v/>
      </c>
      <c r="P255" s="11">
        <f>IF(ROW()&lt;7,"",IF(OR(E255="",E252=""),"",IF(E252=0,"",(E255/E252)-1)))</f>
        <v/>
      </c>
      <c r="Q255" s="24">
        <f>IF(ROW()&lt;9,"",IF(OR(E255="",E250=""),"",IF(E250=0,"",(E255/E250)-1)))</f>
        <v/>
      </c>
      <c r="R255" s="24">
        <f>IF(ROW()&lt;7,"",IF(OR(G255="",G252=""),"",IF(G252=0,"",(G255/G252)-1)))</f>
        <v/>
      </c>
      <c r="S255" s="24">
        <f>IF(ROW()&lt;9,"",IF(OR(G255="",G250=""),"",IF(G250=0,"",(G255/G250)-1)))</f>
        <v/>
      </c>
      <c r="T255" s="24">
        <f>IF(ROW()&lt;7,"",IF(OR(L255="",L252=""),"",IF(L252=0,"",(L255/L252)-1)))</f>
        <v/>
      </c>
      <c r="U255" s="24">
        <f>IF(ROW()&lt;9,"",IF(OR(L255="",L250=""),"",IF(L250=0,"",(L255/L250)-1)))</f>
        <v/>
      </c>
      <c r="V255" s="24">
        <f>IF(ROW()&lt;7,"",IF(OR(N255="",N252=""),"",IF(N252=0,"",(N255/N252)-1)))</f>
        <v/>
      </c>
      <c r="W255" s="24">
        <f>IF(ROW()&lt;9,"",IF(OR(N255="",N250=""),"",IF(N250=0,"",(N255/N250)-1)))</f>
        <v/>
      </c>
      <c r="X255" s="24">
        <f>IF(OR(F255="",M255=""),"",F255-M255)</f>
        <v/>
      </c>
      <c r="Y255" s="24">
        <f>IF(OR(P255="",T255=""),"",P255-T255)</f>
        <v/>
      </c>
      <c r="Z255" s="24">
        <f>IF(OR(Q255="",U255=""),"",Q255-U255)</f>
        <v/>
      </c>
      <c r="AA255" s="24">
        <f>IF(OR(H255="",O255=""),"",H255-O255)</f>
        <v/>
      </c>
      <c r="AB255" s="24">
        <f>IF(OR(R255="",V255=""),"",R255-V255)</f>
        <v/>
      </c>
      <c r="AC255" s="24">
        <f>IF(OR(S255="",W255=""),"",S255-W255)</f>
        <v/>
      </c>
      <c r="AD255" s="13" t="n"/>
      <c r="AE255" s="24">
        <f>IF(OR(AD255="",AD254=""),"",IF(AD254=0,"",(AD255/AD254)-1))</f>
        <v/>
      </c>
      <c r="AF255" s="24">
        <f>IF(ROW()&lt;7,"",IF(OR(AD255="",AD252=""),"",IF(AD252=0,"",(AD255/AD252)-1)))</f>
        <v/>
      </c>
      <c r="AG255" s="24">
        <f>IF(ROW()&lt;9,"",IF(OR(AD255="",AD250=""),"",IF(AD250=0,"",(AD255/AD250)-1)))</f>
        <v/>
      </c>
      <c r="AH255" s="13">
        <f>IF(ROW()&lt;23,"",AVERAGE(AD236:AD255))</f>
        <v/>
      </c>
      <c r="AI255">
        <f>IF(OR(AD255="",AH255=""),"",IF(AD255&gt;AH255,"Bull","Bear"))</f>
        <v/>
      </c>
      <c r="AJ255" s="13" t="n"/>
      <c r="AK255" s="24">
        <f>IF(OR(AJ255="",AJ254=""),"",IF(AJ254=0,"",(AJ255/AJ254)-1))</f>
        <v/>
      </c>
      <c r="AL255" s="24">
        <f>IF(ROW()&lt;7,"",IF(OR(AJ255="",AJ252=""),"",IF(AJ252=0,"",(AJ255/AJ252)-1)))</f>
        <v/>
      </c>
      <c r="AM255" s="24">
        <f>IF(ROW()&lt;9,"",IF(OR(AJ255="",AJ250=""),"",IF(AJ250=0,"",(AJ255/AJ250)-1)))</f>
        <v/>
      </c>
      <c r="AN255" s="13">
        <f>IF(ROW()&lt;23,"",AVERAGE(AJ236:AJ255))</f>
        <v/>
      </c>
      <c r="AO255">
        <f>IF(OR(AJ255="",AN255=""),"",IF(AJ255&gt;AN255,"Bull","Bear"))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8">
        <f>IFERROR((M256/M255)-1,"")</f>
        <v/>
      </c>
      <c r="O256" s="24">
        <f>IF(OR(N256="",N255=""),"",IF(N255=0,"",(N256/N255)-1))</f>
        <v/>
      </c>
      <c r="P256" s="11">
        <f>IF(ROW()&lt;7,"",IF(OR(E256="",E253=""),"",IF(E253=0,"",(E256/E253)-1)))</f>
        <v/>
      </c>
      <c r="Q256" s="24">
        <f>IF(ROW()&lt;9,"",IF(OR(E256="",E251=""),"",IF(E251=0,"",(E256/E251)-1)))</f>
        <v/>
      </c>
      <c r="R256" s="24">
        <f>IF(ROW()&lt;7,"",IF(OR(G256="",G253=""),"",IF(G253=0,"",(G256/G253)-1)))</f>
        <v/>
      </c>
      <c r="S256" s="24">
        <f>IF(ROW()&lt;9,"",IF(OR(G256="",G251=""),"",IF(G251=0,"",(G256/G251)-1)))</f>
        <v/>
      </c>
      <c r="T256" s="24">
        <f>IF(ROW()&lt;7,"",IF(OR(L256="",L253=""),"",IF(L253=0,"",(L256/L253)-1)))</f>
        <v/>
      </c>
      <c r="U256" s="24">
        <f>IF(ROW()&lt;9,"",IF(OR(L256="",L251=""),"",IF(L251=0,"",(L256/L251)-1)))</f>
        <v/>
      </c>
      <c r="V256" s="24">
        <f>IF(ROW()&lt;7,"",IF(OR(N256="",N253=""),"",IF(N253=0,"",(N256/N253)-1)))</f>
        <v/>
      </c>
      <c r="W256" s="24">
        <f>IF(ROW()&lt;9,"",IF(OR(N256="",N251=""),"",IF(N251=0,"",(N256/N251)-1)))</f>
        <v/>
      </c>
      <c r="X256" s="24">
        <f>IF(OR(F256="",M256=""),"",F256-M256)</f>
        <v/>
      </c>
      <c r="Y256" s="24">
        <f>IF(OR(P256="",T256=""),"",P256-T256)</f>
        <v/>
      </c>
      <c r="Z256" s="24">
        <f>IF(OR(Q256="",U256=""),"",Q256-U256)</f>
        <v/>
      </c>
      <c r="AA256" s="24">
        <f>IF(OR(H256="",O256=""),"",H256-O256)</f>
        <v/>
      </c>
      <c r="AB256" s="24">
        <f>IF(OR(R256="",V256=""),"",R256-V256)</f>
        <v/>
      </c>
      <c r="AC256" s="24">
        <f>IF(OR(S256="",W256=""),"",S256-W256)</f>
        <v/>
      </c>
      <c r="AD256" s="13" t="n"/>
      <c r="AE256" s="24">
        <f>IF(OR(AD256="",AD255=""),"",IF(AD255=0,"",(AD256/AD255)-1))</f>
        <v/>
      </c>
      <c r="AF256" s="24">
        <f>IF(ROW()&lt;7,"",IF(OR(AD256="",AD253=""),"",IF(AD253=0,"",(AD256/AD253)-1)))</f>
        <v/>
      </c>
      <c r="AG256" s="24">
        <f>IF(ROW()&lt;9,"",IF(OR(AD256="",AD251=""),"",IF(AD251=0,"",(AD256/AD251)-1)))</f>
        <v/>
      </c>
      <c r="AH256" s="13">
        <f>IF(ROW()&lt;23,"",AVERAGE(AD237:AD256))</f>
        <v/>
      </c>
      <c r="AI256">
        <f>IF(OR(AD256="",AH256=""),"",IF(AD256&gt;AH256,"Bull","Bear"))</f>
        <v/>
      </c>
      <c r="AJ256" s="13" t="n"/>
      <c r="AK256" s="24">
        <f>IF(OR(AJ256="",AJ255=""),"",IF(AJ255=0,"",(AJ256/AJ255)-1))</f>
        <v/>
      </c>
      <c r="AL256" s="24">
        <f>IF(ROW()&lt;7,"",IF(OR(AJ256="",AJ253=""),"",IF(AJ253=0,"",(AJ256/AJ253)-1)))</f>
        <v/>
      </c>
      <c r="AM256" s="24">
        <f>IF(ROW()&lt;9,"",IF(OR(AJ256="",AJ251=""),"",IF(AJ251=0,"",(AJ256/AJ251)-1)))</f>
        <v/>
      </c>
      <c r="AN256" s="13">
        <f>IF(ROW()&lt;23,"",AVERAGE(AJ237:AJ256))</f>
        <v/>
      </c>
      <c r="AO256">
        <f>IF(OR(AJ256="",AN256=""),"",IF(AJ256&gt;AN256,"Bull","Bear"))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8">
        <f>IFERROR((M257/M256)-1,"")</f>
        <v/>
      </c>
      <c r="O257" s="24">
        <f>IF(OR(N257="",N256=""),"",IF(N256=0,"",(N257/N256)-1))</f>
        <v/>
      </c>
      <c r="P257" s="11">
        <f>IF(ROW()&lt;7,"",IF(OR(E257="",E254=""),"",IF(E254=0,"",(E257/E254)-1)))</f>
        <v/>
      </c>
      <c r="Q257" s="24">
        <f>IF(ROW()&lt;9,"",IF(OR(E257="",E252=""),"",IF(E252=0,"",(E257/E252)-1)))</f>
        <v/>
      </c>
      <c r="R257" s="24">
        <f>IF(ROW()&lt;7,"",IF(OR(G257="",G254=""),"",IF(G254=0,"",(G257/G254)-1)))</f>
        <v/>
      </c>
      <c r="S257" s="24">
        <f>IF(ROW()&lt;9,"",IF(OR(G257="",G252=""),"",IF(G252=0,"",(G257/G252)-1)))</f>
        <v/>
      </c>
      <c r="T257" s="24">
        <f>IF(ROW()&lt;7,"",IF(OR(L257="",L254=""),"",IF(L254=0,"",(L257/L254)-1)))</f>
        <v/>
      </c>
      <c r="U257" s="24">
        <f>IF(ROW()&lt;9,"",IF(OR(L257="",L252=""),"",IF(L252=0,"",(L257/L252)-1)))</f>
        <v/>
      </c>
      <c r="V257" s="24">
        <f>IF(ROW()&lt;7,"",IF(OR(N257="",N254=""),"",IF(N254=0,"",(N257/N254)-1)))</f>
        <v/>
      </c>
      <c r="W257" s="24">
        <f>IF(ROW()&lt;9,"",IF(OR(N257="",N252=""),"",IF(N252=0,"",(N257/N252)-1)))</f>
        <v/>
      </c>
      <c r="X257" s="24">
        <f>IF(OR(F257="",M257=""),"",F257-M257)</f>
        <v/>
      </c>
      <c r="Y257" s="24">
        <f>IF(OR(P257="",T257=""),"",P257-T257)</f>
        <v/>
      </c>
      <c r="Z257" s="24">
        <f>IF(OR(Q257="",U257=""),"",Q257-U257)</f>
        <v/>
      </c>
      <c r="AA257" s="24">
        <f>IF(OR(H257="",O257=""),"",H257-O257)</f>
        <v/>
      </c>
      <c r="AB257" s="24">
        <f>IF(OR(R257="",V257=""),"",R257-V257)</f>
        <v/>
      </c>
      <c r="AC257" s="24">
        <f>IF(OR(S257="",W257=""),"",S257-W257)</f>
        <v/>
      </c>
      <c r="AD257" s="13" t="n"/>
      <c r="AE257" s="24">
        <f>IF(OR(AD257="",AD256=""),"",IF(AD256=0,"",(AD257/AD256)-1))</f>
        <v/>
      </c>
      <c r="AF257" s="24">
        <f>IF(ROW()&lt;7,"",IF(OR(AD257="",AD254=""),"",IF(AD254=0,"",(AD257/AD254)-1)))</f>
        <v/>
      </c>
      <c r="AG257" s="24">
        <f>IF(ROW()&lt;9,"",IF(OR(AD257="",AD252=""),"",IF(AD252=0,"",(AD257/AD252)-1)))</f>
        <v/>
      </c>
      <c r="AH257" s="13">
        <f>IF(ROW()&lt;23,"",AVERAGE(AD238:AD257))</f>
        <v/>
      </c>
      <c r="AI257">
        <f>IF(OR(AD257="",AH257=""),"",IF(AD257&gt;AH257,"Bull","Bear"))</f>
        <v/>
      </c>
      <c r="AJ257" s="13" t="n"/>
      <c r="AK257" s="24">
        <f>IF(OR(AJ257="",AJ256=""),"",IF(AJ256=0,"",(AJ257/AJ256)-1))</f>
        <v/>
      </c>
      <c r="AL257" s="24">
        <f>IF(ROW()&lt;7,"",IF(OR(AJ257="",AJ254=""),"",IF(AJ254=0,"",(AJ257/AJ254)-1)))</f>
        <v/>
      </c>
      <c r="AM257" s="24">
        <f>IF(ROW()&lt;9,"",IF(OR(AJ257="",AJ252=""),"",IF(AJ252=0,"",(AJ257/AJ252)-1)))</f>
        <v/>
      </c>
      <c r="AN257" s="13">
        <f>IF(ROW()&lt;23,"",AVERAGE(AJ238:AJ257))</f>
        <v/>
      </c>
      <c r="AO257">
        <f>IF(OR(AJ257="",AN257=""),"",IF(AJ257&gt;AN257,"Bull","Bear"))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8">
        <f>IFERROR((M258/M257)-1,"")</f>
        <v/>
      </c>
      <c r="O258" s="24">
        <f>IF(OR(N258="",N257=""),"",IF(N257=0,"",(N258/N257)-1))</f>
        <v/>
      </c>
      <c r="P258" s="11">
        <f>IF(ROW()&lt;7,"",IF(OR(E258="",E255=""),"",IF(E255=0,"",(E258/E255)-1)))</f>
        <v/>
      </c>
      <c r="Q258" s="24">
        <f>IF(ROW()&lt;9,"",IF(OR(E258="",E253=""),"",IF(E253=0,"",(E258/E253)-1)))</f>
        <v/>
      </c>
      <c r="R258" s="24">
        <f>IF(ROW()&lt;7,"",IF(OR(G258="",G255=""),"",IF(G255=0,"",(G258/G255)-1)))</f>
        <v/>
      </c>
      <c r="S258" s="24">
        <f>IF(ROW()&lt;9,"",IF(OR(G258="",G253=""),"",IF(G253=0,"",(G258/G253)-1)))</f>
        <v/>
      </c>
      <c r="T258" s="24">
        <f>IF(ROW()&lt;7,"",IF(OR(L258="",L255=""),"",IF(L255=0,"",(L258/L255)-1)))</f>
        <v/>
      </c>
      <c r="U258" s="24">
        <f>IF(ROW()&lt;9,"",IF(OR(L258="",L253=""),"",IF(L253=0,"",(L258/L253)-1)))</f>
        <v/>
      </c>
      <c r="V258" s="24">
        <f>IF(ROW()&lt;7,"",IF(OR(N258="",N255=""),"",IF(N255=0,"",(N258/N255)-1)))</f>
        <v/>
      </c>
      <c r="W258" s="24">
        <f>IF(ROW()&lt;9,"",IF(OR(N258="",N253=""),"",IF(N253=0,"",(N258/N253)-1)))</f>
        <v/>
      </c>
      <c r="X258" s="24">
        <f>IF(OR(F258="",M258=""),"",F258-M258)</f>
        <v/>
      </c>
      <c r="Y258" s="24">
        <f>IF(OR(P258="",T258=""),"",P258-T258)</f>
        <v/>
      </c>
      <c r="Z258" s="24">
        <f>IF(OR(Q258="",U258=""),"",Q258-U258)</f>
        <v/>
      </c>
      <c r="AA258" s="24">
        <f>IF(OR(H258="",O258=""),"",H258-O258)</f>
        <v/>
      </c>
      <c r="AB258" s="24">
        <f>IF(OR(R258="",V258=""),"",R258-V258)</f>
        <v/>
      </c>
      <c r="AC258" s="24">
        <f>IF(OR(S258="",W258=""),"",S258-W258)</f>
        <v/>
      </c>
      <c r="AD258" s="13" t="n"/>
      <c r="AE258" s="24">
        <f>IF(OR(AD258="",AD257=""),"",IF(AD257=0,"",(AD258/AD257)-1))</f>
        <v/>
      </c>
      <c r="AF258" s="24">
        <f>IF(ROW()&lt;7,"",IF(OR(AD258="",AD255=""),"",IF(AD255=0,"",(AD258/AD255)-1)))</f>
        <v/>
      </c>
      <c r="AG258" s="24">
        <f>IF(ROW()&lt;9,"",IF(OR(AD258="",AD253=""),"",IF(AD253=0,"",(AD258/AD253)-1)))</f>
        <v/>
      </c>
      <c r="AH258" s="13">
        <f>IF(ROW()&lt;23,"",AVERAGE(AD239:AD258))</f>
        <v/>
      </c>
      <c r="AI258">
        <f>IF(OR(AD258="",AH258=""),"",IF(AD258&gt;AH258,"Bull","Bear"))</f>
        <v/>
      </c>
      <c r="AJ258" s="13" t="n"/>
      <c r="AK258" s="24">
        <f>IF(OR(AJ258="",AJ257=""),"",IF(AJ257=0,"",(AJ258/AJ257)-1))</f>
        <v/>
      </c>
      <c r="AL258" s="24">
        <f>IF(ROW()&lt;7,"",IF(OR(AJ258="",AJ255=""),"",IF(AJ255=0,"",(AJ258/AJ255)-1)))</f>
        <v/>
      </c>
      <c r="AM258" s="24">
        <f>IF(ROW()&lt;9,"",IF(OR(AJ258="",AJ253=""),"",IF(AJ253=0,"",(AJ258/AJ253)-1)))</f>
        <v/>
      </c>
      <c r="AN258" s="13">
        <f>IF(ROW()&lt;23,"",AVERAGE(AJ239:AJ258))</f>
        <v/>
      </c>
      <c r="AO258">
        <f>IF(OR(AJ258="",AN258=""),"",IF(AJ258&gt;AN258,"Bull","Bear"))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8">
        <f>IFERROR((M259/M258)-1,"")</f>
        <v/>
      </c>
      <c r="O259" s="24">
        <f>IF(OR(N259="",N258=""),"",IF(N258=0,"",(N259/N258)-1))</f>
        <v/>
      </c>
      <c r="P259" s="11">
        <f>IF(ROW()&lt;7,"",IF(OR(E259="",E256=""),"",IF(E256=0,"",(E259/E256)-1)))</f>
        <v/>
      </c>
      <c r="Q259" s="24">
        <f>IF(ROW()&lt;9,"",IF(OR(E259="",E254=""),"",IF(E254=0,"",(E259/E254)-1)))</f>
        <v/>
      </c>
      <c r="R259" s="24">
        <f>IF(ROW()&lt;7,"",IF(OR(G259="",G256=""),"",IF(G256=0,"",(G259/G256)-1)))</f>
        <v/>
      </c>
      <c r="S259" s="24">
        <f>IF(ROW()&lt;9,"",IF(OR(G259="",G254=""),"",IF(G254=0,"",(G259/G254)-1)))</f>
        <v/>
      </c>
      <c r="T259" s="24">
        <f>IF(ROW()&lt;7,"",IF(OR(L259="",L256=""),"",IF(L256=0,"",(L259/L256)-1)))</f>
        <v/>
      </c>
      <c r="U259" s="24">
        <f>IF(ROW()&lt;9,"",IF(OR(L259="",L254=""),"",IF(L254=0,"",(L259/L254)-1)))</f>
        <v/>
      </c>
      <c r="V259" s="24">
        <f>IF(ROW()&lt;7,"",IF(OR(N259="",N256=""),"",IF(N256=0,"",(N259/N256)-1)))</f>
        <v/>
      </c>
      <c r="W259" s="24">
        <f>IF(ROW()&lt;9,"",IF(OR(N259="",N254=""),"",IF(N254=0,"",(N259/N254)-1)))</f>
        <v/>
      </c>
      <c r="X259" s="24">
        <f>IF(OR(F259="",M259=""),"",F259-M259)</f>
        <v/>
      </c>
      <c r="Y259" s="24">
        <f>IF(OR(P259="",T259=""),"",P259-T259)</f>
        <v/>
      </c>
      <c r="Z259" s="24">
        <f>IF(OR(Q259="",U259=""),"",Q259-U259)</f>
        <v/>
      </c>
      <c r="AA259" s="24">
        <f>IF(OR(H259="",O259=""),"",H259-O259)</f>
        <v/>
      </c>
      <c r="AB259" s="24">
        <f>IF(OR(R259="",V259=""),"",R259-V259)</f>
        <v/>
      </c>
      <c r="AC259" s="24">
        <f>IF(OR(S259="",W259=""),"",S259-W259)</f>
        <v/>
      </c>
      <c r="AD259" s="13" t="n"/>
      <c r="AE259" s="24">
        <f>IF(OR(AD259="",AD258=""),"",IF(AD258=0,"",(AD259/AD258)-1))</f>
        <v/>
      </c>
      <c r="AF259" s="24">
        <f>IF(ROW()&lt;7,"",IF(OR(AD259="",AD256=""),"",IF(AD256=0,"",(AD259/AD256)-1)))</f>
        <v/>
      </c>
      <c r="AG259" s="24">
        <f>IF(ROW()&lt;9,"",IF(OR(AD259="",AD254=""),"",IF(AD254=0,"",(AD259/AD254)-1)))</f>
        <v/>
      </c>
      <c r="AH259" s="13">
        <f>IF(ROW()&lt;23,"",AVERAGE(AD240:AD259))</f>
        <v/>
      </c>
      <c r="AI259">
        <f>IF(OR(AD259="",AH259=""),"",IF(AD259&gt;AH259,"Bull","Bear"))</f>
        <v/>
      </c>
      <c r="AJ259" s="13" t="n"/>
      <c r="AK259" s="24">
        <f>IF(OR(AJ259="",AJ258=""),"",IF(AJ258=0,"",(AJ259/AJ258)-1))</f>
        <v/>
      </c>
      <c r="AL259" s="24">
        <f>IF(ROW()&lt;7,"",IF(OR(AJ259="",AJ256=""),"",IF(AJ256=0,"",(AJ259/AJ256)-1)))</f>
        <v/>
      </c>
      <c r="AM259" s="24">
        <f>IF(ROW()&lt;9,"",IF(OR(AJ259="",AJ254=""),"",IF(AJ254=0,"",(AJ259/AJ254)-1)))</f>
        <v/>
      </c>
      <c r="AN259" s="13">
        <f>IF(ROW()&lt;23,"",AVERAGE(AJ240:AJ259))</f>
        <v/>
      </c>
      <c r="AO259">
        <f>IF(OR(AJ259="",AN259=""),"",IF(AJ259&gt;AN259,"Bull","Bear"))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8">
        <f>IFERROR((M260/M259)-1,"")</f>
        <v/>
      </c>
      <c r="O260" s="24">
        <f>IF(OR(N260="",N259=""),"",IF(N259=0,"",(N260/N259)-1))</f>
        <v/>
      </c>
      <c r="P260" s="11">
        <f>IF(ROW()&lt;7,"",IF(OR(E260="",E257=""),"",IF(E257=0,"",(E260/E257)-1)))</f>
        <v/>
      </c>
      <c r="Q260" s="24">
        <f>IF(ROW()&lt;9,"",IF(OR(E260="",E255=""),"",IF(E255=0,"",(E260/E255)-1)))</f>
        <v/>
      </c>
      <c r="R260" s="24">
        <f>IF(ROW()&lt;7,"",IF(OR(G260="",G257=""),"",IF(G257=0,"",(G260/G257)-1)))</f>
        <v/>
      </c>
      <c r="S260" s="24">
        <f>IF(ROW()&lt;9,"",IF(OR(G260="",G255=""),"",IF(G255=0,"",(G260/G255)-1)))</f>
        <v/>
      </c>
      <c r="T260" s="24">
        <f>IF(ROW()&lt;7,"",IF(OR(L260="",L257=""),"",IF(L257=0,"",(L260/L257)-1)))</f>
        <v/>
      </c>
      <c r="U260" s="24">
        <f>IF(ROW()&lt;9,"",IF(OR(L260="",L255=""),"",IF(L255=0,"",(L260/L255)-1)))</f>
        <v/>
      </c>
      <c r="V260" s="24">
        <f>IF(ROW()&lt;7,"",IF(OR(N260="",N257=""),"",IF(N257=0,"",(N260/N257)-1)))</f>
        <v/>
      </c>
      <c r="W260" s="24">
        <f>IF(ROW()&lt;9,"",IF(OR(N260="",N255=""),"",IF(N255=0,"",(N260/N255)-1)))</f>
        <v/>
      </c>
      <c r="X260" s="24">
        <f>IF(OR(F260="",M260=""),"",F260-M260)</f>
        <v/>
      </c>
      <c r="Y260" s="24">
        <f>IF(OR(P260="",T260=""),"",P260-T260)</f>
        <v/>
      </c>
      <c r="Z260" s="24">
        <f>IF(OR(Q260="",U260=""),"",Q260-U260)</f>
        <v/>
      </c>
      <c r="AA260" s="24">
        <f>IF(OR(H260="",O260=""),"",H260-O260)</f>
        <v/>
      </c>
      <c r="AB260" s="24">
        <f>IF(OR(R260="",V260=""),"",R260-V260)</f>
        <v/>
      </c>
      <c r="AC260" s="24">
        <f>IF(OR(S260="",W260=""),"",S260-W260)</f>
        <v/>
      </c>
      <c r="AD260" s="13" t="n"/>
      <c r="AE260" s="24">
        <f>IF(OR(AD260="",AD259=""),"",IF(AD259=0,"",(AD260/AD259)-1))</f>
        <v/>
      </c>
      <c r="AF260" s="24">
        <f>IF(ROW()&lt;7,"",IF(OR(AD260="",AD257=""),"",IF(AD257=0,"",(AD260/AD257)-1)))</f>
        <v/>
      </c>
      <c r="AG260" s="24">
        <f>IF(ROW()&lt;9,"",IF(OR(AD260="",AD255=""),"",IF(AD255=0,"",(AD260/AD255)-1)))</f>
        <v/>
      </c>
      <c r="AH260" s="13">
        <f>IF(ROW()&lt;23,"",AVERAGE(AD241:AD260))</f>
        <v/>
      </c>
      <c r="AI260">
        <f>IF(OR(AD260="",AH260=""),"",IF(AD260&gt;AH260,"Bull","Bear"))</f>
        <v/>
      </c>
      <c r="AJ260" s="13" t="n"/>
      <c r="AK260" s="24">
        <f>IF(OR(AJ260="",AJ259=""),"",IF(AJ259=0,"",(AJ260/AJ259)-1))</f>
        <v/>
      </c>
      <c r="AL260" s="24">
        <f>IF(ROW()&lt;7,"",IF(OR(AJ260="",AJ257=""),"",IF(AJ257=0,"",(AJ260/AJ257)-1)))</f>
        <v/>
      </c>
      <c r="AM260" s="24">
        <f>IF(ROW()&lt;9,"",IF(OR(AJ260="",AJ255=""),"",IF(AJ255=0,"",(AJ260/AJ255)-1)))</f>
        <v/>
      </c>
      <c r="AN260" s="13">
        <f>IF(ROW()&lt;23,"",AVERAGE(AJ241:AJ260))</f>
        <v/>
      </c>
      <c r="AO260">
        <f>IF(OR(AJ260="",AN260=""),"",IF(AJ260&gt;AN260,"Bull","Bear"))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8">
        <f>IFERROR((M261/M260)-1,"")</f>
        <v/>
      </c>
      <c r="O261" s="24">
        <f>IF(OR(N261="",N260=""),"",IF(N260=0,"",(N261/N260)-1))</f>
        <v/>
      </c>
      <c r="P261" s="11">
        <f>IF(ROW()&lt;7,"",IF(OR(E261="",E258=""),"",IF(E258=0,"",(E261/E258)-1)))</f>
        <v/>
      </c>
      <c r="Q261" s="24">
        <f>IF(ROW()&lt;9,"",IF(OR(E261="",E256=""),"",IF(E256=0,"",(E261/E256)-1)))</f>
        <v/>
      </c>
      <c r="R261" s="24">
        <f>IF(ROW()&lt;7,"",IF(OR(G261="",G258=""),"",IF(G258=0,"",(G261/G258)-1)))</f>
        <v/>
      </c>
      <c r="S261" s="24">
        <f>IF(ROW()&lt;9,"",IF(OR(G261="",G256=""),"",IF(G256=0,"",(G261/G256)-1)))</f>
        <v/>
      </c>
      <c r="T261" s="24">
        <f>IF(ROW()&lt;7,"",IF(OR(L261="",L258=""),"",IF(L258=0,"",(L261/L258)-1)))</f>
        <v/>
      </c>
      <c r="U261" s="24">
        <f>IF(ROW()&lt;9,"",IF(OR(L261="",L256=""),"",IF(L256=0,"",(L261/L256)-1)))</f>
        <v/>
      </c>
      <c r="V261" s="24">
        <f>IF(ROW()&lt;7,"",IF(OR(N261="",N258=""),"",IF(N258=0,"",(N261/N258)-1)))</f>
        <v/>
      </c>
      <c r="W261" s="24">
        <f>IF(ROW()&lt;9,"",IF(OR(N261="",N256=""),"",IF(N256=0,"",(N261/N256)-1)))</f>
        <v/>
      </c>
      <c r="X261" s="24">
        <f>IF(OR(F261="",M261=""),"",F261-M261)</f>
        <v/>
      </c>
      <c r="Y261" s="24">
        <f>IF(OR(P261="",T261=""),"",P261-T261)</f>
        <v/>
      </c>
      <c r="Z261" s="24">
        <f>IF(OR(Q261="",U261=""),"",Q261-U261)</f>
        <v/>
      </c>
      <c r="AA261" s="24">
        <f>IF(OR(H261="",O261=""),"",H261-O261)</f>
        <v/>
      </c>
      <c r="AB261" s="24">
        <f>IF(OR(R261="",V261=""),"",R261-V261)</f>
        <v/>
      </c>
      <c r="AC261" s="24">
        <f>IF(OR(S261="",W261=""),"",S261-W261)</f>
        <v/>
      </c>
      <c r="AD261" s="13" t="n"/>
      <c r="AE261" s="24">
        <f>IF(OR(AD261="",AD260=""),"",IF(AD260=0,"",(AD261/AD260)-1))</f>
        <v/>
      </c>
      <c r="AF261" s="24">
        <f>IF(ROW()&lt;7,"",IF(OR(AD261="",AD258=""),"",IF(AD258=0,"",(AD261/AD258)-1)))</f>
        <v/>
      </c>
      <c r="AG261" s="24">
        <f>IF(ROW()&lt;9,"",IF(OR(AD261="",AD256=""),"",IF(AD256=0,"",(AD261/AD256)-1)))</f>
        <v/>
      </c>
      <c r="AH261" s="13">
        <f>IF(ROW()&lt;23,"",AVERAGE(AD242:AD261))</f>
        <v/>
      </c>
      <c r="AI261">
        <f>IF(OR(AD261="",AH261=""),"",IF(AD261&gt;AH261,"Bull","Bear"))</f>
        <v/>
      </c>
      <c r="AJ261" s="13" t="n"/>
      <c r="AK261" s="24">
        <f>IF(OR(AJ261="",AJ260=""),"",IF(AJ260=0,"",(AJ261/AJ260)-1))</f>
        <v/>
      </c>
      <c r="AL261" s="24">
        <f>IF(ROW()&lt;7,"",IF(OR(AJ261="",AJ258=""),"",IF(AJ258=0,"",(AJ261/AJ258)-1)))</f>
        <v/>
      </c>
      <c r="AM261" s="24">
        <f>IF(ROW()&lt;9,"",IF(OR(AJ261="",AJ256=""),"",IF(AJ256=0,"",(AJ261/AJ256)-1)))</f>
        <v/>
      </c>
      <c r="AN261" s="13">
        <f>IF(ROW()&lt;23,"",AVERAGE(AJ242:AJ261))</f>
        <v/>
      </c>
      <c r="AO261">
        <f>IF(OR(AJ261="",AN261=""),"",IF(AJ261&gt;AN261,"Bull","Bear"))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8">
        <f>IFERROR((M262/M261)-1,"")</f>
        <v/>
      </c>
      <c r="O262" s="24">
        <f>IF(OR(N262="",N261=""),"",IF(N261=0,"",(N262/N261)-1))</f>
        <v/>
      </c>
      <c r="P262" s="11">
        <f>IF(ROW()&lt;7,"",IF(OR(E262="",E259=""),"",IF(E259=0,"",(E262/E259)-1)))</f>
        <v/>
      </c>
      <c r="Q262" s="24">
        <f>IF(ROW()&lt;9,"",IF(OR(E262="",E257=""),"",IF(E257=0,"",(E262/E257)-1)))</f>
        <v/>
      </c>
      <c r="R262" s="24">
        <f>IF(ROW()&lt;7,"",IF(OR(G262="",G259=""),"",IF(G259=0,"",(G262/G259)-1)))</f>
        <v/>
      </c>
      <c r="S262" s="24">
        <f>IF(ROW()&lt;9,"",IF(OR(G262="",G257=""),"",IF(G257=0,"",(G262/G257)-1)))</f>
        <v/>
      </c>
      <c r="T262" s="24">
        <f>IF(ROW()&lt;7,"",IF(OR(L262="",L259=""),"",IF(L259=0,"",(L262/L259)-1)))</f>
        <v/>
      </c>
      <c r="U262" s="24">
        <f>IF(ROW()&lt;9,"",IF(OR(L262="",L257=""),"",IF(L257=0,"",(L262/L257)-1)))</f>
        <v/>
      </c>
      <c r="V262" s="24">
        <f>IF(ROW()&lt;7,"",IF(OR(N262="",N259=""),"",IF(N259=0,"",(N262/N259)-1)))</f>
        <v/>
      </c>
      <c r="W262" s="24">
        <f>IF(ROW()&lt;9,"",IF(OR(N262="",N257=""),"",IF(N257=0,"",(N262/N257)-1)))</f>
        <v/>
      </c>
      <c r="X262" s="24">
        <f>IF(OR(F262="",M262=""),"",F262-M262)</f>
        <v/>
      </c>
      <c r="Y262" s="24">
        <f>IF(OR(P262="",T262=""),"",P262-T262)</f>
        <v/>
      </c>
      <c r="Z262" s="24">
        <f>IF(OR(Q262="",U262=""),"",Q262-U262)</f>
        <v/>
      </c>
      <c r="AA262" s="24">
        <f>IF(OR(H262="",O262=""),"",H262-O262)</f>
        <v/>
      </c>
      <c r="AB262" s="24">
        <f>IF(OR(R262="",V262=""),"",R262-V262)</f>
        <v/>
      </c>
      <c r="AC262" s="24">
        <f>IF(OR(S262="",W262=""),"",S262-W262)</f>
        <v/>
      </c>
      <c r="AD262" s="13" t="n"/>
      <c r="AE262" s="24">
        <f>IF(OR(AD262="",AD261=""),"",IF(AD261=0,"",(AD262/AD261)-1))</f>
        <v/>
      </c>
      <c r="AF262" s="24">
        <f>IF(ROW()&lt;7,"",IF(OR(AD262="",AD259=""),"",IF(AD259=0,"",(AD262/AD259)-1)))</f>
        <v/>
      </c>
      <c r="AG262" s="24">
        <f>IF(ROW()&lt;9,"",IF(OR(AD262="",AD257=""),"",IF(AD257=0,"",(AD262/AD257)-1)))</f>
        <v/>
      </c>
      <c r="AH262" s="13">
        <f>IF(ROW()&lt;23,"",AVERAGE(AD243:AD262))</f>
        <v/>
      </c>
      <c r="AI262">
        <f>IF(OR(AD262="",AH262=""),"",IF(AD262&gt;AH262,"Bull","Bear"))</f>
        <v/>
      </c>
      <c r="AJ262" s="13" t="n"/>
      <c r="AK262" s="24">
        <f>IF(OR(AJ262="",AJ261=""),"",IF(AJ261=0,"",(AJ262/AJ261)-1))</f>
        <v/>
      </c>
      <c r="AL262" s="24">
        <f>IF(ROW()&lt;7,"",IF(OR(AJ262="",AJ259=""),"",IF(AJ259=0,"",(AJ262/AJ259)-1)))</f>
        <v/>
      </c>
      <c r="AM262" s="24">
        <f>IF(ROW()&lt;9,"",IF(OR(AJ262="",AJ257=""),"",IF(AJ257=0,"",(AJ262/AJ257)-1)))</f>
        <v/>
      </c>
      <c r="AN262" s="13">
        <f>IF(ROW()&lt;23,"",AVERAGE(AJ243:AJ262))</f>
        <v/>
      </c>
      <c r="AO262">
        <f>IF(OR(AJ262="",AN262=""),"",IF(AJ262&gt;AN262,"Bull","Bear"))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8">
        <f>IFERROR((M263/M262)-1,"")</f>
        <v/>
      </c>
      <c r="O263" s="24">
        <f>IF(OR(N263="",N262=""),"",IF(N262=0,"",(N263/N262)-1))</f>
        <v/>
      </c>
      <c r="P263" s="11">
        <f>IF(ROW()&lt;7,"",IF(OR(E263="",E260=""),"",IF(E260=0,"",(E263/E260)-1)))</f>
        <v/>
      </c>
      <c r="Q263" s="24">
        <f>IF(ROW()&lt;9,"",IF(OR(E263="",E258=""),"",IF(E258=0,"",(E263/E258)-1)))</f>
        <v/>
      </c>
      <c r="R263" s="24">
        <f>IF(ROW()&lt;7,"",IF(OR(G263="",G260=""),"",IF(G260=0,"",(G263/G260)-1)))</f>
        <v/>
      </c>
      <c r="S263" s="24">
        <f>IF(ROW()&lt;9,"",IF(OR(G263="",G258=""),"",IF(G258=0,"",(G263/G258)-1)))</f>
        <v/>
      </c>
      <c r="T263" s="24">
        <f>IF(ROW()&lt;7,"",IF(OR(L263="",L260=""),"",IF(L260=0,"",(L263/L260)-1)))</f>
        <v/>
      </c>
      <c r="U263" s="24">
        <f>IF(ROW()&lt;9,"",IF(OR(L263="",L258=""),"",IF(L258=0,"",(L263/L258)-1)))</f>
        <v/>
      </c>
      <c r="V263" s="24">
        <f>IF(ROW()&lt;7,"",IF(OR(N263="",N260=""),"",IF(N260=0,"",(N263/N260)-1)))</f>
        <v/>
      </c>
      <c r="W263" s="24">
        <f>IF(ROW()&lt;9,"",IF(OR(N263="",N258=""),"",IF(N258=0,"",(N263/N258)-1)))</f>
        <v/>
      </c>
      <c r="X263" s="24">
        <f>IF(OR(F263="",M263=""),"",F263-M263)</f>
        <v/>
      </c>
      <c r="Y263" s="24">
        <f>IF(OR(P263="",T263=""),"",P263-T263)</f>
        <v/>
      </c>
      <c r="Z263" s="24">
        <f>IF(OR(Q263="",U263=""),"",Q263-U263)</f>
        <v/>
      </c>
      <c r="AA263" s="24">
        <f>IF(OR(H263="",O263=""),"",H263-O263)</f>
        <v/>
      </c>
      <c r="AB263" s="24">
        <f>IF(OR(R263="",V263=""),"",R263-V263)</f>
        <v/>
      </c>
      <c r="AC263" s="24">
        <f>IF(OR(S263="",W263=""),"",S263-W263)</f>
        <v/>
      </c>
      <c r="AD263" s="13" t="n"/>
      <c r="AE263" s="24">
        <f>IF(OR(AD263="",AD262=""),"",IF(AD262=0,"",(AD263/AD262)-1))</f>
        <v/>
      </c>
      <c r="AF263" s="24">
        <f>IF(ROW()&lt;7,"",IF(OR(AD263="",AD260=""),"",IF(AD260=0,"",(AD263/AD260)-1)))</f>
        <v/>
      </c>
      <c r="AG263" s="24">
        <f>IF(ROW()&lt;9,"",IF(OR(AD263="",AD258=""),"",IF(AD258=0,"",(AD263/AD258)-1)))</f>
        <v/>
      </c>
      <c r="AH263" s="13">
        <f>IF(ROW()&lt;23,"",AVERAGE(AD244:AD263))</f>
        <v/>
      </c>
      <c r="AI263">
        <f>IF(OR(AD263="",AH263=""),"",IF(AD263&gt;AH263,"Bull","Bear"))</f>
        <v/>
      </c>
      <c r="AJ263" s="13" t="n"/>
      <c r="AK263" s="24">
        <f>IF(OR(AJ263="",AJ262=""),"",IF(AJ262=0,"",(AJ263/AJ262)-1))</f>
        <v/>
      </c>
      <c r="AL263" s="24">
        <f>IF(ROW()&lt;7,"",IF(OR(AJ263="",AJ260=""),"",IF(AJ260=0,"",(AJ263/AJ260)-1)))</f>
        <v/>
      </c>
      <c r="AM263" s="24">
        <f>IF(ROW()&lt;9,"",IF(OR(AJ263="",AJ258=""),"",IF(AJ258=0,"",(AJ263/AJ258)-1)))</f>
        <v/>
      </c>
      <c r="AN263" s="13">
        <f>IF(ROW()&lt;23,"",AVERAGE(AJ244:AJ263))</f>
        <v/>
      </c>
      <c r="AO263">
        <f>IF(OR(AJ263="",AN263=""),"",IF(AJ263&gt;AN263,"Bull","Bear"))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8">
        <f>IFERROR((M264/M263)-1,"")</f>
        <v/>
      </c>
      <c r="O264" s="24">
        <f>IF(OR(N264="",N263=""),"",IF(N263=0,"",(N264/N263)-1))</f>
        <v/>
      </c>
      <c r="P264" s="11">
        <f>IF(ROW()&lt;7,"",IF(OR(E264="",E261=""),"",IF(E261=0,"",(E264/E261)-1)))</f>
        <v/>
      </c>
      <c r="Q264" s="24">
        <f>IF(ROW()&lt;9,"",IF(OR(E264="",E259=""),"",IF(E259=0,"",(E264/E259)-1)))</f>
        <v/>
      </c>
      <c r="R264" s="24">
        <f>IF(ROW()&lt;7,"",IF(OR(G264="",G261=""),"",IF(G261=0,"",(G264/G261)-1)))</f>
        <v/>
      </c>
      <c r="S264" s="24">
        <f>IF(ROW()&lt;9,"",IF(OR(G264="",G259=""),"",IF(G259=0,"",(G264/G259)-1)))</f>
        <v/>
      </c>
      <c r="T264" s="24">
        <f>IF(ROW()&lt;7,"",IF(OR(L264="",L261=""),"",IF(L261=0,"",(L264/L261)-1)))</f>
        <v/>
      </c>
      <c r="U264" s="24">
        <f>IF(ROW()&lt;9,"",IF(OR(L264="",L259=""),"",IF(L259=0,"",(L264/L259)-1)))</f>
        <v/>
      </c>
      <c r="V264" s="24">
        <f>IF(ROW()&lt;7,"",IF(OR(N264="",N261=""),"",IF(N261=0,"",(N264/N261)-1)))</f>
        <v/>
      </c>
      <c r="W264" s="24">
        <f>IF(ROW()&lt;9,"",IF(OR(N264="",N259=""),"",IF(N259=0,"",(N264/N259)-1)))</f>
        <v/>
      </c>
      <c r="X264" s="24">
        <f>IF(OR(F264="",M264=""),"",F264-M264)</f>
        <v/>
      </c>
      <c r="Y264" s="24">
        <f>IF(OR(P264="",T264=""),"",P264-T264)</f>
        <v/>
      </c>
      <c r="Z264" s="24">
        <f>IF(OR(Q264="",U264=""),"",Q264-U264)</f>
        <v/>
      </c>
      <c r="AA264" s="24">
        <f>IF(OR(H264="",O264=""),"",H264-O264)</f>
        <v/>
      </c>
      <c r="AB264" s="24">
        <f>IF(OR(R264="",V264=""),"",R264-V264)</f>
        <v/>
      </c>
      <c r="AC264" s="24">
        <f>IF(OR(S264="",W264=""),"",S264-W264)</f>
        <v/>
      </c>
      <c r="AD264" s="13" t="n"/>
      <c r="AE264" s="24">
        <f>IF(OR(AD264="",AD263=""),"",IF(AD263=0,"",(AD264/AD263)-1))</f>
        <v/>
      </c>
      <c r="AF264" s="24">
        <f>IF(ROW()&lt;7,"",IF(OR(AD264="",AD261=""),"",IF(AD261=0,"",(AD264/AD261)-1)))</f>
        <v/>
      </c>
      <c r="AG264" s="24">
        <f>IF(ROW()&lt;9,"",IF(OR(AD264="",AD259=""),"",IF(AD259=0,"",(AD264/AD259)-1)))</f>
        <v/>
      </c>
      <c r="AH264" s="13">
        <f>IF(ROW()&lt;23,"",AVERAGE(AD245:AD264))</f>
        <v/>
      </c>
      <c r="AI264">
        <f>IF(OR(AD264="",AH264=""),"",IF(AD264&gt;AH264,"Bull","Bear"))</f>
        <v/>
      </c>
      <c r="AJ264" s="13" t="n"/>
      <c r="AK264" s="24">
        <f>IF(OR(AJ264="",AJ263=""),"",IF(AJ263=0,"",(AJ264/AJ263)-1))</f>
        <v/>
      </c>
      <c r="AL264" s="24">
        <f>IF(ROW()&lt;7,"",IF(OR(AJ264="",AJ261=""),"",IF(AJ261=0,"",(AJ264/AJ261)-1)))</f>
        <v/>
      </c>
      <c r="AM264" s="24">
        <f>IF(ROW()&lt;9,"",IF(OR(AJ264="",AJ259=""),"",IF(AJ259=0,"",(AJ264/AJ259)-1)))</f>
        <v/>
      </c>
      <c r="AN264" s="13">
        <f>IF(ROW()&lt;23,"",AVERAGE(AJ245:AJ264))</f>
        <v/>
      </c>
      <c r="AO264">
        <f>IF(OR(AJ264="",AN264=""),"",IF(AJ264&gt;AN264,"Bull","Bear"))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8">
        <f>IFERROR((M265/M264)-1,"")</f>
        <v/>
      </c>
      <c r="O265" s="24">
        <f>IF(OR(N265="",N264=""),"",IF(N264=0,"",(N265/N264)-1))</f>
        <v/>
      </c>
      <c r="P265" s="11">
        <f>IF(ROW()&lt;7,"",IF(OR(E265="",E262=""),"",IF(E262=0,"",(E265/E262)-1)))</f>
        <v/>
      </c>
      <c r="Q265" s="24">
        <f>IF(ROW()&lt;9,"",IF(OR(E265="",E260=""),"",IF(E260=0,"",(E265/E260)-1)))</f>
        <v/>
      </c>
      <c r="R265" s="24">
        <f>IF(ROW()&lt;7,"",IF(OR(G265="",G262=""),"",IF(G262=0,"",(G265/G262)-1)))</f>
        <v/>
      </c>
      <c r="S265" s="24">
        <f>IF(ROW()&lt;9,"",IF(OR(G265="",G260=""),"",IF(G260=0,"",(G265/G260)-1)))</f>
        <v/>
      </c>
      <c r="T265" s="24">
        <f>IF(ROW()&lt;7,"",IF(OR(L265="",L262=""),"",IF(L262=0,"",(L265/L262)-1)))</f>
        <v/>
      </c>
      <c r="U265" s="24">
        <f>IF(ROW()&lt;9,"",IF(OR(L265="",L260=""),"",IF(L260=0,"",(L265/L260)-1)))</f>
        <v/>
      </c>
      <c r="V265" s="24">
        <f>IF(ROW()&lt;7,"",IF(OR(N265="",N262=""),"",IF(N262=0,"",(N265/N262)-1)))</f>
        <v/>
      </c>
      <c r="W265" s="24">
        <f>IF(ROW()&lt;9,"",IF(OR(N265="",N260=""),"",IF(N260=0,"",(N265/N260)-1)))</f>
        <v/>
      </c>
      <c r="X265" s="24">
        <f>IF(OR(F265="",M265=""),"",F265-M265)</f>
        <v/>
      </c>
      <c r="Y265" s="24">
        <f>IF(OR(P265="",T265=""),"",P265-T265)</f>
        <v/>
      </c>
      <c r="Z265" s="24">
        <f>IF(OR(Q265="",U265=""),"",Q265-U265)</f>
        <v/>
      </c>
      <c r="AA265" s="24">
        <f>IF(OR(H265="",O265=""),"",H265-O265)</f>
        <v/>
      </c>
      <c r="AB265" s="24">
        <f>IF(OR(R265="",V265=""),"",R265-V265)</f>
        <v/>
      </c>
      <c r="AC265" s="24">
        <f>IF(OR(S265="",W265=""),"",S265-W265)</f>
        <v/>
      </c>
      <c r="AD265" s="13" t="n"/>
      <c r="AE265" s="24">
        <f>IF(OR(AD265="",AD264=""),"",IF(AD264=0,"",(AD265/AD264)-1))</f>
        <v/>
      </c>
      <c r="AF265" s="24">
        <f>IF(ROW()&lt;7,"",IF(OR(AD265="",AD262=""),"",IF(AD262=0,"",(AD265/AD262)-1)))</f>
        <v/>
      </c>
      <c r="AG265" s="24">
        <f>IF(ROW()&lt;9,"",IF(OR(AD265="",AD260=""),"",IF(AD260=0,"",(AD265/AD260)-1)))</f>
        <v/>
      </c>
      <c r="AH265" s="13">
        <f>IF(ROW()&lt;23,"",AVERAGE(AD246:AD265))</f>
        <v/>
      </c>
      <c r="AI265">
        <f>IF(OR(AD265="",AH265=""),"",IF(AD265&gt;AH265,"Bull","Bear"))</f>
        <v/>
      </c>
      <c r="AJ265" s="13" t="n"/>
      <c r="AK265" s="24">
        <f>IF(OR(AJ265="",AJ264=""),"",IF(AJ264=0,"",(AJ265/AJ264)-1))</f>
        <v/>
      </c>
      <c r="AL265" s="24">
        <f>IF(ROW()&lt;7,"",IF(OR(AJ265="",AJ262=""),"",IF(AJ262=0,"",(AJ265/AJ262)-1)))</f>
        <v/>
      </c>
      <c r="AM265" s="24">
        <f>IF(ROW()&lt;9,"",IF(OR(AJ265="",AJ260=""),"",IF(AJ260=0,"",(AJ265/AJ260)-1)))</f>
        <v/>
      </c>
      <c r="AN265" s="13">
        <f>IF(ROW()&lt;23,"",AVERAGE(AJ246:AJ265))</f>
        <v/>
      </c>
      <c r="AO265">
        <f>IF(OR(AJ265="",AN265=""),"",IF(AJ265&gt;AN265,"Bull","Bear"))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8">
        <f>IFERROR((M266/M265)-1,"")</f>
        <v/>
      </c>
      <c r="O266" s="24">
        <f>IF(OR(N266="",N265=""),"",IF(N265=0,"",(N266/N265)-1))</f>
        <v/>
      </c>
      <c r="P266" s="11">
        <f>IF(ROW()&lt;7,"",IF(OR(E266="",E263=""),"",IF(E263=0,"",(E266/E263)-1)))</f>
        <v/>
      </c>
      <c r="Q266" s="24">
        <f>IF(ROW()&lt;9,"",IF(OR(E266="",E261=""),"",IF(E261=0,"",(E266/E261)-1)))</f>
        <v/>
      </c>
      <c r="R266" s="24">
        <f>IF(ROW()&lt;7,"",IF(OR(G266="",G263=""),"",IF(G263=0,"",(G266/G263)-1)))</f>
        <v/>
      </c>
      <c r="S266" s="24">
        <f>IF(ROW()&lt;9,"",IF(OR(G266="",G261=""),"",IF(G261=0,"",(G266/G261)-1)))</f>
        <v/>
      </c>
      <c r="T266" s="24">
        <f>IF(ROW()&lt;7,"",IF(OR(L266="",L263=""),"",IF(L263=0,"",(L266/L263)-1)))</f>
        <v/>
      </c>
      <c r="U266" s="24">
        <f>IF(ROW()&lt;9,"",IF(OR(L266="",L261=""),"",IF(L261=0,"",(L266/L261)-1)))</f>
        <v/>
      </c>
      <c r="V266" s="24">
        <f>IF(ROW()&lt;7,"",IF(OR(N266="",N263=""),"",IF(N263=0,"",(N266/N263)-1)))</f>
        <v/>
      </c>
      <c r="W266" s="24">
        <f>IF(ROW()&lt;9,"",IF(OR(N266="",N261=""),"",IF(N261=0,"",(N266/N261)-1)))</f>
        <v/>
      </c>
      <c r="X266" s="24">
        <f>IF(OR(F266="",M266=""),"",F266-M266)</f>
        <v/>
      </c>
      <c r="Y266" s="24">
        <f>IF(OR(P266="",T266=""),"",P266-T266)</f>
        <v/>
      </c>
      <c r="Z266" s="24">
        <f>IF(OR(Q266="",U266=""),"",Q266-U266)</f>
        <v/>
      </c>
      <c r="AA266" s="24">
        <f>IF(OR(H266="",O266=""),"",H266-O266)</f>
        <v/>
      </c>
      <c r="AB266" s="24">
        <f>IF(OR(R266="",V266=""),"",R266-V266)</f>
        <v/>
      </c>
      <c r="AC266" s="24">
        <f>IF(OR(S266="",W266=""),"",S266-W266)</f>
        <v/>
      </c>
      <c r="AD266" s="13" t="n"/>
      <c r="AE266" s="24">
        <f>IF(OR(AD266="",AD265=""),"",IF(AD265=0,"",(AD266/AD265)-1))</f>
        <v/>
      </c>
      <c r="AF266" s="24">
        <f>IF(ROW()&lt;7,"",IF(OR(AD266="",AD263=""),"",IF(AD263=0,"",(AD266/AD263)-1)))</f>
        <v/>
      </c>
      <c r="AG266" s="24">
        <f>IF(ROW()&lt;9,"",IF(OR(AD266="",AD261=""),"",IF(AD261=0,"",(AD266/AD261)-1)))</f>
        <v/>
      </c>
      <c r="AH266" s="13">
        <f>IF(ROW()&lt;23,"",AVERAGE(AD247:AD266))</f>
        <v/>
      </c>
      <c r="AI266">
        <f>IF(OR(AD266="",AH266=""),"",IF(AD266&gt;AH266,"Bull","Bear"))</f>
        <v/>
      </c>
      <c r="AJ266" s="13" t="n"/>
      <c r="AK266" s="24">
        <f>IF(OR(AJ266="",AJ265=""),"",IF(AJ265=0,"",(AJ266/AJ265)-1))</f>
        <v/>
      </c>
      <c r="AL266" s="24">
        <f>IF(ROW()&lt;7,"",IF(OR(AJ266="",AJ263=""),"",IF(AJ263=0,"",(AJ266/AJ263)-1)))</f>
        <v/>
      </c>
      <c r="AM266" s="24">
        <f>IF(ROW()&lt;9,"",IF(OR(AJ266="",AJ261=""),"",IF(AJ261=0,"",(AJ266/AJ261)-1)))</f>
        <v/>
      </c>
      <c r="AN266" s="13">
        <f>IF(ROW()&lt;23,"",AVERAGE(AJ247:AJ266))</f>
        <v/>
      </c>
      <c r="AO266">
        <f>IF(OR(AJ266="",AN266=""),"",IF(AJ266&gt;AN266,"Bull","Bear"))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8">
        <f>IFERROR((M267/M266)-1,"")</f>
        <v/>
      </c>
      <c r="O267" s="24">
        <f>IF(OR(N267="",N266=""),"",IF(N266=0,"",(N267/N266)-1))</f>
        <v/>
      </c>
      <c r="P267" s="11">
        <f>IF(ROW()&lt;7,"",IF(OR(E267="",E264=""),"",IF(E264=0,"",(E267/E264)-1)))</f>
        <v/>
      </c>
      <c r="Q267" s="24">
        <f>IF(ROW()&lt;9,"",IF(OR(E267="",E262=""),"",IF(E262=0,"",(E267/E262)-1)))</f>
        <v/>
      </c>
      <c r="R267" s="24">
        <f>IF(ROW()&lt;7,"",IF(OR(G267="",G264=""),"",IF(G264=0,"",(G267/G264)-1)))</f>
        <v/>
      </c>
      <c r="S267" s="24">
        <f>IF(ROW()&lt;9,"",IF(OR(G267="",G262=""),"",IF(G262=0,"",(G267/G262)-1)))</f>
        <v/>
      </c>
      <c r="T267" s="24">
        <f>IF(ROW()&lt;7,"",IF(OR(L267="",L264=""),"",IF(L264=0,"",(L267/L264)-1)))</f>
        <v/>
      </c>
      <c r="U267" s="24">
        <f>IF(ROW()&lt;9,"",IF(OR(L267="",L262=""),"",IF(L262=0,"",(L267/L262)-1)))</f>
        <v/>
      </c>
      <c r="V267" s="24">
        <f>IF(ROW()&lt;7,"",IF(OR(N267="",N264=""),"",IF(N264=0,"",(N267/N264)-1)))</f>
        <v/>
      </c>
      <c r="W267" s="24">
        <f>IF(ROW()&lt;9,"",IF(OR(N267="",N262=""),"",IF(N262=0,"",(N267/N262)-1)))</f>
        <v/>
      </c>
      <c r="X267" s="24">
        <f>IF(OR(F267="",M267=""),"",F267-M267)</f>
        <v/>
      </c>
      <c r="Y267" s="24">
        <f>IF(OR(P267="",T267=""),"",P267-T267)</f>
        <v/>
      </c>
      <c r="Z267" s="24">
        <f>IF(OR(Q267="",U267=""),"",Q267-U267)</f>
        <v/>
      </c>
      <c r="AA267" s="24">
        <f>IF(OR(H267="",O267=""),"",H267-O267)</f>
        <v/>
      </c>
      <c r="AB267" s="24">
        <f>IF(OR(R267="",V267=""),"",R267-V267)</f>
        <v/>
      </c>
      <c r="AC267" s="24">
        <f>IF(OR(S267="",W267=""),"",S267-W267)</f>
        <v/>
      </c>
      <c r="AD267" s="13" t="n"/>
      <c r="AE267" s="24">
        <f>IF(OR(AD267="",AD266=""),"",IF(AD266=0,"",(AD267/AD266)-1))</f>
        <v/>
      </c>
      <c r="AF267" s="24">
        <f>IF(ROW()&lt;7,"",IF(OR(AD267="",AD264=""),"",IF(AD264=0,"",(AD267/AD264)-1)))</f>
        <v/>
      </c>
      <c r="AG267" s="24">
        <f>IF(ROW()&lt;9,"",IF(OR(AD267="",AD262=""),"",IF(AD262=0,"",(AD267/AD262)-1)))</f>
        <v/>
      </c>
      <c r="AH267" s="13">
        <f>IF(ROW()&lt;23,"",AVERAGE(AD248:AD267))</f>
        <v/>
      </c>
      <c r="AI267">
        <f>IF(OR(AD267="",AH267=""),"",IF(AD267&gt;AH267,"Bull","Bear"))</f>
        <v/>
      </c>
      <c r="AJ267" s="13" t="n"/>
      <c r="AK267" s="24">
        <f>IF(OR(AJ267="",AJ266=""),"",IF(AJ266=0,"",(AJ267/AJ266)-1))</f>
        <v/>
      </c>
      <c r="AL267" s="24">
        <f>IF(ROW()&lt;7,"",IF(OR(AJ267="",AJ264=""),"",IF(AJ264=0,"",(AJ267/AJ264)-1)))</f>
        <v/>
      </c>
      <c r="AM267" s="24">
        <f>IF(ROW()&lt;9,"",IF(OR(AJ267="",AJ262=""),"",IF(AJ262=0,"",(AJ267/AJ262)-1)))</f>
        <v/>
      </c>
      <c r="AN267" s="13">
        <f>IF(ROW()&lt;23,"",AVERAGE(AJ248:AJ267))</f>
        <v/>
      </c>
      <c r="AO267">
        <f>IF(OR(AJ267="",AN267=""),"",IF(AJ267&gt;AN267,"Bull","Bear"))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8">
        <f>IFERROR((M268/M267)-1,"")</f>
        <v/>
      </c>
      <c r="O268" s="24">
        <f>IF(OR(N268="",N267=""),"",IF(N267=0,"",(N268/N267)-1))</f>
        <v/>
      </c>
      <c r="P268" s="11">
        <f>IF(ROW()&lt;7,"",IF(OR(E268="",E265=""),"",IF(E265=0,"",(E268/E265)-1)))</f>
        <v/>
      </c>
      <c r="Q268" s="24">
        <f>IF(ROW()&lt;9,"",IF(OR(E268="",E263=""),"",IF(E263=0,"",(E268/E263)-1)))</f>
        <v/>
      </c>
      <c r="R268" s="24">
        <f>IF(ROW()&lt;7,"",IF(OR(G268="",G265=""),"",IF(G265=0,"",(G268/G265)-1)))</f>
        <v/>
      </c>
      <c r="S268" s="24">
        <f>IF(ROW()&lt;9,"",IF(OR(G268="",G263=""),"",IF(G263=0,"",(G268/G263)-1)))</f>
        <v/>
      </c>
      <c r="T268" s="24">
        <f>IF(ROW()&lt;7,"",IF(OR(L268="",L265=""),"",IF(L265=0,"",(L268/L265)-1)))</f>
        <v/>
      </c>
      <c r="U268" s="24">
        <f>IF(ROW()&lt;9,"",IF(OR(L268="",L263=""),"",IF(L263=0,"",(L268/L263)-1)))</f>
        <v/>
      </c>
      <c r="V268" s="24">
        <f>IF(ROW()&lt;7,"",IF(OR(N268="",N265=""),"",IF(N265=0,"",(N268/N265)-1)))</f>
        <v/>
      </c>
      <c r="W268" s="24">
        <f>IF(ROW()&lt;9,"",IF(OR(N268="",N263=""),"",IF(N263=0,"",(N268/N263)-1)))</f>
        <v/>
      </c>
      <c r="X268" s="24">
        <f>IF(OR(F268="",M268=""),"",F268-M268)</f>
        <v/>
      </c>
      <c r="Y268" s="24">
        <f>IF(OR(P268="",T268=""),"",P268-T268)</f>
        <v/>
      </c>
      <c r="Z268" s="24">
        <f>IF(OR(Q268="",U268=""),"",Q268-U268)</f>
        <v/>
      </c>
      <c r="AA268" s="24">
        <f>IF(OR(H268="",O268=""),"",H268-O268)</f>
        <v/>
      </c>
      <c r="AB268" s="24">
        <f>IF(OR(R268="",V268=""),"",R268-V268)</f>
        <v/>
      </c>
      <c r="AC268" s="24">
        <f>IF(OR(S268="",W268=""),"",S268-W268)</f>
        <v/>
      </c>
      <c r="AD268" s="13" t="n"/>
      <c r="AE268" s="24">
        <f>IF(OR(AD268="",AD267=""),"",IF(AD267=0,"",(AD268/AD267)-1))</f>
        <v/>
      </c>
      <c r="AF268" s="24">
        <f>IF(ROW()&lt;7,"",IF(OR(AD268="",AD265=""),"",IF(AD265=0,"",(AD268/AD265)-1)))</f>
        <v/>
      </c>
      <c r="AG268" s="24">
        <f>IF(ROW()&lt;9,"",IF(OR(AD268="",AD263=""),"",IF(AD263=0,"",(AD268/AD263)-1)))</f>
        <v/>
      </c>
      <c r="AH268" s="13">
        <f>IF(ROW()&lt;23,"",AVERAGE(AD249:AD268))</f>
        <v/>
      </c>
      <c r="AI268">
        <f>IF(OR(AD268="",AH268=""),"",IF(AD268&gt;AH268,"Bull","Bear"))</f>
        <v/>
      </c>
      <c r="AJ268" s="13" t="n"/>
      <c r="AK268" s="24">
        <f>IF(OR(AJ268="",AJ267=""),"",IF(AJ267=0,"",(AJ268/AJ267)-1))</f>
        <v/>
      </c>
      <c r="AL268" s="24">
        <f>IF(ROW()&lt;7,"",IF(OR(AJ268="",AJ265=""),"",IF(AJ265=0,"",(AJ268/AJ265)-1)))</f>
        <v/>
      </c>
      <c r="AM268" s="24">
        <f>IF(ROW()&lt;9,"",IF(OR(AJ268="",AJ263=""),"",IF(AJ263=0,"",(AJ268/AJ263)-1)))</f>
        <v/>
      </c>
      <c r="AN268" s="13">
        <f>IF(ROW()&lt;23,"",AVERAGE(AJ249:AJ268))</f>
        <v/>
      </c>
      <c r="AO268">
        <f>IF(OR(AJ268="",AN268=""),"",IF(AJ268&gt;AN268,"Bull","Bear"))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8">
        <f>IFERROR((M269/M268)-1,"")</f>
        <v/>
      </c>
      <c r="O269" s="24">
        <f>IF(OR(N269="",N268=""),"",IF(N268=0,"",(N269/N268)-1))</f>
        <v/>
      </c>
      <c r="P269" s="11">
        <f>IF(ROW()&lt;7,"",IF(OR(E269="",E266=""),"",IF(E266=0,"",(E269/E266)-1)))</f>
        <v/>
      </c>
      <c r="Q269" s="24">
        <f>IF(ROW()&lt;9,"",IF(OR(E269="",E264=""),"",IF(E264=0,"",(E269/E264)-1)))</f>
        <v/>
      </c>
      <c r="R269" s="24">
        <f>IF(ROW()&lt;7,"",IF(OR(G269="",G266=""),"",IF(G266=0,"",(G269/G266)-1)))</f>
        <v/>
      </c>
      <c r="S269" s="24">
        <f>IF(ROW()&lt;9,"",IF(OR(G269="",G264=""),"",IF(G264=0,"",(G269/G264)-1)))</f>
        <v/>
      </c>
      <c r="T269" s="24">
        <f>IF(ROW()&lt;7,"",IF(OR(L269="",L266=""),"",IF(L266=0,"",(L269/L266)-1)))</f>
        <v/>
      </c>
      <c r="U269" s="24">
        <f>IF(ROW()&lt;9,"",IF(OR(L269="",L264=""),"",IF(L264=0,"",(L269/L264)-1)))</f>
        <v/>
      </c>
      <c r="V269" s="24">
        <f>IF(ROW()&lt;7,"",IF(OR(N269="",N266=""),"",IF(N266=0,"",(N269/N266)-1)))</f>
        <v/>
      </c>
      <c r="W269" s="24">
        <f>IF(ROW()&lt;9,"",IF(OR(N269="",N264=""),"",IF(N264=0,"",(N269/N264)-1)))</f>
        <v/>
      </c>
      <c r="X269" s="24">
        <f>IF(OR(F269="",M269=""),"",F269-M269)</f>
        <v/>
      </c>
      <c r="Y269" s="24">
        <f>IF(OR(P269="",T269=""),"",P269-T269)</f>
        <v/>
      </c>
      <c r="Z269" s="24">
        <f>IF(OR(Q269="",U269=""),"",Q269-U269)</f>
        <v/>
      </c>
      <c r="AA269" s="24">
        <f>IF(OR(H269="",O269=""),"",H269-O269)</f>
        <v/>
      </c>
      <c r="AB269" s="24">
        <f>IF(OR(R269="",V269=""),"",R269-V269)</f>
        <v/>
      </c>
      <c r="AC269" s="24">
        <f>IF(OR(S269="",W269=""),"",S269-W269)</f>
        <v/>
      </c>
      <c r="AD269" s="13" t="n"/>
      <c r="AE269" s="24">
        <f>IF(OR(AD269="",AD268=""),"",IF(AD268=0,"",(AD269/AD268)-1))</f>
        <v/>
      </c>
      <c r="AF269" s="24">
        <f>IF(ROW()&lt;7,"",IF(OR(AD269="",AD266=""),"",IF(AD266=0,"",(AD269/AD266)-1)))</f>
        <v/>
      </c>
      <c r="AG269" s="24">
        <f>IF(ROW()&lt;9,"",IF(OR(AD269="",AD264=""),"",IF(AD264=0,"",(AD269/AD264)-1)))</f>
        <v/>
      </c>
      <c r="AH269" s="13">
        <f>IF(ROW()&lt;23,"",AVERAGE(AD250:AD269))</f>
        <v/>
      </c>
      <c r="AI269">
        <f>IF(OR(AD269="",AH269=""),"",IF(AD269&gt;AH269,"Bull","Bear"))</f>
        <v/>
      </c>
      <c r="AJ269" s="13" t="n"/>
      <c r="AK269" s="24">
        <f>IF(OR(AJ269="",AJ268=""),"",IF(AJ268=0,"",(AJ269/AJ268)-1))</f>
        <v/>
      </c>
      <c r="AL269" s="24">
        <f>IF(ROW()&lt;7,"",IF(OR(AJ269="",AJ266=""),"",IF(AJ266=0,"",(AJ269/AJ266)-1)))</f>
        <v/>
      </c>
      <c r="AM269" s="24">
        <f>IF(ROW()&lt;9,"",IF(OR(AJ269="",AJ264=""),"",IF(AJ264=0,"",(AJ269/AJ264)-1)))</f>
        <v/>
      </c>
      <c r="AN269" s="13">
        <f>IF(ROW()&lt;23,"",AVERAGE(AJ250:AJ269))</f>
        <v/>
      </c>
      <c r="AO269">
        <f>IF(OR(AJ269="",AN269=""),"",IF(AJ269&gt;AN269,"Bull","Bear"))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8">
        <f>IFERROR((M270/M269)-1,"")</f>
        <v/>
      </c>
      <c r="O270" s="24">
        <f>IF(OR(N270="",N269=""),"",IF(N269=0,"",(N270/N269)-1))</f>
        <v/>
      </c>
      <c r="P270" s="11">
        <f>IF(ROW()&lt;7,"",IF(OR(E270="",E267=""),"",IF(E267=0,"",(E270/E267)-1)))</f>
        <v/>
      </c>
      <c r="Q270" s="24">
        <f>IF(ROW()&lt;9,"",IF(OR(E270="",E265=""),"",IF(E265=0,"",(E270/E265)-1)))</f>
        <v/>
      </c>
      <c r="R270" s="24">
        <f>IF(ROW()&lt;7,"",IF(OR(G270="",G267=""),"",IF(G267=0,"",(G270/G267)-1)))</f>
        <v/>
      </c>
      <c r="S270" s="24">
        <f>IF(ROW()&lt;9,"",IF(OR(G270="",G265=""),"",IF(G265=0,"",(G270/G265)-1)))</f>
        <v/>
      </c>
      <c r="T270" s="24">
        <f>IF(ROW()&lt;7,"",IF(OR(L270="",L267=""),"",IF(L267=0,"",(L270/L267)-1)))</f>
        <v/>
      </c>
      <c r="U270" s="24">
        <f>IF(ROW()&lt;9,"",IF(OR(L270="",L265=""),"",IF(L265=0,"",(L270/L265)-1)))</f>
        <v/>
      </c>
      <c r="V270" s="24">
        <f>IF(ROW()&lt;7,"",IF(OR(N270="",N267=""),"",IF(N267=0,"",(N270/N267)-1)))</f>
        <v/>
      </c>
      <c r="W270" s="24">
        <f>IF(ROW()&lt;9,"",IF(OR(N270="",N265=""),"",IF(N265=0,"",(N270/N265)-1)))</f>
        <v/>
      </c>
      <c r="X270" s="24">
        <f>IF(OR(F270="",M270=""),"",F270-M270)</f>
        <v/>
      </c>
      <c r="Y270" s="24">
        <f>IF(OR(P270="",T270=""),"",P270-T270)</f>
        <v/>
      </c>
      <c r="Z270" s="24">
        <f>IF(OR(Q270="",U270=""),"",Q270-U270)</f>
        <v/>
      </c>
      <c r="AA270" s="24">
        <f>IF(OR(H270="",O270=""),"",H270-O270)</f>
        <v/>
      </c>
      <c r="AB270" s="24">
        <f>IF(OR(R270="",V270=""),"",R270-V270)</f>
        <v/>
      </c>
      <c r="AC270" s="24">
        <f>IF(OR(S270="",W270=""),"",S270-W270)</f>
        <v/>
      </c>
      <c r="AD270" s="13" t="n"/>
      <c r="AE270" s="24">
        <f>IF(OR(AD270="",AD269=""),"",IF(AD269=0,"",(AD270/AD269)-1))</f>
        <v/>
      </c>
      <c r="AF270" s="24">
        <f>IF(ROW()&lt;7,"",IF(OR(AD270="",AD267=""),"",IF(AD267=0,"",(AD270/AD267)-1)))</f>
        <v/>
      </c>
      <c r="AG270" s="24">
        <f>IF(ROW()&lt;9,"",IF(OR(AD270="",AD265=""),"",IF(AD265=0,"",(AD270/AD265)-1)))</f>
        <v/>
      </c>
      <c r="AH270" s="13">
        <f>IF(ROW()&lt;23,"",AVERAGE(AD251:AD270))</f>
        <v/>
      </c>
      <c r="AI270">
        <f>IF(OR(AD270="",AH270=""),"",IF(AD270&gt;AH270,"Bull","Bear"))</f>
        <v/>
      </c>
      <c r="AJ270" s="13" t="n"/>
      <c r="AK270" s="24">
        <f>IF(OR(AJ270="",AJ269=""),"",IF(AJ269=0,"",(AJ270/AJ269)-1))</f>
        <v/>
      </c>
      <c r="AL270" s="24">
        <f>IF(ROW()&lt;7,"",IF(OR(AJ270="",AJ267=""),"",IF(AJ267=0,"",(AJ270/AJ267)-1)))</f>
        <v/>
      </c>
      <c r="AM270" s="24">
        <f>IF(ROW()&lt;9,"",IF(OR(AJ270="",AJ265=""),"",IF(AJ265=0,"",(AJ270/AJ265)-1)))</f>
        <v/>
      </c>
      <c r="AN270" s="13">
        <f>IF(ROW()&lt;23,"",AVERAGE(AJ251:AJ270))</f>
        <v/>
      </c>
      <c r="AO270">
        <f>IF(OR(AJ270="",AN270=""),"",IF(AJ270&gt;AN270,"Bull","Bear"))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8">
        <f>IFERROR((M271/M270)-1,"")</f>
        <v/>
      </c>
      <c r="O271" s="24">
        <f>IF(OR(N271="",N270=""),"",IF(N270=0,"",(N271/N270)-1))</f>
        <v/>
      </c>
      <c r="P271" s="11">
        <f>IF(ROW()&lt;7,"",IF(OR(E271="",E268=""),"",IF(E268=0,"",(E271/E268)-1)))</f>
        <v/>
      </c>
      <c r="Q271" s="24">
        <f>IF(ROW()&lt;9,"",IF(OR(E271="",E266=""),"",IF(E266=0,"",(E271/E266)-1)))</f>
        <v/>
      </c>
      <c r="R271" s="24">
        <f>IF(ROW()&lt;7,"",IF(OR(G271="",G268=""),"",IF(G268=0,"",(G271/G268)-1)))</f>
        <v/>
      </c>
      <c r="S271" s="24">
        <f>IF(ROW()&lt;9,"",IF(OR(G271="",G266=""),"",IF(G266=0,"",(G271/G266)-1)))</f>
        <v/>
      </c>
      <c r="T271" s="24">
        <f>IF(ROW()&lt;7,"",IF(OR(L271="",L268=""),"",IF(L268=0,"",(L271/L268)-1)))</f>
        <v/>
      </c>
      <c r="U271" s="24">
        <f>IF(ROW()&lt;9,"",IF(OR(L271="",L266=""),"",IF(L266=0,"",(L271/L266)-1)))</f>
        <v/>
      </c>
      <c r="V271" s="24">
        <f>IF(ROW()&lt;7,"",IF(OR(N271="",N268=""),"",IF(N268=0,"",(N271/N268)-1)))</f>
        <v/>
      </c>
      <c r="W271" s="24">
        <f>IF(ROW()&lt;9,"",IF(OR(N271="",N266=""),"",IF(N266=0,"",(N271/N266)-1)))</f>
        <v/>
      </c>
      <c r="X271" s="24">
        <f>IF(OR(F271="",M271=""),"",F271-M271)</f>
        <v/>
      </c>
      <c r="Y271" s="24">
        <f>IF(OR(P271="",T271=""),"",P271-T271)</f>
        <v/>
      </c>
      <c r="Z271" s="24">
        <f>IF(OR(Q271="",U271=""),"",Q271-U271)</f>
        <v/>
      </c>
      <c r="AA271" s="24">
        <f>IF(OR(H271="",O271=""),"",H271-O271)</f>
        <v/>
      </c>
      <c r="AB271" s="24">
        <f>IF(OR(R271="",V271=""),"",R271-V271)</f>
        <v/>
      </c>
      <c r="AC271" s="24">
        <f>IF(OR(S271="",W271=""),"",S271-W271)</f>
        <v/>
      </c>
      <c r="AD271" s="13" t="n"/>
      <c r="AE271" s="24">
        <f>IF(OR(AD271="",AD270=""),"",IF(AD270=0,"",(AD271/AD270)-1))</f>
        <v/>
      </c>
      <c r="AF271" s="24">
        <f>IF(ROW()&lt;7,"",IF(OR(AD271="",AD268=""),"",IF(AD268=0,"",(AD271/AD268)-1)))</f>
        <v/>
      </c>
      <c r="AG271" s="24">
        <f>IF(ROW()&lt;9,"",IF(OR(AD271="",AD266=""),"",IF(AD266=0,"",(AD271/AD266)-1)))</f>
        <v/>
      </c>
      <c r="AH271" s="13">
        <f>IF(ROW()&lt;23,"",AVERAGE(AD252:AD271))</f>
        <v/>
      </c>
      <c r="AI271">
        <f>IF(OR(AD271="",AH271=""),"",IF(AD271&gt;AH271,"Bull","Bear"))</f>
        <v/>
      </c>
      <c r="AJ271" s="13" t="n"/>
      <c r="AK271" s="24">
        <f>IF(OR(AJ271="",AJ270=""),"",IF(AJ270=0,"",(AJ271/AJ270)-1))</f>
        <v/>
      </c>
      <c r="AL271" s="24">
        <f>IF(ROW()&lt;7,"",IF(OR(AJ271="",AJ268=""),"",IF(AJ268=0,"",(AJ271/AJ268)-1)))</f>
        <v/>
      </c>
      <c r="AM271" s="24">
        <f>IF(ROW()&lt;9,"",IF(OR(AJ271="",AJ266=""),"",IF(AJ266=0,"",(AJ271/AJ266)-1)))</f>
        <v/>
      </c>
      <c r="AN271" s="13">
        <f>IF(ROW()&lt;23,"",AVERAGE(AJ252:AJ271))</f>
        <v/>
      </c>
      <c r="AO271">
        <f>IF(OR(AJ271="",AN271=""),"",IF(AJ271&gt;AN271,"Bull","Bear"))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8">
        <f>IFERROR((M272/M271)-1,"")</f>
        <v/>
      </c>
      <c r="O272" s="24">
        <f>IF(OR(N272="",N271=""),"",IF(N271=0,"",(N272/N271)-1))</f>
        <v/>
      </c>
      <c r="P272" s="11">
        <f>IF(ROW()&lt;7,"",IF(OR(E272="",E269=""),"",IF(E269=0,"",(E272/E269)-1)))</f>
        <v/>
      </c>
      <c r="Q272" s="24">
        <f>IF(ROW()&lt;9,"",IF(OR(E272="",E267=""),"",IF(E267=0,"",(E272/E267)-1)))</f>
        <v/>
      </c>
      <c r="R272" s="24">
        <f>IF(ROW()&lt;7,"",IF(OR(G272="",G269=""),"",IF(G269=0,"",(G272/G269)-1)))</f>
        <v/>
      </c>
      <c r="S272" s="24">
        <f>IF(ROW()&lt;9,"",IF(OR(G272="",G267=""),"",IF(G267=0,"",(G272/G267)-1)))</f>
        <v/>
      </c>
      <c r="T272" s="24">
        <f>IF(ROW()&lt;7,"",IF(OR(L272="",L269=""),"",IF(L269=0,"",(L272/L269)-1)))</f>
        <v/>
      </c>
      <c r="U272" s="24">
        <f>IF(ROW()&lt;9,"",IF(OR(L272="",L267=""),"",IF(L267=0,"",(L272/L267)-1)))</f>
        <v/>
      </c>
      <c r="V272" s="24">
        <f>IF(ROW()&lt;7,"",IF(OR(N272="",N269=""),"",IF(N269=0,"",(N272/N269)-1)))</f>
        <v/>
      </c>
      <c r="W272" s="24">
        <f>IF(ROW()&lt;9,"",IF(OR(N272="",N267=""),"",IF(N267=0,"",(N272/N267)-1)))</f>
        <v/>
      </c>
      <c r="X272" s="24">
        <f>IF(OR(F272="",M272=""),"",F272-M272)</f>
        <v/>
      </c>
      <c r="Y272" s="24">
        <f>IF(OR(P272="",T272=""),"",P272-T272)</f>
        <v/>
      </c>
      <c r="Z272" s="24">
        <f>IF(OR(Q272="",U272=""),"",Q272-U272)</f>
        <v/>
      </c>
      <c r="AA272" s="24">
        <f>IF(OR(H272="",O272=""),"",H272-O272)</f>
        <v/>
      </c>
      <c r="AB272" s="24">
        <f>IF(OR(R272="",V272=""),"",R272-V272)</f>
        <v/>
      </c>
      <c r="AC272" s="24">
        <f>IF(OR(S272="",W272=""),"",S272-W272)</f>
        <v/>
      </c>
      <c r="AD272" s="13" t="n"/>
      <c r="AE272" s="24">
        <f>IF(OR(AD272="",AD271=""),"",IF(AD271=0,"",(AD272/AD271)-1))</f>
        <v/>
      </c>
      <c r="AF272" s="24">
        <f>IF(ROW()&lt;7,"",IF(OR(AD272="",AD269=""),"",IF(AD269=0,"",(AD272/AD269)-1)))</f>
        <v/>
      </c>
      <c r="AG272" s="24">
        <f>IF(ROW()&lt;9,"",IF(OR(AD272="",AD267=""),"",IF(AD267=0,"",(AD272/AD267)-1)))</f>
        <v/>
      </c>
      <c r="AH272" s="13">
        <f>IF(ROW()&lt;23,"",AVERAGE(AD253:AD272))</f>
        <v/>
      </c>
      <c r="AI272">
        <f>IF(OR(AD272="",AH272=""),"",IF(AD272&gt;AH272,"Bull","Bear"))</f>
        <v/>
      </c>
      <c r="AJ272" s="13" t="n"/>
      <c r="AK272" s="24">
        <f>IF(OR(AJ272="",AJ271=""),"",IF(AJ271=0,"",(AJ272/AJ271)-1))</f>
        <v/>
      </c>
      <c r="AL272" s="24">
        <f>IF(ROW()&lt;7,"",IF(OR(AJ272="",AJ269=""),"",IF(AJ269=0,"",(AJ272/AJ269)-1)))</f>
        <v/>
      </c>
      <c r="AM272" s="24">
        <f>IF(ROW()&lt;9,"",IF(OR(AJ272="",AJ267=""),"",IF(AJ267=0,"",(AJ272/AJ267)-1)))</f>
        <v/>
      </c>
      <c r="AN272" s="13">
        <f>IF(ROW()&lt;23,"",AVERAGE(AJ253:AJ272))</f>
        <v/>
      </c>
      <c r="AO272">
        <f>IF(OR(AJ272="",AN272=""),"",IF(AJ272&gt;AN272,"Bull","Bear"))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8">
        <f>IFERROR((M273/M272)-1,"")</f>
        <v/>
      </c>
      <c r="O273" s="24">
        <f>IF(OR(N273="",N272=""),"",IF(N272=0,"",(N273/N272)-1))</f>
        <v/>
      </c>
      <c r="P273" s="11">
        <f>IF(ROW()&lt;7,"",IF(OR(E273="",E270=""),"",IF(E270=0,"",(E273/E270)-1)))</f>
        <v/>
      </c>
      <c r="Q273" s="24">
        <f>IF(ROW()&lt;9,"",IF(OR(E273="",E268=""),"",IF(E268=0,"",(E273/E268)-1)))</f>
        <v/>
      </c>
      <c r="R273" s="24">
        <f>IF(ROW()&lt;7,"",IF(OR(G273="",G270=""),"",IF(G270=0,"",(G273/G270)-1)))</f>
        <v/>
      </c>
      <c r="S273" s="24">
        <f>IF(ROW()&lt;9,"",IF(OR(G273="",G268=""),"",IF(G268=0,"",(G273/G268)-1)))</f>
        <v/>
      </c>
      <c r="T273" s="24">
        <f>IF(ROW()&lt;7,"",IF(OR(L273="",L270=""),"",IF(L270=0,"",(L273/L270)-1)))</f>
        <v/>
      </c>
      <c r="U273" s="24">
        <f>IF(ROW()&lt;9,"",IF(OR(L273="",L268=""),"",IF(L268=0,"",(L273/L268)-1)))</f>
        <v/>
      </c>
      <c r="V273" s="24">
        <f>IF(ROW()&lt;7,"",IF(OR(N273="",N270=""),"",IF(N270=0,"",(N273/N270)-1)))</f>
        <v/>
      </c>
      <c r="W273" s="24">
        <f>IF(ROW()&lt;9,"",IF(OR(N273="",N268=""),"",IF(N268=0,"",(N273/N268)-1)))</f>
        <v/>
      </c>
      <c r="X273" s="24">
        <f>IF(OR(F273="",M273=""),"",F273-M273)</f>
        <v/>
      </c>
      <c r="Y273" s="24">
        <f>IF(OR(P273="",T273=""),"",P273-T273)</f>
        <v/>
      </c>
      <c r="Z273" s="24">
        <f>IF(OR(Q273="",U273=""),"",Q273-U273)</f>
        <v/>
      </c>
      <c r="AA273" s="24">
        <f>IF(OR(H273="",O273=""),"",H273-O273)</f>
        <v/>
      </c>
      <c r="AB273" s="24">
        <f>IF(OR(R273="",V273=""),"",R273-V273)</f>
        <v/>
      </c>
      <c r="AC273" s="24">
        <f>IF(OR(S273="",W273=""),"",S273-W273)</f>
        <v/>
      </c>
      <c r="AD273" s="13" t="n"/>
      <c r="AE273" s="24">
        <f>IF(OR(AD273="",AD272=""),"",IF(AD272=0,"",(AD273/AD272)-1))</f>
        <v/>
      </c>
      <c r="AF273" s="24">
        <f>IF(ROW()&lt;7,"",IF(OR(AD273="",AD270=""),"",IF(AD270=0,"",(AD273/AD270)-1)))</f>
        <v/>
      </c>
      <c r="AG273" s="24">
        <f>IF(ROW()&lt;9,"",IF(OR(AD273="",AD268=""),"",IF(AD268=0,"",(AD273/AD268)-1)))</f>
        <v/>
      </c>
      <c r="AH273" s="13">
        <f>IF(ROW()&lt;23,"",AVERAGE(AD254:AD273))</f>
        <v/>
      </c>
      <c r="AI273">
        <f>IF(OR(AD273="",AH273=""),"",IF(AD273&gt;AH273,"Bull","Bear"))</f>
        <v/>
      </c>
      <c r="AJ273" s="13" t="n"/>
      <c r="AK273" s="24">
        <f>IF(OR(AJ273="",AJ272=""),"",IF(AJ272=0,"",(AJ273/AJ272)-1))</f>
        <v/>
      </c>
      <c r="AL273" s="24">
        <f>IF(ROW()&lt;7,"",IF(OR(AJ273="",AJ270=""),"",IF(AJ270=0,"",(AJ273/AJ270)-1)))</f>
        <v/>
      </c>
      <c r="AM273" s="24">
        <f>IF(ROW()&lt;9,"",IF(OR(AJ273="",AJ268=""),"",IF(AJ268=0,"",(AJ273/AJ268)-1)))</f>
        <v/>
      </c>
      <c r="AN273" s="13">
        <f>IF(ROW()&lt;23,"",AVERAGE(AJ254:AJ273))</f>
        <v/>
      </c>
      <c r="AO273">
        <f>IF(OR(AJ273="",AN273=""),"",IF(AJ273&gt;AN273,"Bull","Bear"))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8">
        <f>IFERROR((M274/M273)-1,"")</f>
        <v/>
      </c>
      <c r="O274" s="24">
        <f>IF(OR(N274="",N273=""),"",IF(N273=0,"",(N274/N273)-1))</f>
        <v/>
      </c>
      <c r="P274" s="11">
        <f>IF(ROW()&lt;7,"",IF(OR(E274="",E271=""),"",IF(E271=0,"",(E274/E271)-1)))</f>
        <v/>
      </c>
      <c r="Q274" s="24">
        <f>IF(ROW()&lt;9,"",IF(OR(E274="",E269=""),"",IF(E269=0,"",(E274/E269)-1)))</f>
        <v/>
      </c>
      <c r="R274" s="24">
        <f>IF(ROW()&lt;7,"",IF(OR(G274="",G271=""),"",IF(G271=0,"",(G274/G271)-1)))</f>
        <v/>
      </c>
      <c r="S274" s="24">
        <f>IF(ROW()&lt;9,"",IF(OR(G274="",G269=""),"",IF(G269=0,"",(G274/G269)-1)))</f>
        <v/>
      </c>
      <c r="T274" s="24">
        <f>IF(ROW()&lt;7,"",IF(OR(L274="",L271=""),"",IF(L271=0,"",(L274/L271)-1)))</f>
        <v/>
      </c>
      <c r="U274" s="24">
        <f>IF(ROW()&lt;9,"",IF(OR(L274="",L269=""),"",IF(L269=0,"",(L274/L269)-1)))</f>
        <v/>
      </c>
      <c r="V274" s="24">
        <f>IF(ROW()&lt;7,"",IF(OR(N274="",N271=""),"",IF(N271=0,"",(N274/N271)-1)))</f>
        <v/>
      </c>
      <c r="W274" s="24">
        <f>IF(ROW()&lt;9,"",IF(OR(N274="",N269=""),"",IF(N269=0,"",(N274/N269)-1)))</f>
        <v/>
      </c>
      <c r="X274" s="24">
        <f>IF(OR(F274="",M274=""),"",F274-M274)</f>
        <v/>
      </c>
      <c r="Y274" s="24">
        <f>IF(OR(P274="",T274=""),"",P274-T274)</f>
        <v/>
      </c>
      <c r="Z274" s="24">
        <f>IF(OR(Q274="",U274=""),"",Q274-U274)</f>
        <v/>
      </c>
      <c r="AA274" s="24">
        <f>IF(OR(H274="",O274=""),"",H274-O274)</f>
        <v/>
      </c>
      <c r="AB274" s="24">
        <f>IF(OR(R274="",V274=""),"",R274-V274)</f>
        <v/>
      </c>
      <c r="AC274" s="24">
        <f>IF(OR(S274="",W274=""),"",S274-W274)</f>
        <v/>
      </c>
      <c r="AD274" s="13" t="n"/>
      <c r="AE274" s="24">
        <f>IF(OR(AD274="",AD273=""),"",IF(AD273=0,"",(AD274/AD273)-1))</f>
        <v/>
      </c>
      <c r="AF274" s="24">
        <f>IF(ROW()&lt;7,"",IF(OR(AD274="",AD271=""),"",IF(AD271=0,"",(AD274/AD271)-1)))</f>
        <v/>
      </c>
      <c r="AG274" s="24">
        <f>IF(ROW()&lt;9,"",IF(OR(AD274="",AD269=""),"",IF(AD269=0,"",(AD274/AD269)-1)))</f>
        <v/>
      </c>
      <c r="AH274" s="13">
        <f>IF(ROW()&lt;23,"",AVERAGE(AD255:AD274))</f>
        <v/>
      </c>
      <c r="AI274">
        <f>IF(OR(AD274="",AH274=""),"",IF(AD274&gt;AH274,"Bull","Bear"))</f>
        <v/>
      </c>
      <c r="AJ274" s="13" t="n"/>
      <c r="AK274" s="24">
        <f>IF(OR(AJ274="",AJ273=""),"",IF(AJ273=0,"",(AJ274/AJ273)-1))</f>
        <v/>
      </c>
      <c r="AL274" s="24">
        <f>IF(ROW()&lt;7,"",IF(OR(AJ274="",AJ271=""),"",IF(AJ271=0,"",(AJ274/AJ271)-1)))</f>
        <v/>
      </c>
      <c r="AM274" s="24">
        <f>IF(ROW()&lt;9,"",IF(OR(AJ274="",AJ269=""),"",IF(AJ269=0,"",(AJ274/AJ269)-1)))</f>
        <v/>
      </c>
      <c r="AN274" s="13">
        <f>IF(ROW()&lt;23,"",AVERAGE(AJ255:AJ274))</f>
        <v/>
      </c>
      <c r="AO274">
        <f>IF(OR(AJ274="",AN274=""),"",IF(AJ274&gt;AN274,"Bull","Bear"))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8">
        <f>IFERROR((M275/M274)-1,"")</f>
        <v/>
      </c>
      <c r="O275" s="24">
        <f>IF(OR(N275="",N274=""),"",IF(N274=0,"",(N275/N274)-1))</f>
        <v/>
      </c>
      <c r="P275" s="11">
        <f>IF(ROW()&lt;7,"",IF(OR(E275="",E272=""),"",IF(E272=0,"",(E275/E272)-1)))</f>
        <v/>
      </c>
      <c r="Q275" s="24">
        <f>IF(ROW()&lt;9,"",IF(OR(E275="",E270=""),"",IF(E270=0,"",(E275/E270)-1)))</f>
        <v/>
      </c>
      <c r="R275" s="24">
        <f>IF(ROW()&lt;7,"",IF(OR(G275="",G272=""),"",IF(G272=0,"",(G275/G272)-1)))</f>
        <v/>
      </c>
      <c r="S275" s="24">
        <f>IF(ROW()&lt;9,"",IF(OR(G275="",G270=""),"",IF(G270=0,"",(G275/G270)-1)))</f>
        <v/>
      </c>
      <c r="T275" s="24">
        <f>IF(ROW()&lt;7,"",IF(OR(L275="",L272=""),"",IF(L272=0,"",(L275/L272)-1)))</f>
        <v/>
      </c>
      <c r="U275" s="24">
        <f>IF(ROW()&lt;9,"",IF(OR(L275="",L270=""),"",IF(L270=0,"",(L275/L270)-1)))</f>
        <v/>
      </c>
      <c r="V275" s="24">
        <f>IF(ROW()&lt;7,"",IF(OR(N275="",N272=""),"",IF(N272=0,"",(N275/N272)-1)))</f>
        <v/>
      </c>
      <c r="W275" s="24">
        <f>IF(ROW()&lt;9,"",IF(OR(N275="",N270=""),"",IF(N270=0,"",(N275/N270)-1)))</f>
        <v/>
      </c>
      <c r="X275" s="24">
        <f>IF(OR(F275="",M275=""),"",F275-M275)</f>
        <v/>
      </c>
      <c r="Y275" s="24">
        <f>IF(OR(P275="",T275=""),"",P275-T275)</f>
        <v/>
      </c>
      <c r="Z275" s="24">
        <f>IF(OR(Q275="",U275=""),"",Q275-U275)</f>
        <v/>
      </c>
      <c r="AA275" s="24">
        <f>IF(OR(H275="",O275=""),"",H275-O275)</f>
        <v/>
      </c>
      <c r="AB275" s="24">
        <f>IF(OR(R275="",V275=""),"",R275-V275)</f>
        <v/>
      </c>
      <c r="AC275" s="24">
        <f>IF(OR(S275="",W275=""),"",S275-W275)</f>
        <v/>
      </c>
      <c r="AD275" s="13" t="n"/>
      <c r="AE275" s="24">
        <f>IF(OR(AD275="",AD274=""),"",IF(AD274=0,"",(AD275/AD274)-1))</f>
        <v/>
      </c>
      <c r="AF275" s="24">
        <f>IF(ROW()&lt;7,"",IF(OR(AD275="",AD272=""),"",IF(AD272=0,"",(AD275/AD272)-1)))</f>
        <v/>
      </c>
      <c r="AG275" s="24">
        <f>IF(ROW()&lt;9,"",IF(OR(AD275="",AD270=""),"",IF(AD270=0,"",(AD275/AD270)-1)))</f>
        <v/>
      </c>
      <c r="AH275" s="13">
        <f>IF(ROW()&lt;23,"",AVERAGE(AD256:AD275))</f>
        <v/>
      </c>
      <c r="AI275">
        <f>IF(OR(AD275="",AH275=""),"",IF(AD275&gt;AH275,"Bull","Bear"))</f>
        <v/>
      </c>
      <c r="AJ275" s="13" t="n"/>
      <c r="AK275" s="24">
        <f>IF(OR(AJ275="",AJ274=""),"",IF(AJ274=0,"",(AJ275/AJ274)-1))</f>
        <v/>
      </c>
      <c r="AL275" s="24">
        <f>IF(ROW()&lt;7,"",IF(OR(AJ275="",AJ272=""),"",IF(AJ272=0,"",(AJ275/AJ272)-1)))</f>
        <v/>
      </c>
      <c r="AM275" s="24">
        <f>IF(ROW()&lt;9,"",IF(OR(AJ275="",AJ270=""),"",IF(AJ270=0,"",(AJ275/AJ270)-1)))</f>
        <v/>
      </c>
      <c r="AN275" s="13">
        <f>IF(ROW()&lt;23,"",AVERAGE(AJ256:AJ275))</f>
        <v/>
      </c>
      <c r="AO275">
        <f>IF(OR(AJ275="",AN275=""),"",IF(AJ275&gt;AN275,"Bull","Bear"))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8">
        <f>IFERROR((M276/M275)-1,"")</f>
        <v/>
      </c>
      <c r="O276" s="24">
        <f>IF(OR(N276="",N275=""),"",IF(N275=0,"",(N276/N275)-1))</f>
        <v/>
      </c>
      <c r="P276" s="11">
        <f>IF(ROW()&lt;7,"",IF(OR(E276="",E273=""),"",IF(E273=0,"",(E276/E273)-1)))</f>
        <v/>
      </c>
      <c r="Q276" s="24">
        <f>IF(ROW()&lt;9,"",IF(OR(E276="",E271=""),"",IF(E271=0,"",(E276/E271)-1)))</f>
        <v/>
      </c>
      <c r="R276" s="24">
        <f>IF(ROW()&lt;7,"",IF(OR(G276="",G273=""),"",IF(G273=0,"",(G276/G273)-1)))</f>
        <v/>
      </c>
      <c r="S276" s="24">
        <f>IF(ROW()&lt;9,"",IF(OR(G276="",G271=""),"",IF(G271=0,"",(G276/G271)-1)))</f>
        <v/>
      </c>
      <c r="T276" s="24">
        <f>IF(ROW()&lt;7,"",IF(OR(L276="",L273=""),"",IF(L273=0,"",(L276/L273)-1)))</f>
        <v/>
      </c>
      <c r="U276" s="24">
        <f>IF(ROW()&lt;9,"",IF(OR(L276="",L271=""),"",IF(L271=0,"",(L276/L271)-1)))</f>
        <v/>
      </c>
      <c r="V276" s="24">
        <f>IF(ROW()&lt;7,"",IF(OR(N276="",N273=""),"",IF(N273=0,"",(N276/N273)-1)))</f>
        <v/>
      </c>
      <c r="W276" s="24">
        <f>IF(ROW()&lt;9,"",IF(OR(N276="",N271=""),"",IF(N271=0,"",(N276/N271)-1)))</f>
        <v/>
      </c>
      <c r="X276" s="24">
        <f>IF(OR(F276="",M276=""),"",F276-M276)</f>
        <v/>
      </c>
      <c r="Y276" s="24">
        <f>IF(OR(P276="",T276=""),"",P276-T276)</f>
        <v/>
      </c>
      <c r="Z276" s="24">
        <f>IF(OR(Q276="",U276=""),"",Q276-U276)</f>
        <v/>
      </c>
      <c r="AA276" s="24">
        <f>IF(OR(H276="",O276=""),"",H276-O276)</f>
        <v/>
      </c>
      <c r="AB276" s="24">
        <f>IF(OR(R276="",V276=""),"",R276-V276)</f>
        <v/>
      </c>
      <c r="AC276" s="24">
        <f>IF(OR(S276="",W276=""),"",S276-W276)</f>
        <v/>
      </c>
      <c r="AD276" s="13" t="n"/>
      <c r="AE276" s="24">
        <f>IF(OR(AD276="",AD275=""),"",IF(AD275=0,"",(AD276/AD275)-1))</f>
        <v/>
      </c>
      <c r="AF276" s="24">
        <f>IF(ROW()&lt;7,"",IF(OR(AD276="",AD273=""),"",IF(AD273=0,"",(AD276/AD273)-1)))</f>
        <v/>
      </c>
      <c r="AG276" s="24">
        <f>IF(ROW()&lt;9,"",IF(OR(AD276="",AD271=""),"",IF(AD271=0,"",(AD276/AD271)-1)))</f>
        <v/>
      </c>
      <c r="AH276" s="13">
        <f>IF(ROW()&lt;23,"",AVERAGE(AD257:AD276))</f>
        <v/>
      </c>
      <c r="AI276">
        <f>IF(OR(AD276="",AH276=""),"",IF(AD276&gt;AH276,"Bull","Bear"))</f>
        <v/>
      </c>
      <c r="AJ276" s="13" t="n"/>
      <c r="AK276" s="24">
        <f>IF(OR(AJ276="",AJ275=""),"",IF(AJ275=0,"",(AJ276/AJ275)-1))</f>
        <v/>
      </c>
      <c r="AL276" s="24">
        <f>IF(ROW()&lt;7,"",IF(OR(AJ276="",AJ273=""),"",IF(AJ273=0,"",(AJ276/AJ273)-1)))</f>
        <v/>
      </c>
      <c r="AM276" s="24">
        <f>IF(ROW()&lt;9,"",IF(OR(AJ276="",AJ271=""),"",IF(AJ271=0,"",(AJ276/AJ271)-1)))</f>
        <v/>
      </c>
      <c r="AN276" s="13">
        <f>IF(ROW()&lt;23,"",AVERAGE(AJ257:AJ276))</f>
        <v/>
      </c>
      <c r="AO276">
        <f>IF(OR(AJ276="",AN276=""),"",IF(AJ276&gt;AN276,"Bull","Bear"))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8">
        <f>IFERROR((M277/M276)-1,"")</f>
        <v/>
      </c>
      <c r="O277" s="24">
        <f>IF(OR(N277="",N276=""),"",IF(N276=0,"",(N277/N276)-1))</f>
        <v/>
      </c>
      <c r="P277" s="11">
        <f>IF(ROW()&lt;7,"",IF(OR(E277="",E274=""),"",IF(E274=0,"",(E277/E274)-1)))</f>
        <v/>
      </c>
      <c r="Q277" s="24">
        <f>IF(ROW()&lt;9,"",IF(OR(E277="",E272=""),"",IF(E272=0,"",(E277/E272)-1)))</f>
        <v/>
      </c>
      <c r="R277" s="24">
        <f>IF(ROW()&lt;7,"",IF(OR(G277="",G274=""),"",IF(G274=0,"",(G277/G274)-1)))</f>
        <v/>
      </c>
      <c r="S277" s="24">
        <f>IF(ROW()&lt;9,"",IF(OR(G277="",G272=""),"",IF(G272=0,"",(G277/G272)-1)))</f>
        <v/>
      </c>
      <c r="T277" s="24">
        <f>IF(ROW()&lt;7,"",IF(OR(L277="",L274=""),"",IF(L274=0,"",(L277/L274)-1)))</f>
        <v/>
      </c>
      <c r="U277" s="24">
        <f>IF(ROW()&lt;9,"",IF(OR(L277="",L272=""),"",IF(L272=0,"",(L277/L272)-1)))</f>
        <v/>
      </c>
      <c r="V277" s="24">
        <f>IF(ROW()&lt;7,"",IF(OR(N277="",N274=""),"",IF(N274=0,"",(N277/N274)-1)))</f>
        <v/>
      </c>
      <c r="W277" s="24">
        <f>IF(ROW()&lt;9,"",IF(OR(N277="",N272=""),"",IF(N272=0,"",(N277/N272)-1)))</f>
        <v/>
      </c>
      <c r="X277" s="24">
        <f>IF(OR(F277="",M277=""),"",F277-M277)</f>
        <v/>
      </c>
      <c r="Y277" s="24">
        <f>IF(OR(P277="",T277=""),"",P277-T277)</f>
        <v/>
      </c>
      <c r="Z277" s="24">
        <f>IF(OR(Q277="",U277=""),"",Q277-U277)</f>
        <v/>
      </c>
      <c r="AA277" s="24">
        <f>IF(OR(H277="",O277=""),"",H277-O277)</f>
        <v/>
      </c>
      <c r="AB277" s="24">
        <f>IF(OR(R277="",V277=""),"",R277-V277)</f>
        <v/>
      </c>
      <c r="AC277" s="24">
        <f>IF(OR(S277="",W277=""),"",S277-W277)</f>
        <v/>
      </c>
      <c r="AD277" s="13" t="n"/>
      <c r="AE277" s="24">
        <f>IF(OR(AD277="",AD276=""),"",IF(AD276=0,"",(AD277/AD276)-1))</f>
        <v/>
      </c>
      <c r="AF277" s="24">
        <f>IF(ROW()&lt;7,"",IF(OR(AD277="",AD274=""),"",IF(AD274=0,"",(AD277/AD274)-1)))</f>
        <v/>
      </c>
      <c r="AG277" s="24">
        <f>IF(ROW()&lt;9,"",IF(OR(AD277="",AD272=""),"",IF(AD272=0,"",(AD277/AD272)-1)))</f>
        <v/>
      </c>
      <c r="AH277" s="13">
        <f>IF(ROW()&lt;23,"",AVERAGE(AD258:AD277))</f>
        <v/>
      </c>
      <c r="AI277">
        <f>IF(OR(AD277="",AH277=""),"",IF(AD277&gt;AH277,"Bull","Bear"))</f>
        <v/>
      </c>
      <c r="AJ277" s="13" t="n"/>
      <c r="AK277" s="24">
        <f>IF(OR(AJ277="",AJ276=""),"",IF(AJ276=0,"",(AJ277/AJ276)-1))</f>
        <v/>
      </c>
      <c r="AL277" s="24">
        <f>IF(ROW()&lt;7,"",IF(OR(AJ277="",AJ274=""),"",IF(AJ274=0,"",(AJ277/AJ274)-1)))</f>
        <v/>
      </c>
      <c r="AM277" s="24">
        <f>IF(ROW()&lt;9,"",IF(OR(AJ277="",AJ272=""),"",IF(AJ272=0,"",(AJ277/AJ272)-1)))</f>
        <v/>
      </c>
      <c r="AN277" s="13">
        <f>IF(ROW()&lt;23,"",AVERAGE(AJ258:AJ277))</f>
        <v/>
      </c>
      <c r="AO277">
        <f>IF(OR(AJ277="",AN277=""),"",IF(AJ277&gt;AN277,"Bull","Bear"))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8">
        <f>IFERROR((M278/M277)-1,"")</f>
        <v/>
      </c>
      <c r="O278" s="24">
        <f>IF(OR(N278="",N277=""),"",IF(N277=0,"",(N278/N277)-1))</f>
        <v/>
      </c>
      <c r="P278" s="11">
        <f>IF(ROW()&lt;7,"",IF(OR(E278="",E275=""),"",IF(E275=0,"",(E278/E275)-1)))</f>
        <v/>
      </c>
      <c r="Q278" s="24">
        <f>IF(ROW()&lt;9,"",IF(OR(E278="",E273=""),"",IF(E273=0,"",(E278/E273)-1)))</f>
        <v/>
      </c>
      <c r="R278" s="24">
        <f>IF(ROW()&lt;7,"",IF(OR(G278="",G275=""),"",IF(G275=0,"",(G278/G275)-1)))</f>
        <v/>
      </c>
      <c r="S278" s="24">
        <f>IF(ROW()&lt;9,"",IF(OR(G278="",G273=""),"",IF(G273=0,"",(G278/G273)-1)))</f>
        <v/>
      </c>
      <c r="T278" s="24">
        <f>IF(ROW()&lt;7,"",IF(OR(L278="",L275=""),"",IF(L275=0,"",(L278/L275)-1)))</f>
        <v/>
      </c>
      <c r="U278" s="24">
        <f>IF(ROW()&lt;9,"",IF(OR(L278="",L273=""),"",IF(L273=0,"",(L278/L273)-1)))</f>
        <v/>
      </c>
      <c r="V278" s="24">
        <f>IF(ROW()&lt;7,"",IF(OR(N278="",N275=""),"",IF(N275=0,"",(N278/N275)-1)))</f>
        <v/>
      </c>
      <c r="W278" s="24">
        <f>IF(ROW()&lt;9,"",IF(OR(N278="",N273=""),"",IF(N273=0,"",(N278/N273)-1)))</f>
        <v/>
      </c>
      <c r="X278" s="24">
        <f>IF(OR(F278="",M278=""),"",F278-M278)</f>
        <v/>
      </c>
      <c r="Y278" s="24">
        <f>IF(OR(P278="",T278=""),"",P278-T278)</f>
        <v/>
      </c>
      <c r="Z278" s="24">
        <f>IF(OR(Q278="",U278=""),"",Q278-U278)</f>
        <v/>
      </c>
      <c r="AA278" s="24">
        <f>IF(OR(H278="",O278=""),"",H278-O278)</f>
        <v/>
      </c>
      <c r="AB278" s="24">
        <f>IF(OR(R278="",V278=""),"",R278-V278)</f>
        <v/>
      </c>
      <c r="AC278" s="24">
        <f>IF(OR(S278="",W278=""),"",S278-W278)</f>
        <v/>
      </c>
      <c r="AD278" s="13" t="n"/>
      <c r="AE278" s="24">
        <f>IF(OR(AD278="",AD277=""),"",IF(AD277=0,"",(AD278/AD277)-1))</f>
        <v/>
      </c>
      <c r="AF278" s="24">
        <f>IF(ROW()&lt;7,"",IF(OR(AD278="",AD275=""),"",IF(AD275=0,"",(AD278/AD275)-1)))</f>
        <v/>
      </c>
      <c r="AG278" s="24">
        <f>IF(ROW()&lt;9,"",IF(OR(AD278="",AD273=""),"",IF(AD273=0,"",(AD278/AD273)-1)))</f>
        <v/>
      </c>
      <c r="AH278" s="13">
        <f>IF(ROW()&lt;23,"",AVERAGE(AD259:AD278))</f>
        <v/>
      </c>
      <c r="AI278">
        <f>IF(OR(AD278="",AH278=""),"",IF(AD278&gt;AH278,"Bull","Bear"))</f>
        <v/>
      </c>
      <c r="AJ278" s="13" t="n"/>
      <c r="AK278" s="24">
        <f>IF(OR(AJ278="",AJ277=""),"",IF(AJ277=0,"",(AJ278/AJ277)-1))</f>
        <v/>
      </c>
      <c r="AL278" s="24">
        <f>IF(ROW()&lt;7,"",IF(OR(AJ278="",AJ275=""),"",IF(AJ275=0,"",(AJ278/AJ275)-1)))</f>
        <v/>
      </c>
      <c r="AM278" s="24">
        <f>IF(ROW()&lt;9,"",IF(OR(AJ278="",AJ273=""),"",IF(AJ273=0,"",(AJ278/AJ273)-1)))</f>
        <v/>
      </c>
      <c r="AN278" s="13">
        <f>IF(ROW()&lt;23,"",AVERAGE(AJ259:AJ278))</f>
        <v/>
      </c>
      <c r="AO278">
        <f>IF(OR(AJ278="",AN278=""),"",IF(AJ278&gt;AN278,"Bull","Bear"))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8">
        <f>IFERROR((M279/M278)-1,"")</f>
        <v/>
      </c>
      <c r="O279" s="24">
        <f>IF(OR(N279="",N278=""),"",IF(N278=0,"",(N279/N278)-1))</f>
        <v/>
      </c>
      <c r="P279" s="11">
        <f>IF(ROW()&lt;7,"",IF(OR(E279="",E276=""),"",IF(E276=0,"",(E279/E276)-1)))</f>
        <v/>
      </c>
      <c r="Q279" s="24">
        <f>IF(ROW()&lt;9,"",IF(OR(E279="",E274=""),"",IF(E274=0,"",(E279/E274)-1)))</f>
        <v/>
      </c>
      <c r="R279" s="24">
        <f>IF(ROW()&lt;7,"",IF(OR(G279="",G276=""),"",IF(G276=0,"",(G279/G276)-1)))</f>
        <v/>
      </c>
      <c r="S279" s="24">
        <f>IF(ROW()&lt;9,"",IF(OR(G279="",G274=""),"",IF(G274=0,"",(G279/G274)-1)))</f>
        <v/>
      </c>
      <c r="T279" s="24">
        <f>IF(ROW()&lt;7,"",IF(OR(L279="",L276=""),"",IF(L276=0,"",(L279/L276)-1)))</f>
        <v/>
      </c>
      <c r="U279" s="24">
        <f>IF(ROW()&lt;9,"",IF(OR(L279="",L274=""),"",IF(L274=0,"",(L279/L274)-1)))</f>
        <v/>
      </c>
      <c r="V279" s="24">
        <f>IF(ROW()&lt;7,"",IF(OR(N279="",N276=""),"",IF(N276=0,"",(N279/N276)-1)))</f>
        <v/>
      </c>
      <c r="W279" s="24">
        <f>IF(ROW()&lt;9,"",IF(OR(N279="",N274=""),"",IF(N274=0,"",(N279/N274)-1)))</f>
        <v/>
      </c>
      <c r="X279" s="24">
        <f>IF(OR(F279="",M279=""),"",F279-M279)</f>
        <v/>
      </c>
      <c r="Y279" s="24">
        <f>IF(OR(P279="",T279=""),"",P279-T279)</f>
        <v/>
      </c>
      <c r="Z279" s="24">
        <f>IF(OR(Q279="",U279=""),"",Q279-U279)</f>
        <v/>
      </c>
      <c r="AA279" s="24">
        <f>IF(OR(H279="",O279=""),"",H279-O279)</f>
        <v/>
      </c>
      <c r="AB279" s="24">
        <f>IF(OR(R279="",V279=""),"",R279-V279)</f>
        <v/>
      </c>
      <c r="AC279" s="24">
        <f>IF(OR(S279="",W279=""),"",S279-W279)</f>
        <v/>
      </c>
      <c r="AD279" s="13" t="n"/>
      <c r="AE279" s="24">
        <f>IF(OR(AD279="",AD278=""),"",IF(AD278=0,"",(AD279/AD278)-1))</f>
        <v/>
      </c>
      <c r="AF279" s="24">
        <f>IF(ROW()&lt;7,"",IF(OR(AD279="",AD276=""),"",IF(AD276=0,"",(AD279/AD276)-1)))</f>
        <v/>
      </c>
      <c r="AG279" s="24">
        <f>IF(ROW()&lt;9,"",IF(OR(AD279="",AD274=""),"",IF(AD274=0,"",(AD279/AD274)-1)))</f>
        <v/>
      </c>
      <c r="AH279" s="13">
        <f>IF(ROW()&lt;23,"",AVERAGE(AD260:AD279))</f>
        <v/>
      </c>
      <c r="AI279">
        <f>IF(OR(AD279="",AH279=""),"",IF(AD279&gt;AH279,"Bull","Bear"))</f>
        <v/>
      </c>
      <c r="AJ279" s="13" t="n"/>
      <c r="AK279" s="24">
        <f>IF(OR(AJ279="",AJ278=""),"",IF(AJ278=0,"",(AJ279/AJ278)-1))</f>
        <v/>
      </c>
      <c r="AL279" s="24">
        <f>IF(ROW()&lt;7,"",IF(OR(AJ279="",AJ276=""),"",IF(AJ276=0,"",(AJ279/AJ276)-1)))</f>
        <v/>
      </c>
      <c r="AM279" s="24">
        <f>IF(ROW()&lt;9,"",IF(OR(AJ279="",AJ274=""),"",IF(AJ274=0,"",(AJ279/AJ274)-1)))</f>
        <v/>
      </c>
      <c r="AN279" s="13">
        <f>IF(ROW()&lt;23,"",AVERAGE(AJ260:AJ279))</f>
        <v/>
      </c>
      <c r="AO279">
        <f>IF(OR(AJ279="",AN279=""),"",IF(AJ279&gt;AN279,"Bull","Bear"))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8">
        <f>IFERROR((M280/M279)-1,"")</f>
        <v/>
      </c>
      <c r="O280" s="24">
        <f>IF(OR(N280="",N279=""),"",IF(N279=0,"",(N280/N279)-1))</f>
        <v/>
      </c>
      <c r="P280" s="11">
        <f>IF(ROW()&lt;7,"",IF(OR(E280="",E277=""),"",IF(E277=0,"",(E280/E277)-1)))</f>
        <v/>
      </c>
      <c r="Q280" s="24">
        <f>IF(ROW()&lt;9,"",IF(OR(E280="",E275=""),"",IF(E275=0,"",(E280/E275)-1)))</f>
        <v/>
      </c>
      <c r="R280" s="24">
        <f>IF(ROW()&lt;7,"",IF(OR(G280="",G277=""),"",IF(G277=0,"",(G280/G277)-1)))</f>
        <v/>
      </c>
      <c r="S280" s="24">
        <f>IF(ROW()&lt;9,"",IF(OR(G280="",G275=""),"",IF(G275=0,"",(G280/G275)-1)))</f>
        <v/>
      </c>
      <c r="T280" s="24">
        <f>IF(ROW()&lt;7,"",IF(OR(L280="",L277=""),"",IF(L277=0,"",(L280/L277)-1)))</f>
        <v/>
      </c>
      <c r="U280" s="24">
        <f>IF(ROW()&lt;9,"",IF(OR(L280="",L275=""),"",IF(L275=0,"",(L280/L275)-1)))</f>
        <v/>
      </c>
      <c r="V280" s="24">
        <f>IF(ROW()&lt;7,"",IF(OR(N280="",N277=""),"",IF(N277=0,"",(N280/N277)-1)))</f>
        <v/>
      </c>
      <c r="W280" s="24">
        <f>IF(ROW()&lt;9,"",IF(OR(N280="",N275=""),"",IF(N275=0,"",(N280/N275)-1)))</f>
        <v/>
      </c>
      <c r="X280" s="24">
        <f>IF(OR(F280="",M280=""),"",F280-M280)</f>
        <v/>
      </c>
      <c r="Y280" s="24">
        <f>IF(OR(P280="",T280=""),"",P280-T280)</f>
        <v/>
      </c>
      <c r="Z280" s="24">
        <f>IF(OR(Q280="",U280=""),"",Q280-U280)</f>
        <v/>
      </c>
      <c r="AA280" s="24">
        <f>IF(OR(H280="",O280=""),"",H280-O280)</f>
        <v/>
      </c>
      <c r="AB280" s="24">
        <f>IF(OR(R280="",V280=""),"",R280-V280)</f>
        <v/>
      </c>
      <c r="AC280" s="24">
        <f>IF(OR(S280="",W280=""),"",S280-W280)</f>
        <v/>
      </c>
      <c r="AD280" s="13" t="n"/>
      <c r="AE280" s="24">
        <f>IF(OR(AD280="",AD279=""),"",IF(AD279=0,"",(AD280/AD279)-1))</f>
        <v/>
      </c>
      <c r="AF280" s="24">
        <f>IF(ROW()&lt;7,"",IF(OR(AD280="",AD277=""),"",IF(AD277=0,"",(AD280/AD277)-1)))</f>
        <v/>
      </c>
      <c r="AG280" s="24">
        <f>IF(ROW()&lt;9,"",IF(OR(AD280="",AD275=""),"",IF(AD275=0,"",(AD280/AD275)-1)))</f>
        <v/>
      </c>
      <c r="AH280" s="13">
        <f>IF(ROW()&lt;23,"",AVERAGE(AD261:AD280))</f>
        <v/>
      </c>
      <c r="AI280">
        <f>IF(OR(AD280="",AH280=""),"",IF(AD280&gt;AH280,"Bull","Bear"))</f>
        <v/>
      </c>
      <c r="AJ280" s="13" t="n"/>
      <c r="AK280" s="24">
        <f>IF(OR(AJ280="",AJ279=""),"",IF(AJ279=0,"",(AJ280/AJ279)-1))</f>
        <v/>
      </c>
      <c r="AL280" s="24">
        <f>IF(ROW()&lt;7,"",IF(OR(AJ280="",AJ277=""),"",IF(AJ277=0,"",(AJ280/AJ277)-1)))</f>
        <v/>
      </c>
      <c r="AM280" s="24">
        <f>IF(ROW()&lt;9,"",IF(OR(AJ280="",AJ275=""),"",IF(AJ275=0,"",(AJ280/AJ275)-1)))</f>
        <v/>
      </c>
      <c r="AN280" s="13">
        <f>IF(ROW()&lt;23,"",AVERAGE(AJ261:AJ280))</f>
        <v/>
      </c>
      <c r="AO280">
        <f>IF(OR(AJ280="",AN280=""),"",IF(AJ280&gt;AN280,"Bull","Bear"))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8">
        <f>IFERROR((M281/M280)-1,"")</f>
        <v/>
      </c>
      <c r="O281" s="24">
        <f>IF(OR(N281="",N280=""),"",IF(N280=0,"",(N281/N280)-1))</f>
        <v/>
      </c>
      <c r="P281" s="11">
        <f>IF(ROW()&lt;7,"",IF(OR(E281="",E278=""),"",IF(E278=0,"",(E281/E278)-1)))</f>
        <v/>
      </c>
      <c r="Q281" s="24">
        <f>IF(ROW()&lt;9,"",IF(OR(E281="",E276=""),"",IF(E276=0,"",(E281/E276)-1)))</f>
        <v/>
      </c>
      <c r="R281" s="24">
        <f>IF(ROW()&lt;7,"",IF(OR(G281="",G278=""),"",IF(G278=0,"",(G281/G278)-1)))</f>
        <v/>
      </c>
      <c r="S281" s="24">
        <f>IF(ROW()&lt;9,"",IF(OR(G281="",G276=""),"",IF(G276=0,"",(G281/G276)-1)))</f>
        <v/>
      </c>
      <c r="T281" s="24">
        <f>IF(ROW()&lt;7,"",IF(OR(L281="",L278=""),"",IF(L278=0,"",(L281/L278)-1)))</f>
        <v/>
      </c>
      <c r="U281" s="24">
        <f>IF(ROW()&lt;9,"",IF(OR(L281="",L276=""),"",IF(L276=0,"",(L281/L276)-1)))</f>
        <v/>
      </c>
      <c r="V281" s="24">
        <f>IF(ROW()&lt;7,"",IF(OR(N281="",N278=""),"",IF(N278=0,"",(N281/N278)-1)))</f>
        <v/>
      </c>
      <c r="W281" s="24">
        <f>IF(ROW()&lt;9,"",IF(OR(N281="",N276=""),"",IF(N276=0,"",(N281/N276)-1)))</f>
        <v/>
      </c>
      <c r="X281" s="24">
        <f>IF(OR(F281="",M281=""),"",F281-M281)</f>
        <v/>
      </c>
      <c r="Y281" s="24">
        <f>IF(OR(P281="",T281=""),"",P281-T281)</f>
        <v/>
      </c>
      <c r="Z281" s="24">
        <f>IF(OR(Q281="",U281=""),"",Q281-U281)</f>
        <v/>
      </c>
      <c r="AA281" s="24">
        <f>IF(OR(H281="",O281=""),"",H281-O281)</f>
        <v/>
      </c>
      <c r="AB281" s="24">
        <f>IF(OR(R281="",V281=""),"",R281-V281)</f>
        <v/>
      </c>
      <c r="AC281" s="24">
        <f>IF(OR(S281="",W281=""),"",S281-W281)</f>
        <v/>
      </c>
      <c r="AD281" s="13" t="n"/>
      <c r="AE281" s="24">
        <f>IF(OR(AD281="",AD280=""),"",IF(AD280=0,"",(AD281/AD280)-1))</f>
        <v/>
      </c>
      <c r="AF281" s="24">
        <f>IF(ROW()&lt;7,"",IF(OR(AD281="",AD278=""),"",IF(AD278=0,"",(AD281/AD278)-1)))</f>
        <v/>
      </c>
      <c r="AG281" s="24">
        <f>IF(ROW()&lt;9,"",IF(OR(AD281="",AD276=""),"",IF(AD276=0,"",(AD281/AD276)-1)))</f>
        <v/>
      </c>
      <c r="AH281" s="13">
        <f>IF(ROW()&lt;23,"",AVERAGE(AD262:AD281))</f>
        <v/>
      </c>
      <c r="AI281">
        <f>IF(OR(AD281="",AH281=""),"",IF(AD281&gt;AH281,"Bull","Bear"))</f>
        <v/>
      </c>
      <c r="AJ281" s="13" t="n"/>
      <c r="AK281" s="24">
        <f>IF(OR(AJ281="",AJ280=""),"",IF(AJ280=0,"",(AJ281/AJ280)-1))</f>
        <v/>
      </c>
      <c r="AL281" s="24">
        <f>IF(ROW()&lt;7,"",IF(OR(AJ281="",AJ278=""),"",IF(AJ278=0,"",(AJ281/AJ278)-1)))</f>
        <v/>
      </c>
      <c r="AM281" s="24">
        <f>IF(ROW()&lt;9,"",IF(OR(AJ281="",AJ276=""),"",IF(AJ276=0,"",(AJ281/AJ276)-1)))</f>
        <v/>
      </c>
      <c r="AN281" s="13">
        <f>IF(ROW()&lt;23,"",AVERAGE(AJ262:AJ281))</f>
        <v/>
      </c>
      <c r="AO281">
        <f>IF(OR(AJ281="",AN281=""),"",IF(AJ281&gt;AN281,"Bull","Bear"))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8">
        <f>IFERROR((M282/M281)-1,"")</f>
        <v/>
      </c>
      <c r="O282" s="24">
        <f>IF(OR(N282="",N281=""),"",IF(N281=0,"",(N282/N281)-1))</f>
        <v/>
      </c>
      <c r="P282" s="11">
        <f>IF(ROW()&lt;7,"",IF(OR(E282="",E279=""),"",IF(E279=0,"",(E282/E279)-1)))</f>
        <v/>
      </c>
      <c r="Q282" s="24">
        <f>IF(ROW()&lt;9,"",IF(OR(E282="",E277=""),"",IF(E277=0,"",(E282/E277)-1)))</f>
        <v/>
      </c>
      <c r="R282" s="24">
        <f>IF(ROW()&lt;7,"",IF(OR(G282="",G279=""),"",IF(G279=0,"",(G282/G279)-1)))</f>
        <v/>
      </c>
      <c r="S282" s="24">
        <f>IF(ROW()&lt;9,"",IF(OR(G282="",G277=""),"",IF(G277=0,"",(G282/G277)-1)))</f>
        <v/>
      </c>
      <c r="T282" s="24">
        <f>IF(ROW()&lt;7,"",IF(OR(L282="",L279=""),"",IF(L279=0,"",(L282/L279)-1)))</f>
        <v/>
      </c>
      <c r="U282" s="24">
        <f>IF(ROW()&lt;9,"",IF(OR(L282="",L277=""),"",IF(L277=0,"",(L282/L277)-1)))</f>
        <v/>
      </c>
      <c r="V282" s="24">
        <f>IF(ROW()&lt;7,"",IF(OR(N282="",N279=""),"",IF(N279=0,"",(N282/N279)-1)))</f>
        <v/>
      </c>
      <c r="W282" s="24">
        <f>IF(ROW()&lt;9,"",IF(OR(N282="",N277=""),"",IF(N277=0,"",(N282/N277)-1)))</f>
        <v/>
      </c>
      <c r="X282" s="24">
        <f>IF(OR(F282="",M282=""),"",F282-M282)</f>
        <v/>
      </c>
      <c r="Y282" s="24">
        <f>IF(OR(P282="",T282=""),"",P282-T282)</f>
        <v/>
      </c>
      <c r="Z282" s="24">
        <f>IF(OR(Q282="",U282=""),"",Q282-U282)</f>
        <v/>
      </c>
      <c r="AA282" s="24">
        <f>IF(OR(H282="",O282=""),"",H282-O282)</f>
        <v/>
      </c>
      <c r="AB282" s="24">
        <f>IF(OR(R282="",V282=""),"",R282-V282)</f>
        <v/>
      </c>
      <c r="AC282" s="24">
        <f>IF(OR(S282="",W282=""),"",S282-W282)</f>
        <v/>
      </c>
      <c r="AD282" s="13" t="n"/>
      <c r="AE282" s="24">
        <f>IF(OR(AD282="",AD281=""),"",IF(AD281=0,"",(AD282/AD281)-1))</f>
        <v/>
      </c>
      <c r="AF282" s="24">
        <f>IF(ROW()&lt;7,"",IF(OR(AD282="",AD279=""),"",IF(AD279=0,"",(AD282/AD279)-1)))</f>
        <v/>
      </c>
      <c r="AG282" s="24">
        <f>IF(ROW()&lt;9,"",IF(OR(AD282="",AD277=""),"",IF(AD277=0,"",(AD282/AD277)-1)))</f>
        <v/>
      </c>
      <c r="AH282" s="13">
        <f>IF(ROW()&lt;23,"",AVERAGE(AD263:AD282))</f>
        <v/>
      </c>
      <c r="AI282">
        <f>IF(OR(AD282="",AH282=""),"",IF(AD282&gt;AH282,"Bull","Bear"))</f>
        <v/>
      </c>
      <c r="AJ282" s="13" t="n"/>
      <c r="AK282" s="24">
        <f>IF(OR(AJ282="",AJ281=""),"",IF(AJ281=0,"",(AJ282/AJ281)-1))</f>
        <v/>
      </c>
      <c r="AL282" s="24">
        <f>IF(ROW()&lt;7,"",IF(OR(AJ282="",AJ279=""),"",IF(AJ279=0,"",(AJ282/AJ279)-1)))</f>
        <v/>
      </c>
      <c r="AM282" s="24">
        <f>IF(ROW()&lt;9,"",IF(OR(AJ282="",AJ277=""),"",IF(AJ277=0,"",(AJ282/AJ277)-1)))</f>
        <v/>
      </c>
      <c r="AN282" s="13">
        <f>IF(ROW()&lt;23,"",AVERAGE(AJ263:AJ282))</f>
        <v/>
      </c>
      <c r="AO282">
        <f>IF(OR(AJ282="",AN282=""),"",IF(AJ282&gt;AN282,"Bull","Bear"))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8">
        <f>IFERROR((M283/M282)-1,"")</f>
        <v/>
      </c>
      <c r="O283" s="24">
        <f>IF(OR(N283="",N282=""),"",IF(N282=0,"",(N283/N282)-1))</f>
        <v/>
      </c>
      <c r="P283" s="11">
        <f>IF(ROW()&lt;7,"",IF(OR(E283="",E280=""),"",IF(E280=0,"",(E283/E280)-1)))</f>
        <v/>
      </c>
      <c r="Q283" s="24">
        <f>IF(ROW()&lt;9,"",IF(OR(E283="",E278=""),"",IF(E278=0,"",(E283/E278)-1)))</f>
        <v/>
      </c>
      <c r="R283" s="24">
        <f>IF(ROW()&lt;7,"",IF(OR(G283="",G280=""),"",IF(G280=0,"",(G283/G280)-1)))</f>
        <v/>
      </c>
      <c r="S283" s="24">
        <f>IF(ROW()&lt;9,"",IF(OR(G283="",G278=""),"",IF(G278=0,"",(G283/G278)-1)))</f>
        <v/>
      </c>
      <c r="T283" s="24">
        <f>IF(ROW()&lt;7,"",IF(OR(L283="",L280=""),"",IF(L280=0,"",(L283/L280)-1)))</f>
        <v/>
      </c>
      <c r="U283" s="24">
        <f>IF(ROW()&lt;9,"",IF(OR(L283="",L278=""),"",IF(L278=0,"",(L283/L278)-1)))</f>
        <v/>
      </c>
      <c r="V283" s="24">
        <f>IF(ROW()&lt;7,"",IF(OR(N283="",N280=""),"",IF(N280=0,"",(N283/N280)-1)))</f>
        <v/>
      </c>
      <c r="W283" s="24">
        <f>IF(ROW()&lt;9,"",IF(OR(N283="",N278=""),"",IF(N278=0,"",(N283/N278)-1)))</f>
        <v/>
      </c>
      <c r="X283" s="24">
        <f>IF(OR(F283="",M283=""),"",F283-M283)</f>
        <v/>
      </c>
      <c r="Y283" s="24">
        <f>IF(OR(P283="",T283=""),"",P283-T283)</f>
        <v/>
      </c>
      <c r="Z283" s="24">
        <f>IF(OR(Q283="",U283=""),"",Q283-U283)</f>
        <v/>
      </c>
      <c r="AA283" s="24">
        <f>IF(OR(H283="",O283=""),"",H283-O283)</f>
        <v/>
      </c>
      <c r="AB283" s="24">
        <f>IF(OR(R283="",V283=""),"",R283-V283)</f>
        <v/>
      </c>
      <c r="AC283" s="24">
        <f>IF(OR(S283="",W283=""),"",S283-W283)</f>
        <v/>
      </c>
      <c r="AD283" s="13" t="n"/>
      <c r="AE283" s="24">
        <f>IF(OR(AD283="",AD282=""),"",IF(AD282=0,"",(AD283/AD282)-1))</f>
        <v/>
      </c>
      <c r="AF283" s="24">
        <f>IF(ROW()&lt;7,"",IF(OR(AD283="",AD280=""),"",IF(AD280=0,"",(AD283/AD280)-1)))</f>
        <v/>
      </c>
      <c r="AG283" s="24">
        <f>IF(ROW()&lt;9,"",IF(OR(AD283="",AD278=""),"",IF(AD278=0,"",(AD283/AD278)-1)))</f>
        <v/>
      </c>
      <c r="AH283" s="13">
        <f>IF(ROW()&lt;23,"",AVERAGE(AD264:AD283))</f>
        <v/>
      </c>
      <c r="AI283">
        <f>IF(OR(AD283="",AH283=""),"",IF(AD283&gt;AH283,"Bull","Bear"))</f>
        <v/>
      </c>
      <c r="AJ283" s="13" t="n"/>
      <c r="AK283" s="24">
        <f>IF(OR(AJ283="",AJ282=""),"",IF(AJ282=0,"",(AJ283/AJ282)-1))</f>
        <v/>
      </c>
      <c r="AL283" s="24">
        <f>IF(ROW()&lt;7,"",IF(OR(AJ283="",AJ280=""),"",IF(AJ280=0,"",(AJ283/AJ280)-1)))</f>
        <v/>
      </c>
      <c r="AM283" s="24">
        <f>IF(ROW()&lt;9,"",IF(OR(AJ283="",AJ278=""),"",IF(AJ278=0,"",(AJ283/AJ278)-1)))</f>
        <v/>
      </c>
      <c r="AN283" s="13">
        <f>IF(ROW()&lt;23,"",AVERAGE(AJ264:AJ283))</f>
        <v/>
      </c>
      <c r="AO283">
        <f>IF(OR(AJ283="",AN283=""),"",IF(AJ283&gt;AN283,"Bull","Bear"))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8">
        <f>IFERROR((M284/M283)-1,"")</f>
        <v/>
      </c>
      <c r="O284" s="24">
        <f>IF(OR(N284="",N283=""),"",IF(N283=0,"",(N284/N283)-1))</f>
        <v/>
      </c>
      <c r="P284" s="11">
        <f>IF(ROW()&lt;7,"",IF(OR(E284="",E281=""),"",IF(E281=0,"",(E284/E281)-1)))</f>
        <v/>
      </c>
      <c r="Q284" s="24">
        <f>IF(ROW()&lt;9,"",IF(OR(E284="",E279=""),"",IF(E279=0,"",(E284/E279)-1)))</f>
        <v/>
      </c>
      <c r="R284" s="24">
        <f>IF(ROW()&lt;7,"",IF(OR(G284="",G281=""),"",IF(G281=0,"",(G284/G281)-1)))</f>
        <v/>
      </c>
      <c r="S284" s="24">
        <f>IF(ROW()&lt;9,"",IF(OR(G284="",G279=""),"",IF(G279=0,"",(G284/G279)-1)))</f>
        <v/>
      </c>
      <c r="T284" s="24">
        <f>IF(ROW()&lt;7,"",IF(OR(L284="",L281=""),"",IF(L281=0,"",(L284/L281)-1)))</f>
        <v/>
      </c>
      <c r="U284" s="24">
        <f>IF(ROW()&lt;9,"",IF(OR(L284="",L279=""),"",IF(L279=0,"",(L284/L279)-1)))</f>
        <v/>
      </c>
      <c r="V284" s="24">
        <f>IF(ROW()&lt;7,"",IF(OR(N284="",N281=""),"",IF(N281=0,"",(N284/N281)-1)))</f>
        <v/>
      </c>
      <c r="W284" s="24">
        <f>IF(ROW()&lt;9,"",IF(OR(N284="",N279=""),"",IF(N279=0,"",(N284/N279)-1)))</f>
        <v/>
      </c>
      <c r="X284" s="24">
        <f>IF(OR(F284="",M284=""),"",F284-M284)</f>
        <v/>
      </c>
      <c r="Y284" s="24">
        <f>IF(OR(P284="",T284=""),"",P284-T284)</f>
        <v/>
      </c>
      <c r="Z284" s="24">
        <f>IF(OR(Q284="",U284=""),"",Q284-U284)</f>
        <v/>
      </c>
      <c r="AA284" s="24">
        <f>IF(OR(H284="",O284=""),"",H284-O284)</f>
        <v/>
      </c>
      <c r="AB284" s="24">
        <f>IF(OR(R284="",V284=""),"",R284-V284)</f>
        <v/>
      </c>
      <c r="AC284" s="24">
        <f>IF(OR(S284="",W284=""),"",S284-W284)</f>
        <v/>
      </c>
      <c r="AD284" s="13" t="n"/>
      <c r="AE284" s="24">
        <f>IF(OR(AD284="",AD283=""),"",IF(AD283=0,"",(AD284/AD283)-1))</f>
        <v/>
      </c>
      <c r="AF284" s="24">
        <f>IF(ROW()&lt;7,"",IF(OR(AD284="",AD281=""),"",IF(AD281=0,"",(AD284/AD281)-1)))</f>
        <v/>
      </c>
      <c r="AG284" s="24">
        <f>IF(ROW()&lt;9,"",IF(OR(AD284="",AD279=""),"",IF(AD279=0,"",(AD284/AD279)-1)))</f>
        <v/>
      </c>
      <c r="AH284" s="13">
        <f>IF(ROW()&lt;23,"",AVERAGE(AD265:AD284))</f>
        <v/>
      </c>
      <c r="AI284">
        <f>IF(OR(AD284="",AH284=""),"",IF(AD284&gt;AH284,"Bull","Bear"))</f>
        <v/>
      </c>
      <c r="AJ284" s="13" t="n"/>
      <c r="AK284" s="24">
        <f>IF(OR(AJ284="",AJ283=""),"",IF(AJ283=0,"",(AJ284/AJ283)-1))</f>
        <v/>
      </c>
      <c r="AL284" s="24">
        <f>IF(ROW()&lt;7,"",IF(OR(AJ284="",AJ281=""),"",IF(AJ281=0,"",(AJ284/AJ281)-1)))</f>
        <v/>
      </c>
      <c r="AM284" s="24">
        <f>IF(ROW()&lt;9,"",IF(OR(AJ284="",AJ279=""),"",IF(AJ279=0,"",(AJ284/AJ279)-1)))</f>
        <v/>
      </c>
      <c r="AN284" s="13">
        <f>IF(ROW()&lt;23,"",AVERAGE(AJ265:AJ284))</f>
        <v/>
      </c>
      <c r="AO284">
        <f>IF(OR(AJ284="",AN284=""),"",IF(AJ284&gt;AN284,"Bull","Bear"))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8">
        <f>IFERROR((M285/M284)-1,"")</f>
        <v/>
      </c>
      <c r="O285" s="24">
        <f>IF(OR(N285="",N284=""),"",IF(N284=0,"",(N285/N284)-1))</f>
        <v/>
      </c>
      <c r="P285" s="11">
        <f>IF(ROW()&lt;7,"",IF(OR(E285="",E282=""),"",IF(E282=0,"",(E285/E282)-1)))</f>
        <v/>
      </c>
      <c r="Q285" s="24">
        <f>IF(ROW()&lt;9,"",IF(OR(E285="",E280=""),"",IF(E280=0,"",(E285/E280)-1)))</f>
        <v/>
      </c>
      <c r="R285" s="24">
        <f>IF(ROW()&lt;7,"",IF(OR(G285="",G282=""),"",IF(G282=0,"",(G285/G282)-1)))</f>
        <v/>
      </c>
      <c r="S285" s="24">
        <f>IF(ROW()&lt;9,"",IF(OR(G285="",G280=""),"",IF(G280=0,"",(G285/G280)-1)))</f>
        <v/>
      </c>
      <c r="T285" s="24">
        <f>IF(ROW()&lt;7,"",IF(OR(L285="",L282=""),"",IF(L282=0,"",(L285/L282)-1)))</f>
        <v/>
      </c>
      <c r="U285" s="24">
        <f>IF(ROW()&lt;9,"",IF(OR(L285="",L280=""),"",IF(L280=0,"",(L285/L280)-1)))</f>
        <v/>
      </c>
      <c r="V285" s="24">
        <f>IF(ROW()&lt;7,"",IF(OR(N285="",N282=""),"",IF(N282=0,"",(N285/N282)-1)))</f>
        <v/>
      </c>
      <c r="W285" s="24">
        <f>IF(ROW()&lt;9,"",IF(OR(N285="",N280=""),"",IF(N280=0,"",(N285/N280)-1)))</f>
        <v/>
      </c>
      <c r="X285" s="24">
        <f>IF(OR(F285="",M285=""),"",F285-M285)</f>
        <v/>
      </c>
      <c r="Y285" s="24">
        <f>IF(OR(P285="",T285=""),"",P285-T285)</f>
        <v/>
      </c>
      <c r="Z285" s="24">
        <f>IF(OR(Q285="",U285=""),"",Q285-U285)</f>
        <v/>
      </c>
      <c r="AA285" s="24">
        <f>IF(OR(H285="",O285=""),"",H285-O285)</f>
        <v/>
      </c>
      <c r="AB285" s="24">
        <f>IF(OR(R285="",V285=""),"",R285-V285)</f>
        <v/>
      </c>
      <c r="AC285" s="24">
        <f>IF(OR(S285="",W285=""),"",S285-W285)</f>
        <v/>
      </c>
      <c r="AD285" s="13" t="n"/>
      <c r="AE285" s="24">
        <f>IF(OR(AD285="",AD284=""),"",IF(AD284=0,"",(AD285/AD284)-1))</f>
        <v/>
      </c>
      <c r="AF285" s="24">
        <f>IF(ROW()&lt;7,"",IF(OR(AD285="",AD282=""),"",IF(AD282=0,"",(AD285/AD282)-1)))</f>
        <v/>
      </c>
      <c r="AG285" s="24">
        <f>IF(ROW()&lt;9,"",IF(OR(AD285="",AD280=""),"",IF(AD280=0,"",(AD285/AD280)-1)))</f>
        <v/>
      </c>
      <c r="AH285" s="13">
        <f>IF(ROW()&lt;23,"",AVERAGE(AD266:AD285))</f>
        <v/>
      </c>
      <c r="AI285">
        <f>IF(OR(AD285="",AH285=""),"",IF(AD285&gt;AH285,"Bull","Bear"))</f>
        <v/>
      </c>
      <c r="AJ285" s="13" t="n"/>
      <c r="AK285" s="24">
        <f>IF(OR(AJ285="",AJ284=""),"",IF(AJ284=0,"",(AJ285/AJ284)-1))</f>
        <v/>
      </c>
      <c r="AL285" s="24">
        <f>IF(ROW()&lt;7,"",IF(OR(AJ285="",AJ282=""),"",IF(AJ282=0,"",(AJ285/AJ282)-1)))</f>
        <v/>
      </c>
      <c r="AM285" s="24">
        <f>IF(ROW()&lt;9,"",IF(OR(AJ285="",AJ280=""),"",IF(AJ280=0,"",(AJ285/AJ280)-1)))</f>
        <v/>
      </c>
      <c r="AN285" s="13">
        <f>IF(ROW()&lt;23,"",AVERAGE(AJ266:AJ285))</f>
        <v/>
      </c>
      <c r="AO285">
        <f>IF(OR(AJ285="",AN285=""),"",IF(AJ285&gt;AN285,"Bull","Bear"))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8">
        <f>IFERROR((M286/M285)-1,"")</f>
        <v/>
      </c>
      <c r="O286" s="24">
        <f>IF(OR(N286="",N285=""),"",IF(N285=0,"",(N286/N285)-1))</f>
        <v/>
      </c>
      <c r="P286" s="11">
        <f>IF(ROW()&lt;7,"",IF(OR(E286="",E283=""),"",IF(E283=0,"",(E286/E283)-1)))</f>
        <v/>
      </c>
      <c r="Q286" s="24">
        <f>IF(ROW()&lt;9,"",IF(OR(E286="",E281=""),"",IF(E281=0,"",(E286/E281)-1)))</f>
        <v/>
      </c>
      <c r="R286" s="24">
        <f>IF(ROW()&lt;7,"",IF(OR(G286="",G283=""),"",IF(G283=0,"",(G286/G283)-1)))</f>
        <v/>
      </c>
      <c r="S286" s="24">
        <f>IF(ROW()&lt;9,"",IF(OR(G286="",G281=""),"",IF(G281=0,"",(G286/G281)-1)))</f>
        <v/>
      </c>
      <c r="T286" s="24">
        <f>IF(ROW()&lt;7,"",IF(OR(L286="",L283=""),"",IF(L283=0,"",(L286/L283)-1)))</f>
        <v/>
      </c>
      <c r="U286" s="24">
        <f>IF(ROW()&lt;9,"",IF(OR(L286="",L281=""),"",IF(L281=0,"",(L286/L281)-1)))</f>
        <v/>
      </c>
      <c r="V286" s="24">
        <f>IF(ROW()&lt;7,"",IF(OR(N286="",N283=""),"",IF(N283=0,"",(N286/N283)-1)))</f>
        <v/>
      </c>
      <c r="W286" s="24">
        <f>IF(ROW()&lt;9,"",IF(OR(N286="",N281=""),"",IF(N281=0,"",(N286/N281)-1)))</f>
        <v/>
      </c>
      <c r="X286" s="24">
        <f>IF(OR(F286="",M286=""),"",F286-M286)</f>
        <v/>
      </c>
      <c r="Y286" s="24">
        <f>IF(OR(P286="",T286=""),"",P286-T286)</f>
        <v/>
      </c>
      <c r="Z286" s="24">
        <f>IF(OR(Q286="",U286=""),"",Q286-U286)</f>
        <v/>
      </c>
      <c r="AA286" s="24">
        <f>IF(OR(H286="",O286=""),"",H286-O286)</f>
        <v/>
      </c>
      <c r="AB286" s="24">
        <f>IF(OR(R286="",V286=""),"",R286-V286)</f>
        <v/>
      </c>
      <c r="AC286" s="24">
        <f>IF(OR(S286="",W286=""),"",S286-W286)</f>
        <v/>
      </c>
      <c r="AD286" s="13" t="n"/>
      <c r="AE286" s="24">
        <f>IF(OR(AD286="",AD285=""),"",IF(AD285=0,"",(AD286/AD285)-1))</f>
        <v/>
      </c>
      <c r="AF286" s="24">
        <f>IF(ROW()&lt;7,"",IF(OR(AD286="",AD283=""),"",IF(AD283=0,"",(AD286/AD283)-1)))</f>
        <v/>
      </c>
      <c r="AG286" s="24">
        <f>IF(ROW()&lt;9,"",IF(OR(AD286="",AD281=""),"",IF(AD281=0,"",(AD286/AD281)-1)))</f>
        <v/>
      </c>
      <c r="AH286" s="13">
        <f>IF(ROW()&lt;23,"",AVERAGE(AD267:AD286))</f>
        <v/>
      </c>
      <c r="AI286">
        <f>IF(OR(AD286="",AH286=""),"",IF(AD286&gt;AH286,"Bull","Bear"))</f>
        <v/>
      </c>
      <c r="AJ286" s="13" t="n"/>
      <c r="AK286" s="24">
        <f>IF(OR(AJ286="",AJ285=""),"",IF(AJ285=0,"",(AJ286/AJ285)-1))</f>
        <v/>
      </c>
      <c r="AL286" s="24">
        <f>IF(ROW()&lt;7,"",IF(OR(AJ286="",AJ283=""),"",IF(AJ283=0,"",(AJ286/AJ283)-1)))</f>
        <v/>
      </c>
      <c r="AM286" s="24">
        <f>IF(ROW()&lt;9,"",IF(OR(AJ286="",AJ281=""),"",IF(AJ281=0,"",(AJ286/AJ281)-1)))</f>
        <v/>
      </c>
      <c r="AN286" s="13">
        <f>IF(ROW()&lt;23,"",AVERAGE(AJ267:AJ286))</f>
        <v/>
      </c>
      <c r="AO286">
        <f>IF(OR(AJ286="",AN286=""),"",IF(AJ286&gt;AN286,"Bull","Bear"))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8">
        <f>IFERROR((M287/M286)-1,"")</f>
        <v/>
      </c>
      <c r="O287" s="24">
        <f>IF(OR(N287="",N286=""),"",IF(N286=0,"",(N287/N286)-1))</f>
        <v/>
      </c>
      <c r="P287" s="11">
        <f>IF(ROW()&lt;7,"",IF(OR(E287="",E284=""),"",IF(E284=0,"",(E287/E284)-1)))</f>
        <v/>
      </c>
      <c r="Q287" s="24">
        <f>IF(ROW()&lt;9,"",IF(OR(E287="",E282=""),"",IF(E282=0,"",(E287/E282)-1)))</f>
        <v/>
      </c>
      <c r="R287" s="24">
        <f>IF(ROW()&lt;7,"",IF(OR(G287="",G284=""),"",IF(G284=0,"",(G287/G284)-1)))</f>
        <v/>
      </c>
      <c r="S287" s="24">
        <f>IF(ROW()&lt;9,"",IF(OR(G287="",G282=""),"",IF(G282=0,"",(G287/G282)-1)))</f>
        <v/>
      </c>
      <c r="T287" s="24">
        <f>IF(ROW()&lt;7,"",IF(OR(L287="",L284=""),"",IF(L284=0,"",(L287/L284)-1)))</f>
        <v/>
      </c>
      <c r="U287" s="24">
        <f>IF(ROW()&lt;9,"",IF(OR(L287="",L282=""),"",IF(L282=0,"",(L287/L282)-1)))</f>
        <v/>
      </c>
      <c r="V287" s="24">
        <f>IF(ROW()&lt;7,"",IF(OR(N287="",N284=""),"",IF(N284=0,"",(N287/N284)-1)))</f>
        <v/>
      </c>
      <c r="W287" s="24">
        <f>IF(ROW()&lt;9,"",IF(OR(N287="",N282=""),"",IF(N282=0,"",(N287/N282)-1)))</f>
        <v/>
      </c>
      <c r="X287" s="24">
        <f>IF(OR(F287="",M287=""),"",F287-M287)</f>
        <v/>
      </c>
      <c r="Y287" s="24">
        <f>IF(OR(P287="",T287=""),"",P287-T287)</f>
        <v/>
      </c>
      <c r="Z287" s="24">
        <f>IF(OR(Q287="",U287=""),"",Q287-U287)</f>
        <v/>
      </c>
      <c r="AA287" s="24">
        <f>IF(OR(H287="",O287=""),"",H287-O287)</f>
        <v/>
      </c>
      <c r="AB287" s="24">
        <f>IF(OR(R287="",V287=""),"",R287-V287)</f>
        <v/>
      </c>
      <c r="AC287" s="24">
        <f>IF(OR(S287="",W287=""),"",S287-W287)</f>
        <v/>
      </c>
      <c r="AD287" s="13" t="n"/>
      <c r="AE287" s="24">
        <f>IF(OR(AD287="",AD286=""),"",IF(AD286=0,"",(AD287/AD286)-1))</f>
        <v/>
      </c>
      <c r="AF287" s="24">
        <f>IF(ROW()&lt;7,"",IF(OR(AD287="",AD284=""),"",IF(AD284=0,"",(AD287/AD284)-1)))</f>
        <v/>
      </c>
      <c r="AG287" s="24">
        <f>IF(ROW()&lt;9,"",IF(OR(AD287="",AD282=""),"",IF(AD282=0,"",(AD287/AD282)-1)))</f>
        <v/>
      </c>
      <c r="AH287" s="13">
        <f>IF(ROW()&lt;23,"",AVERAGE(AD268:AD287))</f>
        <v/>
      </c>
      <c r="AI287">
        <f>IF(OR(AD287="",AH287=""),"",IF(AD287&gt;AH287,"Bull","Bear"))</f>
        <v/>
      </c>
      <c r="AJ287" s="13" t="n"/>
      <c r="AK287" s="24">
        <f>IF(OR(AJ287="",AJ286=""),"",IF(AJ286=0,"",(AJ287/AJ286)-1))</f>
        <v/>
      </c>
      <c r="AL287" s="24">
        <f>IF(ROW()&lt;7,"",IF(OR(AJ287="",AJ284=""),"",IF(AJ284=0,"",(AJ287/AJ284)-1)))</f>
        <v/>
      </c>
      <c r="AM287" s="24">
        <f>IF(ROW()&lt;9,"",IF(OR(AJ287="",AJ282=""),"",IF(AJ282=0,"",(AJ287/AJ282)-1)))</f>
        <v/>
      </c>
      <c r="AN287" s="13">
        <f>IF(ROW()&lt;23,"",AVERAGE(AJ268:AJ287))</f>
        <v/>
      </c>
      <c r="AO287">
        <f>IF(OR(AJ287="",AN287=""),"",IF(AJ287&gt;AN287,"Bull","Bear"))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8">
        <f>IFERROR((M288/M287)-1,"")</f>
        <v/>
      </c>
      <c r="O288" s="24">
        <f>IF(OR(N288="",N287=""),"",IF(N287=0,"",(N288/N287)-1))</f>
        <v/>
      </c>
      <c r="P288" s="11">
        <f>IF(ROW()&lt;7,"",IF(OR(E288="",E285=""),"",IF(E285=0,"",(E288/E285)-1)))</f>
        <v/>
      </c>
      <c r="Q288" s="24">
        <f>IF(ROW()&lt;9,"",IF(OR(E288="",E283=""),"",IF(E283=0,"",(E288/E283)-1)))</f>
        <v/>
      </c>
      <c r="R288" s="24">
        <f>IF(ROW()&lt;7,"",IF(OR(G288="",G285=""),"",IF(G285=0,"",(G288/G285)-1)))</f>
        <v/>
      </c>
      <c r="S288" s="24">
        <f>IF(ROW()&lt;9,"",IF(OR(G288="",G283=""),"",IF(G283=0,"",(G288/G283)-1)))</f>
        <v/>
      </c>
      <c r="T288" s="24">
        <f>IF(ROW()&lt;7,"",IF(OR(L288="",L285=""),"",IF(L285=0,"",(L288/L285)-1)))</f>
        <v/>
      </c>
      <c r="U288" s="24">
        <f>IF(ROW()&lt;9,"",IF(OR(L288="",L283=""),"",IF(L283=0,"",(L288/L283)-1)))</f>
        <v/>
      </c>
      <c r="V288" s="24">
        <f>IF(ROW()&lt;7,"",IF(OR(N288="",N285=""),"",IF(N285=0,"",(N288/N285)-1)))</f>
        <v/>
      </c>
      <c r="W288" s="24">
        <f>IF(ROW()&lt;9,"",IF(OR(N288="",N283=""),"",IF(N283=0,"",(N288/N283)-1)))</f>
        <v/>
      </c>
      <c r="X288" s="24">
        <f>IF(OR(F288="",M288=""),"",F288-M288)</f>
        <v/>
      </c>
      <c r="Y288" s="24">
        <f>IF(OR(P288="",T288=""),"",P288-T288)</f>
        <v/>
      </c>
      <c r="Z288" s="24">
        <f>IF(OR(Q288="",U288=""),"",Q288-U288)</f>
        <v/>
      </c>
      <c r="AA288" s="24">
        <f>IF(OR(H288="",O288=""),"",H288-O288)</f>
        <v/>
      </c>
      <c r="AB288" s="24">
        <f>IF(OR(R288="",V288=""),"",R288-V288)</f>
        <v/>
      </c>
      <c r="AC288" s="24">
        <f>IF(OR(S288="",W288=""),"",S288-W288)</f>
        <v/>
      </c>
      <c r="AD288" s="13" t="n"/>
      <c r="AE288" s="24">
        <f>IF(OR(AD288="",AD287=""),"",IF(AD287=0,"",(AD288/AD287)-1))</f>
        <v/>
      </c>
      <c r="AF288" s="24">
        <f>IF(ROW()&lt;7,"",IF(OR(AD288="",AD285=""),"",IF(AD285=0,"",(AD288/AD285)-1)))</f>
        <v/>
      </c>
      <c r="AG288" s="24">
        <f>IF(ROW()&lt;9,"",IF(OR(AD288="",AD283=""),"",IF(AD283=0,"",(AD288/AD283)-1)))</f>
        <v/>
      </c>
      <c r="AH288" s="13">
        <f>IF(ROW()&lt;23,"",AVERAGE(AD269:AD288))</f>
        <v/>
      </c>
      <c r="AI288">
        <f>IF(OR(AD288="",AH288=""),"",IF(AD288&gt;AH288,"Bull","Bear"))</f>
        <v/>
      </c>
      <c r="AJ288" s="13" t="n"/>
      <c r="AK288" s="24">
        <f>IF(OR(AJ288="",AJ287=""),"",IF(AJ287=0,"",(AJ288/AJ287)-1))</f>
        <v/>
      </c>
      <c r="AL288" s="24">
        <f>IF(ROW()&lt;7,"",IF(OR(AJ288="",AJ285=""),"",IF(AJ285=0,"",(AJ288/AJ285)-1)))</f>
        <v/>
      </c>
      <c r="AM288" s="24">
        <f>IF(ROW()&lt;9,"",IF(OR(AJ288="",AJ283=""),"",IF(AJ283=0,"",(AJ288/AJ283)-1)))</f>
        <v/>
      </c>
      <c r="AN288" s="13">
        <f>IF(ROW()&lt;23,"",AVERAGE(AJ269:AJ288))</f>
        <v/>
      </c>
      <c r="AO288">
        <f>IF(OR(AJ288="",AN288=""),"",IF(AJ288&gt;AN288,"Bull","Bear"))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8">
        <f>IFERROR((M289/M288)-1,"")</f>
        <v/>
      </c>
      <c r="O289" s="24">
        <f>IF(OR(N289="",N288=""),"",IF(N288=0,"",(N289/N288)-1))</f>
        <v/>
      </c>
      <c r="P289" s="11">
        <f>IF(ROW()&lt;7,"",IF(OR(E289="",E286=""),"",IF(E286=0,"",(E289/E286)-1)))</f>
        <v/>
      </c>
      <c r="Q289" s="24">
        <f>IF(ROW()&lt;9,"",IF(OR(E289="",E284=""),"",IF(E284=0,"",(E289/E284)-1)))</f>
        <v/>
      </c>
      <c r="R289" s="24">
        <f>IF(ROW()&lt;7,"",IF(OR(G289="",G286=""),"",IF(G286=0,"",(G289/G286)-1)))</f>
        <v/>
      </c>
      <c r="S289" s="24">
        <f>IF(ROW()&lt;9,"",IF(OR(G289="",G284=""),"",IF(G284=0,"",(G289/G284)-1)))</f>
        <v/>
      </c>
      <c r="T289" s="24">
        <f>IF(ROW()&lt;7,"",IF(OR(L289="",L286=""),"",IF(L286=0,"",(L289/L286)-1)))</f>
        <v/>
      </c>
      <c r="U289" s="24">
        <f>IF(ROW()&lt;9,"",IF(OR(L289="",L284=""),"",IF(L284=0,"",(L289/L284)-1)))</f>
        <v/>
      </c>
      <c r="V289" s="24">
        <f>IF(ROW()&lt;7,"",IF(OR(N289="",N286=""),"",IF(N286=0,"",(N289/N286)-1)))</f>
        <v/>
      </c>
      <c r="W289" s="24">
        <f>IF(ROW()&lt;9,"",IF(OR(N289="",N284=""),"",IF(N284=0,"",(N289/N284)-1)))</f>
        <v/>
      </c>
      <c r="X289" s="24">
        <f>IF(OR(F289="",M289=""),"",F289-M289)</f>
        <v/>
      </c>
      <c r="Y289" s="24">
        <f>IF(OR(P289="",T289=""),"",P289-T289)</f>
        <v/>
      </c>
      <c r="Z289" s="24">
        <f>IF(OR(Q289="",U289=""),"",Q289-U289)</f>
        <v/>
      </c>
      <c r="AA289" s="24">
        <f>IF(OR(H289="",O289=""),"",H289-O289)</f>
        <v/>
      </c>
      <c r="AB289" s="24">
        <f>IF(OR(R289="",V289=""),"",R289-V289)</f>
        <v/>
      </c>
      <c r="AC289" s="24">
        <f>IF(OR(S289="",W289=""),"",S289-W289)</f>
        <v/>
      </c>
      <c r="AD289" s="13" t="n"/>
      <c r="AE289" s="24">
        <f>IF(OR(AD289="",AD288=""),"",IF(AD288=0,"",(AD289/AD288)-1))</f>
        <v/>
      </c>
      <c r="AF289" s="24">
        <f>IF(ROW()&lt;7,"",IF(OR(AD289="",AD286=""),"",IF(AD286=0,"",(AD289/AD286)-1)))</f>
        <v/>
      </c>
      <c r="AG289" s="24">
        <f>IF(ROW()&lt;9,"",IF(OR(AD289="",AD284=""),"",IF(AD284=0,"",(AD289/AD284)-1)))</f>
        <v/>
      </c>
      <c r="AH289" s="13">
        <f>IF(ROW()&lt;23,"",AVERAGE(AD270:AD289))</f>
        <v/>
      </c>
      <c r="AI289">
        <f>IF(OR(AD289="",AH289=""),"",IF(AD289&gt;AH289,"Bull","Bear"))</f>
        <v/>
      </c>
      <c r="AJ289" s="13" t="n"/>
      <c r="AK289" s="24">
        <f>IF(OR(AJ289="",AJ288=""),"",IF(AJ288=0,"",(AJ289/AJ288)-1))</f>
        <v/>
      </c>
      <c r="AL289" s="24">
        <f>IF(ROW()&lt;7,"",IF(OR(AJ289="",AJ286=""),"",IF(AJ286=0,"",(AJ289/AJ286)-1)))</f>
        <v/>
      </c>
      <c r="AM289" s="24">
        <f>IF(ROW()&lt;9,"",IF(OR(AJ289="",AJ284=""),"",IF(AJ284=0,"",(AJ289/AJ284)-1)))</f>
        <v/>
      </c>
      <c r="AN289" s="13">
        <f>IF(ROW()&lt;23,"",AVERAGE(AJ270:AJ289))</f>
        <v/>
      </c>
      <c r="AO289">
        <f>IF(OR(AJ289="",AN289=""),"",IF(AJ289&gt;AN289,"Bull","Bear"))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8">
        <f>IFERROR((M290/M289)-1,"")</f>
        <v/>
      </c>
      <c r="O290" s="24">
        <f>IF(OR(N290="",N289=""),"",IF(N289=0,"",(N290/N289)-1))</f>
        <v/>
      </c>
      <c r="P290" s="11">
        <f>IF(ROW()&lt;7,"",IF(OR(E290="",E287=""),"",IF(E287=0,"",(E290/E287)-1)))</f>
        <v/>
      </c>
      <c r="Q290" s="24">
        <f>IF(ROW()&lt;9,"",IF(OR(E290="",E285=""),"",IF(E285=0,"",(E290/E285)-1)))</f>
        <v/>
      </c>
      <c r="R290" s="24">
        <f>IF(ROW()&lt;7,"",IF(OR(G290="",G287=""),"",IF(G287=0,"",(G290/G287)-1)))</f>
        <v/>
      </c>
      <c r="S290" s="24">
        <f>IF(ROW()&lt;9,"",IF(OR(G290="",G285=""),"",IF(G285=0,"",(G290/G285)-1)))</f>
        <v/>
      </c>
      <c r="T290" s="24">
        <f>IF(ROW()&lt;7,"",IF(OR(L290="",L287=""),"",IF(L287=0,"",(L290/L287)-1)))</f>
        <v/>
      </c>
      <c r="U290" s="24">
        <f>IF(ROW()&lt;9,"",IF(OR(L290="",L285=""),"",IF(L285=0,"",(L290/L285)-1)))</f>
        <v/>
      </c>
      <c r="V290" s="24">
        <f>IF(ROW()&lt;7,"",IF(OR(N290="",N287=""),"",IF(N287=0,"",(N290/N287)-1)))</f>
        <v/>
      </c>
      <c r="W290" s="24">
        <f>IF(ROW()&lt;9,"",IF(OR(N290="",N285=""),"",IF(N285=0,"",(N290/N285)-1)))</f>
        <v/>
      </c>
      <c r="X290" s="24">
        <f>IF(OR(F290="",M290=""),"",F290-M290)</f>
        <v/>
      </c>
      <c r="Y290" s="24">
        <f>IF(OR(P290="",T290=""),"",P290-T290)</f>
        <v/>
      </c>
      <c r="Z290" s="24">
        <f>IF(OR(Q290="",U290=""),"",Q290-U290)</f>
        <v/>
      </c>
      <c r="AA290" s="24">
        <f>IF(OR(H290="",O290=""),"",H290-O290)</f>
        <v/>
      </c>
      <c r="AB290" s="24">
        <f>IF(OR(R290="",V290=""),"",R290-V290)</f>
        <v/>
      </c>
      <c r="AC290" s="24">
        <f>IF(OR(S290="",W290=""),"",S290-W290)</f>
        <v/>
      </c>
      <c r="AD290" s="13" t="n"/>
      <c r="AE290" s="24">
        <f>IF(OR(AD290="",AD289=""),"",IF(AD289=0,"",(AD290/AD289)-1))</f>
        <v/>
      </c>
      <c r="AF290" s="24">
        <f>IF(ROW()&lt;7,"",IF(OR(AD290="",AD287=""),"",IF(AD287=0,"",(AD290/AD287)-1)))</f>
        <v/>
      </c>
      <c r="AG290" s="24">
        <f>IF(ROW()&lt;9,"",IF(OR(AD290="",AD285=""),"",IF(AD285=0,"",(AD290/AD285)-1)))</f>
        <v/>
      </c>
      <c r="AH290" s="13">
        <f>IF(ROW()&lt;23,"",AVERAGE(AD271:AD290))</f>
        <v/>
      </c>
      <c r="AI290">
        <f>IF(OR(AD290="",AH290=""),"",IF(AD290&gt;AH290,"Bull","Bear"))</f>
        <v/>
      </c>
      <c r="AJ290" s="13" t="n"/>
      <c r="AK290" s="24">
        <f>IF(OR(AJ290="",AJ289=""),"",IF(AJ289=0,"",(AJ290/AJ289)-1))</f>
        <v/>
      </c>
      <c r="AL290" s="24">
        <f>IF(ROW()&lt;7,"",IF(OR(AJ290="",AJ287=""),"",IF(AJ287=0,"",(AJ290/AJ287)-1)))</f>
        <v/>
      </c>
      <c r="AM290" s="24">
        <f>IF(ROW()&lt;9,"",IF(OR(AJ290="",AJ285=""),"",IF(AJ285=0,"",(AJ290/AJ285)-1)))</f>
        <v/>
      </c>
      <c r="AN290" s="13">
        <f>IF(ROW()&lt;23,"",AVERAGE(AJ271:AJ290))</f>
        <v/>
      </c>
      <c r="AO290">
        <f>IF(OR(AJ290="",AN290=""),"",IF(AJ290&gt;AN290,"Bull","Bear"))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8">
        <f>IFERROR((M291/M290)-1,"")</f>
        <v/>
      </c>
      <c r="O291" s="24">
        <f>IF(OR(N291="",N290=""),"",IF(N290=0,"",(N291/N290)-1))</f>
        <v/>
      </c>
      <c r="P291" s="11">
        <f>IF(ROW()&lt;7,"",IF(OR(E291="",E288=""),"",IF(E288=0,"",(E291/E288)-1)))</f>
        <v/>
      </c>
      <c r="Q291" s="24">
        <f>IF(ROW()&lt;9,"",IF(OR(E291="",E286=""),"",IF(E286=0,"",(E291/E286)-1)))</f>
        <v/>
      </c>
      <c r="R291" s="24">
        <f>IF(ROW()&lt;7,"",IF(OR(G291="",G288=""),"",IF(G288=0,"",(G291/G288)-1)))</f>
        <v/>
      </c>
      <c r="S291" s="24">
        <f>IF(ROW()&lt;9,"",IF(OR(G291="",G286=""),"",IF(G286=0,"",(G291/G286)-1)))</f>
        <v/>
      </c>
      <c r="T291" s="24">
        <f>IF(ROW()&lt;7,"",IF(OR(L291="",L288=""),"",IF(L288=0,"",(L291/L288)-1)))</f>
        <v/>
      </c>
      <c r="U291" s="24">
        <f>IF(ROW()&lt;9,"",IF(OR(L291="",L286=""),"",IF(L286=0,"",(L291/L286)-1)))</f>
        <v/>
      </c>
      <c r="V291" s="24">
        <f>IF(ROW()&lt;7,"",IF(OR(N291="",N288=""),"",IF(N288=0,"",(N291/N288)-1)))</f>
        <v/>
      </c>
      <c r="W291" s="24">
        <f>IF(ROW()&lt;9,"",IF(OR(N291="",N286=""),"",IF(N286=0,"",(N291/N286)-1)))</f>
        <v/>
      </c>
      <c r="X291" s="24">
        <f>IF(OR(F291="",M291=""),"",F291-M291)</f>
        <v/>
      </c>
      <c r="Y291" s="24">
        <f>IF(OR(P291="",T291=""),"",P291-T291)</f>
        <v/>
      </c>
      <c r="Z291" s="24">
        <f>IF(OR(Q291="",U291=""),"",Q291-U291)</f>
        <v/>
      </c>
      <c r="AA291" s="24">
        <f>IF(OR(H291="",O291=""),"",H291-O291)</f>
        <v/>
      </c>
      <c r="AB291" s="24">
        <f>IF(OR(R291="",V291=""),"",R291-V291)</f>
        <v/>
      </c>
      <c r="AC291" s="24">
        <f>IF(OR(S291="",W291=""),"",S291-W291)</f>
        <v/>
      </c>
      <c r="AD291" s="13" t="n"/>
      <c r="AE291" s="24">
        <f>IF(OR(AD291="",AD290=""),"",IF(AD290=0,"",(AD291/AD290)-1))</f>
        <v/>
      </c>
      <c r="AF291" s="24">
        <f>IF(ROW()&lt;7,"",IF(OR(AD291="",AD288=""),"",IF(AD288=0,"",(AD291/AD288)-1)))</f>
        <v/>
      </c>
      <c r="AG291" s="24">
        <f>IF(ROW()&lt;9,"",IF(OR(AD291="",AD286=""),"",IF(AD286=0,"",(AD291/AD286)-1)))</f>
        <v/>
      </c>
      <c r="AH291" s="13">
        <f>IF(ROW()&lt;23,"",AVERAGE(AD272:AD291))</f>
        <v/>
      </c>
      <c r="AI291">
        <f>IF(OR(AD291="",AH291=""),"",IF(AD291&gt;AH291,"Bull","Bear"))</f>
        <v/>
      </c>
      <c r="AJ291" s="13" t="n"/>
      <c r="AK291" s="24">
        <f>IF(OR(AJ291="",AJ290=""),"",IF(AJ290=0,"",(AJ291/AJ290)-1))</f>
        <v/>
      </c>
      <c r="AL291" s="24">
        <f>IF(ROW()&lt;7,"",IF(OR(AJ291="",AJ288=""),"",IF(AJ288=0,"",(AJ291/AJ288)-1)))</f>
        <v/>
      </c>
      <c r="AM291" s="24">
        <f>IF(ROW()&lt;9,"",IF(OR(AJ291="",AJ286=""),"",IF(AJ286=0,"",(AJ291/AJ286)-1)))</f>
        <v/>
      </c>
      <c r="AN291" s="13">
        <f>IF(ROW()&lt;23,"",AVERAGE(AJ272:AJ291))</f>
        <v/>
      </c>
      <c r="AO291">
        <f>IF(OR(AJ291="",AN291=""),"",IF(AJ291&gt;AN291,"Bull","Bear"))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8">
        <f>IFERROR((M292/M291)-1,"")</f>
        <v/>
      </c>
      <c r="O292" s="24">
        <f>IF(OR(N292="",N291=""),"",IF(N291=0,"",(N292/N291)-1))</f>
        <v/>
      </c>
      <c r="P292" s="11">
        <f>IF(ROW()&lt;7,"",IF(OR(E292="",E289=""),"",IF(E289=0,"",(E292/E289)-1)))</f>
        <v/>
      </c>
      <c r="Q292" s="24">
        <f>IF(ROW()&lt;9,"",IF(OR(E292="",E287=""),"",IF(E287=0,"",(E292/E287)-1)))</f>
        <v/>
      </c>
      <c r="R292" s="24">
        <f>IF(ROW()&lt;7,"",IF(OR(G292="",G289=""),"",IF(G289=0,"",(G292/G289)-1)))</f>
        <v/>
      </c>
      <c r="S292" s="24">
        <f>IF(ROW()&lt;9,"",IF(OR(G292="",G287=""),"",IF(G287=0,"",(G292/G287)-1)))</f>
        <v/>
      </c>
      <c r="T292" s="24">
        <f>IF(ROW()&lt;7,"",IF(OR(L292="",L289=""),"",IF(L289=0,"",(L292/L289)-1)))</f>
        <v/>
      </c>
      <c r="U292" s="24">
        <f>IF(ROW()&lt;9,"",IF(OR(L292="",L287=""),"",IF(L287=0,"",(L292/L287)-1)))</f>
        <v/>
      </c>
      <c r="V292" s="24">
        <f>IF(ROW()&lt;7,"",IF(OR(N292="",N289=""),"",IF(N289=0,"",(N292/N289)-1)))</f>
        <v/>
      </c>
      <c r="W292" s="24">
        <f>IF(ROW()&lt;9,"",IF(OR(N292="",N287=""),"",IF(N287=0,"",(N292/N287)-1)))</f>
        <v/>
      </c>
      <c r="X292" s="24">
        <f>IF(OR(F292="",M292=""),"",F292-M292)</f>
        <v/>
      </c>
      <c r="Y292" s="24">
        <f>IF(OR(P292="",T292=""),"",P292-T292)</f>
        <v/>
      </c>
      <c r="Z292" s="24">
        <f>IF(OR(Q292="",U292=""),"",Q292-U292)</f>
        <v/>
      </c>
      <c r="AA292" s="24">
        <f>IF(OR(H292="",O292=""),"",H292-O292)</f>
        <v/>
      </c>
      <c r="AB292" s="24">
        <f>IF(OR(R292="",V292=""),"",R292-V292)</f>
        <v/>
      </c>
      <c r="AC292" s="24">
        <f>IF(OR(S292="",W292=""),"",S292-W292)</f>
        <v/>
      </c>
      <c r="AD292" s="13" t="n"/>
      <c r="AE292" s="24">
        <f>IF(OR(AD292="",AD291=""),"",IF(AD291=0,"",(AD292/AD291)-1))</f>
        <v/>
      </c>
      <c r="AF292" s="24">
        <f>IF(ROW()&lt;7,"",IF(OR(AD292="",AD289=""),"",IF(AD289=0,"",(AD292/AD289)-1)))</f>
        <v/>
      </c>
      <c r="AG292" s="24">
        <f>IF(ROW()&lt;9,"",IF(OR(AD292="",AD287=""),"",IF(AD287=0,"",(AD292/AD287)-1)))</f>
        <v/>
      </c>
      <c r="AH292" s="13">
        <f>IF(ROW()&lt;23,"",AVERAGE(AD273:AD292))</f>
        <v/>
      </c>
      <c r="AI292">
        <f>IF(OR(AD292="",AH292=""),"",IF(AD292&gt;AH292,"Bull","Bear"))</f>
        <v/>
      </c>
      <c r="AJ292" s="13" t="n"/>
      <c r="AK292" s="24">
        <f>IF(OR(AJ292="",AJ291=""),"",IF(AJ291=0,"",(AJ292/AJ291)-1))</f>
        <v/>
      </c>
      <c r="AL292" s="24">
        <f>IF(ROW()&lt;7,"",IF(OR(AJ292="",AJ289=""),"",IF(AJ289=0,"",(AJ292/AJ289)-1)))</f>
        <v/>
      </c>
      <c r="AM292" s="24">
        <f>IF(ROW()&lt;9,"",IF(OR(AJ292="",AJ287=""),"",IF(AJ287=0,"",(AJ292/AJ287)-1)))</f>
        <v/>
      </c>
      <c r="AN292" s="13">
        <f>IF(ROW()&lt;23,"",AVERAGE(AJ273:AJ292))</f>
        <v/>
      </c>
      <c r="AO292">
        <f>IF(OR(AJ292="",AN292=""),"",IF(AJ292&gt;AN292,"Bull","Bear"))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8">
        <f>IFERROR((M293/M292)-1,"")</f>
        <v/>
      </c>
      <c r="O293" s="24">
        <f>IF(OR(N293="",N292=""),"",IF(N292=0,"",(N293/N292)-1))</f>
        <v/>
      </c>
      <c r="P293" s="11">
        <f>IF(ROW()&lt;7,"",IF(OR(E293="",E290=""),"",IF(E290=0,"",(E293/E290)-1)))</f>
        <v/>
      </c>
      <c r="Q293" s="24">
        <f>IF(ROW()&lt;9,"",IF(OR(E293="",E288=""),"",IF(E288=0,"",(E293/E288)-1)))</f>
        <v/>
      </c>
      <c r="R293" s="24">
        <f>IF(ROW()&lt;7,"",IF(OR(G293="",G290=""),"",IF(G290=0,"",(G293/G290)-1)))</f>
        <v/>
      </c>
      <c r="S293" s="24">
        <f>IF(ROW()&lt;9,"",IF(OR(G293="",G288=""),"",IF(G288=0,"",(G293/G288)-1)))</f>
        <v/>
      </c>
      <c r="T293" s="24">
        <f>IF(ROW()&lt;7,"",IF(OR(L293="",L290=""),"",IF(L290=0,"",(L293/L290)-1)))</f>
        <v/>
      </c>
      <c r="U293" s="24">
        <f>IF(ROW()&lt;9,"",IF(OR(L293="",L288=""),"",IF(L288=0,"",(L293/L288)-1)))</f>
        <v/>
      </c>
      <c r="V293" s="24">
        <f>IF(ROW()&lt;7,"",IF(OR(N293="",N290=""),"",IF(N290=0,"",(N293/N290)-1)))</f>
        <v/>
      </c>
      <c r="W293" s="24">
        <f>IF(ROW()&lt;9,"",IF(OR(N293="",N288=""),"",IF(N288=0,"",(N293/N288)-1)))</f>
        <v/>
      </c>
      <c r="X293" s="24">
        <f>IF(OR(F293="",M293=""),"",F293-M293)</f>
        <v/>
      </c>
      <c r="Y293" s="24">
        <f>IF(OR(P293="",T293=""),"",P293-T293)</f>
        <v/>
      </c>
      <c r="Z293" s="24">
        <f>IF(OR(Q293="",U293=""),"",Q293-U293)</f>
        <v/>
      </c>
      <c r="AA293" s="24">
        <f>IF(OR(H293="",O293=""),"",H293-O293)</f>
        <v/>
      </c>
      <c r="AB293" s="24">
        <f>IF(OR(R293="",V293=""),"",R293-V293)</f>
        <v/>
      </c>
      <c r="AC293" s="24">
        <f>IF(OR(S293="",W293=""),"",S293-W293)</f>
        <v/>
      </c>
      <c r="AD293" s="13" t="n"/>
      <c r="AE293" s="24">
        <f>IF(OR(AD293="",AD292=""),"",IF(AD292=0,"",(AD293/AD292)-1))</f>
        <v/>
      </c>
      <c r="AF293" s="24">
        <f>IF(ROW()&lt;7,"",IF(OR(AD293="",AD290=""),"",IF(AD290=0,"",(AD293/AD290)-1)))</f>
        <v/>
      </c>
      <c r="AG293" s="24">
        <f>IF(ROW()&lt;9,"",IF(OR(AD293="",AD288=""),"",IF(AD288=0,"",(AD293/AD288)-1)))</f>
        <v/>
      </c>
      <c r="AH293" s="13">
        <f>IF(ROW()&lt;23,"",AVERAGE(AD274:AD293))</f>
        <v/>
      </c>
      <c r="AI293">
        <f>IF(OR(AD293="",AH293=""),"",IF(AD293&gt;AH293,"Bull","Bear"))</f>
        <v/>
      </c>
      <c r="AJ293" s="13" t="n"/>
      <c r="AK293" s="24">
        <f>IF(OR(AJ293="",AJ292=""),"",IF(AJ292=0,"",(AJ293/AJ292)-1))</f>
        <v/>
      </c>
      <c r="AL293" s="24">
        <f>IF(ROW()&lt;7,"",IF(OR(AJ293="",AJ290=""),"",IF(AJ290=0,"",(AJ293/AJ290)-1)))</f>
        <v/>
      </c>
      <c r="AM293" s="24">
        <f>IF(ROW()&lt;9,"",IF(OR(AJ293="",AJ288=""),"",IF(AJ288=0,"",(AJ293/AJ288)-1)))</f>
        <v/>
      </c>
      <c r="AN293" s="13">
        <f>IF(ROW()&lt;23,"",AVERAGE(AJ274:AJ293))</f>
        <v/>
      </c>
      <c r="AO293">
        <f>IF(OR(AJ293="",AN293=""),"",IF(AJ293&gt;AN293,"Bull","Bear"))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8">
        <f>IFERROR((M294/M293)-1,"")</f>
        <v/>
      </c>
      <c r="O294" s="24">
        <f>IF(OR(N294="",N293=""),"",IF(N293=0,"",(N294/N293)-1))</f>
        <v/>
      </c>
      <c r="P294" s="11">
        <f>IF(ROW()&lt;7,"",IF(OR(E294="",E291=""),"",IF(E291=0,"",(E294/E291)-1)))</f>
        <v/>
      </c>
      <c r="Q294" s="24">
        <f>IF(ROW()&lt;9,"",IF(OR(E294="",E289=""),"",IF(E289=0,"",(E294/E289)-1)))</f>
        <v/>
      </c>
      <c r="R294" s="24">
        <f>IF(ROW()&lt;7,"",IF(OR(G294="",G291=""),"",IF(G291=0,"",(G294/G291)-1)))</f>
        <v/>
      </c>
      <c r="S294" s="24">
        <f>IF(ROW()&lt;9,"",IF(OR(G294="",G289=""),"",IF(G289=0,"",(G294/G289)-1)))</f>
        <v/>
      </c>
      <c r="T294" s="24">
        <f>IF(ROW()&lt;7,"",IF(OR(L294="",L291=""),"",IF(L291=0,"",(L294/L291)-1)))</f>
        <v/>
      </c>
      <c r="U294" s="24">
        <f>IF(ROW()&lt;9,"",IF(OR(L294="",L289=""),"",IF(L289=0,"",(L294/L289)-1)))</f>
        <v/>
      </c>
      <c r="V294" s="24">
        <f>IF(ROW()&lt;7,"",IF(OR(N294="",N291=""),"",IF(N291=0,"",(N294/N291)-1)))</f>
        <v/>
      </c>
      <c r="W294" s="24">
        <f>IF(ROW()&lt;9,"",IF(OR(N294="",N289=""),"",IF(N289=0,"",(N294/N289)-1)))</f>
        <v/>
      </c>
      <c r="X294" s="24">
        <f>IF(OR(F294="",M294=""),"",F294-M294)</f>
        <v/>
      </c>
      <c r="Y294" s="24">
        <f>IF(OR(P294="",T294=""),"",P294-T294)</f>
        <v/>
      </c>
      <c r="Z294" s="24">
        <f>IF(OR(Q294="",U294=""),"",Q294-U294)</f>
        <v/>
      </c>
      <c r="AA294" s="24">
        <f>IF(OR(H294="",O294=""),"",H294-O294)</f>
        <v/>
      </c>
      <c r="AB294" s="24">
        <f>IF(OR(R294="",V294=""),"",R294-V294)</f>
        <v/>
      </c>
      <c r="AC294" s="24">
        <f>IF(OR(S294="",W294=""),"",S294-W294)</f>
        <v/>
      </c>
      <c r="AD294" s="13" t="n"/>
      <c r="AE294" s="24">
        <f>IF(OR(AD294="",AD293=""),"",IF(AD293=0,"",(AD294/AD293)-1))</f>
        <v/>
      </c>
      <c r="AF294" s="24">
        <f>IF(ROW()&lt;7,"",IF(OR(AD294="",AD291=""),"",IF(AD291=0,"",(AD294/AD291)-1)))</f>
        <v/>
      </c>
      <c r="AG294" s="24">
        <f>IF(ROW()&lt;9,"",IF(OR(AD294="",AD289=""),"",IF(AD289=0,"",(AD294/AD289)-1)))</f>
        <v/>
      </c>
      <c r="AH294" s="13">
        <f>IF(ROW()&lt;23,"",AVERAGE(AD275:AD294))</f>
        <v/>
      </c>
      <c r="AI294">
        <f>IF(OR(AD294="",AH294=""),"",IF(AD294&gt;AH294,"Bull","Bear"))</f>
        <v/>
      </c>
      <c r="AJ294" s="13" t="n"/>
      <c r="AK294" s="24">
        <f>IF(OR(AJ294="",AJ293=""),"",IF(AJ293=0,"",(AJ294/AJ293)-1))</f>
        <v/>
      </c>
      <c r="AL294" s="24">
        <f>IF(ROW()&lt;7,"",IF(OR(AJ294="",AJ291=""),"",IF(AJ291=0,"",(AJ294/AJ291)-1)))</f>
        <v/>
      </c>
      <c r="AM294" s="24">
        <f>IF(ROW()&lt;9,"",IF(OR(AJ294="",AJ289=""),"",IF(AJ289=0,"",(AJ294/AJ289)-1)))</f>
        <v/>
      </c>
      <c r="AN294" s="13">
        <f>IF(ROW()&lt;23,"",AVERAGE(AJ275:AJ294))</f>
        <v/>
      </c>
      <c r="AO294">
        <f>IF(OR(AJ294="",AN294=""),"",IF(AJ294&gt;AN294,"Bull","Bear"))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8">
        <f>IFERROR((M295/M294)-1,"")</f>
        <v/>
      </c>
      <c r="O295" s="24">
        <f>IF(OR(N295="",N294=""),"",IF(N294=0,"",(N295/N294)-1))</f>
        <v/>
      </c>
      <c r="P295" s="11">
        <f>IF(ROW()&lt;7,"",IF(OR(E295="",E292=""),"",IF(E292=0,"",(E295/E292)-1)))</f>
        <v/>
      </c>
      <c r="Q295" s="24">
        <f>IF(ROW()&lt;9,"",IF(OR(E295="",E290=""),"",IF(E290=0,"",(E295/E290)-1)))</f>
        <v/>
      </c>
      <c r="R295" s="24">
        <f>IF(ROW()&lt;7,"",IF(OR(G295="",G292=""),"",IF(G292=0,"",(G295/G292)-1)))</f>
        <v/>
      </c>
      <c r="S295" s="24">
        <f>IF(ROW()&lt;9,"",IF(OR(G295="",G290=""),"",IF(G290=0,"",(G295/G290)-1)))</f>
        <v/>
      </c>
      <c r="T295" s="24">
        <f>IF(ROW()&lt;7,"",IF(OR(L295="",L292=""),"",IF(L292=0,"",(L295/L292)-1)))</f>
        <v/>
      </c>
      <c r="U295" s="24">
        <f>IF(ROW()&lt;9,"",IF(OR(L295="",L290=""),"",IF(L290=0,"",(L295/L290)-1)))</f>
        <v/>
      </c>
      <c r="V295" s="24">
        <f>IF(ROW()&lt;7,"",IF(OR(N295="",N292=""),"",IF(N292=0,"",(N295/N292)-1)))</f>
        <v/>
      </c>
      <c r="W295" s="24">
        <f>IF(ROW()&lt;9,"",IF(OR(N295="",N290=""),"",IF(N290=0,"",(N295/N290)-1)))</f>
        <v/>
      </c>
      <c r="X295" s="24">
        <f>IF(OR(F295="",M295=""),"",F295-M295)</f>
        <v/>
      </c>
      <c r="Y295" s="24">
        <f>IF(OR(P295="",T295=""),"",P295-T295)</f>
        <v/>
      </c>
      <c r="Z295" s="24">
        <f>IF(OR(Q295="",U295=""),"",Q295-U295)</f>
        <v/>
      </c>
      <c r="AA295" s="24">
        <f>IF(OR(H295="",O295=""),"",H295-O295)</f>
        <v/>
      </c>
      <c r="AB295" s="24">
        <f>IF(OR(R295="",V295=""),"",R295-V295)</f>
        <v/>
      </c>
      <c r="AC295" s="24">
        <f>IF(OR(S295="",W295=""),"",S295-W295)</f>
        <v/>
      </c>
      <c r="AD295" s="13" t="n"/>
      <c r="AE295" s="24">
        <f>IF(OR(AD295="",AD294=""),"",IF(AD294=0,"",(AD295/AD294)-1))</f>
        <v/>
      </c>
      <c r="AF295" s="24">
        <f>IF(ROW()&lt;7,"",IF(OR(AD295="",AD292=""),"",IF(AD292=0,"",(AD295/AD292)-1)))</f>
        <v/>
      </c>
      <c r="AG295" s="24">
        <f>IF(ROW()&lt;9,"",IF(OR(AD295="",AD290=""),"",IF(AD290=0,"",(AD295/AD290)-1)))</f>
        <v/>
      </c>
      <c r="AH295" s="13">
        <f>IF(ROW()&lt;23,"",AVERAGE(AD276:AD295))</f>
        <v/>
      </c>
      <c r="AI295">
        <f>IF(OR(AD295="",AH295=""),"",IF(AD295&gt;AH295,"Bull","Bear"))</f>
        <v/>
      </c>
      <c r="AJ295" s="13" t="n"/>
      <c r="AK295" s="24">
        <f>IF(OR(AJ295="",AJ294=""),"",IF(AJ294=0,"",(AJ295/AJ294)-1))</f>
        <v/>
      </c>
      <c r="AL295" s="24">
        <f>IF(ROW()&lt;7,"",IF(OR(AJ295="",AJ292=""),"",IF(AJ292=0,"",(AJ295/AJ292)-1)))</f>
        <v/>
      </c>
      <c r="AM295" s="24">
        <f>IF(ROW()&lt;9,"",IF(OR(AJ295="",AJ290=""),"",IF(AJ290=0,"",(AJ295/AJ290)-1)))</f>
        <v/>
      </c>
      <c r="AN295" s="13">
        <f>IF(ROW()&lt;23,"",AVERAGE(AJ276:AJ295))</f>
        <v/>
      </c>
      <c r="AO295">
        <f>IF(OR(AJ295="",AN295=""),"",IF(AJ295&gt;AN295,"Bull","Bear"))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8">
        <f>IFERROR((M296/M295)-1,"")</f>
        <v/>
      </c>
      <c r="O296" s="24">
        <f>IF(OR(N296="",N295=""),"",IF(N295=0,"",(N296/N295)-1))</f>
        <v/>
      </c>
      <c r="P296" s="11">
        <f>IF(ROW()&lt;7,"",IF(OR(E296="",E293=""),"",IF(E293=0,"",(E296/E293)-1)))</f>
        <v/>
      </c>
      <c r="Q296" s="24">
        <f>IF(ROW()&lt;9,"",IF(OR(E296="",E291=""),"",IF(E291=0,"",(E296/E291)-1)))</f>
        <v/>
      </c>
      <c r="R296" s="24">
        <f>IF(ROW()&lt;7,"",IF(OR(G296="",G293=""),"",IF(G293=0,"",(G296/G293)-1)))</f>
        <v/>
      </c>
      <c r="S296" s="24">
        <f>IF(ROW()&lt;9,"",IF(OR(G296="",G291=""),"",IF(G291=0,"",(G296/G291)-1)))</f>
        <v/>
      </c>
      <c r="T296" s="24">
        <f>IF(ROW()&lt;7,"",IF(OR(L296="",L293=""),"",IF(L293=0,"",(L296/L293)-1)))</f>
        <v/>
      </c>
      <c r="U296" s="24">
        <f>IF(ROW()&lt;9,"",IF(OR(L296="",L291=""),"",IF(L291=0,"",(L296/L291)-1)))</f>
        <v/>
      </c>
      <c r="V296" s="24">
        <f>IF(ROW()&lt;7,"",IF(OR(N296="",N293=""),"",IF(N293=0,"",(N296/N293)-1)))</f>
        <v/>
      </c>
      <c r="W296" s="24">
        <f>IF(ROW()&lt;9,"",IF(OR(N296="",N291=""),"",IF(N291=0,"",(N296/N291)-1)))</f>
        <v/>
      </c>
      <c r="X296" s="24">
        <f>IF(OR(F296="",M296=""),"",F296-M296)</f>
        <v/>
      </c>
      <c r="Y296" s="24">
        <f>IF(OR(P296="",T296=""),"",P296-T296)</f>
        <v/>
      </c>
      <c r="Z296" s="24">
        <f>IF(OR(Q296="",U296=""),"",Q296-U296)</f>
        <v/>
      </c>
      <c r="AA296" s="24">
        <f>IF(OR(H296="",O296=""),"",H296-O296)</f>
        <v/>
      </c>
      <c r="AB296" s="24">
        <f>IF(OR(R296="",V296=""),"",R296-V296)</f>
        <v/>
      </c>
      <c r="AC296" s="24">
        <f>IF(OR(S296="",W296=""),"",S296-W296)</f>
        <v/>
      </c>
      <c r="AD296" s="13" t="n"/>
      <c r="AE296" s="24">
        <f>IF(OR(AD296="",AD295=""),"",IF(AD295=0,"",(AD296/AD295)-1))</f>
        <v/>
      </c>
      <c r="AF296" s="24">
        <f>IF(ROW()&lt;7,"",IF(OR(AD296="",AD293=""),"",IF(AD293=0,"",(AD296/AD293)-1)))</f>
        <v/>
      </c>
      <c r="AG296" s="24">
        <f>IF(ROW()&lt;9,"",IF(OR(AD296="",AD291=""),"",IF(AD291=0,"",(AD296/AD291)-1)))</f>
        <v/>
      </c>
      <c r="AH296" s="13">
        <f>IF(ROW()&lt;23,"",AVERAGE(AD277:AD296))</f>
        <v/>
      </c>
      <c r="AI296">
        <f>IF(OR(AD296="",AH296=""),"",IF(AD296&gt;AH296,"Bull","Bear"))</f>
        <v/>
      </c>
      <c r="AJ296" s="13" t="n"/>
      <c r="AK296" s="24">
        <f>IF(OR(AJ296="",AJ295=""),"",IF(AJ295=0,"",(AJ296/AJ295)-1))</f>
        <v/>
      </c>
      <c r="AL296" s="24">
        <f>IF(ROW()&lt;7,"",IF(OR(AJ296="",AJ293=""),"",IF(AJ293=0,"",(AJ296/AJ293)-1)))</f>
        <v/>
      </c>
      <c r="AM296" s="24">
        <f>IF(ROW()&lt;9,"",IF(OR(AJ296="",AJ291=""),"",IF(AJ291=0,"",(AJ296/AJ291)-1)))</f>
        <v/>
      </c>
      <c r="AN296" s="13">
        <f>IF(ROW()&lt;23,"",AVERAGE(AJ277:AJ296))</f>
        <v/>
      </c>
      <c r="AO296">
        <f>IF(OR(AJ296="",AN296=""),"",IF(AJ296&gt;AN296,"Bull","Bear"))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8">
        <f>IFERROR((M297/M296)-1,"")</f>
        <v/>
      </c>
      <c r="O297" s="24">
        <f>IF(OR(N297="",N296=""),"",IF(N296=0,"",(N297/N296)-1))</f>
        <v/>
      </c>
      <c r="P297" s="11">
        <f>IF(ROW()&lt;7,"",IF(OR(E297="",E294=""),"",IF(E294=0,"",(E297/E294)-1)))</f>
        <v/>
      </c>
      <c r="Q297" s="24">
        <f>IF(ROW()&lt;9,"",IF(OR(E297="",E292=""),"",IF(E292=0,"",(E297/E292)-1)))</f>
        <v/>
      </c>
      <c r="R297" s="24">
        <f>IF(ROW()&lt;7,"",IF(OR(G297="",G294=""),"",IF(G294=0,"",(G297/G294)-1)))</f>
        <v/>
      </c>
      <c r="S297" s="24">
        <f>IF(ROW()&lt;9,"",IF(OR(G297="",G292=""),"",IF(G292=0,"",(G297/G292)-1)))</f>
        <v/>
      </c>
      <c r="T297" s="24">
        <f>IF(ROW()&lt;7,"",IF(OR(L297="",L294=""),"",IF(L294=0,"",(L297/L294)-1)))</f>
        <v/>
      </c>
      <c r="U297" s="24">
        <f>IF(ROW()&lt;9,"",IF(OR(L297="",L292=""),"",IF(L292=0,"",(L297/L292)-1)))</f>
        <v/>
      </c>
      <c r="V297" s="24">
        <f>IF(ROW()&lt;7,"",IF(OR(N297="",N294=""),"",IF(N294=0,"",(N297/N294)-1)))</f>
        <v/>
      </c>
      <c r="W297" s="24">
        <f>IF(ROW()&lt;9,"",IF(OR(N297="",N292=""),"",IF(N292=0,"",(N297/N292)-1)))</f>
        <v/>
      </c>
      <c r="X297" s="24">
        <f>IF(OR(F297="",M297=""),"",F297-M297)</f>
        <v/>
      </c>
      <c r="Y297" s="24">
        <f>IF(OR(P297="",T297=""),"",P297-T297)</f>
        <v/>
      </c>
      <c r="Z297" s="24">
        <f>IF(OR(Q297="",U297=""),"",Q297-U297)</f>
        <v/>
      </c>
      <c r="AA297" s="24">
        <f>IF(OR(H297="",O297=""),"",H297-O297)</f>
        <v/>
      </c>
      <c r="AB297" s="24">
        <f>IF(OR(R297="",V297=""),"",R297-V297)</f>
        <v/>
      </c>
      <c r="AC297" s="24">
        <f>IF(OR(S297="",W297=""),"",S297-W297)</f>
        <v/>
      </c>
      <c r="AD297" s="13" t="n"/>
      <c r="AE297" s="24">
        <f>IF(OR(AD297="",AD296=""),"",IF(AD296=0,"",(AD297/AD296)-1))</f>
        <v/>
      </c>
      <c r="AF297" s="24">
        <f>IF(ROW()&lt;7,"",IF(OR(AD297="",AD294=""),"",IF(AD294=0,"",(AD297/AD294)-1)))</f>
        <v/>
      </c>
      <c r="AG297" s="24">
        <f>IF(ROW()&lt;9,"",IF(OR(AD297="",AD292=""),"",IF(AD292=0,"",(AD297/AD292)-1)))</f>
        <v/>
      </c>
      <c r="AH297" s="13">
        <f>IF(ROW()&lt;23,"",AVERAGE(AD278:AD297))</f>
        <v/>
      </c>
      <c r="AI297">
        <f>IF(OR(AD297="",AH297=""),"",IF(AD297&gt;AH297,"Bull","Bear"))</f>
        <v/>
      </c>
      <c r="AJ297" s="13" t="n"/>
      <c r="AK297" s="24">
        <f>IF(OR(AJ297="",AJ296=""),"",IF(AJ296=0,"",(AJ297/AJ296)-1))</f>
        <v/>
      </c>
      <c r="AL297" s="24">
        <f>IF(ROW()&lt;7,"",IF(OR(AJ297="",AJ294=""),"",IF(AJ294=0,"",(AJ297/AJ294)-1)))</f>
        <v/>
      </c>
      <c r="AM297" s="24">
        <f>IF(ROW()&lt;9,"",IF(OR(AJ297="",AJ292=""),"",IF(AJ292=0,"",(AJ297/AJ292)-1)))</f>
        <v/>
      </c>
      <c r="AN297" s="13">
        <f>IF(ROW()&lt;23,"",AVERAGE(AJ278:AJ297))</f>
        <v/>
      </c>
      <c r="AO297">
        <f>IF(OR(AJ297="",AN297=""),"",IF(AJ297&gt;AN297,"Bull","Bear"))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8">
        <f>IFERROR((M298/M297)-1,"")</f>
        <v/>
      </c>
      <c r="O298" s="24">
        <f>IF(OR(N298="",N297=""),"",IF(N297=0,"",(N298/N297)-1))</f>
        <v/>
      </c>
      <c r="P298" s="11">
        <f>IF(ROW()&lt;7,"",IF(OR(E298="",E295=""),"",IF(E295=0,"",(E298/E295)-1)))</f>
        <v/>
      </c>
      <c r="Q298" s="24">
        <f>IF(ROW()&lt;9,"",IF(OR(E298="",E293=""),"",IF(E293=0,"",(E298/E293)-1)))</f>
        <v/>
      </c>
      <c r="R298" s="24">
        <f>IF(ROW()&lt;7,"",IF(OR(G298="",G295=""),"",IF(G295=0,"",(G298/G295)-1)))</f>
        <v/>
      </c>
      <c r="S298" s="24">
        <f>IF(ROW()&lt;9,"",IF(OR(G298="",G293=""),"",IF(G293=0,"",(G298/G293)-1)))</f>
        <v/>
      </c>
      <c r="T298" s="24">
        <f>IF(ROW()&lt;7,"",IF(OR(L298="",L295=""),"",IF(L295=0,"",(L298/L295)-1)))</f>
        <v/>
      </c>
      <c r="U298" s="24">
        <f>IF(ROW()&lt;9,"",IF(OR(L298="",L293=""),"",IF(L293=0,"",(L298/L293)-1)))</f>
        <v/>
      </c>
      <c r="V298" s="24">
        <f>IF(ROW()&lt;7,"",IF(OR(N298="",N295=""),"",IF(N295=0,"",(N298/N295)-1)))</f>
        <v/>
      </c>
      <c r="W298" s="24">
        <f>IF(ROW()&lt;9,"",IF(OR(N298="",N293=""),"",IF(N293=0,"",(N298/N293)-1)))</f>
        <v/>
      </c>
      <c r="X298" s="24">
        <f>IF(OR(F298="",M298=""),"",F298-M298)</f>
        <v/>
      </c>
      <c r="Y298" s="24">
        <f>IF(OR(P298="",T298=""),"",P298-T298)</f>
        <v/>
      </c>
      <c r="Z298" s="24">
        <f>IF(OR(Q298="",U298=""),"",Q298-U298)</f>
        <v/>
      </c>
      <c r="AA298" s="24">
        <f>IF(OR(H298="",O298=""),"",H298-O298)</f>
        <v/>
      </c>
      <c r="AB298" s="24">
        <f>IF(OR(R298="",V298=""),"",R298-V298)</f>
        <v/>
      </c>
      <c r="AC298" s="24">
        <f>IF(OR(S298="",W298=""),"",S298-W298)</f>
        <v/>
      </c>
      <c r="AD298" s="13" t="n"/>
      <c r="AE298" s="24">
        <f>IF(OR(AD298="",AD297=""),"",IF(AD297=0,"",(AD298/AD297)-1))</f>
        <v/>
      </c>
      <c r="AF298" s="24">
        <f>IF(ROW()&lt;7,"",IF(OR(AD298="",AD295=""),"",IF(AD295=0,"",(AD298/AD295)-1)))</f>
        <v/>
      </c>
      <c r="AG298" s="24">
        <f>IF(ROW()&lt;9,"",IF(OR(AD298="",AD293=""),"",IF(AD293=0,"",(AD298/AD293)-1)))</f>
        <v/>
      </c>
      <c r="AH298" s="13">
        <f>IF(ROW()&lt;23,"",AVERAGE(AD279:AD298))</f>
        <v/>
      </c>
      <c r="AI298">
        <f>IF(OR(AD298="",AH298=""),"",IF(AD298&gt;AH298,"Bull","Bear"))</f>
        <v/>
      </c>
      <c r="AJ298" s="13" t="n"/>
      <c r="AK298" s="24">
        <f>IF(OR(AJ298="",AJ297=""),"",IF(AJ297=0,"",(AJ298/AJ297)-1))</f>
        <v/>
      </c>
      <c r="AL298" s="24">
        <f>IF(ROW()&lt;7,"",IF(OR(AJ298="",AJ295=""),"",IF(AJ295=0,"",(AJ298/AJ295)-1)))</f>
        <v/>
      </c>
      <c r="AM298" s="24">
        <f>IF(ROW()&lt;9,"",IF(OR(AJ298="",AJ293=""),"",IF(AJ293=0,"",(AJ298/AJ293)-1)))</f>
        <v/>
      </c>
      <c r="AN298" s="13">
        <f>IF(ROW()&lt;23,"",AVERAGE(AJ279:AJ298))</f>
        <v/>
      </c>
      <c r="AO298">
        <f>IF(OR(AJ298="",AN298=""),"",IF(AJ298&gt;AN298,"Bull","Bear"))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8">
        <f>IFERROR((M299/M298)-1,"")</f>
        <v/>
      </c>
      <c r="O299" s="24">
        <f>IF(OR(N299="",N298=""),"",IF(N298=0,"",(N299/N298)-1))</f>
        <v/>
      </c>
      <c r="P299" s="11">
        <f>IF(ROW()&lt;7,"",IF(OR(E299="",E296=""),"",IF(E296=0,"",(E299/E296)-1)))</f>
        <v/>
      </c>
      <c r="Q299" s="24">
        <f>IF(ROW()&lt;9,"",IF(OR(E299="",E294=""),"",IF(E294=0,"",(E299/E294)-1)))</f>
        <v/>
      </c>
      <c r="R299" s="24">
        <f>IF(ROW()&lt;7,"",IF(OR(G299="",G296=""),"",IF(G296=0,"",(G299/G296)-1)))</f>
        <v/>
      </c>
      <c r="S299" s="24">
        <f>IF(ROW()&lt;9,"",IF(OR(G299="",G294=""),"",IF(G294=0,"",(G299/G294)-1)))</f>
        <v/>
      </c>
      <c r="T299" s="24">
        <f>IF(ROW()&lt;7,"",IF(OR(L299="",L296=""),"",IF(L296=0,"",(L299/L296)-1)))</f>
        <v/>
      </c>
      <c r="U299" s="24">
        <f>IF(ROW()&lt;9,"",IF(OR(L299="",L294=""),"",IF(L294=0,"",(L299/L294)-1)))</f>
        <v/>
      </c>
      <c r="V299" s="24">
        <f>IF(ROW()&lt;7,"",IF(OR(N299="",N296=""),"",IF(N296=0,"",(N299/N296)-1)))</f>
        <v/>
      </c>
      <c r="W299" s="24">
        <f>IF(ROW()&lt;9,"",IF(OR(N299="",N294=""),"",IF(N294=0,"",(N299/N294)-1)))</f>
        <v/>
      </c>
      <c r="X299" s="24">
        <f>IF(OR(F299="",M299=""),"",F299-M299)</f>
        <v/>
      </c>
      <c r="Y299" s="24">
        <f>IF(OR(P299="",T299=""),"",P299-T299)</f>
        <v/>
      </c>
      <c r="Z299" s="24">
        <f>IF(OR(Q299="",U299=""),"",Q299-U299)</f>
        <v/>
      </c>
      <c r="AA299" s="24">
        <f>IF(OR(H299="",O299=""),"",H299-O299)</f>
        <v/>
      </c>
      <c r="AB299" s="24">
        <f>IF(OR(R299="",V299=""),"",R299-V299)</f>
        <v/>
      </c>
      <c r="AC299" s="24">
        <f>IF(OR(S299="",W299=""),"",S299-W299)</f>
        <v/>
      </c>
      <c r="AD299" s="13" t="n"/>
      <c r="AE299" s="24">
        <f>IF(OR(AD299="",AD298=""),"",IF(AD298=0,"",(AD299/AD298)-1))</f>
        <v/>
      </c>
      <c r="AF299" s="24">
        <f>IF(ROW()&lt;7,"",IF(OR(AD299="",AD296=""),"",IF(AD296=0,"",(AD299/AD296)-1)))</f>
        <v/>
      </c>
      <c r="AG299" s="24">
        <f>IF(ROW()&lt;9,"",IF(OR(AD299="",AD294=""),"",IF(AD294=0,"",(AD299/AD294)-1)))</f>
        <v/>
      </c>
      <c r="AH299" s="13">
        <f>IF(ROW()&lt;23,"",AVERAGE(AD280:AD299))</f>
        <v/>
      </c>
      <c r="AI299">
        <f>IF(OR(AD299="",AH299=""),"",IF(AD299&gt;AH299,"Bull","Bear"))</f>
        <v/>
      </c>
      <c r="AJ299" s="13" t="n"/>
      <c r="AK299" s="24">
        <f>IF(OR(AJ299="",AJ298=""),"",IF(AJ298=0,"",(AJ299/AJ298)-1))</f>
        <v/>
      </c>
      <c r="AL299" s="24">
        <f>IF(ROW()&lt;7,"",IF(OR(AJ299="",AJ296=""),"",IF(AJ296=0,"",(AJ299/AJ296)-1)))</f>
        <v/>
      </c>
      <c r="AM299" s="24">
        <f>IF(ROW()&lt;9,"",IF(OR(AJ299="",AJ294=""),"",IF(AJ294=0,"",(AJ299/AJ294)-1)))</f>
        <v/>
      </c>
      <c r="AN299" s="13">
        <f>IF(ROW()&lt;23,"",AVERAGE(AJ280:AJ299))</f>
        <v/>
      </c>
      <c r="AO299">
        <f>IF(OR(AJ299="",AN299=""),"",IF(AJ299&gt;AN299,"Bull","Bear"))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8">
        <f>IFERROR((M300/M299)-1,"")</f>
        <v/>
      </c>
      <c r="O300" s="24">
        <f>IF(OR(N300="",N299=""),"",IF(N299=0,"",(N300/N299)-1))</f>
        <v/>
      </c>
      <c r="P300" s="11">
        <f>IF(ROW()&lt;7,"",IF(OR(E300="",E297=""),"",IF(E297=0,"",(E300/E297)-1)))</f>
        <v/>
      </c>
      <c r="Q300" s="24">
        <f>IF(ROW()&lt;9,"",IF(OR(E300="",E295=""),"",IF(E295=0,"",(E300/E295)-1)))</f>
        <v/>
      </c>
      <c r="R300" s="24">
        <f>IF(ROW()&lt;7,"",IF(OR(G300="",G297=""),"",IF(G297=0,"",(G300/G297)-1)))</f>
        <v/>
      </c>
      <c r="S300" s="24">
        <f>IF(ROW()&lt;9,"",IF(OR(G300="",G295=""),"",IF(G295=0,"",(G300/G295)-1)))</f>
        <v/>
      </c>
      <c r="T300" s="24">
        <f>IF(ROW()&lt;7,"",IF(OR(L300="",L297=""),"",IF(L297=0,"",(L300/L297)-1)))</f>
        <v/>
      </c>
      <c r="U300" s="24">
        <f>IF(ROW()&lt;9,"",IF(OR(L300="",L295=""),"",IF(L295=0,"",(L300/L295)-1)))</f>
        <v/>
      </c>
      <c r="V300" s="24">
        <f>IF(ROW()&lt;7,"",IF(OR(N300="",N297=""),"",IF(N297=0,"",(N300/N297)-1)))</f>
        <v/>
      </c>
      <c r="W300" s="24">
        <f>IF(ROW()&lt;9,"",IF(OR(N300="",N295=""),"",IF(N295=0,"",(N300/N295)-1)))</f>
        <v/>
      </c>
      <c r="X300" s="24">
        <f>IF(OR(F300="",M300=""),"",F300-M300)</f>
        <v/>
      </c>
      <c r="Y300" s="24">
        <f>IF(OR(P300="",T300=""),"",P300-T300)</f>
        <v/>
      </c>
      <c r="Z300" s="24">
        <f>IF(OR(Q300="",U300=""),"",Q300-U300)</f>
        <v/>
      </c>
      <c r="AA300" s="24">
        <f>IF(OR(H300="",O300=""),"",H300-O300)</f>
        <v/>
      </c>
      <c r="AB300" s="24">
        <f>IF(OR(R300="",V300=""),"",R300-V300)</f>
        <v/>
      </c>
      <c r="AC300" s="24">
        <f>IF(OR(S300="",W300=""),"",S300-W300)</f>
        <v/>
      </c>
      <c r="AD300" s="13" t="n"/>
      <c r="AE300" s="24">
        <f>IF(OR(AD300="",AD299=""),"",IF(AD299=0,"",(AD300/AD299)-1))</f>
        <v/>
      </c>
      <c r="AF300" s="24">
        <f>IF(ROW()&lt;7,"",IF(OR(AD300="",AD297=""),"",IF(AD297=0,"",(AD300/AD297)-1)))</f>
        <v/>
      </c>
      <c r="AG300" s="24">
        <f>IF(ROW()&lt;9,"",IF(OR(AD300="",AD295=""),"",IF(AD295=0,"",(AD300/AD295)-1)))</f>
        <v/>
      </c>
      <c r="AH300" s="13">
        <f>IF(ROW()&lt;23,"",AVERAGE(AD281:AD300))</f>
        <v/>
      </c>
      <c r="AI300">
        <f>IF(OR(AD300="",AH300=""),"",IF(AD300&gt;AH300,"Bull","Bear"))</f>
        <v/>
      </c>
      <c r="AJ300" s="13" t="n"/>
      <c r="AK300" s="24">
        <f>IF(OR(AJ300="",AJ299=""),"",IF(AJ299=0,"",(AJ300/AJ299)-1))</f>
        <v/>
      </c>
      <c r="AL300" s="24">
        <f>IF(ROW()&lt;7,"",IF(OR(AJ300="",AJ297=""),"",IF(AJ297=0,"",(AJ300/AJ297)-1)))</f>
        <v/>
      </c>
      <c r="AM300" s="24">
        <f>IF(ROW()&lt;9,"",IF(OR(AJ300="",AJ295=""),"",IF(AJ295=0,"",(AJ300/AJ295)-1)))</f>
        <v/>
      </c>
      <c r="AN300" s="13">
        <f>IF(ROW()&lt;23,"",AVERAGE(AJ281:AJ300))</f>
        <v/>
      </c>
      <c r="AO300">
        <f>IF(OR(AJ300="",AN300=""),"",IF(AJ300&gt;AN300,"Bull","Bear"))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8">
        <f>IFERROR((M301/M300)-1,"")</f>
        <v/>
      </c>
      <c r="O301" s="24">
        <f>IF(OR(N301="",N300=""),"",IF(N300=0,"",(N301/N300)-1))</f>
        <v/>
      </c>
      <c r="P301" s="11">
        <f>IF(ROW()&lt;7,"",IF(OR(E301="",E298=""),"",IF(E298=0,"",(E301/E298)-1)))</f>
        <v/>
      </c>
      <c r="Q301" s="24">
        <f>IF(ROW()&lt;9,"",IF(OR(E301="",E296=""),"",IF(E296=0,"",(E301/E296)-1)))</f>
        <v/>
      </c>
      <c r="R301" s="24">
        <f>IF(ROW()&lt;7,"",IF(OR(G301="",G298=""),"",IF(G298=0,"",(G301/G298)-1)))</f>
        <v/>
      </c>
      <c r="S301" s="24">
        <f>IF(ROW()&lt;9,"",IF(OR(G301="",G296=""),"",IF(G296=0,"",(G301/G296)-1)))</f>
        <v/>
      </c>
      <c r="T301" s="24">
        <f>IF(ROW()&lt;7,"",IF(OR(L301="",L298=""),"",IF(L298=0,"",(L301/L298)-1)))</f>
        <v/>
      </c>
      <c r="U301" s="24">
        <f>IF(ROW()&lt;9,"",IF(OR(L301="",L296=""),"",IF(L296=0,"",(L301/L296)-1)))</f>
        <v/>
      </c>
      <c r="V301" s="24">
        <f>IF(ROW()&lt;7,"",IF(OR(N301="",N298=""),"",IF(N298=0,"",(N301/N298)-1)))</f>
        <v/>
      </c>
      <c r="W301" s="24">
        <f>IF(ROW()&lt;9,"",IF(OR(N301="",N296=""),"",IF(N296=0,"",(N301/N296)-1)))</f>
        <v/>
      </c>
      <c r="X301" s="24">
        <f>IF(OR(F301="",M301=""),"",F301-M301)</f>
        <v/>
      </c>
      <c r="Y301" s="24">
        <f>IF(OR(P301="",T301=""),"",P301-T301)</f>
        <v/>
      </c>
      <c r="Z301" s="24">
        <f>IF(OR(Q301="",U301=""),"",Q301-U301)</f>
        <v/>
      </c>
      <c r="AA301" s="24">
        <f>IF(OR(H301="",O301=""),"",H301-O301)</f>
        <v/>
      </c>
      <c r="AB301" s="24">
        <f>IF(OR(R301="",V301=""),"",R301-V301)</f>
        <v/>
      </c>
      <c r="AC301" s="24">
        <f>IF(OR(S301="",W301=""),"",S301-W301)</f>
        <v/>
      </c>
      <c r="AD301" s="13" t="n"/>
      <c r="AE301" s="24">
        <f>IF(OR(AD301="",AD300=""),"",IF(AD300=0,"",(AD301/AD300)-1))</f>
        <v/>
      </c>
      <c r="AF301" s="24">
        <f>IF(ROW()&lt;7,"",IF(OR(AD301="",AD298=""),"",IF(AD298=0,"",(AD301/AD298)-1)))</f>
        <v/>
      </c>
      <c r="AG301" s="24">
        <f>IF(ROW()&lt;9,"",IF(OR(AD301="",AD296=""),"",IF(AD296=0,"",(AD301/AD296)-1)))</f>
        <v/>
      </c>
      <c r="AH301" s="13">
        <f>IF(ROW()&lt;23,"",AVERAGE(AD282:AD301))</f>
        <v/>
      </c>
      <c r="AI301">
        <f>IF(OR(AD301="",AH301=""),"",IF(AD301&gt;AH301,"Bull","Bear"))</f>
        <v/>
      </c>
      <c r="AJ301" s="13" t="n"/>
      <c r="AK301" s="24">
        <f>IF(OR(AJ301="",AJ300=""),"",IF(AJ300=0,"",(AJ301/AJ300)-1))</f>
        <v/>
      </c>
      <c r="AL301" s="24">
        <f>IF(ROW()&lt;7,"",IF(OR(AJ301="",AJ298=""),"",IF(AJ298=0,"",(AJ301/AJ298)-1)))</f>
        <v/>
      </c>
      <c r="AM301" s="24">
        <f>IF(ROW()&lt;9,"",IF(OR(AJ301="",AJ296=""),"",IF(AJ296=0,"",(AJ301/AJ296)-1)))</f>
        <v/>
      </c>
      <c r="AN301" s="13">
        <f>IF(ROW()&lt;23,"",AVERAGE(AJ282:AJ301))</f>
        <v/>
      </c>
      <c r="AO301">
        <f>IF(OR(AJ301="",AN301=""),"",IF(AJ301&gt;AN301,"Bull","Bear"))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8">
        <f>IFERROR((M302/M301)-1,"")</f>
        <v/>
      </c>
      <c r="O302" s="24">
        <f>IF(OR(N302="",N301=""),"",IF(N301=0,"",(N302/N301)-1))</f>
        <v/>
      </c>
      <c r="P302" s="11">
        <f>IF(ROW()&lt;7,"",IF(OR(E302="",E299=""),"",IF(E299=0,"",(E302/E299)-1)))</f>
        <v/>
      </c>
      <c r="Q302" s="24">
        <f>IF(ROW()&lt;9,"",IF(OR(E302="",E297=""),"",IF(E297=0,"",(E302/E297)-1)))</f>
        <v/>
      </c>
      <c r="R302" s="24">
        <f>IF(ROW()&lt;7,"",IF(OR(G302="",G299=""),"",IF(G299=0,"",(G302/G299)-1)))</f>
        <v/>
      </c>
      <c r="S302" s="24">
        <f>IF(ROW()&lt;9,"",IF(OR(G302="",G297=""),"",IF(G297=0,"",(G302/G297)-1)))</f>
        <v/>
      </c>
      <c r="T302" s="24">
        <f>IF(ROW()&lt;7,"",IF(OR(L302="",L299=""),"",IF(L299=0,"",(L302/L299)-1)))</f>
        <v/>
      </c>
      <c r="U302" s="24">
        <f>IF(ROW()&lt;9,"",IF(OR(L302="",L297=""),"",IF(L297=0,"",(L302/L297)-1)))</f>
        <v/>
      </c>
      <c r="V302" s="24">
        <f>IF(ROW()&lt;7,"",IF(OR(N302="",N299=""),"",IF(N299=0,"",(N302/N299)-1)))</f>
        <v/>
      </c>
      <c r="W302" s="24">
        <f>IF(ROW()&lt;9,"",IF(OR(N302="",N297=""),"",IF(N297=0,"",(N302/N297)-1)))</f>
        <v/>
      </c>
      <c r="X302" s="24">
        <f>IF(OR(F302="",M302=""),"",F302-M302)</f>
        <v/>
      </c>
      <c r="Y302" s="24">
        <f>IF(OR(P302="",T302=""),"",P302-T302)</f>
        <v/>
      </c>
      <c r="Z302" s="24">
        <f>IF(OR(Q302="",U302=""),"",Q302-U302)</f>
        <v/>
      </c>
      <c r="AA302" s="24">
        <f>IF(OR(H302="",O302=""),"",H302-O302)</f>
        <v/>
      </c>
      <c r="AB302" s="24">
        <f>IF(OR(R302="",V302=""),"",R302-V302)</f>
        <v/>
      </c>
      <c r="AC302" s="24">
        <f>IF(OR(S302="",W302=""),"",S302-W302)</f>
        <v/>
      </c>
      <c r="AD302" s="13" t="n"/>
      <c r="AE302" s="24">
        <f>IF(OR(AD302="",AD301=""),"",IF(AD301=0,"",(AD302/AD301)-1))</f>
        <v/>
      </c>
      <c r="AF302" s="24">
        <f>IF(ROW()&lt;7,"",IF(OR(AD302="",AD299=""),"",IF(AD299=0,"",(AD302/AD299)-1)))</f>
        <v/>
      </c>
      <c r="AG302" s="24">
        <f>IF(ROW()&lt;9,"",IF(OR(AD302="",AD297=""),"",IF(AD297=0,"",(AD302/AD297)-1)))</f>
        <v/>
      </c>
      <c r="AH302" s="13">
        <f>IF(ROW()&lt;23,"",AVERAGE(AD283:AD302))</f>
        <v/>
      </c>
      <c r="AI302">
        <f>IF(OR(AD302="",AH302=""),"",IF(AD302&gt;AH302,"Bull","Bear"))</f>
        <v/>
      </c>
      <c r="AJ302" s="13" t="n"/>
      <c r="AK302" s="24">
        <f>IF(OR(AJ302="",AJ301=""),"",IF(AJ301=0,"",(AJ302/AJ301)-1))</f>
        <v/>
      </c>
      <c r="AL302" s="24">
        <f>IF(ROW()&lt;7,"",IF(OR(AJ302="",AJ299=""),"",IF(AJ299=0,"",(AJ302/AJ299)-1)))</f>
        <v/>
      </c>
      <c r="AM302" s="24">
        <f>IF(ROW()&lt;9,"",IF(OR(AJ302="",AJ297=""),"",IF(AJ297=0,"",(AJ302/AJ297)-1)))</f>
        <v/>
      </c>
      <c r="AN302" s="13">
        <f>IF(ROW()&lt;23,"",AVERAGE(AJ283:AJ302))</f>
        <v/>
      </c>
      <c r="AO302">
        <f>IF(OR(AJ302="",AN302=""),"",IF(AJ302&gt;AN302,"Bull","Bear"))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8">
        <f>IFERROR((M303/M302)-1,"")</f>
        <v/>
      </c>
      <c r="O303" s="24">
        <f>IF(OR(N303="",N302=""),"",IF(N302=0,"",(N303/N302)-1))</f>
        <v/>
      </c>
      <c r="P303" s="11">
        <f>IF(ROW()&lt;7,"",IF(OR(E303="",E300=""),"",IF(E300=0,"",(E303/E300)-1)))</f>
        <v/>
      </c>
      <c r="Q303" s="24">
        <f>IF(ROW()&lt;9,"",IF(OR(E303="",E298=""),"",IF(E298=0,"",(E303/E298)-1)))</f>
        <v/>
      </c>
      <c r="R303" s="24">
        <f>IF(ROW()&lt;7,"",IF(OR(G303="",G300=""),"",IF(G300=0,"",(G303/G300)-1)))</f>
        <v/>
      </c>
      <c r="S303" s="24">
        <f>IF(ROW()&lt;9,"",IF(OR(G303="",G298=""),"",IF(G298=0,"",(G303/G298)-1)))</f>
        <v/>
      </c>
      <c r="T303" s="24">
        <f>IF(ROW()&lt;7,"",IF(OR(L303="",L300=""),"",IF(L300=0,"",(L303/L300)-1)))</f>
        <v/>
      </c>
      <c r="U303" s="24">
        <f>IF(ROW()&lt;9,"",IF(OR(L303="",L298=""),"",IF(L298=0,"",(L303/L298)-1)))</f>
        <v/>
      </c>
      <c r="V303" s="24">
        <f>IF(ROW()&lt;7,"",IF(OR(N303="",N300=""),"",IF(N300=0,"",(N303/N300)-1)))</f>
        <v/>
      </c>
      <c r="W303" s="24">
        <f>IF(ROW()&lt;9,"",IF(OR(N303="",N298=""),"",IF(N298=0,"",(N303/N298)-1)))</f>
        <v/>
      </c>
      <c r="X303" s="24">
        <f>IF(OR(F303="",M303=""),"",F303-M303)</f>
        <v/>
      </c>
      <c r="Y303" s="24">
        <f>IF(OR(P303="",T303=""),"",P303-T303)</f>
        <v/>
      </c>
      <c r="Z303" s="24">
        <f>IF(OR(Q303="",U303=""),"",Q303-U303)</f>
        <v/>
      </c>
      <c r="AA303" s="24">
        <f>IF(OR(H303="",O303=""),"",H303-O303)</f>
        <v/>
      </c>
      <c r="AB303" s="24">
        <f>IF(OR(R303="",V303=""),"",R303-V303)</f>
        <v/>
      </c>
      <c r="AC303" s="24">
        <f>IF(OR(S303="",W303=""),"",S303-W303)</f>
        <v/>
      </c>
      <c r="AD303" s="13" t="n"/>
      <c r="AE303" s="24">
        <f>IF(OR(AD303="",AD302=""),"",IF(AD302=0,"",(AD303/AD302)-1))</f>
        <v/>
      </c>
      <c r="AF303" s="24">
        <f>IF(ROW()&lt;7,"",IF(OR(AD303="",AD300=""),"",IF(AD300=0,"",(AD303/AD300)-1)))</f>
        <v/>
      </c>
      <c r="AG303" s="24">
        <f>IF(ROW()&lt;9,"",IF(OR(AD303="",AD298=""),"",IF(AD298=0,"",(AD303/AD298)-1)))</f>
        <v/>
      </c>
      <c r="AH303" s="13">
        <f>IF(ROW()&lt;23,"",AVERAGE(AD284:AD303))</f>
        <v/>
      </c>
      <c r="AI303">
        <f>IF(OR(AD303="",AH303=""),"",IF(AD303&gt;AH303,"Bull","Bear"))</f>
        <v/>
      </c>
      <c r="AJ303" s="13" t="n"/>
      <c r="AK303" s="24">
        <f>IF(OR(AJ303="",AJ302=""),"",IF(AJ302=0,"",(AJ303/AJ302)-1))</f>
        <v/>
      </c>
      <c r="AL303" s="24">
        <f>IF(ROW()&lt;7,"",IF(OR(AJ303="",AJ300=""),"",IF(AJ300=0,"",(AJ303/AJ300)-1)))</f>
        <v/>
      </c>
      <c r="AM303" s="24">
        <f>IF(ROW()&lt;9,"",IF(OR(AJ303="",AJ298=""),"",IF(AJ298=0,"",(AJ303/AJ298)-1)))</f>
        <v/>
      </c>
      <c r="AN303" s="13">
        <f>IF(ROW()&lt;23,"",AVERAGE(AJ284:AJ303))</f>
        <v/>
      </c>
      <c r="AO303">
        <f>IF(OR(AJ303="",AN303=""),"",IF(AJ303&gt;AN303,"Bull","Bear"))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8">
        <f>IFERROR((M304/M303)-1,"")</f>
        <v/>
      </c>
      <c r="O304" s="24">
        <f>IF(OR(N304="",N303=""),"",IF(N303=0,"",(N304/N303)-1))</f>
        <v/>
      </c>
      <c r="P304" s="11">
        <f>IF(ROW()&lt;7,"",IF(OR(E304="",E301=""),"",IF(E301=0,"",(E304/E301)-1)))</f>
        <v/>
      </c>
      <c r="Q304" s="24">
        <f>IF(ROW()&lt;9,"",IF(OR(E304="",E299=""),"",IF(E299=0,"",(E304/E299)-1)))</f>
        <v/>
      </c>
      <c r="R304" s="24">
        <f>IF(ROW()&lt;7,"",IF(OR(G304="",G301=""),"",IF(G301=0,"",(G304/G301)-1)))</f>
        <v/>
      </c>
      <c r="S304" s="24">
        <f>IF(ROW()&lt;9,"",IF(OR(G304="",G299=""),"",IF(G299=0,"",(G304/G299)-1)))</f>
        <v/>
      </c>
      <c r="T304" s="24">
        <f>IF(ROW()&lt;7,"",IF(OR(L304="",L301=""),"",IF(L301=0,"",(L304/L301)-1)))</f>
        <v/>
      </c>
      <c r="U304" s="24">
        <f>IF(ROW()&lt;9,"",IF(OR(L304="",L299=""),"",IF(L299=0,"",(L304/L299)-1)))</f>
        <v/>
      </c>
      <c r="V304" s="24">
        <f>IF(ROW()&lt;7,"",IF(OR(N304="",N301=""),"",IF(N301=0,"",(N304/N301)-1)))</f>
        <v/>
      </c>
      <c r="W304" s="24">
        <f>IF(ROW()&lt;9,"",IF(OR(N304="",N299=""),"",IF(N299=0,"",(N304/N299)-1)))</f>
        <v/>
      </c>
      <c r="X304" s="24">
        <f>IF(OR(F304="",M304=""),"",F304-M304)</f>
        <v/>
      </c>
      <c r="Y304" s="24">
        <f>IF(OR(P304="",T304=""),"",P304-T304)</f>
        <v/>
      </c>
      <c r="Z304" s="24">
        <f>IF(OR(Q304="",U304=""),"",Q304-U304)</f>
        <v/>
      </c>
      <c r="AA304" s="24">
        <f>IF(OR(H304="",O304=""),"",H304-O304)</f>
        <v/>
      </c>
      <c r="AB304" s="24">
        <f>IF(OR(R304="",V304=""),"",R304-V304)</f>
        <v/>
      </c>
      <c r="AC304" s="24">
        <f>IF(OR(S304="",W304=""),"",S304-W304)</f>
        <v/>
      </c>
      <c r="AD304" s="13" t="n"/>
      <c r="AE304" s="24">
        <f>IF(OR(AD304="",AD303=""),"",IF(AD303=0,"",(AD304/AD303)-1))</f>
        <v/>
      </c>
      <c r="AF304" s="24">
        <f>IF(ROW()&lt;7,"",IF(OR(AD304="",AD301=""),"",IF(AD301=0,"",(AD304/AD301)-1)))</f>
        <v/>
      </c>
      <c r="AG304" s="24">
        <f>IF(ROW()&lt;9,"",IF(OR(AD304="",AD299=""),"",IF(AD299=0,"",(AD304/AD299)-1)))</f>
        <v/>
      </c>
      <c r="AH304" s="13">
        <f>IF(ROW()&lt;23,"",AVERAGE(AD285:AD304))</f>
        <v/>
      </c>
      <c r="AI304">
        <f>IF(OR(AD304="",AH304=""),"",IF(AD304&gt;AH304,"Bull","Bear"))</f>
        <v/>
      </c>
      <c r="AJ304" s="13" t="n"/>
      <c r="AK304" s="24">
        <f>IF(OR(AJ304="",AJ303=""),"",IF(AJ303=0,"",(AJ304/AJ303)-1))</f>
        <v/>
      </c>
      <c r="AL304" s="24">
        <f>IF(ROW()&lt;7,"",IF(OR(AJ304="",AJ301=""),"",IF(AJ301=0,"",(AJ304/AJ301)-1)))</f>
        <v/>
      </c>
      <c r="AM304" s="24">
        <f>IF(ROW()&lt;9,"",IF(OR(AJ304="",AJ299=""),"",IF(AJ299=0,"",(AJ304/AJ299)-1)))</f>
        <v/>
      </c>
      <c r="AN304" s="13">
        <f>IF(ROW()&lt;23,"",AVERAGE(AJ285:AJ304))</f>
        <v/>
      </c>
      <c r="AO304">
        <f>IF(OR(AJ304="",AN304=""),"",IF(AJ304&gt;AN304,"Bull","Bear"))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8">
        <f>IFERROR((M305/M304)-1,"")</f>
        <v/>
      </c>
      <c r="O305" s="24">
        <f>IF(OR(N305="",N304=""),"",IF(N304=0,"",(N305/N304)-1))</f>
        <v/>
      </c>
      <c r="P305" s="11">
        <f>IF(ROW()&lt;7,"",IF(OR(E305="",E302=""),"",IF(E302=0,"",(E305/E302)-1)))</f>
        <v/>
      </c>
      <c r="Q305" s="24">
        <f>IF(ROW()&lt;9,"",IF(OR(E305="",E300=""),"",IF(E300=0,"",(E305/E300)-1)))</f>
        <v/>
      </c>
      <c r="R305" s="24">
        <f>IF(ROW()&lt;7,"",IF(OR(G305="",G302=""),"",IF(G302=0,"",(G305/G302)-1)))</f>
        <v/>
      </c>
      <c r="S305" s="24">
        <f>IF(ROW()&lt;9,"",IF(OR(G305="",G300=""),"",IF(G300=0,"",(G305/G300)-1)))</f>
        <v/>
      </c>
      <c r="T305" s="24">
        <f>IF(ROW()&lt;7,"",IF(OR(L305="",L302=""),"",IF(L302=0,"",(L305/L302)-1)))</f>
        <v/>
      </c>
      <c r="U305" s="24">
        <f>IF(ROW()&lt;9,"",IF(OR(L305="",L300=""),"",IF(L300=0,"",(L305/L300)-1)))</f>
        <v/>
      </c>
      <c r="V305" s="24">
        <f>IF(ROW()&lt;7,"",IF(OR(N305="",N302=""),"",IF(N302=0,"",(N305/N302)-1)))</f>
        <v/>
      </c>
      <c r="W305" s="24">
        <f>IF(ROW()&lt;9,"",IF(OR(N305="",N300=""),"",IF(N300=0,"",(N305/N300)-1)))</f>
        <v/>
      </c>
      <c r="X305" s="24">
        <f>IF(OR(F305="",M305=""),"",F305-M305)</f>
        <v/>
      </c>
      <c r="Y305" s="24">
        <f>IF(OR(P305="",T305=""),"",P305-T305)</f>
        <v/>
      </c>
      <c r="Z305" s="24">
        <f>IF(OR(Q305="",U305=""),"",Q305-U305)</f>
        <v/>
      </c>
      <c r="AA305" s="24">
        <f>IF(OR(H305="",O305=""),"",H305-O305)</f>
        <v/>
      </c>
      <c r="AB305" s="24">
        <f>IF(OR(R305="",V305=""),"",R305-V305)</f>
        <v/>
      </c>
      <c r="AC305" s="24">
        <f>IF(OR(S305="",W305=""),"",S305-W305)</f>
        <v/>
      </c>
      <c r="AD305" s="13" t="n"/>
      <c r="AE305" s="24">
        <f>IF(OR(AD305="",AD304=""),"",IF(AD304=0,"",(AD305/AD304)-1))</f>
        <v/>
      </c>
      <c r="AF305" s="24">
        <f>IF(ROW()&lt;7,"",IF(OR(AD305="",AD302=""),"",IF(AD302=0,"",(AD305/AD302)-1)))</f>
        <v/>
      </c>
      <c r="AG305" s="24">
        <f>IF(ROW()&lt;9,"",IF(OR(AD305="",AD300=""),"",IF(AD300=0,"",(AD305/AD300)-1)))</f>
        <v/>
      </c>
      <c r="AH305" s="13">
        <f>IF(ROW()&lt;23,"",AVERAGE(AD286:AD305))</f>
        <v/>
      </c>
      <c r="AI305">
        <f>IF(OR(AD305="",AH305=""),"",IF(AD305&gt;AH305,"Bull","Bear"))</f>
        <v/>
      </c>
      <c r="AJ305" s="13" t="n"/>
      <c r="AK305" s="24">
        <f>IF(OR(AJ305="",AJ304=""),"",IF(AJ304=0,"",(AJ305/AJ304)-1))</f>
        <v/>
      </c>
      <c r="AL305" s="24">
        <f>IF(ROW()&lt;7,"",IF(OR(AJ305="",AJ302=""),"",IF(AJ302=0,"",(AJ305/AJ302)-1)))</f>
        <v/>
      </c>
      <c r="AM305" s="24">
        <f>IF(ROW()&lt;9,"",IF(OR(AJ305="",AJ300=""),"",IF(AJ300=0,"",(AJ305/AJ300)-1)))</f>
        <v/>
      </c>
      <c r="AN305" s="13">
        <f>IF(ROW()&lt;23,"",AVERAGE(AJ286:AJ305))</f>
        <v/>
      </c>
      <c r="AO305">
        <f>IF(OR(AJ305="",AN305=""),"",IF(AJ305&gt;AN305,"Bull","Bear"))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8">
        <f>IFERROR((M306/M305)-1,"")</f>
        <v/>
      </c>
      <c r="O306" s="24">
        <f>IF(OR(N306="",N305=""),"",IF(N305=0,"",(N306/N305)-1))</f>
        <v/>
      </c>
      <c r="P306" s="11">
        <f>IF(ROW()&lt;7,"",IF(OR(E306="",E303=""),"",IF(E303=0,"",(E306/E303)-1)))</f>
        <v/>
      </c>
      <c r="Q306" s="24">
        <f>IF(ROW()&lt;9,"",IF(OR(E306="",E301=""),"",IF(E301=0,"",(E306/E301)-1)))</f>
        <v/>
      </c>
      <c r="R306" s="24">
        <f>IF(ROW()&lt;7,"",IF(OR(G306="",G303=""),"",IF(G303=0,"",(G306/G303)-1)))</f>
        <v/>
      </c>
      <c r="S306" s="24">
        <f>IF(ROW()&lt;9,"",IF(OR(G306="",G301=""),"",IF(G301=0,"",(G306/G301)-1)))</f>
        <v/>
      </c>
      <c r="T306" s="24">
        <f>IF(ROW()&lt;7,"",IF(OR(L306="",L303=""),"",IF(L303=0,"",(L306/L303)-1)))</f>
        <v/>
      </c>
      <c r="U306" s="24">
        <f>IF(ROW()&lt;9,"",IF(OR(L306="",L301=""),"",IF(L301=0,"",(L306/L301)-1)))</f>
        <v/>
      </c>
      <c r="V306" s="24">
        <f>IF(ROW()&lt;7,"",IF(OR(N306="",N303=""),"",IF(N303=0,"",(N306/N303)-1)))</f>
        <v/>
      </c>
      <c r="W306" s="24">
        <f>IF(ROW()&lt;9,"",IF(OR(N306="",N301=""),"",IF(N301=0,"",(N306/N301)-1)))</f>
        <v/>
      </c>
      <c r="X306" s="24">
        <f>IF(OR(F306="",M306=""),"",F306-M306)</f>
        <v/>
      </c>
      <c r="Y306" s="24">
        <f>IF(OR(P306="",T306=""),"",P306-T306)</f>
        <v/>
      </c>
      <c r="Z306" s="24">
        <f>IF(OR(Q306="",U306=""),"",Q306-U306)</f>
        <v/>
      </c>
      <c r="AA306" s="24">
        <f>IF(OR(H306="",O306=""),"",H306-O306)</f>
        <v/>
      </c>
      <c r="AB306" s="24">
        <f>IF(OR(R306="",V306=""),"",R306-V306)</f>
        <v/>
      </c>
      <c r="AC306" s="24">
        <f>IF(OR(S306="",W306=""),"",S306-W306)</f>
        <v/>
      </c>
      <c r="AD306" s="13" t="n"/>
      <c r="AE306" s="24">
        <f>IF(OR(AD306="",AD305=""),"",IF(AD305=0,"",(AD306/AD305)-1))</f>
        <v/>
      </c>
      <c r="AF306" s="24">
        <f>IF(ROW()&lt;7,"",IF(OR(AD306="",AD303=""),"",IF(AD303=0,"",(AD306/AD303)-1)))</f>
        <v/>
      </c>
      <c r="AG306" s="24">
        <f>IF(ROW()&lt;9,"",IF(OR(AD306="",AD301=""),"",IF(AD301=0,"",(AD306/AD301)-1)))</f>
        <v/>
      </c>
      <c r="AH306" s="13">
        <f>IF(ROW()&lt;23,"",AVERAGE(AD287:AD306))</f>
        <v/>
      </c>
      <c r="AI306">
        <f>IF(OR(AD306="",AH306=""),"",IF(AD306&gt;AH306,"Bull","Bear"))</f>
        <v/>
      </c>
      <c r="AJ306" s="13" t="n"/>
      <c r="AK306" s="24">
        <f>IF(OR(AJ306="",AJ305=""),"",IF(AJ305=0,"",(AJ306/AJ305)-1))</f>
        <v/>
      </c>
      <c r="AL306" s="24">
        <f>IF(ROW()&lt;7,"",IF(OR(AJ306="",AJ303=""),"",IF(AJ303=0,"",(AJ306/AJ303)-1)))</f>
        <v/>
      </c>
      <c r="AM306" s="24">
        <f>IF(ROW()&lt;9,"",IF(OR(AJ306="",AJ301=""),"",IF(AJ301=0,"",(AJ306/AJ301)-1)))</f>
        <v/>
      </c>
      <c r="AN306" s="13">
        <f>IF(ROW()&lt;23,"",AVERAGE(AJ287:AJ306))</f>
        <v/>
      </c>
      <c r="AO306">
        <f>IF(OR(AJ306="",AN306=""),"",IF(AJ306&gt;AN306,"Bull","Bear"))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8">
        <f>IFERROR((M307/M306)-1,"")</f>
        <v/>
      </c>
      <c r="O307" s="24">
        <f>IF(OR(N307="",N306=""),"",IF(N306=0,"",(N307/N306)-1))</f>
        <v/>
      </c>
      <c r="P307" s="11">
        <f>IF(ROW()&lt;7,"",IF(OR(E307="",E304=""),"",IF(E304=0,"",(E307/E304)-1)))</f>
        <v/>
      </c>
      <c r="Q307" s="24">
        <f>IF(ROW()&lt;9,"",IF(OR(E307="",E302=""),"",IF(E302=0,"",(E307/E302)-1)))</f>
        <v/>
      </c>
      <c r="R307" s="24">
        <f>IF(ROW()&lt;7,"",IF(OR(G307="",G304=""),"",IF(G304=0,"",(G307/G304)-1)))</f>
        <v/>
      </c>
      <c r="S307" s="24">
        <f>IF(ROW()&lt;9,"",IF(OR(G307="",G302=""),"",IF(G302=0,"",(G307/G302)-1)))</f>
        <v/>
      </c>
      <c r="T307" s="24">
        <f>IF(ROW()&lt;7,"",IF(OR(L307="",L304=""),"",IF(L304=0,"",(L307/L304)-1)))</f>
        <v/>
      </c>
      <c r="U307" s="24">
        <f>IF(ROW()&lt;9,"",IF(OR(L307="",L302=""),"",IF(L302=0,"",(L307/L302)-1)))</f>
        <v/>
      </c>
      <c r="V307" s="24">
        <f>IF(ROW()&lt;7,"",IF(OR(N307="",N304=""),"",IF(N304=0,"",(N307/N304)-1)))</f>
        <v/>
      </c>
      <c r="W307" s="24">
        <f>IF(ROW()&lt;9,"",IF(OR(N307="",N302=""),"",IF(N302=0,"",(N307/N302)-1)))</f>
        <v/>
      </c>
      <c r="X307" s="24">
        <f>IF(OR(F307="",M307=""),"",F307-M307)</f>
        <v/>
      </c>
      <c r="Y307" s="24">
        <f>IF(OR(P307="",T307=""),"",P307-T307)</f>
        <v/>
      </c>
      <c r="Z307" s="24">
        <f>IF(OR(Q307="",U307=""),"",Q307-U307)</f>
        <v/>
      </c>
      <c r="AA307" s="24">
        <f>IF(OR(H307="",O307=""),"",H307-O307)</f>
        <v/>
      </c>
      <c r="AB307" s="24">
        <f>IF(OR(R307="",V307=""),"",R307-V307)</f>
        <v/>
      </c>
      <c r="AC307" s="24">
        <f>IF(OR(S307="",W307=""),"",S307-W307)</f>
        <v/>
      </c>
      <c r="AD307" s="13" t="n"/>
      <c r="AE307" s="24">
        <f>IF(OR(AD307="",AD306=""),"",IF(AD306=0,"",(AD307/AD306)-1))</f>
        <v/>
      </c>
      <c r="AF307" s="24">
        <f>IF(ROW()&lt;7,"",IF(OR(AD307="",AD304=""),"",IF(AD304=0,"",(AD307/AD304)-1)))</f>
        <v/>
      </c>
      <c r="AG307" s="24">
        <f>IF(ROW()&lt;9,"",IF(OR(AD307="",AD302=""),"",IF(AD302=0,"",(AD307/AD302)-1)))</f>
        <v/>
      </c>
      <c r="AH307" s="13">
        <f>IF(ROW()&lt;23,"",AVERAGE(AD288:AD307))</f>
        <v/>
      </c>
      <c r="AI307">
        <f>IF(OR(AD307="",AH307=""),"",IF(AD307&gt;AH307,"Bull","Bear"))</f>
        <v/>
      </c>
      <c r="AJ307" s="13" t="n"/>
      <c r="AK307" s="24">
        <f>IF(OR(AJ307="",AJ306=""),"",IF(AJ306=0,"",(AJ307/AJ306)-1))</f>
        <v/>
      </c>
      <c r="AL307" s="24">
        <f>IF(ROW()&lt;7,"",IF(OR(AJ307="",AJ304=""),"",IF(AJ304=0,"",(AJ307/AJ304)-1)))</f>
        <v/>
      </c>
      <c r="AM307" s="24">
        <f>IF(ROW()&lt;9,"",IF(OR(AJ307="",AJ302=""),"",IF(AJ302=0,"",(AJ307/AJ302)-1)))</f>
        <v/>
      </c>
      <c r="AN307" s="13">
        <f>IF(ROW()&lt;23,"",AVERAGE(AJ288:AJ307))</f>
        <v/>
      </c>
      <c r="AO307">
        <f>IF(OR(AJ307="",AN307=""),"",IF(AJ307&gt;AN307,"Bull","Bear"))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8">
        <f>IFERROR((M308/M307)-1,"")</f>
        <v/>
      </c>
      <c r="O308" s="24">
        <f>IF(OR(N308="",N307=""),"",IF(N307=0,"",(N308/N307)-1))</f>
        <v/>
      </c>
      <c r="P308" s="11">
        <f>IF(ROW()&lt;7,"",IF(OR(E308="",E305=""),"",IF(E305=0,"",(E308/E305)-1)))</f>
        <v/>
      </c>
      <c r="Q308" s="24">
        <f>IF(ROW()&lt;9,"",IF(OR(E308="",E303=""),"",IF(E303=0,"",(E308/E303)-1)))</f>
        <v/>
      </c>
      <c r="R308" s="24">
        <f>IF(ROW()&lt;7,"",IF(OR(G308="",G305=""),"",IF(G305=0,"",(G308/G305)-1)))</f>
        <v/>
      </c>
      <c r="S308" s="24">
        <f>IF(ROW()&lt;9,"",IF(OR(G308="",G303=""),"",IF(G303=0,"",(G308/G303)-1)))</f>
        <v/>
      </c>
      <c r="T308" s="24">
        <f>IF(ROW()&lt;7,"",IF(OR(L308="",L305=""),"",IF(L305=0,"",(L308/L305)-1)))</f>
        <v/>
      </c>
      <c r="U308" s="24">
        <f>IF(ROW()&lt;9,"",IF(OR(L308="",L303=""),"",IF(L303=0,"",(L308/L303)-1)))</f>
        <v/>
      </c>
      <c r="V308" s="24">
        <f>IF(ROW()&lt;7,"",IF(OR(N308="",N305=""),"",IF(N305=0,"",(N308/N305)-1)))</f>
        <v/>
      </c>
      <c r="W308" s="24">
        <f>IF(ROW()&lt;9,"",IF(OR(N308="",N303=""),"",IF(N303=0,"",(N308/N303)-1)))</f>
        <v/>
      </c>
      <c r="X308" s="24">
        <f>IF(OR(F308="",M308=""),"",F308-M308)</f>
        <v/>
      </c>
      <c r="Y308" s="24">
        <f>IF(OR(P308="",T308=""),"",P308-T308)</f>
        <v/>
      </c>
      <c r="Z308" s="24">
        <f>IF(OR(Q308="",U308=""),"",Q308-U308)</f>
        <v/>
      </c>
      <c r="AA308" s="24">
        <f>IF(OR(H308="",O308=""),"",H308-O308)</f>
        <v/>
      </c>
      <c r="AB308" s="24">
        <f>IF(OR(R308="",V308=""),"",R308-V308)</f>
        <v/>
      </c>
      <c r="AC308" s="24">
        <f>IF(OR(S308="",W308=""),"",S308-W308)</f>
        <v/>
      </c>
      <c r="AD308" s="13" t="n"/>
      <c r="AE308" s="24">
        <f>IF(OR(AD308="",AD307=""),"",IF(AD307=0,"",(AD308/AD307)-1))</f>
        <v/>
      </c>
      <c r="AF308" s="24">
        <f>IF(ROW()&lt;7,"",IF(OR(AD308="",AD305=""),"",IF(AD305=0,"",(AD308/AD305)-1)))</f>
        <v/>
      </c>
      <c r="AG308" s="24">
        <f>IF(ROW()&lt;9,"",IF(OR(AD308="",AD303=""),"",IF(AD303=0,"",(AD308/AD303)-1)))</f>
        <v/>
      </c>
      <c r="AH308" s="13">
        <f>IF(ROW()&lt;23,"",AVERAGE(AD289:AD308))</f>
        <v/>
      </c>
      <c r="AI308">
        <f>IF(OR(AD308="",AH308=""),"",IF(AD308&gt;AH308,"Bull","Bear"))</f>
        <v/>
      </c>
      <c r="AJ308" s="13" t="n"/>
      <c r="AK308" s="24">
        <f>IF(OR(AJ308="",AJ307=""),"",IF(AJ307=0,"",(AJ308/AJ307)-1))</f>
        <v/>
      </c>
      <c r="AL308" s="24">
        <f>IF(ROW()&lt;7,"",IF(OR(AJ308="",AJ305=""),"",IF(AJ305=0,"",(AJ308/AJ305)-1)))</f>
        <v/>
      </c>
      <c r="AM308" s="24">
        <f>IF(ROW()&lt;9,"",IF(OR(AJ308="",AJ303=""),"",IF(AJ303=0,"",(AJ308/AJ303)-1)))</f>
        <v/>
      </c>
      <c r="AN308" s="13">
        <f>IF(ROW()&lt;23,"",AVERAGE(AJ289:AJ308))</f>
        <v/>
      </c>
      <c r="AO308">
        <f>IF(OR(AJ308="",AN308=""),"",IF(AJ308&gt;AN308,"Bull","Bear"))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8">
        <f>IFERROR((M309/M308)-1,"")</f>
        <v/>
      </c>
      <c r="O309" s="24">
        <f>IF(OR(N309="",N308=""),"",IF(N308=0,"",(N309/N308)-1))</f>
        <v/>
      </c>
      <c r="P309" s="11">
        <f>IF(ROW()&lt;7,"",IF(OR(E309="",E306=""),"",IF(E306=0,"",(E309/E306)-1)))</f>
        <v/>
      </c>
      <c r="Q309" s="24">
        <f>IF(ROW()&lt;9,"",IF(OR(E309="",E304=""),"",IF(E304=0,"",(E309/E304)-1)))</f>
        <v/>
      </c>
      <c r="R309" s="24">
        <f>IF(ROW()&lt;7,"",IF(OR(G309="",G306=""),"",IF(G306=0,"",(G309/G306)-1)))</f>
        <v/>
      </c>
      <c r="S309" s="24">
        <f>IF(ROW()&lt;9,"",IF(OR(G309="",G304=""),"",IF(G304=0,"",(G309/G304)-1)))</f>
        <v/>
      </c>
      <c r="T309" s="24">
        <f>IF(ROW()&lt;7,"",IF(OR(L309="",L306=""),"",IF(L306=0,"",(L309/L306)-1)))</f>
        <v/>
      </c>
      <c r="U309" s="24">
        <f>IF(ROW()&lt;9,"",IF(OR(L309="",L304=""),"",IF(L304=0,"",(L309/L304)-1)))</f>
        <v/>
      </c>
      <c r="V309" s="24">
        <f>IF(ROW()&lt;7,"",IF(OR(N309="",N306=""),"",IF(N306=0,"",(N309/N306)-1)))</f>
        <v/>
      </c>
      <c r="W309" s="24">
        <f>IF(ROW()&lt;9,"",IF(OR(N309="",N304=""),"",IF(N304=0,"",(N309/N304)-1)))</f>
        <v/>
      </c>
      <c r="X309" s="24">
        <f>IF(OR(F309="",M309=""),"",F309-M309)</f>
        <v/>
      </c>
      <c r="Y309" s="24">
        <f>IF(OR(P309="",T309=""),"",P309-T309)</f>
        <v/>
      </c>
      <c r="Z309" s="24">
        <f>IF(OR(Q309="",U309=""),"",Q309-U309)</f>
        <v/>
      </c>
      <c r="AA309" s="24">
        <f>IF(OR(H309="",O309=""),"",H309-O309)</f>
        <v/>
      </c>
      <c r="AB309" s="24">
        <f>IF(OR(R309="",V309=""),"",R309-V309)</f>
        <v/>
      </c>
      <c r="AC309" s="24">
        <f>IF(OR(S309="",W309=""),"",S309-W309)</f>
        <v/>
      </c>
      <c r="AD309" s="13" t="n"/>
      <c r="AE309" s="24">
        <f>IF(OR(AD309="",AD308=""),"",IF(AD308=0,"",(AD309/AD308)-1))</f>
        <v/>
      </c>
      <c r="AF309" s="24">
        <f>IF(ROW()&lt;7,"",IF(OR(AD309="",AD306=""),"",IF(AD306=0,"",(AD309/AD306)-1)))</f>
        <v/>
      </c>
      <c r="AG309" s="24">
        <f>IF(ROW()&lt;9,"",IF(OR(AD309="",AD304=""),"",IF(AD304=0,"",(AD309/AD304)-1)))</f>
        <v/>
      </c>
      <c r="AH309" s="13">
        <f>IF(ROW()&lt;23,"",AVERAGE(AD290:AD309))</f>
        <v/>
      </c>
      <c r="AI309">
        <f>IF(OR(AD309="",AH309=""),"",IF(AD309&gt;AH309,"Bull","Bear"))</f>
        <v/>
      </c>
      <c r="AJ309" s="13" t="n"/>
      <c r="AK309" s="24">
        <f>IF(OR(AJ309="",AJ308=""),"",IF(AJ308=0,"",(AJ309/AJ308)-1))</f>
        <v/>
      </c>
      <c r="AL309" s="24">
        <f>IF(ROW()&lt;7,"",IF(OR(AJ309="",AJ306=""),"",IF(AJ306=0,"",(AJ309/AJ306)-1)))</f>
        <v/>
      </c>
      <c r="AM309" s="24">
        <f>IF(ROW()&lt;9,"",IF(OR(AJ309="",AJ304=""),"",IF(AJ304=0,"",(AJ309/AJ304)-1)))</f>
        <v/>
      </c>
      <c r="AN309" s="13">
        <f>IF(ROW()&lt;23,"",AVERAGE(AJ290:AJ309))</f>
        <v/>
      </c>
      <c r="AO309">
        <f>IF(OR(AJ309="",AN309=""),"",IF(AJ309&gt;AN309,"Bull","Bear"))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8">
        <f>IFERROR((M310/M309)-1,"")</f>
        <v/>
      </c>
      <c r="O310" s="24">
        <f>IF(OR(N310="",N309=""),"",IF(N309=0,"",(N310/N309)-1))</f>
        <v/>
      </c>
      <c r="P310" s="11">
        <f>IF(ROW()&lt;7,"",IF(OR(E310="",E307=""),"",IF(E307=0,"",(E310/E307)-1)))</f>
        <v/>
      </c>
      <c r="Q310" s="24">
        <f>IF(ROW()&lt;9,"",IF(OR(E310="",E305=""),"",IF(E305=0,"",(E310/E305)-1)))</f>
        <v/>
      </c>
      <c r="R310" s="24">
        <f>IF(ROW()&lt;7,"",IF(OR(G310="",G307=""),"",IF(G307=0,"",(G310/G307)-1)))</f>
        <v/>
      </c>
      <c r="S310" s="24">
        <f>IF(ROW()&lt;9,"",IF(OR(G310="",G305=""),"",IF(G305=0,"",(G310/G305)-1)))</f>
        <v/>
      </c>
      <c r="T310" s="24">
        <f>IF(ROW()&lt;7,"",IF(OR(L310="",L307=""),"",IF(L307=0,"",(L310/L307)-1)))</f>
        <v/>
      </c>
      <c r="U310" s="24">
        <f>IF(ROW()&lt;9,"",IF(OR(L310="",L305=""),"",IF(L305=0,"",(L310/L305)-1)))</f>
        <v/>
      </c>
      <c r="V310" s="24">
        <f>IF(ROW()&lt;7,"",IF(OR(N310="",N307=""),"",IF(N307=0,"",(N310/N307)-1)))</f>
        <v/>
      </c>
      <c r="W310" s="24">
        <f>IF(ROW()&lt;9,"",IF(OR(N310="",N305=""),"",IF(N305=0,"",(N310/N305)-1)))</f>
        <v/>
      </c>
      <c r="X310" s="24">
        <f>IF(OR(F310="",M310=""),"",F310-M310)</f>
        <v/>
      </c>
      <c r="Y310" s="24">
        <f>IF(OR(P310="",T310=""),"",P310-T310)</f>
        <v/>
      </c>
      <c r="Z310" s="24">
        <f>IF(OR(Q310="",U310=""),"",Q310-U310)</f>
        <v/>
      </c>
      <c r="AA310" s="24">
        <f>IF(OR(H310="",O310=""),"",H310-O310)</f>
        <v/>
      </c>
      <c r="AB310" s="24">
        <f>IF(OR(R310="",V310=""),"",R310-V310)</f>
        <v/>
      </c>
      <c r="AC310" s="24">
        <f>IF(OR(S310="",W310=""),"",S310-W310)</f>
        <v/>
      </c>
      <c r="AD310" s="13" t="n"/>
      <c r="AE310" s="24">
        <f>IF(OR(AD310="",AD309=""),"",IF(AD309=0,"",(AD310/AD309)-1))</f>
        <v/>
      </c>
      <c r="AF310" s="24">
        <f>IF(ROW()&lt;7,"",IF(OR(AD310="",AD307=""),"",IF(AD307=0,"",(AD310/AD307)-1)))</f>
        <v/>
      </c>
      <c r="AG310" s="24">
        <f>IF(ROW()&lt;9,"",IF(OR(AD310="",AD305=""),"",IF(AD305=0,"",(AD310/AD305)-1)))</f>
        <v/>
      </c>
      <c r="AH310" s="13">
        <f>IF(ROW()&lt;23,"",AVERAGE(AD291:AD310))</f>
        <v/>
      </c>
      <c r="AI310">
        <f>IF(OR(AD310="",AH310=""),"",IF(AD310&gt;AH310,"Bull","Bear"))</f>
        <v/>
      </c>
      <c r="AJ310" s="13" t="n"/>
      <c r="AK310" s="24">
        <f>IF(OR(AJ310="",AJ309=""),"",IF(AJ309=0,"",(AJ310/AJ309)-1))</f>
        <v/>
      </c>
      <c r="AL310" s="24">
        <f>IF(ROW()&lt;7,"",IF(OR(AJ310="",AJ307=""),"",IF(AJ307=0,"",(AJ310/AJ307)-1)))</f>
        <v/>
      </c>
      <c r="AM310" s="24">
        <f>IF(ROW()&lt;9,"",IF(OR(AJ310="",AJ305=""),"",IF(AJ305=0,"",(AJ310/AJ305)-1)))</f>
        <v/>
      </c>
      <c r="AN310" s="13">
        <f>IF(ROW()&lt;23,"",AVERAGE(AJ291:AJ310))</f>
        <v/>
      </c>
      <c r="AO310">
        <f>IF(OR(AJ310="",AN310=""),"",IF(AJ310&gt;AN310,"Bull","Bear"))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8">
        <f>IFERROR((M311/M310)-1,"")</f>
        <v/>
      </c>
      <c r="O311" s="24">
        <f>IF(OR(N311="",N310=""),"",IF(N310=0,"",(N311/N310)-1))</f>
        <v/>
      </c>
      <c r="P311" s="11">
        <f>IF(ROW()&lt;7,"",IF(OR(E311="",E308=""),"",IF(E308=0,"",(E311/E308)-1)))</f>
        <v/>
      </c>
      <c r="Q311" s="24">
        <f>IF(ROW()&lt;9,"",IF(OR(E311="",E306=""),"",IF(E306=0,"",(E311/E306)-1)))</f>
        <v/>
      </c>
      <c r="R311" s="24">
        <f>IF(ROW()&lt;7,"",IF(OR(G311="",G308=""),"",IF(G308=0,"",(G311/G308)-1)))</f>
        <v/>
      </c>
      <c r="S311" s="24">
        <f>IF(ROW()&lt;9,"",IF(OR(G311="",G306=""),"",IF(G306=0,"",(G311/G306)-1)))</f>
        <v/>
      </c>
      <c r="T311" s="24">
        <f>IF(ROW()&lt;7,"",IF(OR(L311="",L308=""),"",IF(L308=0,"",(L311/L308)-1)))</f>
        <v/>
      </c>
      <c r="U311" s="24">
        <f>IF(ROW()&lt;9,"",IF(OR(L311="",L306=""),"",IF(L306=0,"",(L311/L306)-1)))</f>
        <v/>
      </c>
      <c r="V311" s="24">
        <f>IF(ROW()&lt;7,"",IF(OR(N311="",N308=""),"",IF(N308=0,"",(N311/N308)-1)))</f>
        <v/>
      </c>
      <c r="W311" s="24">
        <f>IF(ROW()&lt;9,"",IF(OR(N311="",N306=""),"",IF(N306=0,"",(N311/N306)-1)))</f>
        <v/>
      </c>
      <c r="X311" s="24">
        <f>IF(OR(F311="",M311=""),"",F311-M311)</f>
        <v/>
      </c>
      <c r="Y311" s="24">
        <f>IF(OR(P311="",T311=""),"",P311-T311)</f>
        <v/>
      </c>
      <c r="Z311" s="24">
        <f>IF(OR(Q311="",U311=""),"",Q311-U311)</f>
        <v/>
      </c>
      <c r="AA311" s="24">
        <f>IF(OR(H311="",O311=""),"",H311-O311)</f>
        <v/>
      </c>
      <c r="AB311" s="24">
        <f>IF(OR(R311="",V311=""),"",R311-V311)</f>
        <v/>
      </c>
      <c r="AC311" s="24">
        <f>IF(OR(S311="",W311=""),"",S311-W311)</f>
        <v/>
      </c>
      <c r="AD311" s="13" t="n"/>
      <c r="AE311" s="24">
        <f>IF(OR(AD311="",AD310=""),"",IF(AD310=0,"",(AD311/AD310)-1))</f>
        <v/>
      </c>
      <c r="AF311" s="24">
        <f>IF(ROW()&lt;7,"",IF(OR(AD311="",AD308=""),"",IF(AD308=0,"",(AD311/AD308)-1)))</f>
        <v/>
      </c>
      <c r="AG311" s="24">
        <f>IF(ROW()&lt;9,"",IF(OR(AD311="",AD306=""),"",IF(AD306=0,"",(AD311/AD306)-1)))</f>
        <v/>
      </c>
      <c r="AH311" s="13">
        <f>IF(ROW()&lt;23,"",AVERAGE(AD292:AD311))</f>
        <v/>
      </c>
      <c r="AI311">
        <f>IF(OR(AD311="",AH311=""),"",IF(AD311&gt;AH311,"Bull","Bear"))</f>
        <v/>
      </c>
      <c r="AJ311" s="13" t="n"/>
      <c r="AK311" s="24">
        <f>IF(OR(AJ311="",AJ310=""),"",IF(AJ310=0,"",(AJ311/AJ310)-1))</f>
        <v/>
      </c>
      <c r="AL311" s="24">
        <f>IF(ROW()&lt;7,"",IF(OR(AJ311="",AJ308=""),"",IF(AJ308=0,"",(AJ311/AJ308)-1)))</f>
        <v/>
      </c>
      <c r="AM311" s="24">
        <f>IF(ROW()&lt;9,"",IF(OR(AJ311="",AJ306=""),"",IF(AJ306=0,"",(AJ311/AJ306)-1)))</f>
        <v/>
      </c>
      <c r="AN311" s="13">
        <f>IF(ROW()&lt;23,"",AVERAGE(AJ292:AJ311))</f>
        <v/>
      </c>
      <c r="AO311">
        <f>IF(OR(AJ311="",AN311=""),"",IF(AJ311&gt;AN311,"Bull","Bear"))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8">
        <f>IFERROR((M312/M311)-1,"")</f>
        <v/>
      </c>
      <c r="O312" s="24">
        <f>IF(OR(N312="",N311=""),"",IF(N311=0,"",(N312/N311)-1))</f>
        <v/>
      </c>
      <c r="P312" s="11">
        <f>IF(ROW()&lt;7,"",IF(OR(E312="",E309=""),"",IF(E309=0,"",(E312/E309)-1)))</f>
        <v/>
      </c>
      <c r="Q312" s="24">
        <f>IF(ROW()&lt;9,"",IF(OR(E312="",E307=""),"",IF(E307=0,"",(E312/E307)-1)))</f>
        <v/>
      </c>
      <c r="R312" s="24">
        <f>IF(ROW()&lt;7,"",IF(OR(G312="",G309=""),"",IF(G309=0,"",(G312/G309)-1)))</f>
        <v/>
      </c>
      <c r="S312" s="24">
        <f>IF(ROW()&lt;9,"",IF(OR(G312="",G307=""),"",IF(G307=0,"",(G312/G307)-1)))</f>
        <v/>
      </c>
      <c r="T312" s="24">
        <f>IF(ROW()&lt;7,"",IF(OR(L312="",L309=""),"",IF(L309=0,"",(L312/L309)-1)))</f>
        <v/>
      </c>
      <c r="U312" s="24">
        <f>IF(ROW()&lt;9,"",IF(OR(L312="",L307=""),"",IF(L307=0,"",(L312/L307)-1)))</f>
        <v/>
      </c>
      <c r="V312" s="24">
        <f>IF(ROW()&lt;7,"",IF(OR(N312="",N309=""),"",IF(N309=0,"",(N312/N309)-1)))</f>
        <v/>
      </c>
      <c r="W312" s="24">
        <f>IF(ROW()&lt;9,"",IF(OR(N312="",N307=""),"",IF(N307=0,"",(N312/N307)-1)))</f>
        <v/>
      </c>
      <c r="X312" s="24">
        <f>IF(OR(F312="",M312=""),"",F312-M312)</f>
        <v/>
      </c>
      <c r="Y312" s="24">
        <f>IF(OR(P312="",T312=""),"",P312-T312)</f>
        <v/>
      </c>
      <c r="Z312" s="24">
        <f>IF(OR(Q312="",U312=""),"",Q312-U312)</f>
        <v/>
      </c>
      <c r="AA312" s="24">
        <f>IF(OR(H312="",O312=""),"",H312-O312)</f>
        <v/>
      </c>
      <c r="AB312" s="24">
        <f>IF(OR(R312="",V312=""),"",R312-V312)</f>
        <v/>
      </c>
      <c r="AC312" s="24">
        <f>IF(OR(S312="",W312=""),"",S312-W312)</f>
        <v/>
      </c>
      <c r="AD312" s="13" t="n"/>
      <c r="AE312" s="24">
        <f>IF(OR(AD312="",AD311=""),"",IF(AD311=0,"",(AD312/AD311)-1))</f>
        <v/>
      </c>
      <c r="AF312" s="24">
        <f>IF(ROW()&lt;7,"",IF(OR(AD312="",AD309=""),"",IF(AD309=0,"",(AD312/AD309)-1)))</f>
        <v/>
      </c>
      <c r="AG312" s="24">
        <f>IF(ROW()&lt;9,"",IF(OR(AD312="",AD307=""),"",IF(AD307=0,"",(AD312/AD307)-1)))</f>
        <v/>
      </c>
      <c r="AH312" s="13">
        <f>IF(ROW()&lt;23,"",AVERAGE(AD293:AD312))</f>
        <v/>
      </c>
      <c r="AI312">
        <f>IF(OR(AD312="",AH312=""),"",IF(AD312&gt;AH312,"Bull","Bear"))</f>
        <v/>
      </c>
      <c r="AJ312" s="13" t="n"/>
      <c r="AK312" s="24">
        <f>IF(OR(AJ312="",AJ311=""),"",IF(AJ311=0,"",(AJ312/AJ311)-1))</f>
        <v/>
      </c>
      <c r="AL312" s="24">
        <f>IF(ROW()&lt;7,"",IF(OR(AJ312="",AJ309=""),"",IF(AJ309=0,"",(AJ312/AJ309)-1)))</f>
        <v/>
      </c>
      <c r="AM312" s="24">
        <f>IF(ROW()&lt;9,"",IF(OR(AJ312="",AJ307=""),"",IF(AJ307=0,"",(AJ312/AJ307)-1)))</f>
        <v/>
      </c>
      <c r="AN312" s="13">
        <f>IF(ROW()&lt;23,"",AVERAGE(AJ293:AJ312))</f>
        <v/>
      </c>
      <c r="AO312">
        <f>IF(OR(AJ312="",AN312=""),"",IF(AJ312&gt;AN312,"Bull","Bear"))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8">
        <f>IFERROR((M313/M312)-1,"")</f>
        <v/>
      </c>
      <c r="O313" s="24">
        <f>IF(OR(N313="",N312=""),"",IF(N312=0,"",(N313/N312)-1))</f>
        <v/>
      </c>
      <c r="P313" s="11">
        <f>IF(ROW()&lt;7,"",IF(OR(E313="",E310=""),"",IF(E310=0,"",(E313/E310)-1)))</f>
        <v/>
      </c>
      <c r="Q313" s="24">
        <f>IF(ROW()&lt;9,"",IF(OR(E313="",E308=""),"",IF(E308=0,"",(E313/E308)-1)))</f>
        <v/>
      </c>
      <c r="R313" s="24">
        <f>IF(ROW()&lt;7,"",IF(OR(G313="",G310=""),"",IF(G310=0,"",(G313/G310)-1)))</f>
        <v/>
      </c>
      <c r="S313" s="24">
        <f>IF(ROW()&lt;9,"",IF(OR(G313="",G308=""),"",IF(G308=0,"",(G313/G308)-1)))</f>
        <v/>
      </c>
      <c r="T313" s="24">
        <f>IF(ROW()&lt;7,"",IF(OR(L313="",L310=""),"",IF(L310=0,"",(L313/L310)-1)))</f>
        <v/>
      </c>
      <c r="U313" s="24">
        <f>IF(ROW()&lt;9,"",IF(OR(L313="",L308=""),"",IF(L308=0,"",(L313/L308)-1)))</f>
        <v/>
      </c>
      <c r="V313" s="24">
        <f>IF(ROW()&lt;7,"",IF(OR(N313="",N310=""),"",IF(N310=0,"",(N313/N310)-1)))</f>
        <v/>
      </c>
      <c r="W313" s="24">
        <f>IF(ROW()&lt;9,"",IF(OR(N313="",N308=""),"",IF(N308=0,"",(N313/N308)-1)))</f>
        <v/>
      </c>
      <c r="X313" s="24">
        <f>IF(OR(F313="",M313=""),"",F313-M313)</f>
        <v/>
      </c>
      <c r="Y313" s="24">
        <f>IF(OR(P313="",T313=""),"",P313-T313)</f>
        <v/>
      </c>
      <c r="Z313" s="24">
        <f>IF(OR(Q313="",U313=""),"",Q313-U313)</f>
        <v/>
      </c>
      <c r="AA313" s="24">
        <f>IF(OR(H313="",O313=""),"",H313-O313)</f>
        <v/>
      </c>
      <c r="AB313" s="24">
        <f>IF(OR(R313="",V313=""),"",R313-V313)</f>
        <v/>
      </c>
      <c r="AC313" s="24">
        <f>IF(OR(S313="",W313=""),"",S313-W313)</f>
        <v/>
      </c>
      <c r="AD313" s="13" t="n"/>
      <c r="AE313" s="24">
        <f>IF(OR(AD313="",AD312=""),"",IF(AD312=0,"",(AD313/AD312)-1))</f>
        <v/>
      </c>
      <c r="AF313" s="24">
        <f>IF(ROW()&lt;7,"",IF(OR(AD313="",AD310=""),"",IF(AD310=0,"",(AD313/AD310)-1)))</f>
        <v/>
      </c>
      <c r="AG313" s="24">
        <f>IF(ROW()&lt;9,"",IF(OR(AD313="",AD308=""),"",IF(AD308=0,"",(AD313/AD308)-1)))</f>
        <v/>
      </c>
      <c r="AH313" s="13">
        <f>IF(ROW()&lt;23,"",AVERAGE(AD294:AD313))</f>
        <v/>
      </c>
      <c r="AI313">
        <f>IF(OR(AD313="",AH313=""),"",IF(AD313&gt;AH313,"Bull","Bear"))</f>
        <v/>
      </c>
      <c r="AJ313" s="13" t="n"/>
      <c r="AK313" s="24">
        <f>IF(OR(AJ313="",AJ312=""),"",IF(AJ312=0,"",(AJ313/AJ312)-1))</f>
        <v/>
      </c>
      <c r="AL313" s="24">
        <f>IF(ROW()&lt;7,"",IF(OR(AJ313="",AJ310=""),"",IF(AJ310=0,"",(AJ313/AJ310)-1)))</f>
        <v/>
      </c>
      <c r="AM313" s="24">
        <f>IF(ROW()&lt;9,"",IF(OR(AJ313="",AJ308=""),"",IF(AJ308=0,"",(AJ313/AJ308)-1)))</f>
        <v/>
      </c>
      <c r="AN313" s="13">
        <f>IF(ROW()&lt;23,"",AVERAGE(AJ294:AJ313))</f>
        <v/>
      </c>
      <c r="AO313">
        <f>IF(OR(AJ313="",AN313=""),"",IF(AJ313&gt;AN313,"Bull","Bear"))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8">
        <f>IFERROR((M314/M313)-1,"")</f>
        <v/>
      </c>
      <c r="O314" s="24">
        <f>IF(OR(N314="",N313=""),"",IF(N313=0,"",(N314/N313)-1))</f>
        <v/>
      </c>
      <c r="P314" s="11">
        <f>IF(ROW()&lt;7,"",IF(OR(E314="",E311=""),"",IF(E311=0,"",(E314/E311)-1)))</f>
        <v/>
      </c>
      <c r="Q314" s="24">
        <f>IF(ROW()&lt;9,"",IF(OR(E314="",E309=""),"",IF(E309=0,"",(E314/E309)-1)))</f>
        <v/>
      </c>
      <c r="R314" s="24">
        <f>IF(ROW()&lt;7,"",IF(OR(G314="",G311=""),"",IF(G311=0,"",(G314/G311)-1)))</f>
        <v/>
      </c>
      <c r="S314" s="24">
        <f>IF(ROW()&lt;9,"",IF(OR(G314="",G309=""),"",IF(G309=0,"",(G314/G309)-1)))</f>
        <v/>
      </c>
      <c r="T314" s="24">
        <f>IF(ROW()&lt;7,"",IF(OR(L314="",L311=""),"",IF(L311=0,"",(L314/L311)-1)))</f>
        <v/>
      </c>
      <c r="U314" s="24">
        <f>IF(ROW()&lt;9,"",IF(OR(L314="",L309=""),"",IF(L309=0,"",(L314/L309)-1)))</f>
        <v/>
      </c>
      <c r="V314" s="24">
        <f>IF(ROW()&lt;7,"",IF(OR(N314="",N311=""),"",IF(N311=0,"",(N314/N311)-1)))</f>
        <v/>
      </c>
      <c r="W314" s="24">
        <f>IF(ROW()&lt;9,"",IF(OR(N314="",N309=""),"",IF(N309=0,"",(N314/N309)-1)))</f>
        <v/>
      </c>
      <c r="X314" s="24">
        <f>IF(OR(F314="",M314=""),"",F314-M314)</f>
        <v/>
      </c>
      <c r="Y314" s="24">
        <f>IF(OR(P314="",T314=""),"",P314-T314)</f>
        <v/>
      </c>
      <c r="Z314" s="24">
        <f>IF(OR(Q314="",U314=""),"",Q314-U314)</f>
        <v/>
      </c>
      <c r="AA314" s="24">
        <f>IF(OR(H314="",O314=""),"",H314-O314)</f>
        <v/>
      </c>
      <c r="AB314" s="24">
        <f>IF(OR(R314="",V314=""),"",R314-V314)</f>
        <v/>
      </c>
      <c r="AC314" s="24">
        <f>IF(OR(S314="",W314=""),"",S314-W314)</f>
        <v/>
      </c>
      <c r="AD314" s="13" t="n"/>
      <c r="AE314" s="24">
        <f>IF(OR(AD314="",AD313=""),"",IF(AD313=0,"",(AD314/AD313)-1))</f>
        <v/>
      </c>
      <c r="AF314" s="24">
        <f>IF(ROW()&lt;7,"",IF(OR(AD314="",AD311=""),"",IF(AD311=0,"",(AD314/AD311)-1)))</f>
        <v/>
      </c>
      <c r="AG314" s="24">
        <f>IF(ROW()&lt;9,"",IF(OR(AD314="",AD309=""),"",IF(AD309=0,"",(AD314/AD309)-1)))</f>
        <v/>
      </c>
      <c r="AH314" s="13">
        <f>IF(ROW()&lt;23,"",AVERAGE(AD295:AD314))</f>
        <v/>
      </c>
      <c r="AI314">
        <f>IF(OR(AD314="",AH314=""),"",IF(AD314&gt;AH314,"Bull","Bear"))</f>
        <v/>
      </c>
      <c r="AJ314" s="13" t="n"/>
      <c r="AK314" s="24">
        <f>IF(OR(AJ314="",AJ313=""),"",IF(AJ313=0,"",(AJ314/AJ313)-1))</f>
        <v/>
      </c>
      <c r="AL314" s="24">
        <f>IF(ROW()&lt;7,"",IF(OR(AJ314="",AJ311=""),"",IF(AJ311=0,"",(AJ314/AJ311)-1)))</f>
        <v/>
      </c>
      <c r="AM314" s="24">
        <f>IF(ROW()&lt;9,"",IF(OR(AJ314="",AJ309=""),"",IF(AJ309=0,"",(AJ314/AJ309)-1)))</f>
        <v/>
      </c>
      <c r="AN314" s="13">
        <f>IF(ROW()&lt;23,"",AVERAGE(AJ295:AJ314))</f>
        <v/>
      </c>
      <c r="AO314">
        <f>IF(OR(AJ314="",AN314=""),"",IF(AJ314&gt;AN314,"Bull","Bear"))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8">
        <f>IFERROR((M315/M314)-1,"")</f>
        <v/>
      </c>
      <c r="O315" s="24">
        <f>IF(OR(N315="",N314=""),"",IF(N314=0,"",(N315/N314)-1))</f>
        <v/>
      </c>
      <c r="P315" s="11">
        <f>IF(ROW()&lt;7,"",IF(OR(E315="",E312=""),"",IF(E312=0,"",(E315/E312)-1)))</f>
        <v/>
      </c>
      <c r="Q315" s="24">
        <f>IF(ROW()&lt;9,"",IF(OR(E315="",E310=""),"",IF(E310=0,"",(E315/E310)-1)))</f>
        <v/>
      </c>
      <c r="R315" s="24">
        <f>IF(ROW()&lt;7,"",IF(OR(G315="",G312=""),"",IF(G312=0,"",(G315/G312)-1)))</f>
        <v/>
      </c>
      <c r="S315" s="24">
        <f>IF(ROW()&lt;9,"",IF(OR(G315="",G310=""),"",IF(G310=0,"",(G315/G310)-1)))</f>
        <v/>
      </c>
      <c r="T315" s="24">
        <f>IF(ROW()&lt;7,"",IF(OR(L315="",L312=""),"",IF(L312=0,"",(L315/L312)-1)))</f>
        <v/>
      </c>
      <c r="U315" s="24">
        <f>IF(ROW()&lt;9,"",IF(OR(L315="",L310=""),"",IF(L310=0,"",(L315/L310)-1)))</f>
        <v/>
      </c>
      <c r="V315" s="24">
        <f>IF(ROW()&lt;7,"",IF(OR(N315="",N312=""),"",IF(N312=0,"",(N315/N312)-1)))</f>
        <v/>
      </c>
      <c r="W315" s="24">
        <f>IF(ROW()&lt;9,"",IF(OR(N315="",N310=""),"",IF(N310=0,"",(N315/N310)-1)))</f>
        <v/>
      </c>
      <c r="X315" s="24">
        <f>IF(OR(F315="",M315=""),"",F315-M315)</f>
        <v/>
      </c>
      <c r="Y315" s="24">
        <f>IF(OR(P315="",T315=""),"",P315-T315)</f>
        <v/>
      </c>
      <c r="Z315" s="24">
        <f>IF(OR(Q315="",U315=""),"",Q315-U315)</f>
        <v/>
      </c>
      <c r="AA315" s="24">
        <f>IF(OR(H315="",O315=""),"",H315-O315)</f>
        <v/>
      </c>
      <c r="AB315" s="24">
        <f>IF(OR(R315="",V315=""),"",R315-V315)</f>
        <v/>
      </c>
      <c r="AC315" s="24">
        <f>IF(OR(S315="",W315=""),"",S315-W315)</f>
        <v/>
      </c>
      <c r="AD315" s="13" t="n"/>
      <c r="AE315" s="24">
        <f>IF(OR(AD315="",AD314=""),"",IF(AD314=0,"",(AD315/AD314)-1))</f>
        <v/>
      </c>
      <c r="AF315" s="24">
        <f>IF(ROW()&lt;7,"",IF(OR(AD315="",AD312=""),"",IF(AD312=0,"",(AD315/AD312)-1)))</f>
        <v/>
      </c>
      <c r="AG315" s="24">
        <f>IF(ROW()&lt;9,"",IF(OR(AD315="",AD310=""),"",IF(AD310=0,"",(AD315/AD310)-1)))</f>
        <v/>
      </c>
      <c r="AH315" s="13">
        <f>IF(ROW()&lt;23,"",AVERAGE(AD296:AD315))</f>
        <v/>
      </c>
      <c r="AI315">
        <f>IF(OR(AD315="",AH315=""),"",IF(AD315&gt;AH315,"Bull","Bear"))</f>
        <v/>
      </c>
      <c r="AJ315" s="13" t="n"/>
      <c r="AK315" s="24">
        <f>IF(OR(AJ315="",AJ314=""),"",IF(AJ314=0,"",(AJ315/AJ314)-1))</f>
        <v/>
      </c>
      <c r="AL315" s="24">
        <f>IF(ROW()&lt;7,"",IF(OR(AJ315="",AJ312=""),"",IF(AJ312=0,"",(AJ315/AJ312)-1)))</f>
        <v/>
      </c>
      <c r="AM315" s="24">
        <f>IF(ROW()&lt;9,"",IF(OR(AJ315="",AJ310=""),"",IF(AJ310=0,"",(AJ315/AJ310)-1)))</f>
        <v/>
      </c>
      <c r="AN315" s="13">
        <f>IF(ROW()&lt;23,"",AVERAGE(AJ296:AJ315))</f>
        <v/>
      </c>
      <c r="AO315">
        <f>IF(OR(AJ315="",AN315=""),"",IF(AJ315&gt;AN315,"Bull","Bear"))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8">
        <f>IFERROR((M316/M315)-1,"")</f>
        <v/>
      </c>
      <c r="O316" s="24">
        <f>IF(OR(N316="",N315=""),"",IF(N315=0,"",(N316/N315)-1))</f>
        <v/>
      </c>
      <c r="P316" s="11">
        <f>IF(ROW()&lt;7,"",IF(OR(E316="",E313=""),"",IF(E313=0,"",(E316/E313)-1)))</f>
        <v/>
      </c>
      <c r="Q316" s="24">
        <f>IF(ROW()&lt;9,"",IF(OR(E316="",E311=""),"",IF(E311=0,"",(E316/E311)-1)))</f>
        <v/>
      </c>
      <c r="R316" s="24">
        <f>IF(ROW()&lt;7,"",IF(OR(G316="",G313=""),"",IF(G313=0,"",(G316/G313)-1)))</f>
        <v/>
      </c>
      <c r="S316" s="24">
        <f>IF(ROW()&lt;9,"",IF(OR(G316="",G311=""),"",IF(G311=0,"",(G316/G311)-1)))</f>
        <v/>
      </c>
      <c r="T316" s="24">
        <f>IF(ROW()&lt;7,"",IF(OR(L316="",L313=""),"",IF(L313=0,"",(L316/L313)-1)))</f>
        <v/>
      </c>
      <c r="U316" s="24">
        <f>IF(ROW()&lt;9,"",IF(OR(L316="",L311=""),"",IF(L311=0,"",(L316/L311)-1)))</f>
        <v/>
      </c>
      <c r="V316" s="24">
        <f>IF(ROW()&lt;7,"",IF(OR(N316="",N313=""),"",IF(N313=0,"",(N316/N313)-1)))</f>
        <v/>
      </c>
      <c r="W316" s="24">
        <f>IF(ROW()&lt;9,"",IF(OR(N316="",N311=""),"",IF(N311=0,"",(N316/N311)-1)))</f>
        <v/>
      </c>
      <c r="X316" s="24">
        <f>IF(OR(F316="",M316=""),"",F316-M316)</f>
        <v/>
      </c>
      <c r="Y316" s="24">
        <f>IF(OR(P316="",T316=""),"",P316-T316)</f>
        <v/>
      </c>
      <c r="Z316" s="24">
        <f>IF(OR(Q316="",U316=""),"",Q316-U316)</f>
        <v/>
      </c>
      <c r="AA316" s="24">
        <f>IF(OR(H316="",O316=""),"",H316-O316)</f>
        <v/>
      </c>
      <c r="AB316" s="24">
        <f>IF(OR(R316="",V316=""),"",R316-V316)</f>
        <v/>
      </c>
      <c r="AC316" s="24">
        <f>IF(OR(S316="",W316=""),"",S316-W316)</f>
        <v/>
      </c>
      <c r="AD316" s="13" t="n"/>
      <c r="AE316" s="24">
        <f>IF(OR(AD316="",AD315=""),"",IF(AD315=0,"",(AD316/AD315)-1))</f>
        <v/>
      </c>
      <c r="AF316" s="24">
        <f>IF(ROW()&lt;7,"",IF(OR(AD316="",AD313=""),"",IF(AD313=0,"",(AD316/AD313)-1)))</f>
        <v/>
      </c>
      <c r="AG316" s="24">
        <f>IF(ROW()&lt;9,"",IF(OR(AD316="",AD311=""),"",IF(AD311=0,"",(AD316/AD311)-1)))</f>
        <v/>
      </c>
      <c r="AH316" s="13">
        <f>IF(ROW()&lt;23,"",AVERAGE(AD297:AD316))</f>
        <v/>
      </c>
      <c r="AI316">
        <f>IF(OR(AD316="",AH316=""),"",IF(AD316&gt;AH316,"Bull","Bear"))</f>
        <v/>
      </c>
      <c r="AJ316" s="13" t="n"/>
      <c r="AK316" s="24">
        <f>IF(OR(AJ316="",AJ315=""),"",IF(AJ315=0,"",(AJ316/AJ315)-1))</f>
        <v/>
      </c>
      <c r="AL316" s="24">
        <f>IF(ROW()&lt;7,"",IF(OR(AJ316="",AJ313=""),"",IF(AJ313=0,"",(AJ316/AJ313)-1)))</f>
        <v/>
      </c>
      <c r="AM316" s="24">
        <f>IF(ROW()&lt;9,"",IF(OR(AJ316="",AJ311=""),"",IF(AJ311=0,"",(AJ316/AJ311)-1)))</f>
        <v/>
      </c>
      <c r="AN316" s="13">
        <f>IF(ROW()&lt;23,"",AVERAGE(AJ297:AJ316))</f>
        <v/>
      </c>
      <c r="AO316">
        <f>IF(OR(AJ316="",AN316=""),"",IF(AJ316&gt;AN316,"Bull","Bear"))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8">
        <f>IFERROR((M317/M316)-1,"")</f>
        <v/>
      </c>
      <c r="O317" s="24">
        <f>IF(OR(N317="",N316=""),"",IF(N316=0,"",(N317/N316)-1))</f>
        <v/>
      </c>
      <c r="P317" s="11">
        <f>IF(ROW()&lt;7,"",IF(OR(E317="",E314=""),"",IF(E314=0,"",(E317/E314)-1)))</f>
        <v/>
      </c>
      <c r="Q317" s="24">
        <f>IF(ROW()&lt;9,"",IF(OR(E317="",E312=""),"",IF(E312=0,"",(E317/E312)-1)))</f>
        <v/>
      </c>
      <c r="R317" s="24">
        <f>IF(ROW()&lt;7,"",IF(OR(G317="",G314=""),"",IF(G314=0,"",(G317/G314)-1)))</f>
        <v/>
      </c>
      <c r="S317" s="24">
        <f>IF(ROW()&lt;9,"",IF(OR(G317="",G312=""),"",IF(G312=0,"",(G317/G312)-1)))</f>
        <v/>
      </c>
      <c r="T317" s="24">
        <f>IF(ROW()&lt;7,"",IF(OR(L317="",L314=""),"",IF(L314=0,"",(L317/L314)-1)))</f>
        <v/>
      </c>
      <c r="U317" s="24">
        <f>IF(ROW()&lt;9,"",IF(OR(L317="",L312=""),"",IF(L312=0,"",(L317/L312)-1)))</f>
        <v/>
      </c>
      <c r="V317" s="24">
        <f>IF(ROW()&lt;7,"",IF(OR(N317="",N314=""),"",IF(N314=0,"",(N317/N314)-1)))</f>
        <v/>
      </c>
      <c r="W317" s="24">
        <f>IF(ROW()&lt;9,"",IF(OR(N317="",N312=""),"",IF(N312=0,"",(N317/N312)-1)))</f>
        <v/>
      </c>
      <c r="X317" s="24">
        <f>IF(OR(F317="",M317=""),"",F317-M317)</f>
        <v/>
      </c>
      <c r="Y317" s="24">
        <f>IF(OR(P317="",T317=""),"",P317-T317)</f>
        <v/>
      </c>
      <c r="Z317" s="24">
        <f>IF(OR(Q317="",U317=""),"",Q317-U317)</f>
        <v/>
      </c>
      <c r="AA317" s="24">
        <f>IF(OR(H317="",O317=""),"",H317-O317)</f>
        <v/>
      </c>
      <c r="AB317" s="24">
        <f>IF(OR(R317="",V317=""),"",R317-V317)</f>
        <v/>
      </c>
      <c r="AC317" s="24">
        <f>IF(OR(S317="",W317=""),"",S317-W317)</f>
        <v/>
      </c>
      <c r="AD317" s="13" t="n"/>
      <c r="AE317" s="24">
        <f>IF(OR(AD317="",AD316=""),"",IF(AD316=0,"",(AD317/AD316)-1))</f>
        <v/>
      </c>
      <c r="AF317" s="24">
        <f>IF(ROW()&lt;7,"",IF(OR(AD317="",AD314=""),"",IF(AD314=0,"",(AD317/AD314)-1)))</f>
        <v/>
      </c>
      <c r="AG317" s="24">
        <f>IF(ROW()&lt;9,"",IF(OR(AD317="",AD312=""),"",IF(AD312=0,"",(AD317/AD312)-1)))</f>
        <v/>
      </c>
      <c r="AH317" s="13">
        <f>IF(ROW()&lt;23,"",AVERAGE(AD298:AD317))</f>
        <v/>
      </c>
      <c r="AI317">
        <f>IF(OR(AD317="",AH317=""),"",IF(AD317&gt;AH317,"Bull","Bear"))</f>
        <v/>
      </c>
      <c r="AJ317" s="13" t="n"/>
      <c r="AK317" s="24">
        <f>IF(OR(AJ317="",AJ316=""),"",IF(AJ316=0,"",(AJ317/AJ316)-1))</f>
        <v/>
      </c>
      <c r="AL317" s="24">
        <f>IF(ROW()&lt;7,"",IF(OR(AJ317="",AJ314=""),"",IF(AJ314=0,"",(AJ317/AJ314)-1)))</f>
        <v/>
      </c>
      <c r="AM317" s="24">
        <f>IF(ROW()&lt;9,"",IF(OR(AJ317="",AJ312=""),"",IF(AJ312=0,"",(AJ317/AJ312)-1)))</f>
        <v/>
      </c>
      <c r="AN317" s="13">
        <f>IF(ROW()&lt;23,"",AVERAGE(AJ298:AJ317))</f>
        <v/>
      </c>
      <c r="AO317">
        <f>IF(OR(AJ317="",AN317=""),"",IF(AJ317&gt;AN317,"Bull","Bear"))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8">
        <f>IFERROR((M318/M317)-1,"")</f>
        <v/>
      </c>
      <c r="O318" s="24">
        <f>IF(OR(N318="",N317=""),"",IF(N317=0,"",(N318/N317)-1))</f>
        <v/>
      </c>
      <c r="P318" s="11">
        <f>IF(ROW()&lt;7,"",IF(OR(E318="",E315=""),"",IF(E315=0,"",(E318/E315)-1)))</f>
        <v/>
      </c>
      <c r="Q318" s="24">
        <f>IF(ROW()&lt;9,"",IF(OR(E318="",E313=""),"",IF(E313=0,"",(E318/E313)-1)))</f>
        <v/>
      </c>
      <c r="R318" s="24">
        <f>IF(ROW()&lt;7,"",IF(OR(G318="",G315=""),"",IF(G315=0,"",(G318/G315)-1)))</f>
        <v/>
      </c>
      <c r="S318" s="24">
        <f>IF(ROW()&lt;9,"",IF(OR(G318="",G313=""),"",IF(G313=0,"",(G318/G313)-1)))</f>
        <v/>
      </c>
      <c r="T318" s="24">
        <f>IF(ROW()&lt;7,"",IF(OR(L318="",L315=""),"",IF(L315=0,"",(L318/L315)-1)))</f>
        <v/>
      </c>
      <c r="U318" s="24">
        <f>IF(ROW()&lt;9,"",IF(OR(L318="",L313=""),"",IF(L313=0,"",(L318/L313)-1)))</f>
        <v/>
      </c>
      <c r="V318" s="24">
        <f>IF(ROW()&lt;7,"",IF(OR(N318="",N315=""),"",IF(N315=0,"",(N318/N315)-1)))</f>
        <v/>
      </c>
      <c r="W318" s="24">
        <f>IF(ROW()&lt;9,"",IF(OR(N318="",N313=""),"",IF(N313=0,"",(N318/N313)-1)))</f>
        <v/>
      </c>
      <c r="X318" s="24">
        <f>IF(OR(F318="",M318=""),"",F318-M318)</f>
        <v/>
      </c>
      <c r="Y318" s="24">
        <f>IF(OR(P318="",T318=""),"",P318-T318)</f>
        <v/>
      </c>
      <c r="Z318" s="24">
        <f>IF(OR(Q318="",U318=""),"",Q318-U318)</f>
        <v/>
      </c>
      <c r="AA318" s="24">
        <f>IF(OR(H318="",O318=""),"",H318-O318)</f>
        <v/>
      </c>
      <c r="AB318" s="24">
        <f>IF(OR(R318="",V318=""),"",R318-V318)</f>
        <v/>
      </c>
      <c r="AC318" s="24">
        <f>IF(OR(S318="",W318=""),"",S318-W318)</f>
        <v/>
      </c>
      <c r="AD318" s="13" t="n"/>
      <c r="AE318" s="24">
        <f>IF(OR(AD318="",AD317=""),"",IF(AD317=0,"",(AD318/AD317)-1))</f>
        <v/>
      </c>
      <c r="AF318" s="24">
        <f>IF(ROW()&lt;7,"",IF(OR(AD318="",AD315=""),"",IF(AD315=0,"",(AD318/AD315)-1)))</f>
        <v/>
      </c>
      <c r="AG318" s="24">
        <f>IF(ROW()&lt;9,"",IF(OR(AD318="",AD313=""),"",IF(AD313=0,"",(AD318/AD313)-1)))</f>
        <v/>
      </c>
      <c r="AH318" s="13">
        <f>IF(ROW()&lt;23,"",AVERAGE(AD299:AD318))</f>
        <v/>
      </c>
      <c r="AI318">
        <f>IF(OR(AD318="",AH318=""),"",IF(AD318&gt;AH318,"Bull","Bear"))</f>
        <v/>
      </c>
      <c r="AJ318" s="13" t="n"/>
      <c r="AK318" s="24">
        <f>IF(OR(AJ318="",AJ317=""),"",IF(AJ317=0,"",(AJ318/AJ317)-1))</f>
        <v/>
      </c>
      <c r="AL318" s="24">
        <f>IF(ROW()&lt;7,"",IF(OR(AJ318="",AJ315=""),"",IF(AJ315=0,"",(AJ318/AJ315)-1)))</f>
        <v/>
      </c>
      <c r="AM318" s="24">
        <f>IF(ROW()&lt;9,"",IF(OR(AJ318="",AJ313=""),"",IF(AJ313=0,"",(AJ318/AJ313)-1)))</f>
        <v/>
      </c>
      <c r="AN318" s="13">
        <f>IF(ROW()&lt;23,"",AVERAGE(AJ299:AJ318))</f>
        <v/>
      </c>
      <c r="AO318">
        <f>IF(OR(AJ318="",AN318=""),"",IF(AJ318&gt;AN318,"Bull","Bear"))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8">
        <f>IFERROR((M319/M318)-1,"")</f>
        <v/>
      </c>
      <c r="O319" s="24">
        <f>IF(OR(N319="",N318=""),"",IF(N318=0,"",(N319/N318)-1))</f>
        <v/>
      </c>
      <c r="P319" s="11">
        <f>IF(ROW()&lt;7,"",IF(OR(E319="",E316=""),"",IF(E316=0,"",(E319/E316)-1)))</f>
        <v/>
      </c>
      <c r="Q319" s="24">
        <f>IF(ROW()&lt;9,"",IF(OR(E319="",E314=""),"",IF(E314=0,"",(E319/E314)-1)))</f>
        <v/>
      </c>
      <c r="R319" s="24">
        <f>IF(ROW()&lt;7,"",IF(OR(G319="",G316=""),"",IF(G316=0,"",(G319/G316)-1)))</f>
        <v/>
      </c>
      <c r="S319" s="24">
        <f>IF(ROW()&lt;9,"",IF(OR(G319="",G314=""),"",IF(G314=0,"",(G319/G314)-1)))</f>
        <v/>
      </c>
      <c r="T319" s="24">
        <f>IF(ROW()&lt;7,"",IF(OR(L319="",L316=""),"",IF(L316=0,"",(L319/L316)-1)))</f>
        <v/>
      </c>
      <c r="U319" s="24">
        <f>IF(ROW()&lt;9,"",IF(OR(L319="",L314=""),"",IF(L314=0,"",(L319/L314)-1)))</f>
        <v/>
      </c>
      <c r="V319" s="24">
        <f>IF(ROW()&lt;7,"",IF(OR(N319="",N316=""),"",IF(N316=0,"",(N319/N316)-1)))</f>
        <v/>
      </c>
      <c r="W319" s="24">
        <f>IF(ROW()&lt;9,"",IF(OR(N319="",N314=""),"",IF(N314=0,"",(N319/N314)-1)))</f>
        <v/>
      </c>
      <c r="X319" s="24">
        <f>IF(OR(F319="",M319=""),"",F319-M319)</f>
        <v/>
      </c>
      <c r="Y319" s="24">
        <f>IF(OR(P319="",T319=""),"",P319-T319)</f>
        <v/>
      </c>
      <c r="Z319" s="24">
        <f>IF(OR(Q319="",U319=""),"",Q319-U319)</f>
        <v/>
      </c>
      <c r="AA319" s="24">
        <f>IF(OR(H319="",O319=""),"",H319-O319)</f>
        <v/>
      </c>
      <c r="AB319" s="24">
        <f>IF(OR(R319="",V319=""),"",R319-V319)</f>
        <v/>
      </c>
      <c r="AC319" s="24">
        <f>IF(OR(S319="",W319=""),"",S319-W319)</f>
        <v/>
      </c>
      <c r="AD319" s="13" t="n"/>
      <c r="AE319" s="24">
        <f>IF(OR(AD319="",AD318=""),"",IF(AD318=0,"",(AD319/AD318)-1))</f>
        <v/>
      </c>
      <c r="AF319" s="24">
        <f>IF(ROW()&lt;7,"",IF(OR(AD319="",AD316=""),"",IF(AD316=0,"",(AD319/AD316)-1)))</f>
        <v/>
      </c>
      <c r="AG319" s="24">
        <f>IF(ROW()&lt;9,"",IF(OR(AD319="",AD314=""),"",IF(AD314=0,"",(AD319/AD314)-1)))</f>
        <v/>
      </c>
      <c r="AH319" s="13">
        <f>IF(ROW()&lt;23,"",AVERAGE(AD300:AD319))</f>
        <v/>
      </c>
      <c r="AI319">
        <f>IF(OR(AD319="",AH319=""),"",IF(AD319&gt;AH319,"Bull","Bear"))</f>
        <v/>
      </c>
      <c r="AJ319" s="13" t="n"/>
      <c r="AK319" s="24">
        <f>IF(OR(AJ319="",AJ318=""),"",IF(AJ318=0,"",(AJ319/AJ318)-1))</f>
        <v/>
      </c>
      <c r="AL319" s="24">
        <f>IF(ROW()&lt;7,"",IF(OR(AJ319="",AJ316=""),"",IF(AJ316=0,"",(AJ319/AJ316)-1)))</f>
        <v/>
      </c>
      <c r="AM319" s="24">
        <f>IF(ROW()&lt;9,"",IF(OR(AJ319="",AJ314=""),"",IF(AJ314=0,"",(AJ319/AJ314)-1)))</f>
        <v/>
      </c>
      <c r="AN319" s="13">
        <f>IF(ROW()&lt;23,"",AVERAGE(AJ300:AJ319))</f>
        <v/>
      </c>
      <c r="AO319">
        <f>IF(OR(AJ319="",AN319=""),"",IF(AJ319&gt;AN319,"Bull","Bear"))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8">
        <f>IFERROR((M320/M319)-1,"")</f>
        <v/>
      </c>
      <c r="O320" s="24">
        <f>IF(OR(N320="",N319=""),"",IF(N319=0,"",(N320/N319)-1))</f>
        <v/>
      </c>
      <c r="P320" s="11">
        <f>IF(ROW()&lt;7,"",IF(OR(E320="",E317=""),"",IF(E317=0,"",(E320/E317)-1)))</f>
        <v/>
      </c>
      <c r="Q320" s="24">
        <f>IF(ROW()&lt;9,"",IF(OR(E320="",E315=""),"",IF(E315=0,"",(E320/E315)-1)))</f>
        <v/>
      </c>
      <c r="R320" s="24">
        <f>IF(ROW()&lt;7,"",IF(OR(G320="",G317=""),"",IF(G317=0,"",(G320/G317)-1)))</f>
        <v/>
      </c>
      <c r="S320" s="24">
        <f>IF(ROW()&lt;9,"",IF(OR(G320="",G315=""),"",IF(G315=0,"",(G320/G315)-1)))</f>
        <v/>
      </c>
      <c r="T320" s="24">
        <f>IF(ROW()&lt;7,"",IF(OR(L320="",L317=""),"",IF(L317=0,"",(L320/L317)-1)))</f>
        <v/>
      </c>
      <c r="U320" s="24">
        <f>IF(ROW()&lt;9,"",IF(OR(L320="",L315=""),"",IF(L315=0,"",(L320/L315)-1)))</f>
        <v/>
      </c>
      <c r="V320" s="24">
        <f>IF(ROW()&lt;7,"",IF(OR(N320="",N317=""),"",IF(N317=0,"",(N320/N317)-1)))</f>
        <v/>
      </c>
      <c r="W320" s="24">
        <f>IF(ROW()&lt;9,"",IF(OR(N320="",N315=""),"",IF(N315=0,"",(N320/N315)-1)))</f>
        <v/>
      </c>
      <c r="X320" s="24">
        <f>IF(OR(F320="",M320=""),"",F320-M320)</f>
        <v/>
      </c>
      <c r="Y320" s="24">
        <f>IF(OR(P320="",T320=""),"",P320-T320)</f>
        <v/>
      </c>
      <c r="Z320" s="24">
        <f>IF(OR(Q320="",U320=""),"",Q320-U320)</f>
        <v/>
      </c>
      <c r="AA320" s="24">
        <f>IF(OR(H320="",O320=""),"",H320-O320)</f>
        <v/>
      </c>
      <c r="AB320" s="24">
        <f>IF(OR(R320="",V320=""),"",R320-V320)</f>
        <v/>
      </c>
      <c r="AC320" s="24">
        <f>IF(OR(S320="",W320=""),"",S320-W320)</f>
        <v/>
      </c>
      <c r="AD320" s="13" t="n"/>
      <c r="AE320" s="24">
        <f>IF(OR(AD320="",AD319=""),"",IF(AD319=0,"",(AD320/AD319)-1))</f>
        <v/>
      </c>
      <c r="AF320" s="24">
        <f>IF(ROW()&lt;7,"",IF(OR(AD320="",AD317=""),"",IF(AD317=0,"",(AD320/AD317)-1)))</f>
        <v/>
      </c>
      <c r="AG320" s="24">
        <f>IF(ROW()&lt;9,"",IF(OR(AD320="",AD315=""),"",IF(AD315=0,"",(AD320/AD315)-1)))</f>
        <v/>
      </c>
      <c r="AH320" s="13">
        <f>IF(ROW()&lt;23,"",AVERAGE(AD301:AD320))</f>
        <v/>
      </c>
      <c r="AI320">
        <f>IF(OR(AD320="",AH320=""),"",IF(AD320&gt;AH320,"Bull","Bear"))</f>
        <v/>
      </c>
      <c r="AJ320" s="13" t="n"/>
      <c r="AK320" s="24">
        <f>IF(OR(AJ320="",AJ319=""),"",IF(AJ319=0,"",(AJ320/AJ319)-1))</f>
        <v/>
      </c>
      <c r="AL320" s="24">
        <f>IF(ROW()&lt;7,"",IF(OR(AJ320="",AJ317=""),"",IF(AJ317=0,"",(AJ320/AJ317)-1)))</f>
        <v/>
      </c>
      <c r="AM320" s="24">
        <f>IF(ROW()&lt;9,"",IF(OR(AJ320="",AJ315=""),"",IF(AJ315=0,"",(AJ320/AJ315)-1)))</f>
        <v/>
      </c>
      <c r="AN320" s="13">
        <f>IF(ROW()&lt;23,"",AVERAGE(AJ301:AJ320))</f>
        <v/>
      </c>
      <c r="AO320">
        <f>IF(OR(AJ320="",AN320=""),"",IF(AJ320&gt;AN320,"Bull","Bear"))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8">
        <f>IFERROR((M321/M320)-1,"")</f>
        <v/>
      </c>
      <c r="O321" s="24">
        <f>IF(OR(N321="",N320=""),"",IF(N320=0,"",(N321/N320)-1))</f>
        <v/>
      </c>
      <c r="P321" s="11">
        <f>IF(ROW()&lt;7,"",IF(OR(E321="",E318=""),"",IF(E318=0,"",(E321/E318)-1)))</f>
        <v/>
      </c>
      <c r="Q321" s="24">
        <f>IF(ROW()&lt;9,"",IF(OR(E321="",E316=""),"",IF(E316=0,"",(E321/E316)-1)))</f>
        <v/>
      </c>
      <c r="R321" s="24">
        <f>IF(ROW()&lt;7,"",IF(OR(G321="",G318=""),"",IF(G318=0,"",(G321/G318)-1)))</f>
        <v/>
      </c>
      <c r="S321" s="24">
        <f>IF(ROW()&lt;9,"",IF(OR(G321="",G316=""),"",IF(G316=0,"",(G321/G316)-1)))</f>
        <v/>
      </c>
      <c r="T321" s="24">
        <f>IF(ROW()&lt;7,"",IF(OR(L321="",L318=""),"",IF(L318=0,"",(L321/L318)-1)))</f>
        <v/>
      </c>
      <c r="U321" s="24">
        <f>IF(ROW()&lt;9,"",IF(OR(L321="",L316=""),"",IF(L316=0,"",(L321/L316)-1)))</f>
        <v/>
      </c>
      <c r="V321" s="24">
        <f>IF(ROW()&lt;7,"",IF(OR(N321="",N318=""),"",IF(N318=0,"",(N321/N318)-1)))</f>
        <v/>
      </c>
      <c r="W321" s="24">
        <f>IF(ROW()&lt;9,"",IF(OR(N321="",N316=""),"",IF(N316=0,"",(N321/N316)-1)))</f>
        <v/>
      </c>
      <c r="X321" s="24">
        <f>IF(OR(F321="",M321=""),"",F321-M321)</f>
        <v/>
      </c>
      <c r="Y321" s="24">
        <f>IF(OR(P321="",T321=""),"",P321-T321)</f>
        <v/>
      </c>
      <c r="Z321" s="24">
        <f>IF(OR(Q321="",U321=""),"",Q321-U321)</f>
        <v/>
      </c>
      <c r="AA321" s="24">
        <f>IF(OR(H321="",O321=""),"",H321-O321)</f>
        <v/>
      </c>
      <c r="AB321" s="24">
        <f>IF(OR(R321="",V321=""),"",R321-V321)</f>
        <v/>
      </c>
      <c r="AC321" s="24">
        <f>IF(OR(S321="",W321=""),"",S321-W321)</f>
        <v/>
      </c>
      <c r="AD321" s="13" t="n"/>
      <c r="AE321" s="24">
        <f>IF(OR(AD321="",AD320=""),"",IF(AD320=0,"",(AD321/AD320)-1))</f>
        <v/>
      </c>
      <c r="AF321" s="24">
        <f>IF(ROW()&lt;7,"",IF(OR(AD321="",AD318=""),"",IF(AD318=0,"",(AD321/AD318)-1)))</f>
        <v/>
      </c>
      <c r="AG321" s="24">
        <f>IF(ROW()&lt;9,"",IF(OR(AD321="",AD316=""),"",IF(AD316=0,"",(AD321/AD316)-1)))</f>
        <v/>
      </c>
      <c r="AH321" s="13">
        <f>IF(ROW()&lt;23,"",AVERAGE(AD302:AD321))</f>
        <v/>
      </c>
      <c r="AI321">
        <f>IF(OR(AD321="",AH321=""),"",IF(AD321&gt;AH321,"Bull","Bear"))</f>
        <v/>
      </c>
      <c r="AJ321" s="13" t="n"/>
      <c r="AK321" s="24">
        <f>IF(OR(AJ321="",AJ320=""),"",IF(AJ320=0,"",(AJ321/AJ320)-1))</f>
        <v/>
      </c>
      <c r="AL321" s="24">
        <f>IF(ROW()&lt;7,"",IF(OR(AJ321="",AJ318=""),"",IF(AJ318=0,"",(AJ321/AJ318)-1)))</f>
        <v/>
      </c>
      <c r="AM321" s="24">
        <f>IF(ROW()&lt;9,"",IF(OR(AJ321="",AJ316=""),"",IF(AJ316=0,"",(AJ321/AJ316)-1)))</f>
        <v/>
      </c>
      <c r="AN321" s="13">
        <f>IF(ROW()&lt;23,"",AVERAGE(AJ302:AJ321))</f>
        <v/>
      </c>
      <c r="AO321">
        <f>IF(OR(AJ321="",AN321=""),"",IF(AJ321&gt;AN321,"Bull","Bear"))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8">
        <f>IFERROR((M322/M321)-1,"")</f>
        <v/>
      </c>
      <c r="O322" s="24">
        <f>IF(OR(N322="",N321=""),"",IF(N321=0,"",(N322/N321)-1))</f>
        <v/>
      </c>
      <c r="P322" s="11">
        <f>IF(ROW()&lt;7,"",IF(OR(E322="",E319=""),"",IF(E319=0,"",(E322/E319)-1)))</f>
        <v/>
      </c>
      <c r="Q322" s="24">
        <f>IF(ROW()&lt;9,"",IF(OR(E322="",E317=""),"",IF(E317=0,"",(E322/E317)-1)))</f>
        <v/>
      </c>
      <c r="R322" s="24">
        <f>IF(ROW()&lt;7,"",IF(OR(G322="",G319=""),"",IF(G319=0,"",(G322/G319)-1)))</f>
        <v/>
      </c>
      <c r="S322" s="24">
        <f>IF(ROW()&lt;9,"",IF(OR(G322="",G317=""),"",IF(G317=0,"",(G322/G317)-1)))</f>
        <v/>
      </c>
      <c r="T322" s="24">
        <f>IF(ROW()&lt;7,"",IF(OR(L322="",L319=""),"",IF(L319=0,"",(L322/L319)-1)))</f>
        <v/>
      </c>
      <c r="U322" s="24">
        <f>IF(ROW()&lt;9,"",IF(OR(L322="",L317=""),"",IF(L317=0,"",(L322/L317)-1)))</f>
        <v/>
      </c>
      <c r="V322" s="24">
        <f>IF(ROW()&lt;7,"",IF(OR(N322="",N319=""),"",IF(N319=0,"",(N322/N319)-1)))</f>
        <v/>
      </c>
      <c r="W322" s="24">
        <f>IF(ROW()&lt;9,"",IF(OR(N322="",N317=""),"",IF(N317=0,"",(N322/N317)-1)))</f>
        <v/>
      </c>
      <c r="X322" s="24">
        <f>IF(OR(F322="",M322=""),"",F322-M322)</f>
        <v/>
      </c>
      <c r="Y322" s="24">
        <f>IF(OR(P322="",T322=""),"",P322-T322)</f>
        <v/>
      </c>
      <c r="Z322" s="24">
        <f>IF(OR(Q322="",U322=""),"",Q322-U322)</f>
        <v/>
      </c>
      <c r="AA322" s="24">
        <f>IF(OR(H322="",O322=""),"",H322-O322)</f>
        <v/>
      </c>
      <c r="AB322" s="24">
        <f>IF(OR(R322="",V322=""),"",R322-V322)</f>
        <v/>
      </c>
      <c r="AC322" s="24">
        <f>IF(OR(S322="",W322=""),"",S322-W322)</f>
        <v/>
      </c>
      <c r="AD322" s="13" t="n"/>
      <c r="AE322" s="24">
        <f>IF(OR(AD322="",AD321=""),"",IF(AD321=0,"",(AD322/AD321)-1))</f>
        <v/>
      </c>
      <c r="AF322" s="24">
        <f>IF(ROW()&lt;7,"",IF(OR(AD322="",AD319=""),"",IF(AD319=0,"",(AD322/AD319)-1)))</f>
        <v/>
      </c>
      <c r="AG322" s="24">
        <f>IF(ROW()&lt;9,"",IF(OR(AD322="",AD317=""),"",IF(AD317=0,"",(AD322/AD317)-1)))</f>
        <v/>
      </c>
      <c r="AH322" s="13">
        <f>IF(ROW()&lt;23,"",AVERAGE(AD303:AD322))</f>
        <v/>
      </c>
      <c r="AI322">
        <f>IF(OR(AD322="",AH322=""),"",IF(AD322&gt;AH322,"Bull","Bear"))</f>
        <v/>
      </c>
      <c r="AJ322" s="13" t="n"/>
      <c r="AK322" s="24">
        <f>IF(OR(AJ322="",AJ321=""),"",IF(AJ321=0,"",(AJ322/AJ321)-1))</f>
        <v/>
      </c>
      <c r="AL322" s="24">
        <f>IF(ROW()&lt;7,"",IF(OR(AJ322="",AJ319=""),"",IF(AJ319=0,"",(AJ322/AJ319)-1)))</f>
        <v/>
      </c>
      <c r="AM322" s="24">
        <f>IF(ROW()&lt;9,"",IF(OR(AJ322="",AJ317=""),"",IF(AJ317=0,"",(AJ322/AJ317)-1)))</f>
        <v/>
      </c>
      <c r="AN322" s="13">
        <f>IF(ROW()&lt;23,"",AVERAGE(AJ303:AJ322))</f>
        <v/>
      </c>
      <c r="AO322">
        <f>IF(OR(AJ322="",AN322=""),"",IF(AJ322&gt;AN322,"Bull","Bear"))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8">
        <f>IFERROR((M323/M322)-1,"")</f>
        <v/>
      </c>
      <c r="O323" s="24">
        <f>IF(OR(N323="",N322=""),"",IF(N322=0,"",(N323/N322)-1))</f>
        <v/>
      </c>
      <c r="P323" s="11">
        <f>IF(ROW()&lt;7,"",IF(OR(E323="",E320=""),"",IF(E320=0,"",(E323/E320)-1)))</f>
        <v/>
      </c>
      <c r="Q323" s="24">
        <f>IF(ROW()&lt;9,"",IF(OR(E323="",E318=""),"",IF(E318=0,"",(E323/E318)-1)))</f>
        <v/>
      </c>
      <c r="R323" s="24">
        <f>IF(ROW()&lt;7,"",IF(OR(G323="",G320=""),"",IF(G320=0,"",(G323/G320)-1)))</f>
        <v/>
      </c>
      <c r="S323" s="24">
        <f>IF(ROW()&lt;9,"",IF(OR(G323="",G318=""),"",IF(G318=0,"",(G323/G318)-1)))</f>
        <v/>
      </c>
      <c r="T323" s="24">
        <f>IF(ROW()&lt;7,"",IF(OR(L323="",L320=""),"",IF(L320=0,"",(L323/L320)-1)))</f>
        <v/>
      </c>
      <c r="U323" s="24">
        <f>IF(ROW()&lt;9,"",IF(OR(L323="",L318=""),"",IF(L318=0,"",(L323/L318)-1)))</f>
        <v/>
      </c>
      <c r="V323" s="24">
        <f>IF(ROW()&lt;7,"",IF(OR(N323="",N320=""),"",IF(N320=0,"",(N323/N320)-1)))</f>
        <v/>
      </c>
      <c r="W323" s="24">
        <f>IF(ROW()&lt;9,"",IF(OR(N323="",N318=""),"",IF(N318=0,"",(N323/N318)-1)))</f>
        <v/>
      </c>
      <c r="X323" s="24">
        <f>IF(OR(F323="",M323=""),"",F323-M323)</f>
        <v/>
      </c>
      <c r="Y323" s="24">
        <f>IF(OR(P323="",T323=""),"",P323-T323)</f>
        <v/>
      </c>
      <c r="Z323" s="24">
        <f>IF(OR(Q323="",U323=""),"",Q323-U323)</f>
        <v/>
      </c>
      <c r="AA323" s="24">
        <f>IF(OR(H323="",O323=""),"",H323-O323)</f>
        <v/>
      </c>
      <c r="AB323" s="24">
        <f>IF(OR(R323="",V323=""),"",R323-V323)</f>
        <v/>
      </c>
      <c r="AC323" s="24">
        <f>IF(OR(S323="",W323=""),"",S323-W323)</f>
        <v/>
      </c>
      <c r="AD323" s="13" t="n"/>
      <c r="AE323" s="24">
        <f>IF(OR(AD323="",AD322=""),"",IF(AD322=0,"",(AD323/AD322)-1))</f>
        <v/>
      </c>
      <c r="AF323" s="24">
        <f>IF(ROW()&lt;7,"",IF(OR(AD323="",AD320=""),"",IF(AD320=0,"",(AD323/AD320)-1)))</f>
        <v/>
      </c>
      <c r="AG323" s="24">
        <f>IF(ROW()&lt;9,"",IF(OR(AD323="",AD318=""),"",IF(AD318=0,"",(AD323/AD318)-1)))</f>
        <v/>
      </c>
      <c r="AH323" s="13">
        <f>IF(ROW()&lt;23,"",AVERAGE(AD304:AD323))</f>
        <v/>
      </c>
      <c r="AI323">
        <f>IF(OR(AD323="",AH323=""),"",IF(AD323&gt;AH323,"Bull","Bear"))</f>
        <v/>
      </c>
      <c r="AJ323" s="13" t="n"/>
      <c r="AK323" s="24">
        <f>IF(OR(AJ323="",AJ322=""),"",IF(AJ322=0,"",(AJ323/AJ322)-1))</f>
        <v/>
      </c>
      <c r="AL323" s="24">
        <f>IF(ROW()&lt;7,"",IF(OR(AJ323="",AJ320=""),"",IF(AJ320=0,"",(AJ323/AJ320)-1)))</f>
        <v/>
      </c>
      <c r="AM323" s="24">
        <f>IF(ROW()&lt;9,"",IF(OR(AJ323="",AJ318=""),"",IF(AJ318=0,"",(AJ323/AJ318)-1)))</f>
        <v/>
      </c>
      <c r="AN323" s="13">
        <f>IF(ROW()&lt;23,"",AVERAGE(AJ304:AJ323))</f>
        <v/>
      </c>
      <c r="AO323">
        <f>IF(OR(AJ323="",AN323=""),"",IF(AJ323&gt;AN323,"Bull","Bear"))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8">
        <f>IFERROR((M324/M323)-1,"")</f>
        <v/>
      </c>
      <c r="O324" s="24">
        <f>IF(OR(N324="",N323=""),"",IF(N323=0,"",(N324/N323)-1))</f>
        <v/>
      </c>
      <c r="P324" s="11">
        <f>IF(ROW()&lt;7,"",IF(OR(E324="",E321=""),"",IF(E321=0,"",(E324/E321)-1)))</f>
        <v/>
      </c>
      <c r="Q324" s="24">
        <f>IF(ROW()&lt;9,"",IF(OR(E324="",E319=""),"",IF(E319=0,"",(E324/E319)-1)))</f>
        <v/>
      </c>
      <c r="R324" s="24">
        <f>IF(ROW()&lt;7,"",IF(OR(G324="",G321=""),"",IF(G321=0,"",(G324/G321)-1)))</f>
        <v/>
      </c>
      <c r="S324" s="24">
        <f>IF(ROW()&lt;9,"",IF(OR(G324="",G319=""),"",IF(G319=0,"",(G324/G319)-1)))</f>
        <v/>
      </c>
      <c r="T324" s="24">
        <f>IF(ROW()&lt;7,"",IF(OR(L324="",L321=""),"",IF(L321=0,"",(L324/L321)-1)))</f>
        <v/>
      </c>
      <c r="U324" s="24">
        <f>IF(ROW()&lt;9,"",IF(OR(L324="",L319=""),"",IF(L319=0,"",(L324/L319)-1)))</f>
        <v/>
      </c>
      <c r="V324" s="24">
        <f>IF(ROW()&lt;7,"",IF(OR(N324="",N321=""),"",IF(N321=0,"",(N324/N321)-1)))</f>
        <v/>
      </c>
      <c r="W324" s="24">
        <f>IF(ROW()&lt;9,"",IF(OR(N324="",N319=""),"",IF(N319=0,"",(N324/N319)-1)))</f>
        <v/>
      </c>
      <c r="X324" s="24">
        <f>IF(OR(F324="",M324=""),"",F324-M324)</f>
        <v/>
      </c>
      <c r="Y324" s="24">
        <f>IF(OR(P324="",T324=""),"",P324-T324)</f>
        <v/>
      </c>
      <c r="Z324" s="24">
        <f>IF(OR(Q324="",U324=""),"",Q324-U324)</f>
        <v/>
      </c>
      <c r="AA324" s="24">
        <f>IF(OR(H324="",O324=""),"",H324-O324)</f>
        <v/>
      </c>
      <c r="AB324" s="24">
        <f>IF(OR(R324="",V324=""),"",R324-V324)</f>
        <v/>
      </c>
      <c r="AC324" s="24">
        <f>IF(OR(S324="",W324=""),"",S324-W324)</f>
        <v/>
      </c>
      <c r="AD324" s="13" t="n"/>
      <c r="AE324" s="24">
        <f>IF(OR(AD324="",AD323=""),"",IF(AD323=0,"",(AD324/AD323)-1))</f>
        <v/>
      </c>
      <c r="AF324" s="24">
        <f>IF(ROW()&lt;7,"",IF(OR(AD324="",AD321=""),"",IF(AD321=0,"",(AD324/AD321)-1)))</f>
        <v/>
      </c>
      <c r="AG324" s="24">
        <f>IF(ROW()&lt;9,"",IF(OR(AD324="",AD319=""),"",IF(AD319=0,"",(AD324/AD319)-1)))</f>
        <v/>
      </c>
      <c r="AH324" s="13">
        <f>IF(ROW()&lt;23,"",AVERAGE(AD305:AD324))</f>
        <v/>
      </c>
      <c r="AI324">
        <f>IF(OR(AD324="",AH324=""),"",IF(AD324&gt;AH324,"Bull","Bear"))</f>
        <v/>
      </c>
      <c r="AJ324" s="13" t="n"/>
      <c r="AK324" s="24">
        <f>IF(OR(AJ324="",AJ323=""),"",IF(AJ323=0,"",(AJ324/AJ323)-1))</f>
        <v/>
      </c>
      <c r="AL324" s="24">
        <f>IF(ROW()&lt;7,"",IF(OR(AJ324="",AJ321=""),"",IF(AJ321=0,"",(AJ324/AJ321)-1)))</f>
        <v/>
      </c>
      <c r="AM324" s="24">
        <f>IF(ROW()&lt;9,"",IF(OR(AJ324="",AJ319=""),"",IF(AJ319=0,"",(AJ324/AJ319)-1)))</f>
        <v/>
      </c>
      <c r="AN324" s="13">
        <f>IF(ROW()&lt;23,"",AVERAGE(AJ305:AJ324))</f>
        <v/>
      </c>
      <c r="AO324">
        <f>IF(OR(AJ324="",AN324=""),"",IF(AJ324&gt;AN324,"Bull","Bear"))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8">
        <f>IFERROR((M325/M324)-1,"")</f>
        <v/>
      </c>
      <c r="O325" s="24">
        <f>IF(OR(N325="",N324=""),"",IF(N324=0,"",(N325/N324)-1))</f>
        <v/>
      </c>
      <c r="P325" s="11">
        <f>IF(ROW()&lt;7,"",IF(OR(E325="",E322=""),"",IF(E322=0,"",(E325/E322)-1)))</f>
        <v/>
      </c>
      <c r="Q325" s="24">
        <f>IF(ROW()&lt;9,"",IF(OR(E325="",E320=""),"",IF(E320=0,"",(E325/E320)-1)))</f>
        <v/>
      </c>
      <c r="R325" s="24">
        <f>IF(ROW()&lt;7,"",IF(OR(G325="",G322=""),"",IF(G322=0,"",(G325/G322)-1)))</f>
        <v/>
      </c>
      <c r="S325" s="24">
        <f>IF(ROW()&lt;9,"",IF(OR(G325="",G320=""),"",IF(G320=0,"",(G325/G320)-1)))</f>
        <v/>
      </c>
      <c r="T325" s="24">
        <f>IF(ROW()&lt;7,"",IF(OR(L325="",L322=""),"",IF(L322=0,"",(L325/L322)-1)))</f>
        <v/>
      </c>
      <c r="U325" s="24">
        <f>IF(ROW()&lt;9,"",IF(OR(L325="",L320=""),"",IF(L320=0,"",(L325/L320)-1)))</f>
        <v/>
      </c>
      <c r="V325" s="24">
        <f>IF(ROW()&lt;7,"",IF(OR(N325="",N322=""),"",IF(N322=0,"",(N325/N322)-1)))</f>
        <v/>
      </c>
      <c r="W325" s="24">
        <f>IF(ROW()&lt;9,"",IF(OR(N325="",N320=""),"",IF(N320=0,"",(N325/N320)-1)))</f>
        <v/>
      </c>
      <c r="X325" s="24">
        <f>IF(OR(F325="",M325=""),"",F325-M325)</f>
        <v/>
      </c>
      <c r="Y325" s="24">
        <f>IF(OR(P325="",T325=""),"",P325-T325)</f>
        <v/>
      </c>
      <c r="Z325" s="24">
        <f>IF(OR(Q325="",U325=""),"",Q325-U325)</f>
        <v/>
      </c>
      <c r="AA325" s="24">
        <f>IF(OR(H325="",O325=""),"",H325-O325)</f>
        <v/>
      </c>
      <c r="AB325" s="24">
        <f>IF(OR(R325="",V325=""),"",R325-V325)</f>
        <v/>
      </c>
      <c r="AC325" s="24">
        <f>IF(OR(S325="",W325=""),"",S325-W325)</f>
        <v/>
      </c>
      <c r="AD325" s="13" t="n"/>
      <c r="AE325" s="24">
        <f>IF(OR(AD325="",AD324=""),"",IF(AD324=0,"",(AD325/AD324)-1))</f>
        <v/>
      </c>
      <c r="AF325" s="24">
        <f>IF(ROW()&lt;7,"",IF(OR(AD325="",AD322=""),"",IF(AD322=0,"",(AD325/AD322)-1)))</f>
        <v/>
      </c>
      <c r="AG325" s="24">
        <f>IF(ROW()&lt;9,"",IF(OR(AD325="",AD320=""),"",IF(AD320=0,"",(AD325/AD320)-1)))</f>
        <v/>
      </c>
      <c r="AH325" s="13">
        <f>IF(ROW()&lt;23,"",AVERAGE(AD306:AD325))</f>
        <v/>
      </c>
      <c r="AI325">
        <f>IF(OR(AD325="",AH325=""),"",IF(AD325&gt;AH325,"Bull","Bear"))</f>
        <v/>
      </c>
      <c r="AJ325" s="13" t="n"/>
      <c r="AK325" s="24">
        <f>IF(OR(AJ325="",AJ324=""),"",IF(AJ324=0,"",(AJ325/AJ324)-1))</f>
        <v/>
      </c>
      <c r="AL325" s="24">
        <f>IF(ROW()&lt;7,"",IF(OR(AJ325="",AJ322=""),"",IF(AJ322=0,"",(AJ325/AJ322)-1)))</f>
        <v/>
      </c>
      <c r="AM325" s="24">
        <f>IF(ROW()&lt;9,"",IF(OR(AJ325="",AJ320=""),"",IF(AJ320=0,"",(AJ325/AJ320)-1)))</f>
        <v/>
      </c>
      <c r="AN325" s="13">
        <f>IF(ROW()&lt;23,"",AVERAGE(AJ306:AJ325))</f>
        <v/>
      </c>
      <c r="AO325">
        <f>IF(OR(AJ325="",AN325=""),"",IF(AJ325&gt;AN325,"Bull","Bear"))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8">
        <f>IFERROR((M326/M325)-1,"")</f>
        <v/>
      </c>
      <c r="O326" s="24">
        <f>IF(OR(N326="",N325=""),"",IF(N325=0,"",(N326/N325)-1))</f>
        <v/>
      </c>
      <c r="P326" s="11">
        <f>IF(ROW()&lt;7,"",IF(OR(E326="",E323=""),"",IF(E323=0,"",(E326/E323)-1)))</f>
        <v/>
      </c>
      <c r="Q326" s="24">
        <f>IF(ROW()&lt;9,"",IF(OR(E326="",E321=""),"",IF(E321=0,"",(E326/E321)-1)))</f>
        <v/>
      </c>
      <c r="R326" s="24">
        <f>IF(ROW()&lt;7,"",IF(OR(G326="",G323=""),"",IF(G323=0,"",(G326/G323)-1)))</f>
        <v/>
      </c>
      <c r="S326" s="24">
        <f>IF(ROW()&lt;9,"",IF(OR(G326="",G321=""),"",IF(G321=0,"",(G326/G321)-1)))</f>
        <v/>
      </c>
      <c r="T326" s="24">
        <f>IF(ROW()&lt;7,"",IF(OR(L326="",L323=""),"",IF(L323=0,"",(L326/L323)-1)))</f>
        <v/>
      </c>
      <c r="U326" s="24">
        <f>IF(ROW()&lt;9,"",IF(OR(L326="",L321=""),"",IF(L321=0,"",(L326/L321)-1)))</f>
        <v/>
      </c>
      <c r="V326" s="24">
        <f>IF(ROW()&lt;7,"",IF(OR(N326="",N323=""),"",IF(N323=0,"",(N326/N323)-1)))</f>
        <v/>
      </c>
      <c r="W326" s="24">
        <f>IF(ROW()&lt;9,"",IF(OR(N326="",N321=""),"",IF(N321=0,"",(N326/N321)-1)))</f>
        <v/>
      </c>
      <c r="X326" s="24">
        <f>IF(OR(F326="",M326=""),"",F326-M326)</f>
        <v/>
      </c>
      <c r="Y326" s="24">
        <f>IF(OR(P326="",T326=""),"",P326-T326)</f>
        <v/>
      </c>
      <c r="Z326" s="24">
        <f>IF(OR(Q326="",U326=""),"",Q326-U326)</f>
        <v/>
      </c>
      <c r="AA326" s="24">
        <f>IF(OR(H326="",O326=""),"",H326-O326)</f>
        <v/>
      </c>
      <c r="AB326" s="24">
        <f>IF(OR(R326="",V326=""),"",R326-V326)</f>
        <v/>
      </c>
      <c r="AC326" s="24">
        <f>IF(OR(S326="",W326=""),"",S326-W326)</f>
        <v/>
      </c>
      <c r="AD326" s="13" t="n"/>
      <c r="AE326" s="24">
        <f>IF(OR(AD326="",AD325=""),"",IF(AD325=0,"",(AD326/AD325)-1))</f>
        <v/>
      </c>
      <c r="AF326" s="24">
        <f>IF(ROW()&lt;7,"",IF(OR(AD326="",AD323=""),"",IF(AD323=0,"",(AD326/AD323)-1)))</f>
        <v/>
      </c>
      <c r="AG326" s="24">
        <f>IF(ROW()&lt;9,"",IF(OR(AD326="",AD321=""),"",IF(AD321=0,"",(AD326/AD321)-1)))</f>
        <v/>
      </c>
      <c r="AH326" s="13">
        <f>IF(ROW()&lt;23,"",AVERAGE(AD307:AD326))</f>
        <v/>
      </c>
      <c r="AI326">
        <f>IF(OR(AD326="",AH326=""),"",IF(AD326&gt;AH326,"Bull","Bear"))</f>
        <v/>
      </c>
      <c r="AJ326" s="13" t="n"/>
      <c r="AK326" s="24">
        <f>IF(OR(AJ326="",AJ325=""),"",IF(AJ325=0,"",(AJ326/AJ325)-1))</f>
        <v/>
      </c>
      <c r="AL326" s="24">
        <f>IF(ROW()&lt;7,"",IF(OR(AJ326="",AJ323=""),"",IF(AJ323=0,"",(AJ326/AJ323)-1)))</f>
        <v/>
      </c>
      <c r="AM326" s="24">
        <f>IF(ROW()&lt;9,"",IF(OR(AJ326="",AJ321=""),"",IF(AJ321=0,"",(AJ326/AJ321)-1)))</f>
        <v/>
      </c>
      <c r="AN326" s="13">
        <f>IF(ROW()&lt;23,"",AVERAGE(AJ307:AJ326))</f>
        <v/>
      </c>
      <c r="AO326">
        <f>IF(OR(AJ326="",AN326=""),"",IF(AJ326&gt;AN326,"Bull","Bear"))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8">
        <f>IFERROR((M327/M326)-1,"")</f>
        <v/>
      </c>
      <c r="O327" s="24">
        <f>IF(OR(N327="",N326=""),"",IF(N326=0,"",(N327/N326)-1))</f>
        <v/>
      </c>
      <c r="P327" s="11">
        <f>IF(ROW()&lt;7,"",IF(OR(E327="",E324=""),"",IF(E324=0,"",(E327/E324)-1)))</f>
        <v/>
      </c>
      <c r="Q327" s="24">
        <f>IF(ROW()&lt;9,"",IF(OR(E327="",E322=""),"",IF(E322=0,"",(E327/E322)-1)))</f>
        <v/>
      </c>
      <c r="R327" s="24">
        <f>IF(ROW()&lt;7,"",IF(OR(G327="",G324=""),"",IF(G324=0,"",(G327/G324)-1)))</f>
        <v/>
      </c>
      <c r="S327" s="24">
        <f>IF(ROW()&lt;9,"",IF(OR(G327="",G322=""),"",IF(G322=0,"",(G327/G322)-1)))</f>
        <v/>
      </c>
      <c r="T327" s="24">
        <f>IF(ROW()&lt;7,"",IF(OR(L327="",L324=""),"",IF(L324=0,"",(L327/L324)-1)))</f>
        <v/>
      </c>
      <c r="U327" s="24">
        <f>IF(ROW()&lt;9,"",IF(OR(L327="",L322=""),"",IF(L322=0,"",(L327/L322)-1)))</f>
        <v/>
      </c>
      <c r="V327" s="24">
        <f>IF(ROW()&lt;7,"",IF(OR(N327="",N324=""),"",IF(N324=0,"",(N327/N324)-1)))</f>
        <v/>
      </c>
      <c r="W327" s="24">
        <f>IF(ROW()&lt;9,"",IF(OR(N327="",N322=""),"",IF(N322=0,"",(N327/N322)-1)))</f>
        <v/>
      </c>
      <c r="X327" s="24">
        <f>IF(OR(F327="",M327=""),"",F327-M327)</f>
        <v/>
      </c>
      <c r="Y327" s="24">
        <f>IF(OR(P327="",T327=""),"",P327-T327)</f>
        <v/>
      </c>
      <c r="Z327" s="24">
        <f>IF(OR(Q327="",U327=""),"",Q327-U327)</f>
        <v/>
      </c>
      <c r="AA327" s="24">
        <f>IF(OR(H327="",O327=""),"",H327-O327)</f>
        <v/>
      </c>
      <c r="AB327" s="24">
        <f>IF(OR(R327="",V327=""),"",R327-V327)</f>
        <v/>
      </c>
      <c r="AC327" s="24">
        <f>IF(OR(S327="",W327=""),"",S327-W327)</f>
        <v/>
      </c>
      <c r="AD327" s="13" t="n"/>
      <c r="AE327" s="24">
        <f>IF(OR(AD327="",AD326=""),"",IF(AD326=0,"",(AD327/AD326)-1))</f>
        <v/>
      </c>
      <c r="AF327" s="24">
        <f>IF(ROW()&lt;7,"",IF(OR(AD327="",AD324=""),"",IF(AD324=0,"",(AD327/AD324)-1)))</f>
        <v/>
      </c>
      <c r="AG327" s="24">
        <f>IF(ROW()&lt;9,"",IF(OR(AD327="",AD322=""),"",IF(AD322=0,"",(AD327/AD322)-1)))</f>
        <v/>
      </c>
      <c r="AH327" s="13">
        <f>IF(ROW()&lt;23,"",AVERAGE(AD308:AD327))</f>
        <v/>
      </c>
      <c r="AI327">
        <f>IF(OR(AD327="",AH327=""),"",IF(AD327&gt;AH327,"Bull","Bear"))</f>
        <v/>
      </c>
      <c r="AJ327" s="13" t="n"/>
      <c r="AK327" s="24">
        <f>IF(OR(AJ327="",AJ326=""),"",IF(AJ326=0,"",(AJ327/AJ326)-1))</f>
        <v/>
      </c>
      <c r="AL327" s="24">
        <f>IF(ROW()&lt;7,"",IF(OR(AJ327="",AJ324=""),"",IF(AJ324=0,"",(AJ327/AJ324)-1)))</f>
        <v/>
      </c>
      <c r="AM327" s="24">
        <f>IF(ROW()&lt;9,"",IF(OR(AJ327="",AJ322=""),"",IF(AJ322=0,"",(AJ327/AJ322)-1)))</f>
        <v/>
      </c>
      <c r="AN327" s="13">
        <f>IF(ROW()&lt;23,"",AVERAGE(AJ308:AJ327))</f>
        <v/>
      </c>
      <c r="AO327">
        <f>IF(OR(AJ327="",AN327=""),"",IF(AJ327&gt;AN327,"Bull","Bear"))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8">
        <f>IFERROR((M328/M327)-1,"")</f>
        <v/>
      </c>
      <c r="O328" s="24">
        <f>IF(OR(N328="",N327=""),"",IF(N327=0,"",(N328/N327)-1))</f>
        <v/>
      </c>
      <c r="P328" s="11">
        <f>IF(ROW()&lt;7,"",IF(OR(E328="",E325=""),"",IF(E325=0,"",(E328/E325)-1)))</f>
        <v/>
      </c>
      <c r="Q328" s="24">
        <f>IF(ROW()&lt;9,"",IF(OR(E328="",E323=""),"",IF(E323=0,"",(E328/E323)-1)))</f>
        <v/>
      </c>
      <c r="R328" s="24">
        <f>IF(ROW()&lt;7,"",IF(OR(G328="",G325=""),"",IF(G325=0,"",(G328/G325)-1)))</f>
        <v/>
      </c>
      <c r="S328" s="24">
        <f>IF(ROW()&lt;9,"",IF(OR(G328="",G323=""),"",IF(G323=0,"",(G328/G323)-1)))</f>
        <v/>
      </c>
      <c r="T328" s="24">
        <f>IF(ROW()&lt;7,"",IF(OR(L328="",L325=""),"",IF(L325=0,"",(L328/L325)-1)))</f>
        <v/>
      </c>
      <c r="U328" s="24">
        <f>IF(ROW()&lt;9,"",IF(OR(L328="",L323=""),"",IF(L323=0,"",(L328/L323)-1)))</f>
        <v/>
      </c>
      <c r="V328" s="24">
        <f>IF(ROW()&lt;7,"",IF(OR(N328="",N325=""),"",IF(N325=0,"",(N328/N325)-1)))</f>
        <v/>
      </c>
      <c r="W328" s="24">
        <f>IF(ROW()&lt;9,"",IF(OR(N328="",N323=""),"",IF(N323=0,"",(N328/N323)-1)))</f>
        <v/>
      </c>
      <c r="X328" s="24">
        <f>IF(OR(F328="",M328=""),"",F328-M328)</f>
        <v/>
      </c>
      <c r="Y328" s="24">
        <f>IF(OR(P328="",T328=""),"",P328-T328)</f>
        <v/>
      </c>
      <c r="Z328" s="24">
        <f>IF(OR(Q328="",U328=""),"",Q328-U328)</f>
        <v/>
      </c>
      <c r="AA328" s="24">
        <f>IF(OR(H328="",O328=""),"",H328-O328)</f>
        <v/>
      </c>
      <c r="AB328" s="24">
        <f>IF(OR(R328="",V328=""),"",R328-V328)</f>
        <v/>
      </c>
      <c r="AC328" s="24">
        <f>IF(OR(S328="",W328=""),"",S328-W328)</f>
        <v/>
      </c>
      <c r="AD328" s="13" t="n"/>
      <c r="AE328" s="24">
        <f>IF(OR(AD328="",AD327=""),"",IF(AD327=0,"",(AD328/AD327)-1))</f>
        <v/>
      </c>
      <c r="AF328" s="24">
        <f>IF(ROW()&lt;7,"",IF(OR(AD328="",AD325=""),"",IF(AD325=0,"",(AD328/AD325)-1)))</f>
        <v/>
      </c>
      <c r="AG328" s="24">
        <f>IF(ROW()&lt;9,"",IF(OR(AD328="",AD323=""),"",IF(AD323=0,"",(AD328/AD323)-1)))</f>
        <v/>
      </c>
      <c r="AH328" s="13">
        <f>IF(ROW()&lt;23,"",AVERAGE(AD309:AD328))</f>
        <v/>
      </c>
      <c r="AI328">
        <f>IF(OR(AD328="",AH328=""),"",IF(AD328&gt;AH328,"Bull","Bear"))</f>
        <v/>
      </c>
      <c r="AJ328" s="13" t="n"/>
      <c r="AK328" s="24">
        <f>IF(OR(AJ328="",AJ327=""),"",IF(AJ327=0,"",(AJ328/AJ327)-1))</f>
        <v/>
      </c>
      <c r="AL328" s="24">
        <f>IF(ROW()&lt;7,"",IF(OR(AJ328="",AJ325=""),"",IF(AJ325=0,"",(AJ328/AJ325)-1)))</f>
        <v/>
      </c>
      <c r="AM328" s="24">
        <f>IF(ROW()&lt;9,"",IF(OR(AJ328="",AJ323=""),"",IF(AJ323=0,"",(AJ328/AJ323)-1)))</f>
        <v/>
      </c>
      <c r="AN328" s="13">
        <f>IF(ROW()&lt;23,"",AVERAGE(AJ309:AJ328))</f>
        <v/>
      </c>
      <c r="AO328">
        <f>IF(OR(AJ328="",AN328=""),"",IF(AJ328&gt;AN328,"Bull","Bear"))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8">
        <f>IFERROR((M329/M328)-1,"")</f>
        <v/>
      </c>
      <c r="O329" s="24">
        <f>IF(OR(N329="",N328=""),"",IF(N328=0,"",(N329/N328)-1))</f>
        <v/>
      </c>
      <c r="P329" s="11">
        <f>IF(ROW()&lt;7,"",IF(OR(E329="",E326=""),"",IF(E326=0,"",(E329/E326)-1)))</f>
        <v/>
      </c>
      <c r="Q329" s="24">
        <f>IF(ROW()&lt;9,"",IF(OR(E329="",E324=""),"",IF(E324=0,"",(E329/E324)-1)))</f>
        <v/>
      </c>
      <c r="R329" s="24">
        <f>IF(ROW()&lt;7,"",IF(OR(G329="",G326=""),"",IF(G326=0,"",(G329/G326)-1)))</f>
        <v/>
      </c>
      <c r="S329" s="24">
        <f>IF(ROW()&lt;9,"",IF(OR(G329="",G324=""),"",IF(G324=0,"",(G329/G324)-1)))</f>
        <v/>
      </c>
      <c r="T329" s="24">
        <f>IF(ROW()&lt;7,"",IF(OR(L329="",L326=""),"",IF(L326=0,"",(L329/L326)-1)))</f>
        <v/>
      </c>
      <c r="U329" s="24">
        <f>IF(ROW()&lt;9,"",IF(OR(L329="",L324=""),"",IF(L324=0,"",(L329/L324)-1)))</f>
        <v/>
      </c>
      <c r="V329" s="24">
        <f>IF(ROW()&lt;7,"",IF(OR(N329="",N326=""),"",IF(N326=0,"",(N329/N326)-1)))</f>
        <v/>
      </c>
      <c r="W329" s="24">
        <f>IF(ROW()&lt;9,"",IF(OR(N329="",N324=""),"",IF(N324=0,"",(N329/N324)-1)))</f>
        <v/>
      </c>
      <c r="X329" s="24">
        <f>IF(OR(F329="",M329=""),"",F329-M329)</f>
        <v/>
      </c>
      <c r="Y329" s="24">
        <f>IF(OR(P329="",T329=""),"",P329-T329)</f>
        <v/>
      </c>
      <c r="Z329" s="24">
        <f>IF(OR(Q329="",U329=""),"",Q329-U329)</f>
        <v/>
      </c>
      <c r="AA329" s="24">
        <f>IF(OR(H329="",O329=""),"",H329-O329)</f>
        <v/>
      </c>
      <c r="AB329" s="24">
        <f>IF(OR(R329="",V329=""),"",R329-V329)</f>
        <v/>
      </c>
      <c r="AC329" s="24">
        <f>IF(OR(S329="",W329=""),"",S329-W329)</f>
        <v/>
      </c>
      <c r="AD329" s="13" t="n"/>
      <c r="AE329" s="24">
        <f>IF(OR(AD329="",AD328=""),"",IF(AD328=0,"",(AD329/AD328)-1))</f>
        <v/>
      </c>
      <c r="AF329" s="24">
        <f>IF(ROW()&lt;7,"",IF(OR(AD329="",AD326=""),"",IF(AD326=0,"",(AD329/AD326)-1)))</f>
        <v/>
      </c>
      <c r="AG329" s="24">
        <f>IF(ROW()&lt;9,"",IF(OR(AD329="",AD324=""),"",IF(AD324=0,"",(AD329/AD324)-1)))</f>
        <v/>
      </c>
      <c r="AH329" s="13">
        <f>IF(ROW()&lt;23,"",AVERAGE(AD310:AD329))</f>
        <v/>
      </c>
      <c r="AI329">
        <f>IF(OR(AD329="",AH329=""),"",IF(AD329&gt;AH329,"Bull","Bear"))</f>
        <v/>
      </c>
      <c r="AJ329" s="13" t="n"/>
      <c r="AK329" s="24">
        <f>IF(OR(AJ329="",AJ328=""),"",IF(AJ328=0,"",(AJ329/AJ328)-1))</f>
        <v/>
      </c>
      <c r="AL329" s="24">
        <f>IF(ROW()&lt;7,"",IF(OR(AJ329="",AJ326=""),"",IF(AJ326=0,"",(AJ329/AJ326)-1)))</f>
        <v/>
      </c>
      <c r="AM329" s="24">
        <f>IF(ROW()&lt;9,"",IF(OR(AJ329="",AJ324=""),"",IF(AJ324=0,"",(AJ329/AJ324)-1)))</f>
        <v/>
      </c>
      <c r="AN329" s="13">
        <f>IF(ROW()&lt;23,"",AVERAGE(AJ310:AJ329))</f>
        <v/>
      </c>
      <c r="AO329">
        <f>IF(OR(AJ329="",AN329=""),"",IF(AJ329&gt;AN329,"Bull","Bear"))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8">
        <f>IFERROR((M330/M329)-1,"")</f>
        <v/>
      </c>
      <c r="O330" s="24">
        <f>IF(OR(N330="",N329=""),"",IF(N329=0,"",(N330/N329)-1))</f>
        <v/>
      </c>
      <c r="P330" s="11">
        <f>IF(ROW()&lt;7,"",IF(OR(E330="",E327=""),"",IF(E327=0,"",(E330/E327)-1)))</f>
        <v/>
      </c>
      <c r="Q330" s="24">
        <f>IF(ROW()&lt;9,"",IF(OR(E330="",E325=""),"",IF(E325=0,"",(E330/E325)-1)))</f>
        <v/>
      </c>
      <c r="R330" s="24">
        <f>IF(ROW()&lt;7,"",IF(OR(G330="",G327=""),"",IF(G327=0,"",(G330/G327)-1)))</f>
        <v/>
      </c>
      <c r="S330" s="24">
        <f>IF(ROW()&lt;9,"",IF(OR(G330="",G325=""),"",IF(G325=0,"",(G330/G325)-1)))</f>
        <v/>
      </c>
      <c r="T330" s="24">
        <f>IF(ROW()&lt;7,"",IF(OR(L330="",L327=""),"",IF(L327=0,"",(L330/L327)-1)))</f>
        <v/>
      </c>
      <c r="U330" s="24">
        <f>IF(ROW()&lt;9,"",IF(OR(L330="",L325=""),"",IF(L325=0,"",(L330/L325)-1)))</f>
        <v/>
      </c>
      <c r="V330" s="24">
        <f>IF(ROW()&lt;7,"",IF(OR(N330="",N327=""),"",IF(N327=0,"",(N330/N327)-1)))</f>
        <v/>
      </c>
      <c r="W330" s="24">
        <f>IF(ROW()&lt;9,"",IF(OR(N330="",N325=""),"",IF(N325=0,"",(N330/N325)-1)))</f>
        <v/>
      </c>
      <c r="X330" s="24">
        <f>IF(OR(F330="",M330=""),"",F330-M330)</f>
        <v/>
      </c>
      <c r="Y330" s="24">
        <f>IF(OR(P330="",T330=""),"",P330-T330)</f>
        <v/>
      </c>
      <c r="Z330" s="24">
        <f>IF(OR(Q330="",U330=""),"",Q330-U330)</f>
        <v/>
      </c>
      <c r="AA330" s="24">
        <f>IF(OR(H330="",O330=""),"",H330-O330)</f>
        <v/>
      </c>
      <c r="AB330" s="24">
        <f>IF(OR(R330="",V330=""),"",R330-V330)</f>
        <v/>
      </c>
      <c r="AC330" s="24">
        <f>IF(OR(S330="",W330=""),"",S330-W330)</f>
        <v/>
      </c>
      <c r="AD330" s="13" t="n"/>
      <c r="AE330" s="24">
        <f>IF(OR(AD330="",AD329=""),"",IF(AD329=0,"",(AD330/AD329)-1))</f>
        <v/>
      </c>
      <c r="AF330" s="24">
        <f>IF(ROW()&lt;7,"",IF(OR(AD330="",AD327=""),"",IF(AD327=0,"",(AD330/AD327)-1)))</f>
        <v/>
      </c>
      <c r="AG330" s="24">
        <f>IF(ROW()&lt;9,"",IF(OR(AD330="",AD325=""),"",IF(AD325=0,"",(AD330/AD325)-1)))</f>
        <v/>
      </c>
      <c r="AH330" s="13">
        <f>IF(ROW()&lt;23,"",AVERAGE(AD311:AD330))</f>
        <v/>
      </c>
      <c r="AI330">
        <f>IF(OR(AD330="",AH330=""),"",IF(AD330&gt;AH330,"Bull","Bear"))</f>
        <v/>
      </c>
      <c r="AJ330" s="13" t="n"/>
      <c r="AK330" s="24">
        <f>IF(OR(AJ330="",AJ329=""),"",IF(AJ329=0,"",(AJ330/AJ329)-1))</f>
        <v/>
      </c>
      <c r="AL330" s="24">
        <f>IF(ROW()&lt;7,"",IF(OR(AJ330="",AJ327=""),"",IF(AJ327=0,"",(AJ330/AJ327)-1)))</f>
        <v/>
      </c>
      <c r="AM330" s="24">
        <f>IF(ROW()&lt;9,"",IF(OR(AJ330="",AJ325=""),"",IF(AJ325=0,"",(AJ330/AJ325)-1)))</f>
        <v/>
      </c>
      <c r="AN330" s="13">
        <f>IF(ROW()&lt;23,"",AVERAGE(AJ311:AJ330))</f>
        <v/>
      </c>
      <c r="AO330">
        <f>IF(OR(AJ330="",AN330=""),"",IF(AJ330&gt;AN330,"Bull","Bear"))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8">
        <f>IFERROR((M331/M330)-1,"")</f>
        <v/>
      </c>
      <c r="O331" s="24">
        <f>IF(OR(N331="",N330=""),"",IF(N330=0,"",(N331/N330)-1))</f>
        <v/>
      </c>
      <c r="P331" s="11">
        <f>IF(ROW()&lt;7,"",IF(OR(E331="",E328=""),"",IF(E328=0,"",(E331/E328)-1)))</f>
        <v/>
      </c>
      <c r="Q331" s="24">
        <f>IF(ROW()&lt;9,"",IF(OR(E331="",E326=""),"",IF(E326=0,"",(E331/E326)-1)))</f>
        <v/>
      </c>
      <c r="R331" s="24">
        <f>IF(ROW()&lt;7,"",IF(OR(G331="",G328=""),"",IF(G328=0,"",(G331/G328)-1)))</f>
        <v/>
      </c>
      <c r="S331" s="24">
        <f>IF(ROW()&lt;9,"",IF(OR(G331="",G326=""),"",IF(G326=0,"",(G331/G326)-1)))</f>
        <v/>
      </c>
      <c r="T331" s="24">
        <f>IF(ROW()&lt;7,"",IF(OR(L331="",L328=""),"",IF(L328=0,"",(L331/L328)-1)))</f>
        <v/>
      </c>
      <c r="U331" s="24">
        <f>IF(ROW()&lt;9,"",IF(OR(L331="",L326=""),"",IF(L326=0,"",(L331/L326)-1)))</f>
        <v/>
      </c>
      <c r="V331" s="24">
        <f>IF(ROW()&lt;7,"",IF(OR(N331="",N328=""),"",IF(N328=0,"",(N331/N328)-1)))</f>
        <v/>
      </c>
      <c r="W331" s="24">
        <f>IF(ROW()&lt;9,"",IF(OR(N331="",N326=""),"",IF(N326=0,"",(N331/N326)-1)))</f>
        <v/>
      </c>
      <c r="X331" s="24">
        <f>IF(OR(F331="",M331=""),"",F331-M331)</f>
        <v/>
      </c>
      <c r="Y331" s="24">
        <f>IF(OR(P331="",T331=""),"",P331-T331)</f>
        <v/>
      </c>
      <c r="Z331" s="24">
        <f>IF(OR(Q331="",U331=""),"",Q331-U331)</f>
        <v/>
      </c>
      <c r="AA331" s="24">
        <f>IF(OR(H331="",O331=""),"",H331-O331)</f>
        <v/>
      </c>
      <c r="AB331" s="24">
        <f>IF(OR(R331="",V331=""),"",R331-V331)</f>
        <v/>
      </c>
      <c r="AC331" s="24">
        <f>IF(OR(S331="",W331=""),"",S331-W331)</f>
        <v/>
      </c>
      <c r="AD331" s="13" t="n"/>
      <c r="AE331" s="24">
        <f>IF(OR(AD331="",AD330=""),"",IF(AD330=0,"",(AD331/AD330)-1))</f>
        <v/>
      </c>
      <c r="AF331" s="24">
        <f>IF(ROW()&lt;7,"",IF(OR(AD331="",AD328=""),"",IF(AD328=0,"",(AD331/AD328)-1)))</f>
        <v/>
      </c>
      <c r="AG331" s="24">
        <f>IF(ROW()&lt;9,"",IF(OR(AD331="",AD326=""),"",IF(AD326=0,"",(AD331/AD326)-1)))</f>
        <v/>
      </c>
      <c r="AH331" s="13">
        <f>IF(ROW()&lt;23,"",AVERAGE(AD312:AD331))</f>
        <v/>
      </c>
      <c r="AI331">
        <f>IF(OR(AD331="",AH331=""),"",IF(AD331&gt;AH331,"Bull","Bear"))</f>
        <v/>
      </c>
      <c r="AJ331" s="13" t="n"/>
      <c r="AK331" s="24">
        <f>IF(OR(AJ331="",AJ330=""),"",IF(AJ330=0,"",(AJ331/AJ330)-1))</f>
        <v/>
      </c>
      <c r="AL331" s="24">
        <f>IF(ROW()&lt;7,"",IF(OR(AJ331="",AJ328=""),"",IF(AJ328=0,"",(AJ331/AJ328)-1)))</f>
        <v/>
      </c>
      <c r="AM331" s="24">
        <f>IF(ROW()&lt;9,"",IF(OR(AJ331="",AJ326=""),"",IF(AJ326=0,"",(AJ331/AJ326)-1)))</f>
        <v/>
      </c>
      <c r="AN331" s="13">
        <f>IF(ROW()&lt;23,"",AVERAGE(AJ312:AJ331))</f>
        <v/>
      </c>
      <c r="AO331">
        <f>IF(OR(AJ331="",AN331=""),"",IF(AJ331&gt;AN331,"Bull","Bear"))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8">
        <f>IFERROR((M332/M331)-1,"")</f>
        <v/>
      </c>
      <c r="O332" s="24">
        <f>IF(OR(N332="",N331=""),"",IF(N331=0,"",(N332/N331)-1))</f>
        <v/>
      </c>
      <c r="P332" s="11">
        <f>IF(ROW()&lt;7,"",IF(OR(E332="",E329=""),"",IF(E329=0,"",(E332/E329)-1)))</f>
        <v/>
      </c>
      <c r="Q332" s="24">
        <f>IF(ROW()&lt;9,"",IF(OR(E332="",E327=""),"",IF(E327=0,"",(E332/E327)-1)))</f>
        <v/>
      </c>
      <c r="R332" s="24">
        <f>IF(ROW()&lt;7,"",IF(OR(G332="",G329=""),"",IF(G329=0,"",(G332/G329)-1)))</f>
        <v/>
      </c>
      <c r="S332" s="24">
        <f>IF(ROW()&lt;9,"",IF(OR(G332="",G327=""),"",IF(G327=0,"",(G332/G327)-1)))</f>
        <v/>
      </c>
      <c r="T332" s="24">
        <f>IF(ROW()&lt;7,"",IF(OR(L332="",L329=""),"",IF(L329=0,"",(L332/L329)-1)))</f>
        <v/>
      </c>
      <c r="U332" s="24">
        <f>IF(ROW()&lt;9,"",IF(OR(L332="",L327=""),"",IF(L327=0,"",(L332/L327)-1)))</f>
        <v/>
      </c>
      <c r="V332" s="24">
        <f>IF(ROW()&lt;7,"",IF(OR(N332="",N329=""),"",IF(N329=0,"",(N332/N329)-1)))</f>
        <v/>
      </c>
      <c r="W332" s="24">
        <f>IF(ROW()&lt;9,"",IF(OR(N332="",N327=""),"",IF(N327=0,"",(N332/N327)-1)))</f>
        <v/>
      </c>
      <c r="X332" s="24">
        <f>IF(OR(F332="",M332=""),"",F332-M332)</f>
        <v/>
      </c>
      <c r="Y332" s="24">
        <f>IF(OR(P332="",T332=""),"",P332-T332)</f>
        <v/>
      </c>
      <c r="Z332" s="24">
        <f>IF(OR(Q332="",U332=""),"",Q332-U332)</f>
        <v/>
      </c>
      <c r="AA332" s="24">
        <f>IF(OR(H332="",O332=""),"",H332-O332)</f>
        <v/>
      </c>
      <c r="AB332" s="24">
        <f>IF(OR(R332="",V332=""),"",R332-V332)</f>
        <v/>
      </c>
      <c r="AC332" s="24">
        <f>IF(OR(S332="",W332=""),"",S332-W332)</f>
        <v/>
      </c>
      <c r="AD332" s="13" t="n"/>
      <c r="AE332" s="24">
        <f>IF(OR(AD332="",AD331=""),"",IF(AD331=0,"",(AD332/AD331)-1))</f>
        <v/>
      </c>
      <c r="AF332" s="24">
        <f>IF(ROW()&lt;7,"",IF(OR(AD332="",AD329=""),"",IF(AD329=0,"",(AD332/AD329)-1)))</f>
        <v/>
      </c>
      <c r="AG332" s="24">
        <f>IF(ROW()&lt;9,"",IF(OR(AD332="",AD327=""),"",IF(AD327=0,"",(AD332/AD327)-1)))</f>
        <v/>
      </c>
      <c r="AH332" s="13">
        <f>IF(ROW()&lt;23,"",AVERAGE(AD313:AD332))</f>
        <v/>
      </c>
      <c r="AI332">
        <f>IF(OR(AD332="",AH332=""),"",IF(AD332&gt;AH332,"Bull","Bear"))</f>
        <v/>
      </c>
      <c r="AJ332" s="13" t="n"/>
      <c r="AK332" s="24">
        <f>IF(OR(AJ332="",AJ331=""),"",IF(AJ331=0,"",(AJ332/AJ331)-1))</f>
        <v/>
      </c>
      <c r="AL332" s="24">
        <f>IF(ROW()&lt;7,"",IF(OR(AJ332="",AJ329=""),"",IF(AJ329=0,"",(AJ332/AJ329)-1)))</f>
        <v/>
      </c>
      <c r="AM332" s="24">
        <f>IF(ROW()&lt;9,"",IF(OR(AJ332="",AJ327=""),"",IF(AJ327=0,"",(AJ332/AJ327)-1)))</f>
        <v/>
      </c>
      <c r="AN332" s="13">
        <f>IF(ROW()&lt;23,"",AVERAGE(AJ313:AJ332))</f>
        <v/>
      </c>
      <c r="AO332">
        <f>IF(OR(AJ332="",AN332=""),"",IF(AJ332&gt;AN332,"Bull","Bear"))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8">
        <f>IFERROR((M333/M332)-1,"")</f>
        <v/>
      </c>
      <c r="O333" s="24">
        <f>IF(OR(N333="",N332=""),"",IF(N332=0,"",(N333/N332)-1))</f>
        <v/>
      </c>
      <c r="P333" s="11">
        <f>IF(ROW()&lt;7,"",IF(OR(E333="",E330=""),"",IF(E330=0,"",(E333/E330)-1)))</f>
        <v/>
      </c>
      <c r="Q333" s="24">
        <f>IF(ROW()&lt;9,"",IF(OR(E333="",E328=""),"",IF(E328=0,"",(E333/E328)-1)))</f>
        <v/>
      </c>
      <c r="R333" s="24">
        <f>IF(ROW()&lt;7,"",IF(OR(G333="",G330=""),"",IF(G330=0,"",(G333/G330)-1)))</f>
        <v/>
      </c>
      <c r="S333" s="24">
        <f>IF(ROW()&lt;9,"",IF(OR(G333="",G328=""),"",IF(G328=0,"",(G333/G328)-1)))</f>
        <v/>
      </c>
      <c r="T333" s="24">
        <f>IF(ROW()&lt;7,"",IF(OR(L333="",L330=""),"",IF(L330=0,"",(L333/L330)-1)))</f>
        <v/>
      </c>
      <c r="U333" s="24">
        <f>IF(ROW()&lt;9,"",IF(OR(L333="",L328=""),"",IF(L328=0,"",(L333/L328)-1)))</f>
        <v/>
      </c>
      <c r="V333" s="24">
        <f>IF(ROW()&lt;7,"",IF(OR(N333="",N330=""),"",IF(N330=0,"",(N333/N330)-1)))</f>
        <v/>
      </c>
      <c r="W333" s="24">
        <f>IF(ROW()&lt;9,"",IF(OR(N333="",N328=""),"",IF(N328=0,"",(N333/N328)-1)))</f>
        <v/>
      </c>
      <c r="X333" s="24">
        <f>IF(OR(F333="",M333=""),"",F333-M333)</f>
        <v/>
      </c>
      <c r="Y333" s="24">
        <f>IF(OR(P333="",T333=""),"",P333-T333)</f>
        <v/>
      </c>
      <c r="Z333" s="24">
        <f>IF(OR(Q333="",U333=""),"",Q333-U333)</f>
        <v/>
      </c>
      <c r="AA333" s="24">
        <f>IF(OR(H333="",O333=""),"",H333-O333)</f>
        <v/>
      </c>
      <c r="AB333" s="24">
        <f>IF(OR(R333="",V333=""),"",R333-V333)</f>
        <v/>
      </c>
      <c r="AC333" s="24">
        <f>IF(OR(S333="",W333=""),"",S333-W333)</f>
        <v/>
      </c>
      <c r="AD333" s="13" t="n"/>
      <c r="AE333" s="24">
        <f>IF(OR(AD333="",AD332=""),"",IF(AD332=0,"",(AD333/AD332)-1))</f>
        <v/>
      </c>
      <c r="AF333" s="24">
        <f>IF(ROW()&lt;7,"",IF(OR(AD333="",AD330=""),"",IF(AD330=0,"",(AD333/AD330)-1)))</f>
        <v/>
      </c>
      <c r="AG333" s="24">
        <f>IF(ROW()&lt;9,"",IF(OR(AD333="",AD328=""),"",IF(AD328=0,"",(AD333/AD328)-1)))</f>
        <v/>
      </c>
      <c r="AH333" s="13">
        <f>IF(ROW()&lt;23,"",AVERAGE(AD314:AD333))</f>
        <v/>
      </c>
      <c r="AI333">
        <f>IF(OR(AD333="",AH333=""),"",IF(AD333&gt;AH333,"Bull","Bear"))</f>
        <v/>
      </c>
      <c r="AJ333" s="13" t="n"/>
      <c r="AK333" s="24">
        <f>IF(OR(AJ333="",AJ332=""),"",IF(AJ332=0,"",(AJ333/AJ332)-1))</f>
        <v/>
      </c>
      <c r="AL333" s="24">
        <f>IF(ROW()&lt;7,"",IF(OR(AJ333="",AJ330=""),"",IF(AJ330=0,"",(AJ333/AJ330)-1)))</f>
        <v/>
      </c>
      <c r="AM333" s="24">
        <f>IF(ROW()&lt;9,"",IF(OR(AJ333="",AJ328=""),"",IF(AJ328=0,"",(AJ333/AJ328)-1)))</f>
        <v/>
      </c>
      <c r="AN333" s="13">
        <f>IF(ROW()&lt;23,"",AVERAGE(AJ314:AJ333))</f>
        <v/>
      </c>
      <c r="AO333">
        <f>IF(OR(AJ333="",AN333=""),"",IF(AJ333&gt;AN333,"Bull","Bear"))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8">
        <f>IFERROR((M334/M333)-1,"")</f>
        <v/>
      </c>
      <c r="O334" s="24">
        <f>IF(OR(N334="",N333=""),"",IF(N333=0,"",(N334/N333)-1))</f>
        <v/>
      </c>
      <c r="P334" s="11">
        <f>IF(ROW()&lt;7,"",IF(OR(E334="",E331=""),"",IF(E331=0,"",(E334/E331)-1)))</f>
        <v/>
      </c>
      <c r="Q334" s="24">
        <f>IF(ROW()&lt;9,"",IF(OR(E334="",E329=""),"",IF(E329=0,"",(E334/E329)-1)))</f>
        <v/>
      </c>
      <c r="R334" s="24">
        <f>IF(ROW()&lt;7,"",IF(OR(G334="",G331=""),"",IF(G331=0,"",(G334/G331)-1)))</f>
        <v/>
      </c>
      <c r="S334" s="24">
        <f>IF(ROW()&lt;9,"",IF(OR(G334="",G329=""),"",IF(G329=0,"",(G334/G329)-1)))</f>
        <v/>
      </c>
      <c r="T334" s="24">
        <f>IF(ROW()&lt;7,"",IF(OR(L334="",L331=""),"",IF(L331=0,"",(L334/L331)-1)))</f>
        <v/>
      </c>
      <c r="U334" s="24">
        <f>IF(ROW()&lt;9,"",IF(OR(L334="",L329=""),"",IF(L329=0,"",(L334/L329)-1)))</f>
        <v/>
      </c>
      <c r="V334" s="24">
        <f>IF(ROW()&lt;7,"",IF(OR(N334="",N331=""),"",IF(N331=0,"",(N334/N331)-1)))</f>
        <v/>
      </c>
      <c r="W334" s="24">
        <f>IF(ROW()&lt;9,"",IF(OR(N334="",N329=""),"",IF(N329=0,"",(N334/N329)-1)))</f>
        <v/>
      </c>
      <c r="X334" s="24">
        <f>IF(OR(F334="",M334=""),"",F334-M334)</f>
        <v/>
      </c>
      <c r="Y334" s="24">
        <f>IF(OR(P334="",T334=""),"",P334-T334)</f>
        <v/>
      </c>
      <c r="Z334" s="24">
        <f>IF(OR(Q334="",U334=""),"",Q334-U334)</f>
        <v/>
      </c>
      <c r="AA334" s="24">
        <f>IF(OR(H334="",O334=""),"",H334-O334)</f>
        <v/>
      </c>
      <c r="AB334" s="24">
        <f>IF(OR(R334="",V334=""),"",R334-V334)</f>
        <v/>
      </c>
      <c r="AC334" s="24">
        <f>IF(OR(S334="",W334=""),"",S334-W334)</f>
        <v/>
      </c>
      <c r="AD334" s="13" t="n"/>
      <c r="AE334" s="24">
        <f>IF(OR(AD334="",AD333=""),"",IF(AD333=0,"",(AD334/AD333)-1))</f>
        <v/>
      </c>
      <c r="AF334" s="24">
        <f>IF(ROW()&lt;7,"",IF(OR(AD334="",AD331=""),"",IF(AD331=0,"",(AD334/AD331)-1)))</f>
        <v/>
      </c>
      <c r="AG334" s="24">
        <f>IF(ROW()&lt;9,"",IF(OR(AD334="",AD329=""),"",IF(AD329=0,"",(AD334/AD329)-1)))</f>
        <v/>
      </c>
      <c r="AH334" s="13">
        <f>IF(ROW()&lt;23,"",AVERAGE(AD315:AD334))</f>
        <v/>
      </c>
      <c r="AI334">
        <f>IF(OR(AD334="",AH334=""),"",IF(AD334&gt;AH334,"Bull","Bear"))</f>
        <v/>
      </c>
      <c r="AJ334" s="13" t="n"/>
      <c r="AK334" s="24">
        <f>IF(OR(AJ334="",AJ333=""),"",IF(AJ333=0,"",(AJ334/AJ333)-1))</f>
        <v/>
      </c>
      <c r="AL334" s="24">
        <f>IF(ROW()&lt;7,"",IF(OR(AJ334="",AJ331=""),"",IF(AJ331=0,"",(AJ334/AJ331)-1)))</f>
        <v/>
      </c>
      <c r="AM334" s="24">
        <f>IF(ROW()&lt;9,"",IF(OR(AJ334="",AJ329=""),"",IF(AJ329=0,"",(AJ334/AJ329)-1)))</f>
        <v/>
      </c>
      <c r="AN334" s="13">
        <f>IF(ROW()&lt;23,"",AVERAGE(AJ315:AJ334))</f>
        <v/>
      </c>
      <c r="AO334">
        <f>IF(OR(AJ334="",AN334=""),"",IF(AJ334&gt;AN334,"Bull","Bear"))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8">
        <f>IFERROR((M335/M334)-1,"")</f>
        <v/>
      </c>
      <c r="O335" s="24">
        <f>IF(OR(N335="",N334=""),"",IF(N334=0,"",(N335/N334)-1))</f>
        <v/>
      </c>
      <c r="P335" s="11">
        <f>IF(ROW()&lt;7,"",IF(OR(E335="",E332=""),"",IF(E332=0,"",(E335/E332)-1)))</f>
        <v/>
      </c>
      <c r="Q335" s="24">
        <f>IF(ROW()&lt;9,"",IF(OR(E335="",E330=""),"",IF(E330=0,"",(E335/E330)-1)))</f>
        <v/>
      </c>
      <c r="R335" s="24">
        <f>IF(ROW()&lt;7,"",IF(OR(G335="",G332=""),"",IF(G332=0,"",(G335/G332)-1)))</f>
        <v/>
      </c>
      <c r="S335" s="24">
        <f>IF(ROW()&lt;9,"",IF(OR(G335="",G330=""),"",IF(G330=0,"",(G335/G330)-1)))</f>
        <v/>
      </c>
      <c r="T335" s="24">
        <f>IF(ROW()&lt;7,"",IF(OR(L335="",L332=""),"",IF(L332=0,"",(L335/L332)-1)))</f>
        <v/>
      </c>
      <c r="U335" s="24">
        <f>IF(ROW()&lt;9,"",IF(OR(L335="",L330=""),"",IF(L330=0,"",(L335/L330)-1)))</f>
        <v/>
      </c>
      <c r="V335" s="24">
        <f>IF(ROW()&lt;7,"",IF(OR(N335="",N332=""),"",IF(N332=0,"",(N335/N332)-1)))</f>
        <v/>
      </c>
      <c r="W335" s="24">
        <f>IF(ROW()&lt;9,"",IF(OR(N335="",N330=""),"",IF(N330=0,"",(N335/N330)-1)))</f>
        <v/>
      </c>
      <c r="X335" s="24">
        <f>IF(OR(F335="",M335=""),"",F335-M335)</f>
        <v/>
      </c>
      <c r="Y335" s="24">
        <f>IF(OR(P335="",T335=""),"",P335-T335)</f>
        <v/>
      </c>
      <c r="Z335" s="24">
        <f>IF(OR(Q335="",U335=""),"",Q335-U335)</f>
        <v/>
      </c>
      <c r="AA335" s="24">
        <f>IF(OR(H335="",O335=""),"",H335-O335)</f>
        <v/>
      </c>
      <c r="AB335" s="24">
        <f>IF(OR(R335="",V335=""),"",R335-V335)</f>
        <v/>
      </c>
      <c r="AC335" s="24">
        <f>IF(OR(S335="",W335=""),"",S335-W335)</f>
        <v/>
      </c>
      <c r="AD335" s="13" t="n"/>
      <c r="AE335" s="24">
        <f>IF(OR(AD335="",AD334=""),"",IF(AD334=0,"",(AD335/AD334)-1))</f>
        <v/>
      </c>
      <c r="AF335" s="24">
        <f>IF(ROW()&lt;7,"",IF(OR(AD335="",AD332=""),"",IF(AD332=0,"",(AD335/AD332)-1)))</f>
        <v/>
      </c>
      <c r="AG335" s="24">
        <f>IF(ROW()&lt;9,"",IF(OR(AD335="",AD330=""),"",IF(AD330=0,"",(AD335/AD330)-1)))</f>
        <v/>
      </c>
      <c r="AH335" s="13">
        <f>IF(ROW()&lt;23,"",AVERAGE(AD316:AD335))</f>
        <v/>
      </c>
      <c r="AI335">
        <f>IF(OR(AD335="",AH335=""),"",IF(AD335&gt;AH335,"Bull","Bear"))</f>
        <v/>
      </c>
      <c r="AJ335" s="13" t="n"/>
      <c r="AK335" s="24">
        <f>IF(OR(AJ335="",AJ334=""),"",IF(AJ334=0,"",(AJ335/AJ334)-1))</f>
        <v/>
      </c>
      <c r="AL335" s="24">
        <f>IF(ROW()&lt;7,"",IF(OR(AJ335="",AJ332=""),"",IF(AJ332=0,"",(AJ335/AJ332)-1)))</f>
        <v/>
      </c>
      <c r="AM335" s="24">
        <f>IF(ROW()&lt;9,"",IF(OR(AJ335="",AJ330=""),"",IF(AJ330=0,"",(AJ335/AJ330)-1)))</f>
        <v/>
      </c>
      <c r="AN335" s="13">
        <f>IF(ROW()&lt;23,"",AVERAGE(AJ316:AJ335))</f>
        <v/>
      </c>
      <c r="AO335">
        <f>IF(OR(AJ335="",AN335=""),"",IF(AJ335&gt;AN335,"Bull","Bear"))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8">
        <f>IFERROR((M336/M335)-1,"")</f>
        <v/>
      </c>
      <c r="O336" s="24">
        <f>IF(OR(N336="",N335=""),"",IF(N335=0,"",(N336/N335)-1))</f>
        <v/>
      </c>
      <c r="P336" s="11">
        <f>IF(ROW()&lt;7,"",IF(OR(E336="",E333=""),"",IF(E333=0,"",(E336/E333)-1)))</f>
        <v/>
      </c>
      <c r="Q336" s="24">
        <f>IF(ROW()&lt;9,"",IF(OR(E336="",E331=""),"",IF(E331=0,"",(E336/E331)-1)))</f>
        <v/>
      </c>
      <c r="R336" s="24">
        <f>IF(ROW()&lt;7,"",IF(OR(G336="",G333=""),"",IF(G333=0,"",(G336/G333)-1)))</f>
        <v/>
      </c>
      <c r="S336" s="24">
        <f>IF(ROW()&lt;9,"",IF(OR(G336="",G331=""),"",IF(G331=0,"",(G336/G331)-1)))</f>
        <v/>
      </c>
      <c r="T336" s="24">
        <f>IF(ROW()&lt;7,"",IF(OR(L336="",L333=""),"",IF(L333=0,"",(L336/L333)-1)))</f>
        <v/>
      </c>
      <c r="U336" s="24">
        <f>IF(ROW()&lt;9,"",IF(OR(L336="",L331=""),"",IF(L331=0,"",(L336/L331)-1)))</f>
        <v/>
      </c>
      <c r="V336" s="24">
        <f>IF(ROW()&lt;7,"",IF(OR(N336="",N333=""),"",IF(N333=0,"",(N336/N333)-1)))</f>
        <v/>
      </c>
      <c r="W336" s="24">
        <f>IF(ROW()&lt;9,"",IF(OR(N336="",N331=""),"",IF(N331=0,"",(N336/N331)-1)))</f>
        <v/>
      </c>
      <c r="X336" s="24">
        <f>IF(OR(F336="",M336=""),"",F336-M336)</f>
        <v/>
      </c>
      <c r="Y336" s="24">
        <f>IF(OR(P336="",T336=""),"",P336-T336)</f>
        <v/>
      </c>
      <c r="Z336" s="24">
        <f>IF(OR(Q336="",U336=""),"",Q336-U336)</f>
        <v/>
      </c>
      <c r="AA336" s="24">
        <f>IF(OR(H336="",O336=""),"",H336-O336)</f>
        <v/>
      </c>
      <c r="AB336" s="24">
        <f>IF(OR(R336="",V336=""),"",R336-V336)</f>
        <v/>
      </c>
      <c r="AC336" s="24">
        <f>IF(OR(S336="",W336=""),"",S336-W336)</f>
        <v/>
      </c>
      <c r="AD336" s="13" t="n"/>
      <c r="AE336" s="24">
        <f>IF(OR(AD336="",AD335=""),"",IF(AD335=0,"",(AD336/AD335)-1))</f>
        <v/>
      </c>
      <c r="AF336" s="24">
        <f>IF(ROW()&lt;7,"",IF(OR(AD336="",AD333=""),"",IF(AD333=0,"",(AD336/AD333)-1)))</f>
        <v/>
      </c>
      <c r="AG336" s="24">
        <f>IF(ROW()&lt;9,"",IF(OR(AD336="",AD331=""),"",IF(AD331=0,"",(AD336/AD331)-1)))</f>
        <v/>
      </c>
      <c r="AH336" s="13">
        <f>IF(ROW()&lt;23,"",AVERAGE(AD317:AD336))</f>
        <v/>
      </c>
      <c r="AI336">
        <f>IF(OR(AD336="",AH336=""),"",IF(AD336&gt;AH336,"Bull","Bear"))</f>
        <v/>
      </c>
      <c r="AJ336" s="13" t="n"/>
      <c r="AK336" s="24">
        <f>IF(OR(AJ336="",AJ335=""),"",IF(AJ335=0,"",(AJ336/AJ335)-1))</f>
        <v/>
      </c>
      <c r="AL336" s="24">
        <f>IF(ROW()&lt;7,"",IF(OR(AJ336="",AJ333=""),"",IF(AJ333=0,"",(AJ336/AJ333)-1)))</f>
        <v/>
      </c>
      <c r="AM336" s="24">
        <f>IF(ROW()&lt;9,"",IF(OR(AJ336="",AJ331=""),"",IF(AJ331=0,"",(AJ336/AJ331)-1)))</f>
        <v/>
      </c>
      <c r="AN336" s="13">
        <f>IF(ROW()&lt;23,"",AVERAGE(AJ317:AJ336))</f>
        <v/>
      </c>
      <c r="AO336">
        <f>IF(OR(AJ336="",AN336=""),"",IF(AJ336&gt;AN336,"Bull","Bear"))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8">
        <f>IFERROR((M337/M336)-1,"")</f>
        <v/>
      </c>
      <c r="O337" s="24">
        <f>IF(OR(N337="",N336=""),"",IF(N336=0,"",(N337/N336)-1))</f>
        <v/>
      </c>
      <c r="P337" s="11">
        <f>IF(ROW()&lt;7,"",IF(OR(E337="",E334=""),"",IF(E334=0,"",(E337/E334)-1)))</f>
        <v/>
      </c>
      <c r="Q337" s="24">
        <f>IF(ROW()&lt;9,"",IF(OR(E337="",E332=""),"",IF(E332=0,"",(E337/E332)-1)))</f>
        <v/>
      </c>
      <c r="R337" s="24">
        <f>IF(ROW()&lt;7,"",IF(OR(G337="",G334=""),"",IF(G334=0,"",(G337/G334)-1)))</f>
        <v/>
      </c>
      <c r="S337" s="24">
        <f>IF(ROW()&lt;9,"",IF(OR(G337="",G332=""),"",IF(G332=0,"",(G337/G332)-1)))</f>
        <v/>
      </c>
      <c r="T337" s="24">
        <f>IF(ROW()&lt;7,"",IF(OR(L337="",L334=""),"",IF(L334=0,"",(L337/L334)-1)))</f>
        <v/>
      </c>
      <c r="U337" s="24">
        <f>IF(ROW()&lt;9,"",IF(OR(L337="",L332=""),"",IF(L332=0,"",(L337/L332)-1)))</f>
        <v/>
      </c>
      <c r="V337" s="24">
        <f>IF(ROW()&lt;7,"",IF(OR(N337="",N334=""),"",IF(N334=0,"",(N337/N334)-1)))</f>
        <v/>
      </c>
      <c r="W337" s="24">
        <f>IF(ROW()&lt;9,"",IF(OR(N337="",N332=""),"",IF(N332=0,"",(N337/N332)-1)))</f>
        <v/>
      </c>
      <c r="X337" s="24">
        <f>IF(OR(F337="",M337=""),"",F337-M337)</f>
        <v/>
      </c>
      <c r="Y337" s="24">
        <f>IF(OR(P337="",T337=""),"",P337-T337)</f>
        <v/>
      </c>
      <c r="Z337" s="24">
        <f>IF(OR(Q337="",U337=""),"",Q337-U337)</f>
        <v/>
      </c>
      <c r="AA337" s="24">
        <f>IF(OR(H337="",O337=""),"",H337-O337)</f>
        <v/>
      </c>
      <c r="AB337" s="24">
        <f>IF(OR(R337="",V337=""),"",R337-V337)</f>
        <v/>
      </c>
      <c r="AC337" s="24">
        <f>IF(OR(S337="",W337=""),"",S337-W337)</f>
        <v/>
      </c>
      <c r="AD337" s="13" t="n"/>
      <c r="AE337" s="24">
        <f>IF(OR(AD337="",AD336=""),"",IF(AD336=0,"",(AD337/AD336)-1))</f>
        <v/>
      </c>
      <c r="AF337" s="24">
        <f>IF(ROW()&lt;7,"",IF(OR(AD337="",AD334=""),"",IF(AD334=0,"",(AD337/AD334)-1)))</f>
        <v/>
      </c>
      <c r="AG337" s="24">
        <f>IF(ROW()&lt;9,"",IF(OR(AD337="",AD332=""),"",IF(AD332=0,"",(AD337/AD332)-1)))</f>
        <v/>
      </c>
      <c r="AH337" s="13">
        <f>IF(ROW()&lt;23,"",AVERAGE(AD318:AD337))</f>
        <v/>
      </c>
      <c r="AI337">
        <f>IF(OR(AD337="",AH337=""),"",IF(AD337&gt;AH337,"Bull","Bear"))</f>
        <v/>
      </c>
      <c r="AJ337" s="13" t="n"/>
      <c r="AK337" s="24">
        <f>IF(OR(AJ337="",AJ336=""),"",IF(AJ336=0,"",(AJ337/AJ336)-1))</f>
        <v/>
      </c>
      <c r="AL337" s="24">
        <f>IF(ROW()&lt;7,"",IF(OR(AJ337="",AJ334=""),"",IF(AJ334=0,"",(AJ337/AJ334)-1)))</f>
        <v/>
      </c>
      <c r="AM337" s="24">
        <f>IF(ROW()&lt;9,"",IF(OR(AJ337="",AJ332=""),"",IF(AJ332=0,"",(AJ337/AJ332)-1)))</f>
        <v/>
      </c>
      <c r="AN337" s="13">
        <f>IF(ROW()&lt;23,"",AVERAGE(AJ318:AJ337))</f>
        <v/>
      </c>
      <c r="AO337">
        <f>IF(OR(AJ337="",AN337=""),"",IF(AJ337&gt;AN337,"Bull","Bear"))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8">
        <f>IFERROR((M338/M337)-1,"")</f>
        <v/>
      </c>
      <c r="O338" s="24">
        <f>IF(OR(N338="",N337=""),"",IF(N337=0,"",(N338/N337)-1))</f>
        <v/>
      </c>
      <c r="P338" s="11">
        <f>IF(ROW()&lt;7,"",IF(OR(E338="",E335=""),"",IF(E335=0,"",(E338/E335)-1)))</f>
        <v/>
      </c>
      <c r="Q338" s="24">
        <f>IF(ROW()&lt;9,"",IF(OR(E338="",E333=""),"",IF(E333=0,"",(E338/E333)-1)))</f>
        <v/>
      </c>
      <c r="R338" s="24">
        <f>IF(ROW()&lt;7,"",IF(OR(G338="",G335=""),"",IF(G335=0,"",(G338/G335)-1)))</f>
        <v/>
      </c>
      <c r="S338" s="24">
        <f>IF(ROW()&lt;9,"",IF(OR(G338="",G333=""),"",IF(G333=0,"",(G338/G333)-1)))</f>
        <v/>
      </c>
      <c r="T338" s="24">
        <f>IF(ROW()&lt;7,"",IF(OR(L338="",L335=""),"",IF(L335=0,"",(L338/L335)-1)))</f>
        <v/>
      </c>
      <c r="U338" s="24">
        <f>IF(ROW()&lt;9,"",IF(OR(L338="",L333=""),"",IF(L333=0,"",(L338/L333)-1)))</f>
        <v/>
      </c>
      <c r="V338" s="24">
        <f>IF(ROW()&lt;7,"",IF(OR(N338="",N335=""),"",IF(N335=0,"",(N338/N335)-1)))</f>
        <v/>
      </c>
      <c r="W338" s="24">
        <f>IF(ROW()&lt;9,"",IF(OR(N338="",N333=""),"",IF(N333=0,"",(N338/N333)-1)))</f>
        <v/>
      </c>
      <c r="X338" s="24">
        <f>IF(OR(F338="",M338=""),"",F338-M338)</f>
        <v/>
      </c>
      <c r="Y338" s="24">
        <f>IF(OR(P338="",T338=""),"",P338-T338)</f>
        <v/>
      </c>
      <c r="Z338" s="24">
        <f>IF(OR(Q338="",U338=""),"",Q338-U338)</f>
        <v/>
      </c>
      <c r="AA338" s="24">
        <f>IF(OR(H338="",O338=""),"",H338-O338)</f>
        <v/>
      </c>
      <c r="AB338" s="24">
        <f>IF(OR(R338="",V338=""),"",R338-V338)</f>
        <v/>
      </c>
      <c r="AC338" s="24">
        <f>IF(OR(S338="",W338=""),"",S338-W338)</f>
        <v/>
      </c>
      <c r="AD338" s="13" t="n"/>
      <c r="AE338" s="24">
        <f>IF(OR(AD338="",AD337=""),"",IF(AD337=0,"",(AD338/AD337)-1))</f>
        <v/>
      </c>
      <c r="AF338" s="24">
        <f>IF(ROW()&lt;7,"",IF(OR(AD338="",AD335=""),"",IF(AD335=0,"",(AD338/AD335)-1)))</f>
        <v/>
      </c>
      <c r="AG338" s="24">
        <f>IF(ROW()&lt;9,"",IF(OR(AD338="",AD333=""),"",IF(AD333=0,"",(AD338/AD333)-1)))</f>
        <v/>
      </c>
      <c r="AH338" s="13">
        <f>IF(ROW()&lt;23,"",AVERAGE(AD319:AD338))</f>
        <v/>
      </c>
      <c r="AI338">
        <f>IF(OR(AD338="",AH338=""),"",IF(AD338&gt;AH338,"Bull","Bear"))</f>
        <v/>
      </c>
      <c r="AJ338" s="13" t="n"/>
      <c r="AK338" s="24">
        <f>IF(OR(AJ338="",AJ337=""),"",IF(AJ337=0,"",(AJ338/AJ337)-1))</f>
        <v/>
      </c>
      <c r="AL338" s="24">
        <f>IF(ROW()&lt;7,"",IF(OR(AJ338="",AJ335=""),"",IF(AJ335=0,"",(AJ338/AJ335)-1)))</f>
        <v/>
      </c>
      <c r="AM338" s="24">
        <f>IF(ROW()&lt;9,"",IF(OR(AJ338="",AJ333=""),"",IF(AJ333=0,"",(AJ338/AJ333)-1)))</f>
        <v/>
      </c>
      <c r="AN338" s="13">
        <f>IF(ROW()&lt;23,"",AVERAGE(AJ319:AJ338))</f>
        <v/>
      </c>
      <c r="AO338">
        <f>IF(OR(AJ338="",AN338=""),"",IF(AJ338&gt;AN338,"Bull","Bear"))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8">
        <f>IFERROR((M339/M338)-1,"")</f>
        <v/>
      </c>
      <c r="O339" s="24">
        <f>IF(OR(N339="",N338=""),"",IF(N338=0,"",(N339/N338)-1))</f>
        <v/>
      </c>
      <c r="P339" s="11">
        <f>IF(ROW()&lt;7,"",IF(OR(E339="",E336=""),"",IF(E336=0,"",(E339/E336)-1)))</f>
        <v/>
      </c>
      <c r="Q339" s="24">
        <f>IF(ROW()&lt;9,"",IF(OR(E339="",E334=""),"",IF(E334=0,"",(E339/E334)-1)))</f>
        <v/>
      </c>
      <c r="R339" s="24">
        <f>IF(ROW()&lt;7,"",IF(OR(G339="",G336=""),"",IF(G336=0,"",(G339/G336)-1)))</f>
        <v/>
      </c>
      <c r="S339" s="24">
        <f>IF(ROW()&lt;9,"",IF(OR(G339="",G334=""),"",IF(G334=0,"",(G339/G334)-1)))</f>
        <v/>
      </c>
      <c r="T339" s="24">
        <f>IF(ROW()&lt;7,"",IF(OR(L339="",L336=""),"",IF(L336=0,"",(L339/L336)-1)))</f>
        <v/>
      </c>
      <c r="U339" s="24">
        <f>IF(ROW()&lt;9,"",IF(OR(L339="",L334=""),"",IF(L334=0,"",(L339/L334)-1)))</f>
        <v/>
      </c>
      <c r="V339" s="24">
        <f>IF(ROW()&lt;7,"",IF(OR(N339="",N336=""),"",IF(N336=0,"",(N339/N336)-1)))</f>
        <v/>
      </c>
      <c r="W339" s="24">
        <f>IF(ROW()&lt;9,"",IF(OR(N339="",N334=""),"",IF(N334=0,"",(N339/N334)-1)))</f>
        <v/>
      </c>
      <c r="X339" s="24">
        <f>IF(OR(F339="",M339=""),"",F339-M339)</f>
        <v/>
      </c>
      <c r="Y339" s="24">
        <f>IF(OR(P339="",T339=""),"",P339-T339)</f>
        <v/>
      </c>
      <c r="Z339" s="24">
        <f>IF(OR(Q339="",U339=""),"",Q339-U339)</f>
        <v/>
      </c>
      <c r="AA339" s="24">
        <f>IF(OR(H339="",O339=""),"",H339-O339)</f>
        <v/>
      </c>
      <c r="AB339" s="24">
        <f>IF(OR(R339="",V339=""),"",R339-V339)</f>
        <v/>
      </c>
      <c r="AC339" s="24">
        <f>IF(OR(S339="",W339=""),"",S339-W339)</f>
        <v/>
      </c>
      <c r="AD339" s="13" t="n"/>
      <c r="AE339" s="24">
        <f>IF(OR(AD339="",AD338=""),"",IF(AD338=0,"",(AD339/AD338)-1))</f>
        <v/>
      </c>
      <c r="AF339" s="24">
        <f>IF(ROW()&lt;7,"",IF(OR(AD339="",AD336=""),"",IF(AD336=0,"",(AD339/AD336)-1)))</f>
        <v/>
      </c>
      <c r="AG339" s="24">
        <f>IF(ROW()&lt;9,"",IF(OR(AD339="",AD334=""),"",IF(AD334=0,"",(AD339/AD334)-1)))</f>
        <v/>
      </c>
      <c r="AH339" s="13">
        <f>IF(ROW()&lt;23,"",AVERAGE(AD320:AD339))</f>
        <v/>
      </c>
      <c r="AI339">
        <f>IF(OR(AD339="",AH339=""),"",IF(AD339&gt;AH339,"Bull","Bear"))</f>
        <v/>
      </c>
      <c r="AJ339" s="13" t="n"/>
      <c r="AK339" s="24">
        <f>IF(OR(AJ339="",AJ338=""),"",IF(AJ338=0,"",(AJ339/AJ338)-1))</f>
        <v/>
      </c>
      <c r="AL339" s="24">
        <f>IF(ROW()&lt;7,"",IF(OR(AJ339="",AJ336=""),"",IF(AJ336=0,"",(AJ339/AJ336)-1)))</f>
        <v/>
      </c>
      <c r="AM339" s="24">
        <f>IF(ROW()&lt;9,"",IF(OR(AJ339="",AJ334=""),"",IF(AJ334=0,"",(AJ339/AJ334)-1)))</f>
        <v/>
      </c>
      <c r="AN339" s="13">
        <f>IF(ROW()&lt;23,"",AVERAGE(AJ320:AJ339))</f>
        <v/>
      </c>
      <c r="AO339">
        <f>IF(OR(AJ339="",AN339=""),"",IF(AJ339&gt;AN339,"Bull","Bear"))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8">
        <f>IFERROR((M340/M339)-1,"")</f>
        <v/>
      </c>
      <c r="O340" s="24">
        <f>IF(OR(N340="",N339=""),"",IF(N339=0,"",(N340/N339)-1))</f>
        <v/>
      </c>
      <c r="P340" s="11">
        <f>IF(ROW()&lt;7,"",IF(OR(E340="",E337=""),"",IF(E337=0,"",(E340/E337)-1)))</f>
        <v/>
      </c>
      <c r="Q340" s="24">
        <f>IF(ROW()&lt;9,"",IF(OR(E340="",E335=""),"",IF(E335=0,"",(E340/E335)-1)))</f>
        <v/>
      </c>
      <c r="R340" s="24">
        <f>IF(ROW()&lt;7,"",IF(OR(G340="",G337=""),"",IF(G337=0,"",(G340/G337)-1)))</f>
        <v/>
      </c>
      <c r="S340" s="24">
        <f>IF(ROW()&lt;9,"",IF(OR(G340="",G335=""),"",IF(G335=0,"",(G340/G335)-1)))</f>
        <v/>
      </c>
      <c r="T340" s="24">
        <f>IF(ROW()&lt;7,"",IF(OR(L340="",L337=""),"",IF(L337=0,"",(L340/L337)-1)))</f>
        <v/>
      </c>
      <c r="U340" s="24">
        <f>IF(ROW()&lt;9,"",IF(OR(L340="",L335=""),"",IF(L335=0,"",(L340/L335)-1)))</f>
        <v/>
      </c>
      <c r="V340" s="24">
        <f>IF(ROW()&lt;7,"",IF(OR(N340="",N337=""),"",IF(N337=0,"",(N340/N337)-1)))</f>
        <v/>
      </c>
      <c r="W340" s="24">
        <f>IF(ROW()&lt;9,"",IF(OR(N340="",N335=""),"",IF(N335=0,"",(N340/N335)-1)))</f>
        <v/>
      </c>
      <c r="X340" s="24">
        <f>IF(OR(F340="",M340=""),"",F340-M340)</f>
        <v/>
      </c>
      <c r="Y340" s="24">
        <f>IF(OR(P340="",T340=""),"",P340-T340)</f>
        <v/>
      </c>
      <c r="Z340" s="24">
        <f>IF(OR(Q340="",U340=""),"",Q340-U340)</f>
        <v/>
      </c>
      <c r="AA340" s="24">
        <f>IF(OR(H340="",O340=""),"",H340-O340)</f>
        <v/>
      </c>
      <c r="AB340" s="24">
        <f>IF(OR(R340="",V340=""),"",R340-V340)</f>
        <v/>
      </c>
      <c r="AC340" s="24">
        <f>IF(OR(S340="",W340=""),"",S340-W340)</f>
        <v/>
      </c>
      <c r="AD340" s="13" t="n"/>
      <c r="AE340" s="24">
        <f>IF(OR(AD340="",AD339=""),"",IF(AD339=0,"",(AD340/AD339)-1))</f>
        <v/>
      </c>
      <c r="AF340" s="24">
        <f>IF(ROW()&lt;7,"",IF(OR(AD340="",AD337=""),"",IF(AD337=0,"",(AD340/AD337)-1)))</f>
        <v/>
      </c>
      <c r="AG340" s="24">
        <f>IF(ROW()&lt;9,"",IF(OR(AD340="",AD335=""),"",IF(AD335=0,"",(AD340/AD335)-1)))</f>
        <v/>
      </c>
      <c r="AH340" s="13">
        <f>IF(ROW()&lt;23,"",AVERAGE(AD321:AD340))</f>
        <v/>
      </c>
      <c r="AI340">
        <f>IF(OR(AD340="",AH340=""),"",IF(AD340&gt;AH340,"Bull","Bear"))</f>
        <v/>
      </c>
      <c r="AJ340" s="13" t="n"/>
      <c r="AK340" s="24">
        <f>IF(OR(AJ340="",AJ339=""),"",IF(AJ339=0,"",(AJ340/AJ339)-1))</f>
        <v/>
      </c>
      <c r="AL340" s="24">
        <f>IF(ROW()&lt;7,"",IF(OR(AJ340="",AJ337=""),"",IF(AJ337=0,"",(AJ340/AJ337)-1)))</f>
        <v/>
      </c>
      <c r="AM340" s="24">
        <f>IF(ROW()&lt;9,"",IF(OR(AJ340="",AJ335=""),"",IF(AJ335=0,"",(AJ340/AJ335)-1)))</f>
        <v/>
      </c>
      <c r="AN340" s="13">
        <f>IF(ROW()&lt;23,"",AVERAGE(AJ321:AJ340))</f>
        <v/>
      </c>
      <c r="AO340">
        <f>IF(OR(AJ340="",AN340=""),"",IF(AJ340&gt;AN340,"Bull","Bear"))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8">
        <f>IFERROR((M341/M340)-1,"")</f>
        <v/>
      </c>
      <c r="O341" s="24">
        <f>IF(OR(N341="",N340=""),"",IF(N340=0,"",(N341/N340)-1))</f>
        <v/>
      </c>
      <c r="P341" s="11">
        <f>IF(ROW()&lt;7,"",IF(OR(E341="",E338=""),"",IF(E338=0,"",(E341/E338)-1)))</f>
        <v/>
      </c>
      <c r="Q341" s="24">
        <f>IF(ROW()&lt;9,"",IF(OR(E341="",E336=""),"",IF(E336=0,"",(E341/E336)-1)))</f>
        <v/>
      </c>
      <c r="R341" s="24">
        <f>IF(ROW()&lt;7,"",IF(OR(G341="",G338=""),"",IF(G338=0,"",(G341/G338)-1)))</f>
        <v/>
      </c>
      <c r="S341" s="24">
        <f>IF(ROW()&lt;9,"",IF(OR(G341="",G336=""),"",IF(G336=0,"",(G341/G336)-1)))</f>
        <v/>
      </c>
      <c r="T341" s="24">
        <f>IF(ROW()&lt;7,"",IF(OR(L341="",L338=""),"",IF(L338=0,"",(L341/L338)-1)))</f>
        <v/>
      </c>
      <c r="U341" s="24">
        <f>IF(ROW()&lt;9,"",IF(OR(L341="",L336=""),"",IF(L336=0,"",(L341/L336)-1)))</f>
        <v/>
      </c>
      <c r="V341" s="24">
        <f>IF(ROW()&lt;7,"",IF(OR(N341="",N338=""),"",IF(N338=0,"",(N341/N338)-1)))</f>
        <v/>
      </c>
      <c r="W341" s="24">
        <f>IF(ROW()&lt;9,"",IF(OR(N341="",N336=""),"",IF(N336=0,"",(N341/N336)-1)))</f>
        <v/>
      </c>
      <c r="X341" s="24">
        <f>IF(OR(F341="",M341=""),"",F341-M341)</f>
        <v/>
      </c>
      <c r="Y341" s="24">
        <f>IF(OR(P341="",T341=""),"",P341-T341)</f>
        <v/>
      </c>
      <c r="Z341" s="24">
        <f>IF(OR(Q341="",U341=""),"",Q341-U341)</f>
        <v/>
      </c>
      <c r="AA341" s="24">
        <f>IF(OR(H341="",O341=""),"",H341-O341)</f>
        <v/>
      </c>
      <c r="AB341" s="24">
        <f>IF(OR(R341="",V341=""),"",R341-V341)</f>
        <v/>
      </c>
      <c r="AC341" s="24">
        <f>IF(OR(S341="",W341=""),"",S341-W341)</f>
        <v/>
      </c>
      <c r="AD341" s="13" t="n"/>
      <c r="AE341" s="24">
        <f>IF(OR(AD341="",AD340=""),"",IF(AD340=0,"",(AD341/AD340)-1))</f>
        <v/>
      </c>
      <c r="AF341" s="24">
        <f>IF(ROW()&lt;7,"",IF(OR(AD341="",AD338=""),"",IF(AD338=0,"",(AD341/AD338)-1)))</f>
        <v/>
      </c>
      <c r="AG341" s="24">
        <f>IF(ROW()&lt;9,"",IF(OR(AD341="",AD336=""),"",IF(AD336=0,"",(AD341/AD336)-1)))</f>
        <v/>
      </c>
      <c r="AH341" s="13">
        <f>IF(ROW()&lt;23,"",AVERAGE(AD322:AD341))</f>
        <v/>
      </c>
      <c r="AI341">
        <f>IF(OR(AD341="",AH341=""),"",IF(AD341&gt;AH341,"Bull","Bear"))</f>
        <v/>
      </c>
      <c r="AJ341" s="13" t="n"/>
      <c r="AK341" s="24">
        <f>IF(OR(AJ341="",AJ340=""),"",IF(AJ340=0,"",(AJ341/AJ340)-1))</f>
        <v/>
      </c>
      <c r="AL341" s="24">
        <f>IF(ROW()&lt;7,"",IF(OR(AJ341="",AJ338=""),"",IF(AJ338=0,"",(AJ341/AJ338)-1)))</f>
        <v/>
      </c>
      <c r="AM341" s="24">
        <f>IF(ROW()&lt;9,"",IF(OR(AJ341="",AJ336=""),"",IF(AJ336=0,"",(AJ341/AJ336)-1)))</f>
        <v/>
      </c>
      <c r="AN341" s="13">
        <f>IF(ROW()&lt;23,"",AVERAGE(AJ322:AJ341))</f>
        <v/>
      </c>
      <c r="AO341">
        <f>IF(OR(AJ341="",AN341=""),"",IF(AJ341&gt;AN341,"Bull","Bear"))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8">
        <f>IFERROR((M342/M341)-1,"")</f>
        <v/>
      </c>
      <c r="O342" s="24">
        <f>IF(OR(N342="",N341=""),"",IF(N341=0,"",(N342/N341)-1))</f>
        <v/>
      </c>
      <c r="P342" s="11">
        <f>IF(ROW()&lt;7,"",IF(OR(E342="",E339=""),"",IF(E339=0,"",(E342/E339)-1)))</f>
        <v/>
      </c>
      <c r="Q342" s="24">
        <f>IF(ROW()&lt;9,"",IF(OR(E342="",E337=""),"",IF(E337=0,"",(E342/E337)-1)))</f>
        <v/>
      </c>
      <c r="R342" s="24">
        <f>IF(ROW()&lt;7,"",IF(OR(G342="",G339=""),"",IF(G339=0,"",(G342/G339)-1)))</f>
        <v/>
      </c>
      <c r="S342" s="24">
        <f>IF(ROW()&lt;9,"",IF(OR(G342="",G337=""),"",IF(G337=0,"",(G342/G337)-1)))</f>
        <v/>
      </c>
      <c r="T342" s="24">
        <f>IF(ROW()&lt;7,"",IF(OR(L342="",L339=""),"",IF(L339=0,"",(L342/L339)-1)))</f>
        <v/>
      </c>
      <c r="U342" s="24">
        <f>IF(ROW()&lt;9,"",IF(OR(L342="",L337=""),"",IF(L337=0,"",(L342/L337)-1)))</f>
        <v/>
      </c>
      <c r="V342" s="24">
        <f>IF(ROW()&lt;7,"",IF(OR(N342="",N339=""),"",IF(N339=0,"",(N342/N339)-1)))</f>
        <v/>
      </c>
      <c r="W342" s="24">
        <f>IF(ROW()&lt;9,"",IF(OR(N342="",N337=""),"",IF(N337=0,"",(N342/N337)-1)))</f>
        <v/>
      </c>
      <c r="X342" s="24">
        <f>IF(OR(F342="",M342=""),"",F342-M342)</f>
        <v/>
      </c>
      <c r="Y342" s="24">
        <f>IF(OR(P342="",T342=""),"",P342-T342)</f>
        <v/>
      </c>
      <c r="Z342" s="24">
        <f>IF(OR(Q342="",U342=""),"",Q342-U342)</f>
        <v/>
      </c>
      <c r="AA342" s="24">
        <f>IF(OR(H342="",O342=""),"",H342-O342)</f>
        <v/>
      </c>
      <c r="AB342" s="24">
        <f>IF(OR(R342="",V342=""),"",R342-V342)</f>
        <v/>
      </c>
      <c r="AC342" s="24">
        <f>IF(OR(S342="",W342=""),"",S342-W342)</f>
        <v/>
      </c>
      <c r="AD342" s="13" t="n"/>
      <c r="AE342" s="24">
        <f>IF(OR(AD342="",AD341=""),"",IF(AD341=0,"",(AD342/AD341)-1))</f>
        <v/>
      </c>
      <c r="AF342" s="24">
        <f>IF(ROW()&lt;7,"",IF(OR(AD342="",AD339=""),"",IF(AD339=0,"",(AD342/AD339)-1)))</f>
        <v/>
      </c>
      <c r="AG342" s="24">
        <f>IF(ROW()&lt;9,"",IF(OR(AD342="",AD337=""),"",IF(AD337=0,"",(AD342/AD337)-1)))</f>
        <v/>
      </c>
      <c r="AH342" s="13">
        <f>IF(ROW()&lt;23,"",AVERAGE(AD323:AD342))</f>
        <v/>
      </c>
      <c r="AI342">
        <f>IF(OR(AD342="",AH342=""),"",IF(AD342&gt;AH342,"Bull","Bear"))</f>
        <v/>
      </c>
      <c r="AJ342" s="13" t="n"/>
      <c r="AK342" s="24">
        <f>IF(OR(AJ342="",AJ341=""),"",IF(AJ341=0,"",(AJ342/AJ341)-1))</f>
        <v/>
      </c>
      <c r="AL342" s="24">
        <f>IF(ROW()&lt;7,"",IF(OR(AJ342="",AJ339=""),"",IF(AJ339=0,"",(AJ342/AJ339)-1)))</f>
        <v/>
      </c>
      <c r="AM342" s="24">
        <f>IF(ROW()&lt;9,"",IF(OR(AJ342="",AJ337=""),"",IF(AJ337=0,"",(AJ342/AJ337)-1)))</f>
        <v/>
      </c>
      <c r="AN342" s="13">
        <f>IF(ROW()&lt;23,"",AVERAGE(AJ323:AJ342))</f>
        <v/>
      </c>
      <c r="AO342">
        <f>IF(OR(AJ342="",AN342=""),"",IF(AJ342&gt;AN342,"Bull","Bear"))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8">
        <f>IFERROR((M343/M342)-1,"")</f>
        <v/>
      </c>
      <c r="O343" s="24">
        <f>IF(OR(N343="",N342=""),"",IF(N342=0,"",(N343/N342)-1))</f>
        <v/>
      </c>
      <c r="P343" s="11">
        <f>IF(ROW()&lt;7,"",IF(OR(E343="",E340=""),"",IF(E340=0,"",(E343/E340)-1)))</f>
        <v/>
      </c>
      <c r="Q343" s="24">
        <f>IF(ROW()&lt;9,"",IF(OR(E343="",E338=""),"",IF(E338=0,"",(E343/E338)-1)))</f>
        <v/>
      </c>
      <c r="R343" s="24">
        <f>IF(ROW()&lt;7,"",IF(OR(G343="",G340=""),"",IF(G340=0,"",(G343/G340)-1)))</f>
        <v/>
      </c>
      <c r="S343" s="24">
        <f>IF(ROW()&lt;9,"",IF(OR(G343="",G338=""),"",IF(G338=0,"",(G343/G338)-1)))</f>
        <v/>
      </c>
      <c r="T343" s="24">
        <f>IF(ROW()&lt;7,"",IF(OR(L343="",L340=""),"",IF(L340=0,"",(L343/L340)-1)))</f>
        <v/>
      </c>
      <c r="U343" s="24">
        <f>IF(ROW()&lt;9,"",IF(OR(L343="",L338=""),"",IF(L338=0,"",(L343/L338)-1)))</f>
        <v/>
      </c>
      <c r="V343" s="24">
        <f>IF(ROW()&lt;7,"",IF(OR(N343="",N340=""),"",IF(N340=0,"",(N343/N340)-1)))</f>
        <v/>
      </c>
      <c r="W343" s="24">
        <f>IF(ROW()&lt;9,"",IF(OR(N343="",N338=""),"",IF(N338=0,"",(N343/N338)-1)))</f>
        <v/>
      </c>
      <c r="X343" s="24">
        <f>IF(OR(F343="",M343=""),"",F343-M343)</f>
        <v/>
      </c>
      <c r="Y343" s="24">
        <f>IF(OR(P343="",T343=""),"",P343-T343)</f>
        <v/>
      </c>
      <c r="Z343" s="24">
        <f>IF(OR(Q343="",U343=""),"",Q343-U343)</f>
        <v/>
      </c>
      <c r="AA343" s="24">
        <f>IF(OR(H343="",O343=""),"",H343-O343)</f>
        <v/>
      </c>
      <c r="AB343" s="24">
        <f>IF(OR(R343="",V343=""),"",R343-V343)</f>
        <v/>
      </c>
      <c r="AC343" s="24">
        <f>IF(OR(S343="",W343=""),"",S343-W343)</f>
        <v/>
      </c>
      <c r="AD343" s="13" t="n"/>
      <c r="AE343" s="24">
        <f>IF(OR(AD343="",AD342=""),"",IF(AD342=0,"",(AD343/AD342)-1))</f>
        <v/>
      </c>
      <c r="AF343" s="24">
        <f>IF(ROW()&lt;7,"",IF(OR(AD343="",AD340=""),"",IF(AD340=0,"",(AD343/AD340)-1)))</f>
        <v/>
      </c>
      <c r="AG343" s="24">
        <f>IF(ROW()&lt;9,"",IF(OR(AD343="",AD338=""),"",IF(AD338=0,"",(AD343/AD338)-1)))</f>
        <v/>
      </c>
      <c r="AH343" s="13">
        <f>IF(ROW()&lt;23,"",AVERAGE(AD324:AD343))</f>
        <v/>
      </c>
      <c r="AI343">
        <f>IF(OR(AD343="",AH343=""),"",IF(AD343&gt;AH343,"Bull","Bear"))</f>
        <v/>
      </c>
      <c r="AJ343" s="13" t="n"/>
      <c r="AK343" s="24">
        <f>IF(OR(AJ343="",AJ342=""),"",IF(AJ342=0,"",(AJ343/AJ342)-1))</f>
        <v/>
      </c>
      <c r="AL343" s="24">
        <f>IF(ROW()&lt;7,"",IF(OR(AJ343="",AJ340=""),"",IF(AJ340=0,"",(AJ343/AJ340)-1)))</f>
        <v/>
      </c>
      <c r="AM343" s="24">
        <f>IF(ROW()&lt;9,"",IF(OR(AJ343="",AJ338=""),"",IF(AJ338=0,"",(AJ343/AJ338)-1)))</f>
        <v/>
      </c>
      <c r="AN343" s="13">
        <f>IF(ROW()&lt;23,"",AVERAGE(AJ324:AJ343))</f>
        <v/>
      </c>
      <c r="AO343">
        <f>IF(OR(AJ343="",AN343=""),"",IF(AJ343&gt;AN343,"Bull","Bear"))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8">
        <f>IFERROR((M344/M343)-1,"")</f>
        <v/>
      </c>
      <c r="O344" s="24">
        <f>IF(OR(N344="",N343=""),"",IF(N343=0,"",(N344/N343)-1))</f>
        <v/>
      </c>
      <c r="P344" s="11">
        <f>IF(ROW()&lt;7,"",IF(OR(E344="",E341=""),"",IF(E341=0,"",(E344/E341)-1)))</f>
        <v/>
      </c>
      <c r="Q344" s="24">
        <f>IF(ROW()&lt;9,"",IF(OR(E344="",E339=""),"",IF(E339=0,"",(E344/E339)-1)))</f>
        <v/>
      </c>
      <c r="R344" s="24">
        <f>IF(ROW()&lt;7,"",IF(OR(G344="",G341=""),"",IF(G341=0,"",(G344/G341)-1)))</f>
        <v/>
      </c>
      <c r="S344" s="24">
        <f>IF(ROW()&lt;9,"",IF(OR(G344="",G339=""),"",IF(G339=0,"",(G344/G339)-1)))</f>
        <v/>
      </c>
      <c r="T344" s="24">
        <f>IF(ROW()&lt;7,"",IF(OR(L344="",L341=""),"",IF(L341=0,"",(L344/L341)-1)))</f>
        <v/>
      </c>
      <c r="U344" s="24">
        <f>IF(ROW()&lt;9,"",IF(OR(L344="",L339=""),"",IF(L339=0,"",(L344/L339)-1)))</f>
        <v/>
      </c>
      <c r="V344" s="24">
        <f>IF(ROW()&lt;7,"",IF(OR(N344="",N341=""),"",IF(N341=0,"",(N344/N341)-1)))</f>
        <v/>
      </c>
      <c r="W344" s="24">
        <f>IF(ROW()&lt;9,"",IF(OR(N344="",N339=""),"",IF(N339=0,"",(N344/N339)-1)))</f>
        <v/>
      </c>
      <c r="X344" s="24">
        <f>IF(OR(F344="",M344=""),"",F344-M344)</f>
        <v/>
      </c>
      <c r="Y344" s="24">
        <f>IF(OR(P344="",T344=""),"",P344-T344)</f>
        <v/>
      </c>
      <c r="Z344" s="24">
        <f>IF(OR(Q344="",U344=""),"",Q344-U344)</f>
        <v/>
      </c>
      <c r="AA344" s="24">
        <f>IF(OR(H344="",O344=""),"",H344-O344)</f>
        <v/>
      </c>
      <c r="AB344" s="24">
        <f>IF(OR(R344="",V344=""),"",R344-V344)</f>
        <v/>
      </c>
      <c r="AC344" s="24">
        <f>IF(OR(S344="",W344=""),"",S344-W344)</f>
        <v/>
      </c>
      <c r="AD344" s="13" t="n"/>
      <c r="AE344" s="24">
        <f>IF(OR(AD344="",AD343=""),"",IF(AD343=0,"",(AD344/AD343)-1))</f>
        <v/>
      </c>
      <c r="AF344" s="24">
        <f>IF(ROW()&lt;7,"",IF(OR(AD344="",AD341=""),"",IF(AD341=0,"",(AD344/AD341)-1)))</f>
        <v/>
      </c>
      <c r="AG344" s="24">
        <f>IF(ROW()&lt;9,"",IF(OR(AD344="",AD339=""),"",IF(AD339=0,"",(AD344/AD339)-1)))</f>
        <v/>
      </c>
      <c r="AH344" s="13">
        <f>IF(ROW()&lt;23,"",AVERAGE(AD325:AD344))</f>
        <v/>
      </c>
      <c r="AI344">
        <f>IF(OR(AD344="",AH344=""),"",IF(AD344&gt;AH344,"Bull","Bear"))</f>
        <v/>
      </c>
      <c r="AJ344" s="13" t="n"/>
      <c r="AK344" s="24">
        <f>IF(OR(AJ344="",AJ343=""),"",IF(AJ343=0,"",(AJ344/AJ343)-1))</f>
        <v/>
      </c>
      <c r="AL344" s="24">
        <f>IF(ROW()&lt;7,"",IF(OR(AJ344="",AJ341=""),"",IF(AJ341=0,"",(AJ344/AJ341)-1)))</f>
        <v/>
      </c>
      <c r="AM344" s="24">
        <f>IF(ROW()&lt;9,"",IF(OR(AJ344="",AJ339=""),"",IF(AJ339=0,"",(AJ344/AJ339)-1)))</f>
        <v/>
      </c>
      <c r="AN344" s="13">
        <f>IF(ROW()&lt;23,"",AVERAGE(AJ325:AJ344))</f>
        <v/>
      </c>
      <c r="AO344">
        <f>IF(OR(AJ344="",AN344=""),"",IF(AJ344&gt;AN344,"Bull","Bear"))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8">
        <f>IFERROR((M345/M344)-1,"")</f>
        <v/>
      </c>
      <c r="O345" s="24">
        <f>IF(OR(N345="",N344=""),"",IF(N344=0,"",(N345/N344)-1))</f>
        <v/>
      </c>
      <c r="P345" s="11">
        <f>IF(ROW()&lt;7,"",IF(OR(E345="",E342=""),"",IF(E342=0,"",(E345/E342)-1)))</f>
        <v/>
      </c>
      <c r="Q345" s="24">
        <f>IF(ROW()&lt;9,"",IF(OR(E345="",E340=""),"",IF(E340=0,"",(E345/E340)-1)))</f>
        <v/>
      </c>
      <c r="R345" s="24">
        <f>IF(ROW()&lt;7,"",IF(OR(G345="",G342=""),"",IF(G342=0,"",(G345/G342)-1)))</f>
        <v/>
      </c>
      <c r="S345" s="24">
        <f>IF(ROW()&lt;9,"",IF(OR(G345="",G340=""),"",IF(G340=0,"",(G345/G340)-1)))</f>
        <v/>
      </c>
      <c r="T345" s="24">
        <f>IF(ROW()&lt;7,"",IF(OR(L345="",L342=""),"",IF(L342=0,"",(L345/L342)-1)))</f>
        <v/>
      </c>
      <c r="U345" s="24">
        <f>IF(ROW()&lt;9,"",IF(OR(L345="",L340=""),"",IF(L340=0,"",(L345/L340)-1)))</f>
        <v/>
      </c>
      <c r="V345" s="24">
        <f>IF(ROW()&lt;7,"",IF(OR(N345="",N342=""),"",IF(N342=0,"",(N345/N342)-1)))</f>
        <v/>
      </c>
      <c r="W345" s="24">
        <f>IF(ROW()&lt;9,"",IF(OR(N345="",N340=""),"",IF(N340=0,"",(N345/N340)-1)))</f>
        <v/>
      </c>
      <c r="X345" s="24">
        <f>IF(OR(F345="",M345=""),"",F345-M345)</f>
        <v/>
      </c>
      <c r="Y345" s="24">
        <f>IF(OR(P345="",T345=""),"",P345-T345)</f>
        <v/>
      </c>
      <c r="Z345" s="24">
        <f>IF(OR(Q345="",U345=""),"",Q345-U345)</f>
        <v/>
      </c>
      <c r="AA345" s="24">
        <f>IF(OR(H345="",O345=""),"",H345-O345)</f>
        <v/>
      </c>
      <c r="AB345" s="24">
        <f>IF(OR(R345="",V345=""),"",R345-V345)</f>
        <v/>
      </c>
      <c r="AC345" s="24">
        <f>IF(OR(S345="",W345=""),"",S345-W345)</f>
        <v/>
      </c>
      <c r="AD345" s="13" t="n"/>
      <c r="AE345" s="24">
        <f>IF(OR(AD345="",AD344=""),"",IF(AD344=0,"",(AD345/AD344)-1))</f>
        <v/>
      </c>
      <c r="AF345" s="24">
        <f>IF(ROW()&lt;7,"",IF(OR(AD345="",AD342=""),"",IF(AD342=0,"",(AD345/AD342)-1)))</f>
        <v/>
      </c>
      <c r="AG345" s="24">
        <f>IF(ROW()&lt;9,"",IF(OR(AD345="",AD340=""),"",IF(AD340=0,"",(AD345/AD340)-1)))</f>
        <v/>
      </c>
      <c r="AH345" s="13">
        <f>IF(ROW()&lt;23,"",AVERAGE(AD326:AD345))</f>
        <v/>
      </c>
      <c r="AI345">
        <f>IF(OR(AD345="",AH345=""),"",IF(AD345&gt;AH345,"Bull","Bear"))</f>
        <v/>
      </c>
      <c r="AJ345" s="13" t="n"/>
      <c r="AK345" s="24">
        <f>IF(OR(AJ345="",AJ344=""),"",IF(AJ344=0,"",(AJ345/AJ344)-1))</f>
        <v/>
      </c>
      <c r="AL345" s="24">
        <f>IF(ROW()&lt;7,"",IF(OR(AJ345="",AJ342=""),"",IF(AJ342=0,"",(AJ345/AJ342)-1)))</f>
        <v/>
      </c>
      <c r="AM345" s="24">
        <f>IF(ROW()&lt;9,"",IF(OR(AJ345="",AJ340=""),"",IF(AJ340=0,"",(AJ345/AJ340)-1)))</f>
        <v/>
      </c>
      <c r="AN345" s="13">
        <f>IF(ROW()&lt;23,"",AVERAGE(AJ326:AJ345))</f>
        <v/>
      </c>
      <c r="AO345">
        <f>IF(OR(AJ345="",AN345=""),"",IF(AJ345&gt;AN345,"Bull","Bear"))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8">
        <f>IFERROR((M346/M345)-1,"")</f>
        <v/>
      </c>
      <c r="O346" s="24">
        <f>IF(OR(N346="",N345=""),"",IF(N345=0,"",(N346/N345)-1))</f>
        <v/>
      </c>
      <c r="P346" s="11">
        <f>IF(ROW()&lt;7,"",IF(OR(E346="",E343=""),"",IF(E343=0,"",(E346/E343)-1)))</f>
        <v/>
      </c>
      <c r="Q346" s="24">
        <f>IF(ROW()&lt;9,"",IF(OR(E346="",E341=""),"",IF(E341=0,"",(E346/E341)-1)))</f>
        <v/>
      </c>
      <c r="R346" s="24">
        <f>IF(ROW()&lt;7,"",IF(OR(G346="",G343=""),"",IF(G343=0,"",(G346/G343)-1)))</f>
        <v/>
      </c>
      <c r="S346" s="24">
        <f>IF(ROW()&lt;9,"",IF(OR(G346="",G341=""),"",IF(G341=0,"",(G346/G341)-1)))</f>
        <v/>
      </c>
      <c r="T346" s="24">
        <f>IF(ROW()&lt;7,"",IF(OR(L346="",L343=""),"",IF(L343=0,"",(L346/L343)-1)))</f>
        <v/>
      </c>
      <c r="U346" s="24">
        <f>IF(ROW()&lt;9,"",IF(OR(L346="",L341=""),"",IF(L341=0,"",(L346/L341)-1)))</f>
        <v/>
      </c>
      <c r="V346" s="24">
        <f>IF(ROW()&lt;7,"",IF(OR(N346="",N343=""),"",IF(N343=0,"",(N346/N343)-1)))</f>
        <v/>
      </c>
      <c r="W346" s="24">
        <f>IF(ROW()&lt;9,"",IF(OR(N346="",N341=""),"",IF(N341=0,"",(N346/N341)-1)))</f>
        <v/>
      </c>
      <c r="X346" s="24">
        <f>IF(OR(F346="",M346=""),"",F346-M346)</f>
        <v/>
      </c>
      <c r="Y346" s="24">
        <f>IF(OR(P346="",T346=""),"",P346-T346)</f>
        <v/>
      </c>
      <c r="Z346" s="24">
        <f>IF(OR(Q346="",U346=""),"",Q346-U346)</f>
        <v/>
      </c>
      <c r="AA346" s="24">
        <f>IF(OR(H346="",O346=""),"",H346-O346)</f>
        <v/>
      </c>
      <c r="AB346" s="24">
        <f>IF(OR(R346="",V346=""),"",R346-V346)</f>
        <v/>
      </c>
      <c r="AC346" s="24">
        <f>IF(OR(S346="",W346=""),"",S346-W346)</f>
        <v/>
      </c>
      <c r="AD346" s="13" t="n"/>
      <c r="AE346" s="24">
        <f>IF(OR(AD346="",AD345=""),"",IF(AD345=0,"",(AD346/AD345)-1))</f>
        <v/>
      </c>
      <c r="AF346" s="24">
        <f>IF(ROW()&lt;7,"",IF(OR(AD346="",AD343=""),"",IF(AD343=0,"",(AD346/AD343)-1)))</f>
        <v/>
      </c>
      <c r="AG346" s="24">
        <f>IF(ROW()&lt;9,"",IF(OR(AD346="",AD341=""),"",IF(AD341=0,"",(AD346/AD341)-1)))</f>
        <v/>
      </c>
      <c r="AH346" s="13">
        <f>IF(ROW()&lt;23,"",AVERAGE(AD327:AD346))</f>
        <v/>
      </c>
      <c r="AI346">
        <f>IF(OR(AD346="",AH346=""),"",IF(AD346&gt;AH346,"Bull","Bear"))</f>
        <v/>
      </c>
      <c r="AJ346" s="13" t="n"/>
      <c r="AK346" s="24">
        <f>IF(OR(AJ346="",AJ345=""),"",IF(AJ345=0,"",(AJ346/AJ345)-1))</f>
        <v/>
      </c>
      <c r="AL346" s="24">
        <f>IF(ROW()&lt;7,"",IF(OR(AJ346="",AJ343=""),"",IF(AJ343=0,"",(AJ346/AJ343)-1)))</f>
        <v/>
      </c>
      <c r="AM346" s="24">
        <f>IF(ROW()&lt;9,"",IF(OR(AJ346="",AJ341=""),"",IF(AJ341=0,"",(AJ346/AJ341)-1)))</f>
        <v/>
      </c>
      <c r="AN346" s="13">
        <f>IF(ROW()&lt;23,"",AVERAGE(AJ327:AJ346))</f>
        <v/>
      </c>
      <c r="AO346">
        <f>IF(OR(AJ346="",AN346=""),"",IF(AJ346&gt;AN346,"Bull","Bear"))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8">
        <f>IFERROR((M347/M346)-1,"")</f>
        <v/>
      </c>
      <c r="O347" s="24">
        <f>IF(OR(N347="",N346=""),"",IF(N346=0,"",(N347/N346)-1))</f>
        <v/>
      </c>
      <c r="P347" s="11">
        <f>IF(ROW()&lt;7,"",IF(OR(E347="",E344=""),"",IF(E344=0,"",(E347/E344)-1)))</f>
        <v/>
      </c>
      <c r="Q347" s="24">
        <f>IF(ROW()&lt;9,"",IF(OR(E347="",E342=""),"",IF(E342=0,"",(E347/E342)-1)))</f>
        <v/>
      </c>
      <c r="R347" s="24">
        <f>IF(ROW()&lt;7,"",IF(OR(G347="",G344=""),"",IF(G344=0,"",(G347/G344)-1)))</f>
        <v/>
      </c>
      <c r="S347" s="24">
        <f>IF(ROW()&lt;9,"",IF(OR(G347="",G342=""),"",IF(G342=0,"",(G347/G342)-1)))</f>
        <v/>
      </c>
      <c r="T347" s="24">
        <f>IF(ROW()&lt;7,"",IF(OR(L347="",L344=""),"",IF(L344=0,"",(L347/L344)-1)))</f>
        <v/>
      </c>
      <c r="U347" s="24">
        <f>IF(ROW()&lt;9,"",IF(OR(L347="",L342=""),"",IF(L342=0,"",(L347/L342)-1)))</f>
        <v/>
      </c>
      <c r="V347" s="24">
        <f>IF(ROW()&lt;7,"",IF(OR(N347="",N344=""),"",IF(N344=0,"",(N347/N344)-1)))</f>
        <v/>
      </c>
      <c r="W347" s="24">
        <f>IF(ROW()&lt;9,"",IF(OR(N347="",N342=""),"",IF(N342=0,"",(N347/N342)-1)))</f>
        <v/>
      </c>
      <c r="X347" s="24">
        <f>IF(OR(F347="",M347=""),"",F347-M347)</f>
        <v/>
      </c>
      <c r="Y347" s="24">
        <f>IF(OR(P347="",T347=""),"",P347-T347)</f>
        <v/>
      </c>
      <c r="Z347" s="24">
        <f>IF(OR(Q347="",U347=""),"",Q347-U347)</f>
        <v/>
      </c>
      <c r="AA347" s="24">
        <f>IF(OR(H347="",O347=""),"",H347-O347)</f>
        <v/>
      </c>
      <c r="AB347" s="24">
        <f>IF(OR(R347="",V347=""),"",R347-V347)</f>
        <v/>
      </c>
      <c r="AC347" s="24">
        <f>IF(OR(S347="",W347=""),"",S347-W347)</f>
        <v/>
      </c>
      <c r="AD347" s="13" t="n"/>
      <c r="AE347" s="24">
        <f>IF(OR(AD347="",AD346=""),"",IF(AD346=0,"",(AD347/AD346)-1))</f>
        <v/>
      </c>
      <c r="AF347" s="24">
        <f>IF(ROW()&lt;7,"",IF(OR(AD347="",AD344=""),"",IF(AD344=0,"",(AD347/AD344)-1)))</f>
        <v/>
      </c>
      <c r="AG347" s="24">
        <f>IF(ROW()&lt;9,"",IF(OR(AD347="",AD342=""),"",IF(AD342=0,"",(AD347/AD342)-1)))</f>
        <v/>
      </c>
      <c r="AH347" s="13">
        <f>IF(ROW()&lt;23,"",AVERAGE(AD328:AD347))</f>
        <v/>
      </c>
      <c r="AI347">
        <f>IF(OR(AD347="",AH347=""),"",IF(AD347&gt;AH347,"Bull","Bear"))</f>
        <v/>
      </c>
      <c r="AJ347" s="13" t="n"/>
      <c r="AK347" s="24">
        <f>IF(OR(AJ347="",AJ346=""),"",IF(AJ346=0,"",(AJ347/AJ346)-1))</f>
        <v/>
      </c>
      <c r="AL347" s="24">
        <f>IF(ROW()&lt;7,"",IF(OR(AJ347="",AJ344=""),"",IF(AJ344=0,"",(AJ347/AJ344)-1)))</f>
        <v/>
      </c>
      <c r="AM347" s="24">
        <f>IF(ROW()&lt;9,"",IF(OR(AJ347="",AJ342=""),"",IF(AJ342=0,"",(AJ347/AJ342)-1)))</f>
        <v/>
      </c>
      <c r="AN347" s="13">
        <f>IF(ROW()&lt;23,"",AVERAGE(AJ328:AJ347))</f>
        <v/>
      </c>
      <c r="AO347">
        <f>IF(OR(AJ347="",AN347=""),"",IF(AJ347&gt;AN347,"Bull","Bear"))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8">
        <f>IFERROR((M348/M347)-1,"")</f>
        <v/>
      </c>
      <c r="O348" s="24">
        <f>IF(OR(N348="",N347=""),"",IF(N347=0,"",(N348/N347)-1))</f>
        <v/>
      </c>
      <c r="P348" s="11">
        <f>IF(ROW()&lt;7,"",IF(OR(E348="",E345=""),"",IF(E345=0,"",(E348/E345)-1)))</f>
        <v/>
      </c>
      <c r="Q348" s="24">
        <f>IF(ROW()&lt;9,"",IF(OR(E348="",E343=""),"",IF(E343=0,"",(E348/E343)-1)))</f>
        <v/>
      </c>
      <c r="R348" s="24">
        <f>IF(ROW()&lt;7,"",IF(OR(G348="",G345=""),"",IF(G345=0,"",(G348/G345)-1)))</f>
        <v/>
      </c>
      <c r="S348" s="24">
        <f>IF(ROW()&lt;9,"",IF(OR(G348="",G343=""),"",IF(G343=0,"",(G348/G343)-1)))</f>
        <v/>
      </c>
      <c r="T348" s="24">
        <f>IF(ROW()&lt;7,"",IF(OR(L348="",L345=""),"",IF(L345=0,"",(L348/L345)-1)))</f>
        <v/>
      </c>
      <c r="U348" s="24">
        <f>IF(ROW()&lt;9,"",IF(OR(L348="",L343=""),"",IF(L343=0,"",(L348/L343)-1)))</f>
        <v/>
      </c>
      <c r="V348" s="24">
        <f>IF(ROW()&lt;7,"",IF(OR(N348="",N345=""),"",IF(N345=0,"",(N348/N345)-1)))</f>
        <v/>
      </c>
      <c r="W348" s="24">
        <f>IF(ROW()&lt;9,"",IF(OR(N348="",N343=""),"",IF(N343=0,"",(N348/N343)-1)))</f>
        <v/>
      </c>
      <c r="X348" s="24">
        <f>IF(OR(F348="",M348=""),"",F348-M348)</f>
        <v/>
      </c>
      <c r="Y348" s="24">
        <f>IF(OR(P348="",T348=""),"",P348-T348)</f>
        <v/>
      </c>
      <c r="Z348" s="24">
        <f>IF(OR(Q348="",U348=""),"",Q348-U348)</f>
        <v/>
      </c>
      <c r="AA348" s="24">
        <f>IF(OR(H348="",O348=""),"",H348-O348)</f>
        <v/>
      </c>
      <c r="AB348" s="24">
        <f>IF(OR(R348="",V348=""),"",R348-V348)</f>
        <v/>
      </c>
      <c r="AC348" s="24">
        <f>IF(OR(S348="",W348=""),"",S348-W348)</f>
        <v/>
      </c>
      <c r="AD348" s="13" t="n"/>
      <c r="AE348" s="24">
        <f>IF(OR(AD348="",AD347=""),"",IF(AD347=0,"",(AD348/AD347)-1))</f>
        <v/>
      </c>
      <c r="AF348" s="24">
        <f>IF(ROW()&lt;7,"",IF(OR(AD348="",AD345=""),"",IF(AD345=0,"",(AD348/AD345)-1)))</f>
        <v/>
      </c>
      <c r="AG348" s="24">
        <f>IF(ROW()&lt;9,"",IF(OR(AD348="",AD343=""),"",IF(AD343=0,"",(AD348/AD343)-1)))</f>
        <v/>
      </c>
      <c r="AH348" s="13">
        <f>IF(ROW()&lt;23,"",AVERAGE(AD329:AD348))</f>
        <v/>
      </c>
      <c r="AI348">
        <f>IF(OR(AD348="",AH348=""),"",IF(AD348&gt;AH348,"Bull","Bear"))</f>
        <v/>
      </c>
      <c r="AJ348" s="13" t="n"/>
      <c r="AK348" s="24">
        <f>IF(OR(AJ348="",AJ347=""),"",IF(AJ347=0,"",(AJ348/AJ347)-1))</f>
        <v/>
      </c>
      <c r="AL348" s="24">
        <f>IF(ROW()&lt;7,"",IF(OR(AJ348="",AJ345=""),"",IF(AJ345=0,"",(AJ348/AJ345)-1)))</f>
        <v/>
      </c>
      <c r="AM348" s="24">
        <f>IF(ROW()&lt;9,"",IF(OR(AJ348="",AJ343=""),"",IF(AJ343=0,"",(AJ348/AJ343)-1)))</f>
        <v/>
      </c>
      <c r="AN348" s="13">
        <f>IF(ROW()&lt;23,"",AVERAGE(AJ329:AJ348))</f>
        <v/>
      </c>
      <c r="AO348">
        <f>IF(OR(AJ348="",AN348=""),"",IF(AJ348&gt;AN348,"Bull","Bear"))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8">
        <f>IFERROR((M349/M348)-1,"")</f>
        <v/>
      </c>
      <c r="O349" s="24">
        <f>IF(OR(N349="",N348=""),"",IF(N348=0,"",(N349/N348)-1))</f>
        <v/>
      </c>
      <c r="P349" s="11">
        <f>IF(ROW()&lt;7,"",IF(OR(E349="",E346=""),"",IF(E346=0,"",(E349/E346)-1)))</f>
        <v/>
      </c>
      <c r="Q349" s="24">
        <f>IF(ROW()&lt;9,"",IF(OR(E349="",E344=""),"",IF(E344=0,"",(E349/E344)-1)))</f>
        <v/>
      </c>
      <c r="R349" s="24">
        <f>IF(ROW()&lt;7,"",IF(OR(G349="",G346=""),"",IF(G346=0,"",(G349/G346)-1)))</f>
        <v/>
      </c>
      <c r="S349" s="24">
        <f>IF(ROW()&lt;9,"",IF(OR(G349="",G344=""),"",IF(G344=0,"",(G349/G344)-1)))</f>
        <v/>
      </c>
      <c r="T349" s="24">
        <f>IF(ROW()&lt;7,"",IF(OR(L349="",L346=""),"",IF(L346=0,"",(L349/L346)-1)))</f>
        <v/>
      </c>
      <c r="U349" s="24">
        <f>IF(ROW()&lt;9,"",IF(OR(L349="",L344=""),"",IF(L344=0,"",(L349/L344)-1)))</f>
        <v/>
      </c>
      <c r="V349" s="24">
        <f>IF(ROW()&lt;7,"",IF(OR(N349="",N346=""),"",IF(N346=0,"",(N349/N346)-1)))</f>
        <v/>
      </c>
      <c r="W349" s="24">
        <f>IF(ROW()&lt;9,"",IF(OR(N349="",N344=""),"",IF(N344=0,"",(N349/N344)-1)))</f>
        <v/>
      </c>
      <c r="X349" s="24">
        <f>IF(OR(F349="",M349=""),"",F349-M349)</f>
        <v/>
      </c>
      <c r="Y349" s="24">
        <f>IF(OR(P349="",T349=""),"",P349-T349)</f>
        <v/>
      </c>
      <c r="Z349" s="24">
        <f>IF(OR(Q349="",U349=""),"",Q349-U349)</f>
        <v/>
      </c>
      <c r="AA349" s="24">
        <f>IF(OR(H349="",O349=""),"",H349-O349)</f>
        <v/>
      </c>
      <c r="AB349" s="24">
        <f>IF(OR(R349="",V349=""),"",R349-V349)</f>
        <v/>
      </c>
      <c r="AC349" s="24">
        <f>IF(OR(S349="",W349=""),"",S349-W349)</f>
        <v/>
      </c>
      <c r="AD349" s="13" t="n"/>
      <c r="AE349" s="24">
        <f>IF(OR(AD349="",AD348=""),"",IF(AD348=0,"",(AD349/AD348)-1))</f>
        <v/>
      </c>
      <c r="AF349" s="24">
        <f>IF(ROW()&lt;7,"",IF(OR(AD349="",AD346=""),"",IF(AD346=0,"",(AD349/AD346)-1)))</f>
        <v/>
      </c>
      <c r="AG349" s="24">
        <f>IF(ROW()&lt;9,"",IF(OR(AD349="",AD344=""),"",IF(AD344=0,"",(AD349/AD344)-1)))</f>
        <v/>
      </c>
      <c r="AH349" s="13">
        <f>IF(ROW()&lt;23,"",AVERAGE(AD330:AD349))</f>
        <v/>
      </c>
      <c r="AI349">
        <f>IF(OR(AD349="",AH349=""),"",IF(AD349&gt;AH349,"Bull","Bear"))</f>
        <v/>
      </c>
      <c r="AJ349" s="13" t="n"/>
      <c r="AK349" s="24">
        <f>IF(OR(AJ349="",AJ348=""),"",IF(AJ348=0,"",(AJ349/AJ348)-1))</f>
        <v/>
      </c>
      <c r="AL349" s="24">
        <f>IF(ROW()&lt;7,"",IF(OR(AJ349="",AJ346=""),"",IF(AJ346=0,"",(AJ349/AJ346)-1)))</f>
        <v/>
      </c>
      <c r="AM349" s="24">
        <f>IF(ROW()&lt;9,"",IF(OR(AJ349="",AJ344=""),"",IF(AJ344=0,"",(AJ349/AJ344)-1)))</f>
        <v/>
      </c>
      <c r="AN349" s="13">
        <f>IF(ROW()&lt;23,"",AVERAGE(AJ330:AJ349))</f>
        <v/>
      </c>
      <c r="AO349">
        <f>IF(OR(AJ349="",AN349=""),"",IF(AJ349&gt;AN349,"Bull","Bear"))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8">
        <f>IFERROR((M350/M349)-1,"")</f>
        <v/>
      </c>
      <c r="O350" s="24">
        <f>IF(OR(N350="",N349=""),"",IF(N349=0,"",(N350/N349)-1))</f>
        <v/>
      </c>
      <c r="P350" s="11">
        <f>IF(ROW()&lt;7,"",IF(OR(E350="",E347=""),"",IF(E347=0,"",(E350/E347)-1)))</f>
        <v/>
      </c>
      <c r="Q350" s="24">
        <f>IF(ROW()&lt;9,"",IF(OR(E350="",E345=""),"",IF(E345=0,"",(E350/E345)-1)))</f>
        <v/>
      </c>
      <c r="R350" s="24">
        <f>IF(ROW()&lt;7,"",IF(OR(G350="",G347=""),"",IF(G347=0,"",(G350/G347)-1)))</f>
        <v/>
      </c>
      <c r="S350" s="24">
        <f>IF(ROW()&lt;9,"",IF(OR(G350="",G345=""),"",IF(G345=0,"",(G350/G345)-1)))</f>
        <v/>
      </c>
      <c r="T350" s="24">
        <f>IF(ROW()&lt;7,"",IF(OR(L350="",L347=""),"",IF(L347=0,"",(L350/L347)-1)))</f>
        <v/>
      </c>
      <c r="U350" s="24">
        <f>IF(ROW()&lt;9,"",IF(OR(L350="",L345=""),"",IF(L345=0,"",(L350/L345)-1)))</f>
        <v/>
      </c>
      <c r="V350" s="24">
        <f>IF(ROW()&lt;7,"",IF(OR(N350="",N347=""),"",IF(N347=0,"",(N350/N347)-1)))</f>
        <v/>
      </c>
      <c r="W350" s="24">
        <f>IF(ROW()&lt;9,"",IF(OR(N350="",N345=""),"",IF(N345=0,"",(N350/N345)-1)))</f>
        <v/>
      </c>
      <c r="X350" s="24">
        <f>IF(OR(F350="",M350=""),"",F350-M350)</f>
        <v/>
      </c>
      <c r="Y350" s="24">
        <f>IF(OR(P350="",T350=""),"",P350-T350)</f>
        <v/>
      </c>
      <c r="Z350" s="24">
        <f>IF(OR(Q350="",U350=""),"",Q350-U350)</f>
        <v/>
      </c>
      <c r="AA350" s="24">
        <f>IF(OR(H350="",O350=""),"",H350-O350)</f>
        <v/>
      </c>
      <c r="AB350" s="24">
        <f>IF(OR(R350="",V350=""),"",R350-V350)</f>
        <v/>
      </c>
      <c r="AC350" s="24">
        <f>IF(OR(S350="",W350=""),"",S350-W350)</f>
        <v/>
      </c>
      <c r="AD350" s="13" t="n"/>
      <c r="AE350" s="24">
        <f>IF(OR(AD350="",AD349=""),"",IF(AD349=0,"",(AD350/AD349)-1))</f>
        <v/>
      </c>
      <c r="AF350" s="24">
        <f>IF(ROW()&lt;7,"",IF(OR(AD350="",AD347=""),"",IF(AD347=0,"",(AD350/AD347)-1)))</f>
        <v/>
      </c>
      <c r="AG350" s="24">
        <f>IF(ROW()&lt;9,"",IF(OR(AD350="",AD345=""),"",IF(AD345=0,"",(AD350/AD345)-1)))</f>
        <v/>
      </c>
      <c r="AH350" s="13">
        <f>IF(ROW()&lt;23,"",AVERAGE(AD331:AD350))</f>
        <v/>
      </c>
      <c r="AI350">
        <f>IF(OR(AD350="",AH350=""),"",IF(AD350&gt;AH350,"Bull","Bear"))</f>
        <v/>
      </c>
      <c r="AJ350" s="13" t="n"/>
      <c r="AK350" s="24">
        <f>IF(OR(AJ350="",AJ349=""),"",IF(AJ349=0,"",(AJ350/AJ349)-1))</f>
        <v/>
      </c>
      <c r="AL350" s="24">
        <f>IF(ROW()&lt;7,"",IF(OR(AJ350="",AJ347=""),"",IF(AJ347=0,"",(AJ350/AJ347)-1)))</f>
        <v/>
      </c>
      <c r="AM350" s="24">
        <f>IF(ROW()&lt;9,"",IF(OR(AJ350="",AJ345=""),"",IF(AJ345=0,"",(AJ350/AJ345)-1)))</f>
        <v/>
      </c>
      <c r="AN350" s="13">
        <f>IF(ROW()&lt;23,"",AVERAGE(AJ331:AJ350))</f>
        <v/>
      </c>
      <c r="AO350">
        <f>IF(OR(AJ350="",AN350=""),"",IF(AJ350&gt;AN350,"Bull","Bear"))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8">
        <f>IFERROR((M351/M350)-1,"")</f>
        <v/>
      </c>
      <c r="O351" s="24">
        <f>IF(OR(N351="",N350=""),"",IF(N350=0,"",(N351/N350)-1))</f>
        <v/>
      </c>
      <c r="P351" s="11">
        <f>IF(ROW()&lt;7,"",IF(OR(E351="",E348=""),"",IF(E348=0,"",(E351/E348)-1)))</f>
        <v/>
      </c>
      <c r="Q351" s="24">
        <f>IF(ROW()&lt;9,"",IF(OR(E351="",E346=""),"",IF(E346=0,"",(E351/E346)-1)))</f>
        <v/>
      </c>
      <c r="R351" s="24">
        <f>IF(ROW()&lt;7,"",IF(OR(G351="",G348=""),"",IF(G348=0,"",(G351/G348)-1)))</f>
        <v/>
      </c>
      <c r="S351" s="24">
        <f>IF(ROW()&lt;9,"",IF(OR(G351="",G346=""),"",IF(G346=0,"",(G351/G346)-1)))</f>
        <v/>
      </c>
      <c r="T351" s="24">
        <f>IF(ROW()&lt;7,"",IF(OR(L351="",L348=""),"",IF(L348=0,"",(L351/L348)-1)))</f>
        <v/>
      </c>
      <c r="U351" s="24">
        <f>IF(ROW()&lt;9,"",IF(OR(L351="",L346=""),"",IF(L346=0,"",(L351/L346)-1)))</f>
        <v/>
      </c>
      <c r="V351" s="24">
        <f>IF(ROW()&lt;7,"",IF(OR(N351="",N348=""),"",IF(N348=0,"",(N351/N348)-1)))</f>
        <v/>
      </c>
      <c r="W351" s="24">
        <f>IF(ROW()&lt;9,"",IF(OR(N351="",N346=""),"",IF(N346=0,"",(N351/N346)-1)))</f>
        <v/>
      </c>
      <c r="X351" s="24">
        <f>IF(OR(F351="",M351=""),"",F351-M351)</f>
        <v/>
      </c>
      <c r="Y351" s="24">
        <f>IF(OR(P351="",T351=""),"",P351-T351)</f>
        <v/>
      </c>
      <c r="Z351" s="24">
        <f>IF(OR(Q351="",U351=""),"",Q351-U351)</f>
        <v/>
      </c>
      <c r="AA351" s="24">
        <f>IF(OR(H351="",O351=""),"",H351-O351)</f>
        <v/>
      </c>
      <c r="AB351" s="24">
        <f>IF(OR(R351="",V351=""),"",R351-V351)</f>
        <v/>
      </c>
      <c r="AC351" s="24">
        <f>IF(OR(S351="",W351=""),"",S351-W351)</f>
        <v/>
      </c>
      <c r="AD351" s="13" t="n"/>
      <c r="AE351" s="24">
        <f>IF(OR(AD351="",AD350=""),"",IF(AD350=0,"",(AD351/AD350)-1))</f>
        <v/>
      </c>
      <c r="AF351" s="24">
        <f>IF(ROW()&lt;7,"",IF(OR(AD351="",AD348=""),"",IF(AD348=0,"",(AD351/AD348)-1)))</f>
        <v/>
      </c>
      <c r="AG351" s="24">
        <f>IF(ROW()&lt;9,"",IF(OR(AD351="",AD346=""),"",IF(AD346=0,"",(AD351/AD346)-1)))</f>
        <v/>
      </c>
      <c r="AH351" s="13">
        <f>IF(ROW()&lt;23,"",AVERAGE(AD332:AD351))</f>
        <v/>
      </c>
      <c r="AI351">
        <f>IF(OR(AD351="",AH351=""),"",IF(AD351&gt;AH351,"Bull","Bear"))</f>
        <v/>
      </c>
      <c r="AJ351" s="13" t="n"/>
      <c r="AK351" s="24">
        <f>IF(OR(AJ351="",AJ350=""),"",IF(AJ350=0,"",(AJ351/AJ350)-1))</f>
        <v/>
      </c>
      <c r="AL351" s="24">
        <f>IF(ROW()&lt;7,"",IF(OR(AJ351="",AJ348=""),"",IF(AJ348=0,"",(AJ351/AJ348)-1)))</f>
        <v/>
      </c>
      <c r="AM351" s="24">
        <f>IF(ROW()&lt;9,"",IF(OR(AJ351="",AJ346=""),"",IF(AJ346=0,"",(AJ351/AJ346)-1)))</f>
        <v/>
      </c>
      <c r="AN351" s="13">
        <f>IF(ROW()&lt;23,"",AVERAGE(AJ332:AJ351))</f>
        <v/>
      </c>
      <c r="AO351">
        <f>IF(OR(AJ351="",AN351=""),"",IF(AJ351&gt;AN351,"Bull","Bear"))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8">
        <f>IFERROR((M352/M351)-1,"")</f>
        <v/>
      </c>
      <c r="O352" s="24">
        <f>IF(OR(N352="",N351=""),"",IF(N351=0,"",(N352/N351)-1))</f>
        <v/>
      </c>
      <c r="P352" s="11">
        <f>IF(ROW()&lt;7,"",IF(OR(E352="",E349=""),"",IF(E349=0,"",(E352/E349)-1)))</f>
        <v/>
      </c>
      <c r="Q352" s="24">
        <f>IF(ROW()&lt;9,"",IF(OR(E352="",E347=""),"",IF(E347=0,"",(E352/E347)-1)))</f>
        <v/>
      </c>
      <c r="R352" s="24">
        <f>IF(ROW()&lt;7,"",IF(OR(G352="",G349=""),"",IF(G349=0,"",(G352/G349)-1)))</f>
        <v/>
      </c>
      <c r="S352" s="24">
        <f>IF(ROW()&lt;9,"",IF(OR(G352="",G347=""),"",IF(G347=0,"",(G352/G347)-1)))</f>
        <v/>
      </c>
      <c r="T352" s="24">
        <f>IF(ROW()&lt;7,"",IF(OR(L352="",L349=""),"",IF(L349=0,"",(L352/L349)-1)))</f>
        <v/>
      </c>
      <c r="U352" s="24">
        <f>IF(ROW()&lt;9,"",IF(OR(L352="",L347=""),"",IF(L347=0,"",(L352/L347)-1)))</f>
        <v/>
      </c>
      <c r="V352" s="24">
        <f>IF(ROW()&lt;7,"",IF(OR(N352="",N349=""),"",IF(N349=0,"",(N352/N349)-1)))</f>
        <v/>
      </c>
      <c r="W352" s="24">
        <f>IF(ROW()&lt;9,"",IF(OR(N352="",N347=""),"",IF(N347=0,"",(N352/N347)-1)))</f>
        <v/>
      </c>
      <c r="X352" s="24">
        <f>IF(OR(F352="",M352=""),"",F352-M352)</f>
        <v/>
      </c>
      <c r="Y352" s="24">
        <f>IF(OR(P352="",T352=""),"",P352-T352)</f>
        <v/>
      </c>
      <c r="Z352" s="24">
        <f>IF(OR(Q352="",U352=""),"",Q352-U352)</f>
        <v/>
      </c>
      <c r="AA352" s="24">
        <f>IF(OR(H352="",O352=""),"",H352-O352)</f>
        <v/>
      </c>
      <c r="AB352" s="24">
        <f>IF(OR(R352="",V352=""),"",R352-V352)</f>
        <v/>
      </c>
      <c r="AC352" s="24">
        <f>IF(OR(S352="",W352=""),"",S352-W352)</f>
        <v/>
      </c>
      <c r="AD352" s="13" t="n"/>
      <c r="AE352" s="24">
        <f>IF(OR(AD352="",AD351=""),"",IF(AD351=0,"",(AD352/AD351)-1))</f>
        <v/>
      </c>
      <c r="AF352" s="24">
        <f>IF(ROW()&lt;7,"",IF(OR(AD352="",AD349=""),"",IF(AD349=0,"",(AD352/AD349)-1)))</f>
        <v/>
      </c>
      <c r="AG352" s="24">
        <f>IF(ROW()&lt;9,"",IF(OR(AD352="",AD347=""),"",IF(AD347=0,"",(AD352/AD347)-1)))</f>
        <v/>
      </c>
      <c r="AH352" s="13">
        <f>IF(ROW()&lt;23,"",AVERAGE(AD333:AD352))</f>
        <v/>
      </c>
      <c r="AI352">
        <f>IF(OR(AD352="",AH352=""),"",IF(AD352&gt;AH352,"Bull","Bear"))</f>
        <v/>
      </c>
      <c r="AJ352" s="13" t="n"/>
      <c r="AK352" s="24">
        <f>IF(OR(AJ352="",AJ351=""),"",IF(AJ351=0,"",(AJ352/AJ351)-1))</f>
        <v/>
      </c>
      <c r="AL352" s="24">
        <f>IF(ROW()&lt;7,"",IF(OR(AJ352="",AJ349=""),"",IF(AJ349=0,"",(AJ352/AJ349)-1)))</f>
        <v/>
      </c>
      <c r="AM352" s="24">
        <f>IF(ROW()&lt;9,"",IF(OR(AJ352="",AJ347=""),"",IF(AJ347=0,"",(AJ352/AJ347)-1)))</f>
        <v/>
      </c>
      <c r="AN352" s="13">
        <f>IF(ROW()&lt;23,"",AVERAGE(AJ333:AJ352))</f>
        <v/>
      </c>
      <c r="AO352">
        <f>IF(OR(AJ352="",AN352=""),"",IF(AJ352&gt;AN352,"Bull","Bear"))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8">
        <f>IFERROR((M353/M352)-1,"")</f>
        <v/>
      </c>
      <c r="O353" s="24">
        <f>IF(OR(N353="",N352=""),"",IF(N352=0,"",(N353/N352)-1))</f>
        <v/>
      </c>
      <c r="P353" s="11">
        <f>IF(ROW()&lt;7,"",IF(OR(E353="",E350=""),"",IF(E350=0,"",(E353/E350)-1)))</f>
        <v/>
      </c>
      <c r="Q353" s="24">
        <f>IF(ROW()&lt;9,"",IF(OR(E353="",E348=""),"",IF(E348=0,"",(E353/E348)-1)))</f>
        <v/>
      </c>
      <c r="R353" s="24">
        <f>IF(ROW()&lt;7,"",IF(OR(G353="",G350=""),"",IF(G350=0,"",(G353/G350)-1)))</f>
        <v/>
      </c>
      <c r="S353" s="24">
        <f>IF(ROW()&lt;9,"",IF(OR(G353="",G348=""),"",IF(G348=0,"",(G353/G348)-1)))</f>
        <v/>
      </c>
      <c r="T353" s="24">
        <f>IF(ROW()&lt;7,"",IF(OR(L353="",L350=""),"",IF(L350=0,"",(L353/L350)-1)))</f>
        <v/>
      </c>
      <c r="U353" s="24">
        <f>IF(ROW()&lt;9,"",IF(OR(L353="",L348=""),"",IF(L348=0,"",(L353/L348)-1)))</f>
        <v/>
      </c>
      <c r="V353" s="24">
        <f>IF(ROW()&lt;7,"",IF(OR(N353="",N350=""),"",IF(N350=0,"",(N353/N350)-1)))</f>
        <v/>
      </c>
      <c r="W353" s="24">
        <f>IF(ROW()&lt;9,"",IF(OR(N353="",N348=""),"",IF(N348=0,"",(N353/N348)-1)))</f>
        <v/>
      </c>
      <c r="X353" s="24">
        <f>IF(OR(F353="",M353=""),"",F353-M353)</f>
        <v/>
      </c>
      <c r="Y353" s="24">
        <f>IF(OR(P353="",T353=""),"",P353-T353)</f>
        <v/>
      </c>
      <c r="Z353" s="24">
        <f>IF(OR(Q353="",U353=""),"",Q353-U353)</f>
        <v/>
      </c>
      <c r="AA353" s="24">
        <f>IF(OR(H353="",O353=""),"",H353-O353)</f>
        <v/>
      </c>
      <c r="AB353" s="24">
        <f>IF(OR(R353="",V353=""),"",R353-V353)</f>
        <v/>
      </c>
      <c r="AC353" s="24">
        <f>IF(OR(S353="",W353=""),"",S353-W353)</f>
        <v/>
      </c>
      <c r="AD353" s="13" t="n"/>
      <c r="AE353" s="24">
        <f>IF(OR(AD353="",AD352=""),"",IF(AD352=0,"",(AD353/AD352)-1))</f>
        <v/>
      </c>
      <c r="AF353" s="24">
        <f>IF(ROW()&lt;7,"",IF(OR(AD353="",AD350=""),"",IF(AD350=0,"",(AD353/AD350)-1)))</f>
        <v/>
      </c>
      <c r="AG353" s="24">
        <f>IF(ROW()&lt;9,"",IF(OR(AD353="",AD348=""),"",IF(AD348=0,"",(AD353/AD348)-1)))</f>
        <v/>
      </c>
      <c r="AH353" s="13">
        <f>IF(ROW()&lt;23,"",AVERAGE(AD334:AD353))</f>
        <v/>
      </c>
      <c r="AI353">
        <f>IF(OR(AD353="",AH353=""),"",IF(AD353&gt;AH353,"Bull","Bear"))</f>
        <v/>
      </c>
      <c r="AJ353" s="13" t="n"/>
      <c r="AK353" s="24">
        <f>IF(OR(AJ353="",AJ352=""),"",IF(AJ352=0,"",(AJ353/AJ352)-1))</f>
        <v/>
      </c>
      <c r="AL353" s="24">
        <f>IF(ROW()&lt;7,"",IF(OR(AJ353="",AJ350=""),"",IF(AJ350=0,"",(AJ353/AJ350)-1)))</f>
        <v/>
      </c>
      <c r="AM353" s="24">
        <f>IF(ROW()&lt;9,"",IF(OR(AJ353="",AJ348=""),"",IF(AJ348=0,"",(AJ353/AJ348)-1)))</f>
        <v/>
      </c>
      <c r="AN353" s="13">
        <f>IF(ROW()&lt;23,"",AVERAGE(AJ334:AJ353))</f>
        <v/>
      </c>
      <c r="AO353">
        <f>IF(OR(AJ353="",AN353=""),"",IF(AJ353&gt;AN353,"Bull","Bear"))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8">
        <f>IFERROR((M354/M353)-1,"")</f>
        <v/>
      </c>
      <c r="O354" s="24">
        <f>IF(OR(N354="",N353=""),"",IF(N353=0,"",(N354/N353)-1))</f>
        <v/>
      </c>
      <c r="P354" s="11">
        <f>IF(ROW()&lt;7,"",IF(OR(E354="",E351=""),"",IF(E351=0,"",(E354/E351)-1)))</f>
        <v/>
      </c>
      <c r="Q354" s="24">
        <f>IF(ROW()&lt;9,"",IF(OR(E354="",E349=""),"",IF(E349=0,"",(E354/E349)-1)))</f>
        <v/>
      </c>
      <c r="R354" s="24">
        <f>IF(ROW()&lt;7,"",IF(OR(G354="",G351=""),"",IF(G351=0,"",(G354/G351)-1)))</f>
        <v/>
      </c>
      <c r="S354" s="24">
        <f>IF(ROW()&lt;9,"",IF(OR(G354="",G349=""),"",IF(G349=0,"",(G354/G349)-1)))</f>
        <v/>
      </c>
      <c r="T354" s="24">
        <f>IF(ROW()&lt;7,"",IF(OR(L354="",L351=""),"",IF(L351=0,"",(L354/L351)-1)))</f>
        <v/>
      </c>
      <c r="U354" s="24">
        <f>IF(ROW()&lt;9,"",IF(OR(L354="",L349=""),"",IF(L349=0,"",(L354/L349)-1)))</f>
        <v/>
      </c>
      <c r="V354" s="24">
        <f>IF(ROW()&lt;7,"",IF(OR(N354="",N351=""),"",IF(N351=0,"",(N354/N351)-1)))</f>
        <v/>
      </c>
      <c r="W354" s="24">
        <f>IF(ROW()&lt;9,"",IF(OR(N354="",N349=""),"",IF(N349=0,"",(N354/N349)-1)))</f>
        <v/>
      </c>
      <c r="X354" s="24">
        <f>IF(OR(F354="",M354=""),"",F354-M354)</f>
        <v/>
      </c>
      <c r="Y354" s="24">
        <f>IF(OR(P354="",T354=""),"",P354-T354)</f>
        <v/>
      </c>
      <c r="Z354" s="24">
        <f>IF(OR(Q354="",U354=""),"",Q354-U354)</f>
        <v/>
      </c>
      <c r="AA354" s="24">
        <f>IF(OR(H354="",O354=""),"",H354-O354)</f>
        <v/>
      </c>
      <c r="AB354" s="24">
        <f>IF(OR(R354="",V354=""),"",R354-V354)</f>
        <v/>
      </c>
      <c r="AC354" s="24">
        <f>IF(OR(S354="",W354=""),"",S354-W354)</f>
        <v/>
      </c>
      <c r="AD354" s="13" t="n"/>
      <c r="AE354" s="24">
        <f>IF(OR(AD354="",AD353=""),"",IF(AD353=0,"",(AD354/AD353)-1))</f>
        <v/>
      </c>
      <c r="AF354" s="24">
        <f>IF(ROW()&lt;7,"",IF(OR(AD354="",AD351=""),"",IF(AD351=0,"",(AD354/AD351)-1)))</f>
        <v/>
      </c>
      <c r="AG354" s="24">
        <f>IF(ROW()&lt;9,"",IF(OR(AD354="",AD349=""),"",IF(AD349=0,"",(AD354/AD349)-1)))</f>
        <v/>
      </c>
      <c r="AH354" s="13">
        <f>IF(ROW()&lt;23,"",AVERAGE(AD335:AD354))</f>
        <v/>
      </c>
      <c r="AI354">
        <f>IF(OR(AD354="",AH354=""),"",IF(AD354&gt;AH354,"Bull","Bear"))</f>
        <v/>
      </c>
      <c r="AJ354" s="13" t="n"/>
      <c r="AK354" s="24">
        <f>IF(OR(AJ354="",AJ353=""),"",IF(AJ353=0,"",(AJ354/AJ353)-1))</f>
        <v/>
      </c>
      <c r="AL354" s="24">
        <f>IF(ROW()&lt;7,"",IF(OR(AJ354="",AJ351=""),"",IF(AJ351=0,"",(AJ354/AJ351)-1)))</f>
        <v/>
      </c>
      <c r="AM354" s="24">
        <f>IF(ROW()&lt;9,"",IF(OR(AJ354="",AJ349=""),"",IF(AJ349=0,"",(AJ354/AJ349)-1)))</f>
        <v/>
      </c>
      <c r="AN354" s="13">
        <f>IF(ROW()&lt;23,"",AVERAGE(AJ335:AJ354))</f>
        <v/>
      </c>
      <c r="AO354">
        <f>IF(OR(AJ354="",AN354=""),"",IF(AJ354&gt;AN354,"Bull","Bear"))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8">
        <f>IFERROR((M355/M354)-1,"")</f>
        <v/>
      </c>
      <c r="O355" s="24">
        <f>IF(OR(N355="",N354=""),"",IF(N354=0,"",(N355/N354)-1))</f>
        <v/>
      </c>
      <c r="P355" s="11">
        <f>IF(ROW()&lt;7,"",IF(OR(E355="",E352=""),"",IF(E352=0,"",(E355/E352)-1)))</f>
        <v/>
      </c>
      <c r="Q355" s="24">
        <f>IF(ROW()&lt;9,"",IF(OR(E355="",E350=""),"",IF(E350=0,"",(E355/E350)-1)))</f>
        <v/>
      </c>
      <c r="R355" s="24">
        <f>IF(ROW()&lt;7,"",IF(OR(G355="",G352=""),"",IF(G352=0,"",(G355/G352)-1)))</f>
        <v/>
      </c>
      <c r="S355" s="24">
        <f>IF(ROW()&lt;9,"",IF(OR(G355="",G350=""),"",IF(G350=0,"",(G355/G350)-1)))</f>
        <v/>
      </c>
      <c r="T355" s="24">
        <f>IF(ROW()&lt;7,"",IF(OR(L355="",L352=""),"",IF(L352=0,"",(L355/L352)-1)))</f>
        <v/>
      </c>
      <c r="U355" s="24">
        <f>IF(ROW()&lt;9,"",IF(OR(L355="",L350=""),"",IF(L350=0,"",(L355/L350)-1)))</f>
        <v/>
      </c>
      <c r="V355" s="24">
        <f>IF(ROW()&lt;7,"",IF(OR(N355="",N352=""),"",IF(N352=0,"",(N355/N352)-1)))</f>
        <v/>
      </c>
      <c r="W355" s="24">
        <f>IF(ROW()&lt;9,"",IF(OR(N355="",N350=""),"",IF(N350=0,"",(N355/N350)-1)))</f>
        <v/>
      </c>
      <c r="X355" s="24">
        <f>IF(OR(F355="",M355=""),"",F355-M355)</f>
        <v/>
      </c>
      <c r="Y355" s="24">
        <f>IF(OR(P355="",T355=""),"",P355-T355)</f>
        <v/>
      </c>
      <c r="Z355" s="24">
        <f>IF(OR(Q355="",U355=""),"",Q355-U355)</f>
        <v/>
      </c>
      <c r="AA355" s="24">
        <f>IF(OR(H355="",O355=""),"",H355-O355)</f>
        <v/>
      </c>
      <c r="AB355" s="24">
        <f>IF(OR(R355="",V355=""),"",R355-V355)</f>
        <v/>
      </c>
      <c r="AC355" s="24">
        <f>IF(OR(S355="",W355=""),"",S355-W355)</f>
        <v/>
      </c>
      <c r="AD355" s="13" t="n"/>
      <c r="AE355" s="24">
        <f>IF(OR(AD355="",AD354=""),"",IF(AD354=0,"",(AD355/AD354)-1))</f>
        <v/>
      </c>
      <c r="AF355" s="24">
        <f>IF(ROW()&lt;7,"",IF(OR(AD355="",AD352=""),"",IF(AD352=0,"",(AD355/AD352)-1)))</f>
        <v/>
      </c>
      <c r="AG355" s="24">
        <f>IF(ROW()&lt;9,"",IF(OR(AD355="",AD350=""),"",IF(AD350=0,"",(AD355/AD350)-1)))</f>
        <v/>
      </c>
      <c r="AH355" s="13">
        <f>IF(ROW()&lt;23,"",AVERAGE(AD336:AD355))</f>
        <v/>
      </c>
      <c r="AI355">
        <f>IF(OR(AD355="",AH355=""),"",IF(AD355&gt;AH355,"Bull","Bear"))</f>
        <v/>
      </c>
      <c r="AJ355" s="13" t="n"/>
      <c r="AK355" s="24">
        <f>IF(OR(AJ355="",AJ354=""),"",IF(AJ354=0,"",(AJ355/AJ354)-1))</f>
        <v/>
      </c>
      <c r="AL355" s="24">
        <f>IF(ROW()&lt;7,"",IF(OR(AJ355="",AJ352=""),"",IF(AJ352=0,"",(AJ355/AJ352)-1)))</f>
        <v/>
      </c>
      <c r="AM355" s="24">
        <f>IF(ROW()&lt;9,"",IF(OR(AJ355="",AJ350=""),"",IF(AJ350=0,"",(AJ355/AJ350)-1)))</f>
        <v/>
      </c>
      <c r="AN355" s="13">
        <f>IF(ROW()&lt;23,"",AVERAGE(AJ336:AJ355))</f>
        <v/>
      </c>
      <c r="AO355">
        <f>IF(OR(AJ355="",AN355=""),"",IF(AJ355&gt;AN355,"Bull","Bear"))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8">
        <f>IFERROR((M356/M355)-1,"")</f>
        <v/>
      </c>
      <c r="O356" s="24">
        <f>IF(OR(N356="",N355=""),"",IF(N355=0,"",(N356/N355)-1))</f>
        <v/>
      </c>
      <c r="P356" s="11">
        <f>IF(ROW()&lt;7,"",IF(OR(E356="",E353=""),"",IF(E353=0,"",(E356/E353)-1)))</f>
        <v/>
      </c>
      <c r="Q356" s="24">
        <f>IF(ROW()&lt;9,"",IF(OR(E356="",E351=""),"",IF(E351=0,"",(E356/E351)-1)))</f>
        <v/>
      </c>
      <c r="R356" s="24">
        <f>IF(ROW()&lt;7,"",IF(OR(G356="",G353=""),"",IF(G353=0,"",(G356/G353)-1)))</f>
        <v/>
      </c>
      <c r="S356" s="24">
        <f>IF(ROW()&lt;9,"",IF(OR(G356="",G351=""),"",IF(G351=0,"",(G356/G351)-1)))</f>
        <v/>
      </c>
      <c r="T356" s="24">
        <f>IF(ROW()&lt;7,"",IF(OR(L356="",L353=""),"",IF(L353=0,"",(L356/L353)-1)))</f>
        <v/>
      </c>
      <c r="U356" s="24">
        <f>IF(ROW()&lt;9,"",IF(OR(L356="",L351=""),"",IF(L351=0,"",(L356/L351)-1)))</f>
        <v/>
      </c>
      <c r="V356" s="24">
        <f>IF(ROW()&lt;7,"",IF(OR(N356="",N353=""),"",IF(N353=0,"",(N356/N353)-1)))</f>
        <v/>
      </c>
      <c r="W356" s="24">
        <f>IF(ROW()&lt;9,"",IF(OR(N356="",N351=""),"",IF(N351=0,"",(N356/N351)-1)))</f>
        <v/>
      </c>
      <c r="X356" s="24">
        <f>IF(OR(F356="",M356=""),"",F356-M356)</f>
        <v/>
      </c>
      <c r="Y356" s="24">
        <f>IF(OR(P356="",T356=""),"",P356-T356)</f>
        <v/>
      </c>
      <c r="Z356" s="24">
        <f>IF(OR(Q356="",U356=""),"",Q356-U356)</f>
        <v/>
      </c>
      <c r="AA356" s="24">
        <f>IF(OR(H356="",O356=""),"",H356-O356)</f>
        <v/>
      </c>
      <c r="AB356" s="24">
        <f>IF(OR(R356="",V356=""),"",R356-V356)</f>
        <v/>
      </c>
      <c r="AC356" s="24">
        <f>IF(OR(S356="",W356=""),"",S356-W356)</f>
        <v/>
      </c>
      <c r="AD356" s="13" t="n"/>
      <c r="AE356" s="24">
        <f>IF(OR(AD356="",AD355=""),"",IF(AD355=0,"",(AD356/AD355)-1))</f>
        <v/>
      </c>
      <c r="AF356" s="24">
        <f>IF(ROW()&lt;7,"",IF(OR(AD356="",AD353=""),"",IF(AD353=0,"",(AD356/AD353)-1)))</f>
        <v/>
      </c>
      <c r="AG356" s="24">
        <f>IF(ROW()&lt;9,"",IF(OR(AD356="",AD351=""),"",IF(AD351=0,"",(AD356/AD351)-1)))</f>
        <v/>
      </c>
      <c r="AH356" s="13">
        <f>IF(ROW()&lt;23,"",AVERAGE(AD337:AD356))</f>
        <v/>
      </c>
      <c r="AI356">
        <f>IF(OR(AD356="",AH356=""),"",IF(AD356&gt;AH356,"Bull","Bear"))</f>
        <v/>
      </c>
      <c r="AJ356" s="13" t="n"/>
      <c r="AK356" s="24">
        <f>IF(OR(AJ356="",AJ355=""),"",IF(AJ355=0,"",(AJ356/AJ355)-1))</f>
        <v/>
      </c>
      <c r="AL356" s="24">
        <f>IF(ROW()&lt;7,"",IF(OR(AJ356="",AJ353=""),"",IF(AJ353=0,"",(AJ356/AJ353)-1)))</f>
        <v/>
      </c>
      <c r="AM356" s="24">
        <f>IF(ROW()&lt;9,"",IF(OR(AJ356="",AJ351=""),"",IF(AJ351=0,"",(AJ356/AJ351)-1)))</f>
        <v/>
      </c>
      <c r="AN356" s="13">
        <f>IF(ROW()&lt;23,"",AVERAGE(AJ337:AJ356))</f>
        <v/>
      </c>
      <c r="AO356">
        <f>IF(OR(AJ356="",AN356=""),"",IF(AJ356&gt;AN356,"Bull","Bear"))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8">
        <f>IFERROR((M357/M356)-1,"")</f>
        <v/>
      </c>
      <c r="O357" s="24">
        <f>IF(OR(N357="",N356=""),"",IF(N356=0,"",(N357/N356)-1))</f>
        <v/>
      </c>
      <c r="P357" s="11">
        <f>IF(ROW()&lt;7,"",IF(OR(E357="",E354=""),"",IF(E354=0,"",(E357/E354)-1)))</f>
        <v/>
      </c>
      <c r="Q357" s="24">
        <f>IF(ROW()&lt;9,"",IF(OR(E357="",E352=""),"",IF(E352=0,"",(E357/E352)-1)))</f>
        <v/>
      </c>
      <c r="R357" s="24">
        <f>IF(ROW()&lt;7,"",IF(OR(G357="",G354=""),"",IF(G354=0,"",(G357/G354)-1)))</f>
        <v/>
      </c>
      <c r="S357" s="24">
        <f>IF(ROW()&lt;9,"",IF(OR(G357="",G352=""),"",IF(G352=0,"",(G357/G352)-1)))</f>
        <v/>
      </c>
      <c r="T357" s="24">
        <f>IF(ROW()&lt;7,"",IF(OR(L357="",L354=""),"",IF(L354=0,"",(L357/L354)-1)))</f>
        <v/>
      </c>
      <c r="U357" s="24">
        <f>IF(ROW()&lt;9,"",IF(OR(L357="",L352=""),"",IF(L352=0,"",(L357/L352)-1)))</f>
        <v/>
      </c>
      <c r="V357" s="24">
        <f>IF(ROW()&lt;7,"",IF(OR(N357="",N354=""),"",IF(N354=0,"",(N357/N354)-1)))</f>
        <v/>
      </c>
      <c r="W357" s="24">
        <f>IF(ROW()&lt;9,"",IF(OR(N357="",N352=""),"",IF(N352=0,"",(N357/N352)-1)))</f>
        <v/>
      </c>
      <c r="X357" s="24">
        <f>IF(OR(F357="",M357=""),"",F357-M357)</f>
        <v/>
      </c>
      <c r="Y357" s="24">
        <f>IF(OR(P357="",T357=""),"",P357-T357)</f>
        <v/>
      </c>
      <c r="Z357" s="24">
        <f>IF(OR(Q357="",U357=""),"",Q357-U357)</f>
        <v/>
      </c>
      <c r="AA357" s="24">
        <f>IF(OR(H357="",O357=""),"",H357-O357)</f>
        <v/>
      </c>
      <c r="AB357" s="24">
        <f>IF(OR(R357="",V357=""),"",R357-V357)</f>
        <v/>
      </c>
      <c r="AC357" s="24">
        <f>IF(OR(S357="",W357=""),"",S357-W357)</f>
        <v/>
      </c>
      <c r="AD357" s="13" t="n"/>
      <c r="AE357" s="24">
        <f>IF(OR(AD357="",AD356=""),"",IF(AD356=0,"",(AD357/AD356)-1))</f>
        <v/>
      </c>
      <c r="AF357" s="24">
        <f>IF(ROW()&lt;7,"",IF(OR(AD357="",AD354=""),"",IF(AD354=0,"",(AD357/AD354)-1)))</f>
        <v/>
      </c>
      <c r="AG357" s="24">
        <f>IF(ROW()&lt;9,"",IF(OR(AD357="",AD352=""),"",IF(AD352=0,"",(AD357/AD352)-1)))</f>
        <v/>
      </c>
      <c r="AH357" s="13">
        <f>IF(ROW()&lt;23,"",AVERAGE(AD338:AD357))</f>
        <v/>
      </c>
      <c r="AI357">
        <f>IF(OR(AD357="",AH357=""),"",IF(AD357&gt;AH357,"Bull","Bear"))</f>
        <v/>
      </c>
      <c r="AJ357" s="13" t="n"/>
      <c r="AK357" s="24">
        <f>IF(OR(AJ357="",AJ356=""),"",IF(AJ356=0,"",(AJ357/AJ356)-1))</f>
        <v/>
      </c>
      <c r="AL357" s="24">
        <f>IF(ROW()&lt;7,"",IF(OR(AJ357="",AJ354=""),"",IF(AJ354=0,"",(AJ357/AJ354)-1)))</f>
        <v/>
      </c>
      <c r="AM357" s="24">
        <f>IF(ROW()&lt;9,"",IF(OR(AJ357="",AJ352=""),"",IF(AJ352=0,"",(AJ357/AJ352)-1)))</f>
        <v/>
      </c>
      <c r="AN357" s="13">
        <f>IF(ROW()&lt;23,"",AVERAGE(AJ338:AJ357))</f>
        <v/>
      </c>
      <c r="AO357">
        <f>IF(OR(AJ357="",AN357=""),"",IF(AJ357&gt;AN357,"Bull","Bear"))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8">
        <f>IFERROR((M358/M357)-1,"")</f>
        <v/>
      </c>
      <c r="O358" s="24">
        <f>IF(OR(N358="",N357=""),"",IF(N357=0,"",(N358/N357)-1))</f>
        <v/>
      </c>
      <c r="P358" s="11">
        <f>IF(ROW()&lt;7,"",IF(OR(E358="",E355=""),"",IF(E355=0,"",(E358/E355)-1)))</f>
        <v/>
      </c>
      <c r="Q358" s="24">
        <f>IF(ROW()&lt;9,"",IF(OR(E358="",E353=""),"",IF(E353=0,"",(E358/E353)-1)))</f>
        <v/>
      </c>
      <c r="R358" s="24">
        <f>IF(ROW()&lt;7,"",IF(OR(G358="",G355=""),"",IF(G355=0,"",(G358/G355)-1)))</f>
        <v/>
      </c>
      <c r="S358" s="24">
        <f>IF(ROW()&lt;9,"",IF(OR(G358="",G353=""),"",IF(G353=0,"",(G358/G353)-1)))</f>
        <v/>
      </c>
      <c r="T358" s="24">
        <f>IF(ROW()&lt;7,"",IF(OR(L358="",L355=""),"",IF(L355=0,"",(L358/L355)-1)))</f>
        <v/>
      </c>
      <c r="U358" s="24">
        <f>IF(ROW()&lt;9,"",IF(OR(L358="",L353=""),"",IF(L353=0,"",(L358/L353)-1)))</f>
        <v/>
      </c>
      <c r="V358" s="24">
        <f>IF(ROW()&lt;7,"",IF(OR(N358="",N355=""),"",IF(N355=0,"",(N358/N355)-1)))</f>
        <v/>
      </c>
      <c r="W358" s="24">
        <f>IF(ROW()&lt;9,"",IF(OR(N358="",N353=""),"",IF(N353=0,"",(N358/N353)-1)))</f>
        <v/>
      </c>
      <c r="X358" s="24">
        <f>IF(OR(F358="",M358=""),"",F358-M358)</f>
        <v/>
      </c>
      <c r="Y358" s="24">
        <f>IF(OR(P358="",T358=""),"",P358-T358)</f>
        <v/>
      </c>
      <c r="Z358" s="24">
        <f>IF(OR(Q358="",U358=""),"",Q358-U358)</f>
        <v/>
      </c>
      <c r="AA358" s="24">
        <f>IF(OR(H358="",O358=""),"",H358-O358)</f>
        <v/>
      </c>
      <c r="AB358" s="24">
        <f>IF(OR(R358="",V358=""),"",R358-V358)</f>
        <v/>
      </c>
      <c r="AC358" s="24">
        <f>IF(OR(S358="",W358=""),"",S358-W358)</f>
        <v/>
      </c>
      <c r="AD358" s="13" t="n"/>
      <c r="AE358" s="24">
        <f>IF(OR(AD358="",AD357=""),"",IF(AD357=0,"",(AD358/AD357)-1))</f>
        <v/>
      </c>
      <c r="AF358" s="24">
        <f>IF(ROW()&lt;7,"",IF(OR(AD358="",AD355=""),"",IF(AD355=0,"",(AD358/AD355)-1)))</f>
        <v/>
      </c>
      <c r="AG358" s="24">
        <f>IF(ROW()&lt;9,"",IF(OR(AD358="",AD353=""),"",IF(AD353=0,"",(AD358/AD353)-1)))</f>
        <v/>
      </c>
      <c r="AH358" s="13">
        <f>IF(ROW()&lt;23,"",AVERAGE(AD339:AD358))</f>
        <v/>
      </c>
      <c r="AI358">
        <f>IF(OR(AD358="",AH358=""),"",IF(AD358&gt;AH358,"Bull","Bear"))</f>
        <v/>
      </c>
      <c r="AJ358" s="13" t="n"/>
      <c r="AK358" s="24">
        <f>IF(OR(AJ358="",AJ357=""),"",IF(AJ357=0,"",(AJ358/AJ357)-1))</f>
        <v/>
      </c>
      <c r="AL358" s="24">
        <f>IF(ROW()&lt;7,"",IF(OR(AJ358="",AJ355=""),"",IF(AJ355=0,"",(AJ358/AJ355)-1)))</f>
        <v/>
      </c>
      <c r="AM358" s="24">
        <f>IF(ROW()&lt;9,"",IF(OR(AJ358="",AJ353=""),"",IF(AJ353=0,"",(AJ358/AJ353)-1)))</f>
        <v/>
      </c>
      <c r="AN358" s="13">
        <f>IF(ROW()&lt;23,"",AVERAGE(AJ339:AJ358))</f>
        <v/>
      </c>
      <c r="AO358">
        <f>IF(OR(AJ358="",AN358=""),"",IF(AJ358&gt;AN358,"Bull","Bear"))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8">
        <f>IFERROR((M359/M358)-1,"")</f>
        <v/>
      </c>
      <c r="O359" s="24">
        <f>IF(OR(N359="",N358=""),"",IF(N358=0,"",(N359/N358)-1))</f>
        <v/>
      </c>
      <c r="P359" s="11">
        <f>IF(ROW()&lt;7,"",IF(OR(E359="",E356=""),"",IF(E356=0,"",(E359/E356)-1)))</f>
        <v/>
      </c>
      <c r="Q359" s="24">
        <f>IF(ROW()&lt;9,"",IF(OR(E359="",E354=""),"",IF(E354=0,"",(E359/E354)-1)))</f>
        <v/>
      </c>
      <c r="R359" s="24">
        <f>IF(ROW()&lt;7,"",IF(OR(G359="",G356=""),"",IF(G356=0,"",(G359/G356)-1)))</f>
        <v/>
      </c>
      <c r="S359" s="24">
        <f>IF(ROW()&lt;9,"",IF(OR(G359="",G354=""),"",IF(G354=0,"",(G359/G354)-1)))</f>
        <v/>
      </c>
      <c r="T359" s="24">
        <f>IF(ROW()&lt;7,"",IF(OR(L359="",L356=""),"",IF(L356=0,"",(L359/L356)-1)))</f>
        <v/>
      </c>
      <c r="U359" s="24">
        <f>IF(ROW()&lt;9,"",IF(OR(L359="",L354=""),"",IF(L354=0,"",(L359/L354)-1)))</f>
        <v/>
      </c>
      <c r="V359" s="24">
        <f>IF(ROW()&lt;7,"",IF(OR(N359="",N356=""),"",IF(N356=0,"",(N359/N356)-1)))</f>
        <v/>
      </c>
      <c r="W359" s="24">
        <f>IF(ROW()&lt;9,"",IF(OR(N359="",N354=""),"",IF(N354=0,"",(N359/N354)-1)))</f>
        <v/>
      </c>
      <c r="X359" s="24">
        <f>IF(OR(F359="",M359=""),"",F359-M359)</f>
        <v/>
      </c>
      <c r="Y359" s="24">
        <f>IF(OR(P359="",T359=""),"",P359-T359)</f>
        <v/>
      </c>
      <c r="Z359" s="24">
        <f>IF(OR(Q359="",U359=""),"",Q359-U359)</f>
        <v/>
      </c>
      <c r="AA359" s="24">
        <f>IF(OR(H359="",O359=""),"",H359-O359)</f>
        <v/>
      </c>
      <c r="AB359" s="24">
        <f>IF(OR(R359="",V359=""),"",R359-V359)</f>
        <v/>
      </c>
      <c r="AC359" s="24">
        <f>IF(OR(S359="",W359=""),"",S359-W359)</f>
        <v/>
      </c>
      <c r="AD359" s="13" t="n"/>
      <c r="AE359" s="24">
        <f>IF(OR(AD359="",AD358=""),"",IF(AD358=0,"",(AD359/AD358)-1))</f>
        <v/>
      </c>
      <c r="AF359" s="24">
        <f>IF(ROW()&lt;7,"",IF(OR(AD359="",AD356=""),"",IF(AD356=0,"",(AD359/AD356)-1)))</f>
        <v/>
      </c>
      <c r="AG359" s="24">
        <f>IF(ROW()&lt;9,"",IF(OR(AD359="",AD354=""),"",IF(AD354=0,"",(AD359/AD354)-1)))</f>
        <v/>
      </c>
      <c r="AH359" s="13">
        <f>IF(ROW()&lt;23,"",AVERAGE(AD340:AD359))</f>
        <v/>
      </c>
      <c r="AI359">
        <f>IF(OR(AD359="",AH359=""),"",IF(AD359&gt;AH359,"Bull","Bear"))</f>
        <v/>
      </c>
      <c r="AJ359" s="13" t="n"/>
      <c r="AK359" s="24">
        <f>IF(OR(AJ359="",AJ358=""),"",IF(AJ358=0,"",(AJ359/AJ358)-1))</f>
        <v/>
      </c>
      <c r="AL359" s="24">
        <f>IF(ROW()&lt;7,"",IF(OR(AJ359="",AJ356=""),"",IF(AJ356=0,"",(AJ359/AJ356)-1)))</f>
        <v/>
      </c>
      <c r="AM359" s="24">
        <f>IF(ROW()&lt;9,"",IF(OR(AJ359="",AJ354=""),"",IF(AJ354=0,"",(AJ359/AJ354)-1)))</f>
        <v/>
      </c>
      <c r="AN359" s="13">
        <f>IF(ROW()&lt;23,"",AVERAGE(AJ340:AJ359))</f>
        <v/>
      </c>
      <c r="AO359">
        <f>IF(OR(AJ359="",AN359=""),"",IF(AJ359&gt;AN359,"Bull","Bear"))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8">
        <f>IFERROR((M360/M359)-1,"")</f>
        <v/>
      </c>
      <c r="O360" s="24">
        <f>IF(OR(N360="",N359=""),"",IF(N359=0,"",(N360/N359)-1))</f>
        <v/>
      </c>
      <c r="P360" s="11">
        <f>IF(ROW()&lt;7,"",IF(OR(E360="",E357=""),"",IF(E357=0,"",(E360/E357)-1)))</f>
        <v/>
      </c>
      <c r="Q360" s="24">
        <f>IF(ROW()&lt;9,"",IF(OR(E360="",E355=""),"",IF(E355=0,"",(E360/E355)-1)))</f>
        <v/>
      </c>
      <c r="R360" s="24">
        <f>IF(ROW()&lt;7,"",IF(OR(G360="",G357=""),"",IF(G357=0,"",(G360/G357)-1)))</f>
        <v/>
      </c>
      <c r="S360" s="24">
        <f>IF(ROW()&lt;9,"",IF(OR(G360="",G355=""),"",IF(G355=0,"",(G360/G355)-1)))</f>
        <v/>
      </c>
      <c r="T360" s="24">
        <f>IF(ROW()&lt;7,"",IF(OR(L360="",L357=""),"",IF(L357=0,"",(L360/L357)-1)))</f>
        <v/>
      </c>
      <c r="U360" s="24">
        <f>IF(ROW()&lt;9,"",IF(OR(L360="",L355=""),"",IF(L355=0,"",(L360/L355)-1)))</f>
        <v/>
      </c>
      <c r="V360" s="24">
        <f>IF(ROW()&lt;7,"",IF(OR(N360="",N357=""),"",IF(N357=0,"",(N360/N357)-1)))</f>
        <v/>
      </c>
      <c r="W360" s="24">
        <f>IF(ROW()&lt;9,"",IF(OR(N360="",N355=""),"",IF(N355=0,"",(N360/N355)-1)))</f>
        <v/>
      </c>
      <c r="X360" s="24">
        <f>IF(OR(F360="",M360=""),"",F360-M360)</f>
        <v/>
      </c>
      <c r="Y360" s="24">
        <f>IF(OR(P360="",T360=""),"",P360-T360)</f>
        <v/>
      </c>
      <c r="Z360" s="24">
        <f>IF(OR(Q360="",U360=""),"",Q360-U360)</f>
        <v/>
      </c>
      <c r="AA360" s="24">
        <f>IF(OR(H360="",O360=""),"",H360-O360)</f>
        <v/>
      </c>
      <c r="AB360" s="24">
        <f>IF(OR(R360="",V360=""),"",R360-V360)</f>
        <v/>
      </c>
      <c r="AC360" s="24">
        <f>IF(OR(S360="",W360=""),"",S360-W360)</f>
        <v/>
      </c>
      <c r="AD360" s="13" t="n"/>
      <c r="AE360" s="24">
        <f>IF(OR(AD360="",AD359=""),"",IF(AD359=0,"",(AD360/AD359)-1))</f>
        <v/>
      </c>
      <c r="AF360" s="24">
        <f>IF(ROW()&lt;7,"",IF(OR(AD360="",AD357=""),"",IF(AD357=0,"",(AD360/AD357)-1)))</f>
        <v/>
      </c>
      <c r="AG360" s="24">
        <f>IF(ROW()&lt;9,"",IF(OR(AD360="",AD355=""),"",IF(AD355=0,"",(AD360/AD355)-1)))</f>
        <v/>
      </c>
      <c r="AH360" s="13">
        <f>IF(ROW()&lt;23,"",AVERAGE(AD341:AD360))</f>
        <v/>
      </c>
      <c r="AI360">
        <f>IF(OR(AD360="",AH360=""),"",IF(AD360&gt;AH360,"Bull","Bear"))</f>
        <v/>
      </c>
      <c r="AJ360" s="13" t="n"/>
      <c r="AK360" s="24">
        <f>IF(OR(AJ360="",AJ359=""),"",IF(AJ359=0,"",(AJ360/AJ359)-1))</f>
        <v/>
      </c>
      <c r="AL360" s="24">
        <f>IF(ROW()&lt;7,"",IF(OR(AJ360="",AJ357=""),"",IF(AJ357=0,"",(AJ360/AJ357)-1)))</f>
        <v/>
      </c>
      <c r="AM360" s="24">
        <f>IF(ROW()&lt;9,"",IF(OR(AJ360="",AJ355=""),"",IF(AJ355=0,"",(AJ360/AJ355)-1)))</f>
        <v/>
      </c>
      <c r="AN360" s="13">
        <f>IF(ROW()&lt;23,"",AVERAGE(AJ341:AJ360))</f>
        <v/>
      </c>
      <c r="AO360">
        <f>IF(OR(AJ360="",AN360=""),"",IF(AJ360&gt;AN360,"Bull","Bear"))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8">
        <f>IFERROR((M361/M360)-1,"")</f>
        <v/>
      </c>
      <c r="O361" s="24">
        <f>IF(OR(N361="",N360=""),"",IF(N360=0,"",(N361/N360)-1))</f>
        <v/>
      </c>
      <c r="P361" s="11">
        <f>IF(ROW()&lt;7,"",IF(OR(E361="",E358=""),"",IF(E358=0,"",(E361/E358)-1)))</f>
        <v/>
      </c>
      <c r="Q361" s="24">
        <f>IF(ROW()&lt;9,"",IF(OR(E361="",E356=""),"",IF(E356=0,"",(E361/E356)-1)))</f>
        <v/>
      </c>
      <c r="R361" s="24">
        <f>IF(ROW()&lt;7,"",IF(OR(G361="",G358=""),"",IF(G358=0,"",(G361/G358)-1)))</f>
        <v/>
      </c>
      <c r="S361" s="24">
        <f>IF(ROW()&lt;9,"",IF(OR(G361="",G356=""),"",IF(G356=0,"",(G361/G356)-1)))</f>
        <v/>
      </c>
      <c r="T361" s="24">
        <f>IF(ROW()&lt;7,"",IF(OR(L361="",L358=""),"",IF(L358=0,"",(L361/L358)-1)))</f>
        <v/>
      </c>
      <c r="U361" s="24">
        <f>IF(ROW()&lt;9,"",IF(OR(L361="",L356=""),"",IF(L356=0,"",(L361/L356)-1)))</f>
        <v/>
      </c>
      <c r="V361" s="24">
        <f>IF(ROW()&lt;7,"",IF(OR(N361="",N358=""),"",IF(N358=0,"",(N361/N358)-1)))</f>
        <v/>
      </c>
      <c r="W361" s="24">
        <f>IF(ROW()&lt;9,"",IF(OR(N361="",N356=""),"",IF(N356=0,"",(N361/N356)-1)))</f>
        <v/>
      </c>
      <c r="X361" s="24">
        <f>IF(OR(F361="",M361=""),"",F361-M361)</f>
        <v/>
      </c>
      <c r="Y361" s="24">
        <f>IF(OR(P361="",T361=""),"",P361-T361)</f>
        <v/>
      </c>
      <c r="Z361" s="24">
        <f>IF(OR(Q361="",U361=""),"",Q361-U361)</f>
        <v/>
      </c>
      <c r="AA361" s="24">
        <f>IF(OR(H361="",O361=""),"",H361-O361)</f>
        <v/>
      </c>
      <c r="AB361" s="24">
        <f>IF(OR(R361="",V361=""),"",R361-V361)</f>
        <v/>
      </c>
      <c r="AC361" s="24">
        <f>IF(OR(S361="",W361=""),"",S361-W361)</f>
        <v/>
      </c>
      <c r="AD361" s="13" t="n"/>
      <c r="AE361" s="24">
        <f>IF(OR(AD361="",AD360=""),"",IF(AD360=0,"",(AD361/AD360)-1))</f>
        <v/>
      </c>
      <c r="AF361" s="24">
        <f>IF(ROW()&lt;7,"",IF(OR(AD361="",AD358=""),"",IF(AD358=0,"",(AD361/AD358)-1)))</f>
        <v/>
      </c>
      <c r="AG361" s="24">
        <f>IF(ROW()&lt;9,"",IF(OR(AD361="",AD356=""),"",IF(AD356=0,"",(AD361/AD356)-1)))</f>
        <v/>
      </c>
      <c r="AH361" s="13">
        <f>IF(ROW()&lt;23,"",AVERAGE(AD342:AD361))</f>
        <v/>
      </c>
      <c r="AI361">
        <f>IF(OR(AD361="",AH361=""),"",IF(AD361&gt;AH361,"Bull","Bear"))</f>
        <v/>
      </c>
      <c r="AJ361" s="13" t="n"/>
      <c r="AK361" s="24">
        <f>IF(OR(AJ361="",AJ360=""),"",IF(AJ360=0,"",(AJ361/AJ360)-1))</f>
        <v/>
      </c>
      <c r="AL361" s="24">
        <f>IF(ROW()&lt;7,"",IF(OR(AJ361="",AJ358=""),"",IF(AJ358=0,"",(AJ361/AJ358)-1)))</f>
        <v/>
      </c>
      <c r="AM361" s="24">
        <f>IF(ROW()&lt;9,"",IF(OR(AJ361="",AJ356=""),"",IF(AJ356=0,"",(AJ361/AJ356)-1)))</f>
        <v/>
      </c>
      <c r="AN361" s="13">
        <f>IF(ROW()&lt;23,"",AVERAGE(AJ342:AJ361))</f>
        <v/>
      </c>
      <c r="AO361">
        <f>IF(OR(AJ361="",AN361=""),"",IF(AJ361&gt;AN361,"Bull","Bear"))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8">
        <f>IFERROR((M362/M361)-1,"")</f>
        <v/>
      </c>
      <c r="O362" s="24">
        <f>IF(OR(N362="",N361=""),"",IF(N361=0,"",(N362/N361)-1))</f>
        <v/>
      </c>
      <c r="P362" s="11">
        <f>IF(ROW()&lt;7,"",IF(OR(E362="",E359=""),"",IF(E359=0,"",(E362/E359)-1)))</f>
        <v/>
      </c>
      <c r="Q362" s="24">
        <f>IF(ROW()&lt;9,"",IF(OR(E362="",E357=""),"",IF(E357=0,"",(E362/E357)-1)))</f>
        <v/>
      </c>
      <c r="R362" s="24">
        <f>IF(ROW()&lt;7,"",IF(OR(G362="",G359=""),"",IF(G359=0,"",(G362/G359)-1)))</f>
        <v/>
      </c>
      <c r="S362" s="24">
        <f>IF(ROW()&lt;9,"",IF(OR(G362="",G357=""),"",IF(G357=0,"",(G362/G357)-1)))</f>
        <v/>
      </c>
      <c r="T362" s="24">
        <f>IF(ROW()&lt;7,"",IF(OR(L362="",L359=""),"",IF(L359=0,"",(L362/L359)-1)))</f>
        <v/>
      </c>
      <c r="U362" s="24">
        <f>IF(ROW()&lt;9,"",IF(OR(L362="",L357=""),"",IF(L357=0,"",(L362/L357)-1)))</f>
        <v/>
      </c>
      <c r="V362" s="24">
        <f>IF(ROW()&lt;7,"",IF(OR(N362="",N359=""),"",IF(N359=0,"",(N362/N359)-1)))</f>
        <v/>
      </c>
      <c r="W362" s="24">
        <f>IF(ROW()&lt;9,"",IF(OR(N362="",N357=""),"",IF(N357=0,"",(N362/N357)-1)))</f>
        <v/>
      </c>
      <c r="X362" s="24">
        <f>IF(OR(F362="",M362=""),"",F362-M362)</f>
        <v/>
      </c>
      <c r="Y362" s="24">
        <f>IF(OR(P362="",T362=""),"",P362-T362)</f>
        <v/>
      </c>
      <c r="Z362" s="24">
        <f>IF(OR(Q362="",U362=""),"",Q362-U362)</f>
        <v/>
      </c>
      <c r="AA362" s="24">
        <f>IF(OR(H362="",O362=""),"",H362-O362)</f>
        <v/>
      </c>
      <c r="AB362" s="24">
        <f>IF(OR(R362="",V362=""),"",R362-V362)</f>
        <v/>
      </c>
      <c r="AC362" s="24">
        <f>IF(OR(S362="",W362=""),"",S362-W362)</f>
        <v/>
      </c>
      <c r="AD362" s="13" t="n"/>
      <c r="AE362" s="24">
        <f>IF(OR(AD362="",AD361=""),"",IF(AD361=0,"",(AD362/AD361)-1))</f>
        <v/>
      </c>
      <c r="AF362" s="24">
        <f>IF(ROW()&lt;7,"",IF(OR(AD362="",AD359=""),"",IF(AD359=0,"",(AD362/AD359)-1)))</f>
        <v/>
      </c>
      <c r="AG362" s="24">
        <f>IF(ROW()&lt;9,"",IF(OR(AD362="",AD357=""),"",IF(AD357=0,"",(AD362/AD357)-1)))</f>
        <v/>
      </c>
      <c r="AH362" s="13">
        <f>IF(ROW()&lt;23,"",AVERAGE(AD343:AD362))</f>
        <v/>
      </c>
      <c r="AI362">
        <f>IF(OR(AD362="",AH362=""),"",IF(AD362&gt;AH362,"Bull","Bear"))</f>
        <v/>
      </c>
      <c r="AJ362" s="13" t="n"/>
      <c r="AK362" s="24">
        <f>IF(OR(AJ362="",AJ361=""),"",IF(AJ361=0,"",(AJ362/AJ361)-1))</f>
        <v/>
      </c>
      <c r="AL362" s="24">
        <f>IF(ROW()&lt;7,"",IF(OR(AJ362="",AJ359=""),"",IF(AJ359=0,"",(AJ362/AJ359)-1)))</f>
        <v/>
      </c>
      <c r="AM362" s="24">
        <f>IF(ROW()&lt;9,"",IF(OR(AJ362="",AJ357=""),"",IF(AJ357=0,"",(AJ362/AJ357)-1)))</f>
        <v/>
      </c>
      <c r="AN362" s="13">
        <f>IF(ROW()&lt;23,"",AVERAGE(AJ343:AJ362))</f>
        <v/>
      </c>
      <c r="AO362">
        <f>IF(OR(AJ362="",AN362=""),"",IF(AJ362&gt;AN362,"Bull","Bear"))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8">
        <f>IFERROR((M363/M362)-1,"")</f>
        <v/>
      </c>
      <c r="O363" s="24">
        <f>IF(OR(N363="",N362=""),"",IF(N362=0,"",(N363/N362)-1))</f>
        <v/>
      </c>
      <c r="P363" s="11">
        <f>IF(ROW()&lt;7,"",IF(OR(E363="",E360=""),"",IF(E360=0,"",(E363/E360)-1)))</f>
        <v/>
      </c>
      <c r="Q363" s="24">
        <f>IF(ROW()&lt;9,"",IF(OR(E363="",E358=""),"",IF(E358=0,"",(E363/E358)-1)))</f>
        <v/>
      </c>
      <c r="R363" s="24">
        <f>IF(ROW()&lt;7,"",IF(OR(G363="",G360=""),"",IF(G360=0,"",(G363/G360)-1)))</f>
        <v/>
      </c>
      <c r="S363" s="24">
        <f>IF(ROW()&lt;9,"",IF(OR(G363="",G358=""),"",IF(G358=0,"",(G363/G358)-1)))</f>
        <v/>
      </c>
      <c r="T363" s="24">
        <f>IF(ROW()&lt;7,"",IF(OR(L363="",L360=""),"",IF(L360=0,"",(L363/L360)-1)))</f>
        <v/>
      </c>
      <c r="U363" s="24">
        <f>IF(ROW()&lt;9,"",IF(OR(L363="",L358=""),"",IF(L358=0,"",(L363/L358)-1)))</f>
        <v/>
      </c>
      <c r="V363" s="24">
        <f>IF(ROW()&lt;7,"",IF(OR(N363="",N360=""),"",IF(N360=0,"",(N363/N360)-1)))</f>
        <v/>
      </c>
      <c r="W363" s="24">
        <f>IF(ROW()&lt;9,"",IF(OR(N363="",N358=""),"",IF(N358=0,"",(N363/N358)-1)))</f>
        <v/>
      </c>
      <c r="X363" s="24">
        <f>IF(OR(F363="",M363=""),"",F363-M363)</f>
        <v/>
      </c>
      <c r="Y363" s="24">
        <f>IF(OR(P363="",T363=""),"",P363-T363)</f>
        <v/>
      </c>
      <c r="Z363" s="24">
        <f>IF(OR(Q363="",U363=""),"",Q363-U363)</f>
        <v/>
      </c>
      <c r="AA363" s="24">
        <f>IF(OR(H363="",O363=""),"",H363-O363)</f>
        <v/>
      </c>
      <c r="AB363" s="24">
        <f>IF(OR(R363="",V363=""),"",R363-V363)</f>
        <v/>
      </c>
      <c r="AC363" s="24">
        <f>IF(OR(S363="",W363=""),"",S363-W363)</f>
        <v/>
      </c>
      <c r="AD363" s="13" t="n"/>
      <c r="AE363" s="24">
        <f>IF(OR(AD363="",AD362=""),"",IF(AD362=0,"",(AD363/AD362)-1))</f>
        <v/>
      </c>
      <c r="AF363" s="24">
        <f>IF(ROW()&lt;7,"",IF(OR(AD363="",AD360=""),"",IF(AD360=0,"",(AD363/AD360)-1)))</f>
        <v/>
      </c>
      <c r="AG363" s="24">
        <f>IF(ROW()&lt;9,"",IF(OR(AD363="",AD358=""),"",IF(AD358=0,"",(AD363/AD358)-1)))</f>
        <v/>
      </c>
      <c r="AH363" s="13">
        <f>IF(ROW()&lt;23,"",AVERAGE(AD344:AD363))</f>
        <v/>
      </c>
      <c r="AI363">
        <f>IF(OR(AD363="",AH363=""),"",IF(AD363&gt;AH363,"Bull","Bear"))</f>
        <v/>
      </c>
      <c r="AJ363" s="13" t="n"/>
      <c r="AK363" s="24">
        <f>IF(OR(AJ363="",AJ362=""),"",IF(AJ362=0,"",(AJ363/AJ362)-1))</f>
        <v/>
      </c>
      <c r="AL363" s="24">
        <f>IF(ROW()&lt;7,"",IF(OR(AJ363="",AJ360=""),"",IF(AJ360=0,"",(AJ363/AJ360)-1)))</f>
        <v/>
      </c>
      <c r="AM363" s="24">
        <f>IF(ROW()&lt;9,"",IF(OR(AJ363="",AJ358=""),"",IF(AJ358=0,"",(AJ363/AJ358)-1)))</f>
        <v/>
      </c>
      <c r="AN363" s="13">
        <f>IF(ROW()&lt;23,"",AVERAGE(AJ344:AJ363))</f>
        <v/>
      </c>
      <c r="AO363">
        <f>IF(OR(AJ363="",AN363=""),"",IF(AJ363&gt;AN363,"Bull","Bear"))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8">
        <f>IFERROR((M364/M363)-1,"")</f>
        <v/>
      </c>
      <c r="O364" s="24">
        <f>IF(OR(N364="",N363=""),"",IF(N363=0,"",(N364/N363)-1))</f>
        <v/>
      </c>
      <c r="P364" s="11">
        <f>IF(ROW()&lt;7,"",IF(OR(E364="",E361=""),"",IF(E361=0,"",(E364/E361)-1)))</f>
        <v/>
      </c>
      <c r="Q364" s="24">
        <f>IF(ROW()&lt;9,"",IF(OR(E364="",E359=""),"",IF(E359=0,"",(E364/E359)-1)))</f>
        <v/>
      </c>
      <c r="R364" s="24">
        <f>IF(ROW()&lt;7,"",IF(OR(G364="",G361=""),"",IF(G361=0,"",(G364/G361)-1)))</f>
        <v/>
      </c>
      <c r="S364" s="24">
        <f>IF(ROW()&lt;9,"",IF(OR(G364="",G359=""),"",IF(G359=0,"",(G364/G359)-1)))</f>
        <v/>
      </c>
      <c r="T364" s="24">
        <f>IF(ROW()&lt;7,"",IF(OR(L364="",L361=""),"",IF(L361=0,"",(L364/L361)-1)))</f>
        <v/>
      </c>
      <c r="U364" s="24">
        <f>IF(ROW()&lt;9,"",IF(OR(L364="",L359=""),"",IF(L359=0,"",(L364/L359)-1)))</f>
        <v/>
      </c>
      <c r="V364" s="24">
        <f>IF(ROW()&lt;7,"",IF(OR(N364="",N361=""),"",IF(N361=0,"",(N364/N361)-1)))</f>
        <v/>
      </c>
      <c r="W364" s="24">
        <f>IF(ROW()&lt;9,"",IF(OR(N364="",N359=""),"",IF(N359=0,"",(N364/N359)-1)))</f>
        <v/>
      </c>
      <c r="X364" s="24">
        <f>IF(OR(F364="",M364=""),"",F364-M364)</f>
        <v/>
      </c>
      <c r="Y364" s="24">
        <f>IF(OR(P364="",T364=""),"",P364-T364)</f>
        <v/>
      </c>
      <c r="Z364" s="24">
        <f>IF(OR(Q364="",U364=""),"",Q364-U364)</f>
        <v/>
      </c>
      <c r="AA364" s="24">
        <f>IF(OR(H364="",O364=""),"",H364-O364)</f>
        <v/>
      </c>
      <c r="AB364" s="24">
        <f>IF(OR(R364="",V364=""),"",R364-V364)</f>
        <v/>
      </c>
      <c r="AC364" s="24">
        <f>IF(OR(S364="",W364=""),"",S364-W364)</f>
        <v/>
      </c>
      <c r="AD364" s="13" t="n"/>
      <c r="AE364" s="24">
        <f>IF(OR(AD364="",AD363=""),"",IF(AD363=0,"",(AD364/AD363)-1))</f>
        <v/>
      </c>
      <c r="AF364" s="24">
        <f>IF(ROW()&lt;7,"",IF(OR(AD364="",AD361=""),"",IF(AD361=0,"",(AD364/AD361)-1)))</f>
        <v/>
      </c>
      <c r="AG364" s="24">
        <f>IF(ROW()&lt;9,"",IF(OR(AD364="",AD359=""),"",IF(AD359=0,"",(AD364/AD359)-1)))</f>
        <v/>
      </c>
      <c r="AH364" s="13">
        <f>IF(ROW()&lt;23,"",AVERAGE(AD345:AD364))</f>
        <v/>
      </c>
      <c r="AI364">
        <f>IF(OR(AD364="",AH364=""),"",IF(AD364&gt;AH364,"Bull","Bear"))</f>
        <v/>
      </c>
      <c r="AJ364" s="13" t="n"/>
      <c r="AK364" s="24">
        <f>IF(OR(AJ364="",AJ363=""),"",IF(AJ363=0,"",(AJ364/AJ363)-1))</f>
        <v/>
      </c>
      <c r="AL364" s="24">
        <f>IF(ROW()&lt;7,"",IF(OR(AJ364="",AJ361=""),"",IF(AJ361=0,"",(AJ364/AJ361)-1)))</f>
        <v/>
      </c>
      <c r="AM364" s="24">
        <f>IF(ROW()&lt;9,"",IF(OR(AJ364="",AJ359=""),"",IF(AJ359=0,"",(AJ364/AJ359)-1)))</f>
        <v/>
      </c>
      <c r="AN364" s="13">
        <f>IF(ROW()&lt;23,"",AVERAGE(AJ345:AJ364))</f>
        <v/>
      </c>
      <c r="AO364">
        <f>IF(OR(AJ364="",AN364=""),"",IF(AJ364&gt;AN364,"Bull","Bear"))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8">
        <f>IFERROR((M365/M364)-1,"")</f>
        <v/>
      </c>
      <c r="O365" s="24">
        <f>IF(OR(N365="",N364=""),"",IF(N364=0,"",(N365/N364)-1))</f>
        <v/>
      </c>
      <c r="P365" s="11">
        <f>IF(ROW()&lt;7,"",IF(OR(E365="",E362=""),"",IF(E362=0,"",(E365/E362)-1)))</f>
        <v/>
      </c>
      <c r="Q365" s="24">
        <f>IF(ROW()&lt;9,"",IF(OR(E365="",E360=""),"",IF(E360=0,"",(E365/E360)-1)))</f>
        <v/>
      </c>
      <c r="R365" s="24">
        <f>IF(ROW()&lt;7,"",IF(OR(G365="",G362=""),"",IF(G362=0,"",(G365/G362)-1)))</f>
        <v/>
      </c>
      <c r="S365" s="24">
        <f>IF(ROW()&lt;9,"",IF(OR(G365="",G360=""),"",IF(G360=0,"",(G365/G360)-1)))</f>
        <v/>
      </c>
      <c r="T365" s="24">
        <f>IF(ROW()&lt;7,"",IF(OR(L365="",L362=""),"",IF(L362=0,"",(L365/L362)-1)))</f>
        <v/>
      </c>
      <c r="U365" s="24">
        <f>IF(ROW()&lt;9,"",IF(OR(L365="",L360=""),"",IF(L360=0,"",(L365/L360)-1)))</f>
        <v/>
      </c>
      <c r="V365" s="24">
        <f>IF(ROW()&lt;7,"",IF(OR(N365="",N362=""),"",IF(N362=0,"",(N365/N362)-1)))</f>
        <v/>
      </c>
      <c r="W365" s="24">
        <f>IF(ROW()&lt;9,"",IF(OR(N365="",N360=""),"",IF(N360=0,"",(N365/N360)-1)))</f>
        <v/>
      </c>
      <c r="X365" s="24">
        <f>IF(OR(F365="",M365=""),"",F365-M365)</f>
        <v/>
      </c>
      <c r="Y365" s="24">
        <f>IF(OR(P365="",T365=""),"",P365-T365)</f>
        <v/>
      </c>
      <c r="Z365" s="24">
        <f>IF(OR(Q365="",U365=""),"",Q365-U365)</f>
        <v/>
      </c>
      <c r="AA365" s="24">
        <f>IF(OR(H365="",O365=""),"",H365-O365)</f>
        <v/>
      </c>
      <c r="AB365" s="24">
        <f>IF(OR(R365="",V365=""),"",R365-V365)</f>
        <v/>
      </c>
      <c r="AC365" s="24">
        <f>IF(OR(S365="",W365=""),"",S365-W365)</f>
        <v/>
      </c>
      <c r="AD365" s="13" t="n"/>
      <c r="AE365" s="24">
        <f>IF(OR(AD365="",AD364=""),"",IF(AD364=0,"",(AD365/AD364)-1))</f>
        <v/>
      </c>
      <c r="AF365" s="24">
        <f>IF(ROW()&lt;7,"",IF(OR(AD365="",AD362=""),"",IF(AD362=0,"",(AD365/AD362)-1)))</f>
        <v/>
      </c>
      <c r="AG365" s="24">
        <f>IF(ROW()&lt;9,"",IF(OR(AD365="",AD360=""),"",IF(AD360=0,"",(AD365/AD360)-1)))</f>
        <v/>
      </c>
      <c r="AH365" s="13">
        <f>IF(ROW()&lt;23,"",AVERAGE(AD346:AD365))</f>
        <v/>
      </c>
      <c r="AI365">
        <f>IF(OR(AD365="",AH365=""),"",IF(AD365&gt;AH365,"Bull","Bear"))</f>
        <v/>
      </c>
      <c r="AJ365" s="13" t="n"/>
      <c r="AK365" s="24">
        <f>IF(OR(AJ365="",AJ364=""),"",IF(AJ364=0,"",(AJ365/AJ364)-1))</f>
        <v/>
      </c>
      <c r="AL365" s="24">
        <f>IF(ROW()&lt;7,"",IF(OR(AJ365="",AJ362=""),"",IF(AJ362=0,"",(AJ365/AJ362)-1)))</f>
        <v/>
      </c>
      <c r="AM365" s="24">
        <f>IF(ROW()&lt;9,"",IF(OR(AJ365="",AJ360=""),"",IF(AJ360=0,"",(AJ365/AJ360)-1)))</f>
        <v/>
      </c>
      <c r="AN365" s="13">
        <f>IF(ROW()&lt;23,"",AVERAGE(AJ346:AJ365))</f>
        <v/>
      </c>
      <c r="AO365">
        <f>IF(OR(AJ365="",AN365=""),"",IF(AJ365&gt;AN365,"Bull","Bear"))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8">
        <f>IFERROR((M366/M365)-1,"")</f>
        <v/>
      </c>
      <c r="O366" s="24">
        <f>IF(OR(N366="",N365=""),"",IF(N365=0,"",(N366/N365)-1))</f>
        <v/>
      </c>
      <c r="P366" s="11">
        <f>IF(ROW()&lt;7,"",IF(OR(E366="",E363=""),"",IF(E363=0,"",(E366/E363)-1)))</f>
        <v/>
      </c>
      <c r="Q366" s="24">
        <f>IF(ROW()&lt;9,"",IF(OR(E366="",E361=""),"",IF(E361=0,"",(E366/E361)-1)))</f>
        <v/>
      </c>
      <c r="R366" s="24">
        <f>IF(ROW()&lt;7,"",IF(OR(G366="",G363=""),"",IF(G363=0,"",(G366/G363)-1)))</f>
        <v/>
      </c>
      <c r="S366" s="24">
        <f>IF(ROW()&lt;9,"",IF(OR(G366="",G361=""),"",IF(G361=0,"",(G366/G361)-1)))</f>
        <v/>
      </c>
      <c r="T366" s="24">
        <f>IF(ROW()&lt;7,"",IF(OR(L366="",L363=""),"",IF(L363=0,"",(L366/L363)-1)))</f>
        <v/>
      </c>
      <c r="U366" s="24">
        <f>IF(ROW()&lt;9,"",IF(OR(L366="",L361=""),"",IF(L361=0,"",(L366/L361)-1)))</f>
        <v/>
      </c>
      <c r="V366" s="24">
        <f>IF(ROW()&lt;7,"",IF(OR(N366="",N363=""),"",IF(N363=0,"",(N366/N363)-1)))</f>
        <v/>
      </c>
      <c r="W366" s="24">
        <f>IF(ROW()&lt;9,"",IF(OR(N366="",N361=""),"",IF(N361=0,"",(N366/N361)-1)))</f>
        <v/>
      </c>
      <c r="X366" s="24">
        <f>IF(OR(F366="",M366=""),"",F366-M366)</f>
        <v/>
      </c>
      <c r="Y366" s="24">
        <f>IF(OR(P366="",T366=""),"",P366-T366)</f>
        <v/>
      </c>
      <c r="Z366" s="24">
        <f>IF(OR(Q366="",U366=""),"",Q366-U366)</f>
        <v/>
      </c>
      <c r="AA366" s="24">
        <f>IF(OR(H366="",O366=""),"",H366-O366)</f>
        <v/>
      </c>
      <c r="AB366" s="24">
        <f>IF(OR(R366="",V366=""),"",R366-V366)</f>
        <v/>
      </c>
      <c r="AC366" s="24">
        <f>IF(OR(S366="",W366=""),"",S366-W366)</f>
        <v/>
      </c>
      <c r="AD366" s="13" t="n"/>
      <c r="AE366" s="24">
        <f>IF(OR(AD366="",AD365=""),"",IF(AD365=0,"",(AD366/AD365)-1))</f>
        <v/>
      </c>
      <c r="AF366" s="24">
        <f>IF(ROW()&lt;7,"",IF(OR(AD366="",AD363=""),"",IF(AD363=0,"",(AD366/AD363)-1)))</f>
        <v/>
      </c>
      <c r="AG366" s="24">
        <f>IF(ROW()&lt;9,"",IF(OR(AD366="",AD361=""),"",IF(AD361=0,"",(AD366/AD361)-1)))</f>
        <v/>
      </c>
      <c r="AH366" s="13">
        <f>IF(ROW()&lt;23,"",AVERAGE(AD347:AD366))</f>
        <v/>
      </c>
      <c r="AI366">
        <f>IF(OR(AD366="",AH366=""),"",IF(AD366&gt;AH366,"Bull","Bear"))</f>
        <v/>
      </c>
      <c r="AJ366" s="13" t="n"/>
      <c r="AK366" s="24">
        <f>IF(OR(AJ366="",AJ365=""),"",IF(AJ365=0,"",(AJ366/AJ365)-1))</f>
        <v/>
      </c>
      <c r="AL366" s="24">
        <f>IF(ROW()&lt;7,"",IF(OR(AJ366="",AJ363=""),"",IF(AJ363=0,"",(AJ366/AJ363)-1)))</f>
        <v/>
      </c>
      <c r="AM366" s="24">
        <f>IF(ROW()&lt;9,"",IF(OR(AJ366="",AJ361=""),"",IF(AJ361=0,"",(AJ366/AJ361)-1)))</f>
        <v/>
      </c>
      <c r="AN366" s="13">
        <f>IF(ROW()&lt;23,"",AVERAGE(AJ347:AJ366))</f>
        <v/>
      </c>
      <c r="AO366">
        <f>IF(OR(AJ366="",AN366=""),"",IF(AJ366&gt;AN366,"Bull","Bear"))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8">
        <f>IFERROR((M367/M366)-1,"")</f>
        <v/>
      </c>
      <c r="O367" s="24">
        <f>IF(OR(N367="",N366=""),"",IF(N366=0,"",(N367/N366)-1))</f>
        <v/>
      </c>
      <c r="P367" s="11">
        <f>IF(ROW()&lt;7,"",IF(OR(E367="",E364=""),"",IF(E364=0,"",(E367/E364)-1)))</f>
        <v/>
      </c>
      <c r="Q367" s="24">
        <f>IF(ROW()&lt;9,"",IF(OR(E367="",E362=""),"",IF(E362=0,"",(E367/E362)-1)))</f>
        <v/>
      </c>
      <c r="R367" s="24">
        <f>IF(ROW()&lt;7,"",IF(OR(G367="",G364=""),"",IF(G364=0,"",(G367/G364)-1)))</f>
        <v/>
      </c>
      <c r="S367" s="24">
        <f>IF(ROW()&lt;9,"",IF(OR(G367="",G362=""),"",IF(G362=0,"",(G367/G362)-1)))</f>
        <v/>
      </c>
      <c r="T367" s="24">
        <f>IF(ROW()&lt;7,"",IF(OR(L367="",L364=""),"",IF(L364=0,"",(L367/L364)-1)))</f>
        <v/>
      </c>
      <c r="U367" s="24">
        <f>IF(ROW()&lt;9,"",IF(OR(L367="",L362=""),"",IF(L362=0,"",(L367/L362)-1)))</f>
        <v/>
      </c>
      <c r="V367" s="24">
        <f>IF(ROW()&lt;7,"",IF(OR(N367="",N364=""),"",IF(N364=0,"",(N367/N364)-1)))</f>
        <v/>
      </c>
      <c r="W367" s="24">
        <f>IF(ROW()&lt;9,"",IF(OR(N367="",N362=""),"",IF(N362=0,"",(N367/N362)-1)))</f>
        <v/>
      </c>
      <c r="X367" s="24">
        <f>IF(OR(F367="",M367=""),"",F367-M367)</f>
        <v/>
      </c>
      <c r="Y367" s="24">
        <f>IF(OR(P367="",T367=""),"",P367-T367)</f>
        <v/>
      </c>
      <c r="Z367" s="24">
        <f>IF(OR(Q367="",U367=""),"",Q367-U367)</f>
        <v/>
      </c>
      <c r="AA367" s="24">
        <f>IF(OR(H367="",O367=""),"",H367-O367)</f>
        <v/>
      </c>
      <c r="AB367" s="24">
        <f>IF(OR(R367="",V367=""),"",R367-V367)</f>
        <v/>
      </c>
      <c r="AC367" s="24">
        <f>IF(OR(S367="",W367=""),"",S367-W367)</f>
        <v/>
      </c>
      <c r="AD367" s="13" t="n"/>
      <c r="AE367" s="24">
        <f>IF(OR(AD367="",AD366=""),"",IF(AD366=0,"",(AD367/AD366)-1))</f>
        <v/>
      </c>
      <c r="AF367" s="24">
        <f>IF(ROW()&lt;7,"",IF(OR(AD367="",AD364=""),"",IF(AD364=0,"",(AD367/AD364)-1)))</f>
        <v/>
      </c>
      <c r="AG367" s="24">
        <f>IF(ROW()&lt;9,"",IF(OR(AD367="",AD362=""),"",IF(AD362=0,"",(AD367/AD362)-1)))</f>
        <v/>
      </c>
      <c r="AH367" s="13">
        <f>IF(ROW()&lt;23,"",AVERAGE(AD348:AD367))</f>
        <v/>
      </c>
      <c r="AI367">
        <f>IF(OR(AD367="",AH367=""),"",IF(AD367&gt;AH367,"Bull","Bear"))</f>
        <v/>
      </c>
      <c r="AJ367" s="13" t="n"/>
      <c r="AK367" s="24">
        <f>IF(OR(AJ367="",AJ366=""),"",IF(AJ366=0,"",(AJ367/AJ366)-1))</f>
        <v/>
      </c>
      <c r="AL367" s="24">
        <f>IF(ROW()&lt;7,"",IF(OR(AJ367="",AJ364=""),"",IF(AJ364=0,"",(AJ367/AJ364)-1)))</f>
        <v/>
      </c>
      <c r="AM367" s="24">
        <f>IF(ROW()&lt;9,"",IF(OR(AJ367="",AJ362=""),"",IF(AJ362=0,"",(AJ367/AJ362)-1)))</f>
        <v/>
      </c>
      <c r="AN367" s="13">
        <f>IF(ROW()&lt;23,"",AVERAGE(AJ348:AJ367))</f>
        <v/>
      </c>
      <c r="AO367">
        <f>IF(OR(AJ367="",AN367=""),"",IF(AJ367&gt;AN367,"Bull","Bear"))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8">
        <f>IFERROR((M368/M367)-1,"")</f>
        <v/>
      </c>
      <c r="O368" s="24">
        <f>IF(OR(N368="",N367=""),"",IF(N367=0,"",(N368/N367)-1))</f>
        <v/>
      </c>
      <c r="P368" s="11">
        <f>IF(ROW()&lt;7,"",IF(OR(E368="",E365=""),"",IF(E365=0,"",(E368/E365)-1)))</f>
        <v/>
      </c>
      <c r="Q368" s="24">
        <f>IF(ROW()&lt;9,"",IF(OR(E368="",E363=""),"",IF(E363=0,"",(E368/E363)-1)))</f>
        <v/>
      </c>
      <c r="R368" s="24">
        <f>IF(ROW()&lt;7,"",IF(OR(G368="",G365=""),"",IF(G365=0,"",(G368/G365)-1)))</f>
        <v/>
      </c>
      <c r="S368" s="24">
        <f>IF(ROW()&lt;9,"",IF(OR(G368="",G363=""),"",IF(G363=0,"",(G368/G363)-1)))</f>
        <v/>
      </c>
      <c r="T368" s="24">
        <f>IF(ROW()&lt;7,"",IF(OR(L368="",L365=""),"",IF(L365=0,"",(L368/L365)-1)))</f>
        <v/>
      </c>
      <c r="U368" s="24">
        <f>IF(ROW()&lt;9,"",IF(OR(L368="",L363=""),"",IF(L363=0,"",(L368/L363)-1)))</f>
        <v/>
      </c>
      <c r="V368" s="24">
        <f>IF(ROW()&lt;7,"",IF(OR(N368="",N365=""),"",IF(N365=0,"",(N368/N365)-1)))</f>
        <v/>
      </c>
      <c r="W368" s="24">
        <f>IF(ROW()&lt;9,"",IF(OR(N368="",N363=""),"",IF(N363=0,"",(N368/N363)-1)))</f>
        <v/>
      </c>
      <c r="X368" s="24">
        <f>IF(OR(F368="",M368=""),"",F368-M368)</f>
        <v/>
      </c>
      <c r="Y368" s="24">
        <f>IF(OR(P368="",T368=""),"",P368-T368)</f>
        <v/>
      </c>
      <c r="Z368" s="24">
        <f>IF(OR(Q368="",U368=""),"",Q368-U368)</f>
        <v/>
      </c>
      <c r="AA368" s="24">
        <f>IF(OR(H368="",O368=""),"",H368-O368)</f>
        <v/>
      </c>
      <c r="AB368" s="24">
        <f>IF(OR(R368="",V368=""),"",R368-V368)</f>
        <v/>
      </c>
      <c r="AC368" s="24">
        <f>IF(OR(S368="",W368=""),"",S368-W368)</f>
        <v/>
      </c>
      <c r="AD368" s="13" t="n"/>
      <c r="AE368" s="24">
        <f>IF(OR(AD368="",AD367=""),"",IF(AD367=0,"",(AD368/AD367)-1))</f>
        <v/>
      </c>
      <c r="AF368" s="24">
        <f>IF(ROW()&lt;7,"",IF(OR(AD368="",AD365=""),"",IF(AD365=0,"",(AD368/AD365)-1)))</f>
        <v/>
      </c>
      <c r="AG368" s="24">
        <f>IF(ROW()&lt;9,"",IF(OR(AD368="",AD363=""),"",IF(AD363=0,"",(AD368/AD363)-1)))</f>
        <v/>
      </c>
      <c r="AH368" s="13">
        <f>IF(ROW()&lt;23,"",AVERAGE(AD349:AD368))</f>
        <v/>
      </c>
      <c r="AI368">
        <f>IF(OR(AD368="",AH368=""),"",IF(AD368&gt;AH368,"Bull","Bear"))</f>
        <v/>
      </c>
      <c r="AJ368" s="13" t="n"/>
      <c r="AK368" s="24">
        <f>IF(OR(AJ368="",AJ367=""),"",IF(AJ367=0,"",(AJ368/AJ367)-1))</f>
        <v/>
      </c>
      <c r="AL368" s="24">
        <f>IF(ROW()&lt;7,"",IF(OR(AJ368="",AJ365=""),"",IF(AJ365=0,"",(AJ368/AJ365)-1)))</f>
        <v/>
      </c>
      <c r="AM368" s="24">
        <f>IF(ROW()&lt;9,"",IF(OR(AJ368="",AJ363=""),"",IF(AJ363=0,"",(AJ368/AJ363)-1)))</f>
        <v/>
      </c>
      <c r="AN368" s="13">
        <f>IF(ROW()&lt;23,"",AVERAGE(AJ349:AJ368))</f>
        <v/>
      </c>
      <c r="AO368">
        <f>IF(OR(AJ368="",AN368=""),"",IF(AJ368&gt;AN368,"Bull","Bear"))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8">
        <f>IFERROR((M369/M368)-1,"")</f>
        <v/>
      </c>
      <c r="O369" s="24">
        <f>IF(OR(N369="",N368=""),"",IF(N368=0,"",(N369/N368)-1))</f>
        <v/>
      </c>
      <c r="P369" s="11">
        <f>IF(ROW()&lt;7,"",IF(OR(E369="",E366=""),"",IF(E366=0,"",(E369/E366)-1)))</f>
        <v/>
      </c>
      <c r="Q369" s="24">
        <f>IF(ROW()&lt;9,"",IF(OR(E369="",E364=""),"",IF(E364=0,"",(E369/E364)-1)))</f>
        <v/>
      </c>
      <c r="R369" s="24">
        <f>IF(ROW()&lt;7,"",IF(OR(G369="",G366=""),"",IF(G366=0,"",(G369/G366)-1)))</f>
        <v/>
      </c>
      <c r="S369" s="24">
        <f>IF(ROW()&lt;9,"",IF(OR(G369="",G364=""),"",IF(G364=0,"",(G369/G364)-1)))</f>
        <v/>
      </c>
      <c r="T369" s="24">
        <f>IF(ROW()&lt;7,"",IF(OR(L369="",L366=""),"",IF(L366=0,"",(L369/L366)-1)))</f>
        <v/>
      </c>
      <c r="U369" s="24">
        <f>IF(ROW()&lt;9,"",IF(OR(L369="",L364=""),"",IF(L364=0,"",(L369/L364)-1)))</f>
        <v/>
      </c>
      <c r="V369" s="24">
        <f>IF(ROW()&lt;7,"",IF(OR(N369="",N366=""),"",IF(N366=0,"",(N369/N366)-1)))</f>
        <v/>
      </c>
      <c r="W369" s="24">
        <f>IF(ROW()&lt;9,"",IF(OR(N369="",N364=""),"",IF(N364=0,"",(N369/N364)-1)))</f>
        <v/>
      </c>
      <c r="X369" s="24">
        <f>IF(OR(F369="",M369=""),"",F369-M369)</f>
        <v/>
      </c>
      <c r="Y369" s="24">
        <f>IF(OR(P369="",T369=""),"",P369-T369)</f>
        <v/>
      </c>
      <c r="Z369" s="24">
        <f>IF(OR(Q369="",U369=""),"",Q369-U369)</f>
        <v/>
      </c>
      <c r="AA369" s="24">
        <f>IF(OR(H369="",O369=""),"",H369-O369)</f>
        <v/>
      </c>
      <c r="AB369" s="24">
        <f>IF(OR(R369="",V369=""),"",R369-V369)</f>
        <v/>
      </c>
      <c r="AC369" s="24">
        <f>IF(OR(S369="",W369=""),"",S369-W369)</f>
        <v/>
      </c>
      <c r="AD369" s="13" t="n"/>
      <c r="AE369" s="24">
        <f>IF(OR(AD369="",AD368=""),"",IF(AD368=0,"",(AD369/AD368)-1))</f>
        <v/>
      </c>
      <c r="AF369" s="24">
        <f>IF(ROW()&lt;7,"",IF(OR(AD369="",AD366=""),"",IF(AD366=0,"",(AD369/AD366)-1)))</f>
        <v/>
      </c>
      <c r="AG369" s="24">
        <f>IF(ROW()&lt;9,"",IF(OR(AD369="",AD364=""),"",IF(AD364=0,"",(AD369/AD364)-1)))</f>
        <v/>
      </c>
      <c r="AH369" s="13">
        <f>IF(ROW()&lt;23,"",AVERAGE(AD350:AD369))</f>
        <v/>
      </c>
      <c r="AI369">
        <f>IF(OR(AD369="",AH369=""),"",IF(AD369&gt;AH369,"Bull","Bear"))</f>
        <v/>
      </c>
      <c r="AJ369" s="13" t="n"/>
      <c r="AK369" s="24">
        <f>IF(OR(AJ369="",AJ368=""),"",IF(AJ368=0,"",(AJ369/AJ368)-1))</f>
        <v/>
      </c>
      <c r="AL369" s="24">
        <f>IF(ROW()&lt;7,"",IF(OR(AJ369="",AJ366=""),"",IF(AJ366=0,"",(AJ369/AJ366)-1)))</f>
        <v/>
      </c>
      <c r="AM369" s="24">
        <f>IF(ROW()&lt;9,"",IF(OR(AJ369="",AJ364=""),"",IF(AJ364=0,"",(AJ369/AJ364)-1)))</f>
        <v/>
      </c>
      <c r="AN369" s="13">
        <f>IF(ROW()&lt;23,"",AVERAGE(AJ350:AJ369))</f>
        <v/>
      </c>
      <c r="AO369">
        <f>IF(OR(AJ369="",AN369=""),"",IF(AJ369&gt;AN369,"Bull","Bear"))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8">
        <f>IFERROR((M370/M369)-1,"")</f>
        <v/>
      </c>
      <c r="O370" s="24">
        <f>IF(OR(N370="",N369=""),"",IF(N369=0,"",(N370/N369)-1))</f>
        <v/>
      </c>
      <c r="P370" s="11">
        <f>IF(ROW()&lt;7,"",IF(OR(E370="",E367=""),"",IF(E367=0,"",(E370/E367)-1)))</f>
        <v/>
      </c>
      <c r="Q370" s="24">
        <f>IF(ROW()&lt;9,"",IF(OR(E370="",E365=""),"",IF(E365=0,"",(E370/E365)-1)))</f>
        <v/>
      </c>
      <c r="R370" s="24">
        <f>IF(ROW()&lt;7,"",IF(OR(G370="",G367=""),"",IF(G367=0,"",(G370/G367)-1)))</f>
        <v/>
      </c>
      <c r="S370" s="24">
        <f>IF(ROW()&lt;9,"",IF(OR(G370="",G365=""),"",IF(G365=0,"",(G370/G365)-1)))</f>
        <v/>
      </c>
      <c r="T370" s="24">
        <f>IF(ROW()&lt;7,"",IF(OR(L370="",L367=""),"",IF(L367=0,"",(L370/L367)-1)))</f>
        <v/>
      </c>
      <c r="U370" s="24">
        <f>IF(ROW()&lt;9,"",IF(OR(L370="",L365=""),"",IF(L365=0,"",(L370/L365)-1)))</f>
        <v/>
      </c>
      <c r="V370" s="24">
        <f>IF(ROW()&lt;7,"",IF(OR(N370="",N367=""),"",IF(N367=0,"",(N370/N367)-1)))</f>
        <v/>
      </c>
      <c r="W370" s="24">
        <f>IF(ROW()&lt;9,"",IF(OR(N370="",N365=""),"",IF(N365=0,"",(N370/N365)-1)))</f>
        <v/>
      </c>
      <c r="X370" s="24">
        <f>IF(OR(F370="",M370=""),"",F370-M370)</f>
        <v/>
      </c>
      <c r="Y370" s="24">
        <f>IF(OR(P370="",T370=""),"",P370-T370)</f>
        <v/>
      </c>
      <c r="Z370" s="24">
        <f>IF(OR(Q370="",U370=""),"",Q370-U370)</f>
        <v/>
      </c>
      <c r="AA370" s="24">
        <f>IF(OR(H370="",O370=""),"",H370-O370)</f>
        <v/>
      </c>
      <c r="AB370" s="24">
        <f>IF(OR(R370="",V370=""),"",R370-V370)</f>
        <v/>
      </c>
      <c r="AC370" s="24">
        <f>IF(OR(S370="",W370=""),"",S370-W370)</f>
        <v/>
      </c>
      <c r="AD370" s="13" t="n"/>
      <c r="AE370" s="24">
        <f>IF(OR(AD370="",AD369=""),"",IF(AD369=0,"",(AD370/AD369)-1))</f>
        <v/>
      </c>
      <c r="AF370" s="24">
        <f>IF(ROW()&lt;7,"",IF(OR(AD370="",AD367=""),"",IF(AD367=0,"",(AD370/AD367)-1)))</f>
        <v/>
      </c>
      <c r="AG370" s="24">
        <f>IF(ROW()&lt;9,"",IF(OR(AD370="",AD365=""),"",IF(AD365=0,"",(AD370/AD365)-1)))</f>
        <v/>
      </c>
      <c r="AH370" s="13">
        <f>IF(ROW()&lt;23,"",AVERAGE(AD351:AD370))</f>
        <v/>
      </c>
      <c r="AI370">
        <f>IF(OR(AD370="",AH370=""),"",IF(AD370&gt;AH370,"Bull","Bear"))</f>
        <v/>
      </c>
      <c r="AJ370" s="13" t="n"/>
      <c r="AK370" s="24">
        <f>IF(OR(AJ370="",AJ369=""),"",IF(AJ369=0,"",(AJ370/AJ369)-1))</f>
        <v/>
      </c>
      <c r="AL370" s="24">
        <f>IF(ROW()&lt;7,"",IF(OR(AJ370="",AJ367=""),"",IF(AJ367=0,"",(AJ370/AJ367)-1)))</f>
        <v/>
      </c>
      <c r="AM370" s="24">
        <f>IF(ROW()&lt;9,"",IF(OR(AJ370="",AJ365=""),"",IF(AJ365=0,"",(AJ370/AJ365)-1)))</f>
        <v/>
      </c>
      <c r="AN370" s="13">
        <f>IF(ROW()&lt;23,"",AVERAGE(AJ351:AJ370))</f>
        <v/>
      </c>
      <c r="AO370">
        <f>IF(OR(AJ370="",AN370=""),"",IF(AJ370&gt;AN370,"Bull","Bear"))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8">
        <f>IFERROR((M371/M370)-1,"")</f>
        <v/>
      </c>
      <c r="O371" s="24">
        <f>IF(OR(N371="",N370=""),"",IF(N370=0,"",(N371/N370)-1))</f>
        <v/>
      </c>
      <c r="P371" s="11">
        <f>IF(ROW()&lt;7,"",IF(OR(E371="",E368=""),"",IF(E368=0,"",(E371/E368)-1)))</f>
        <v/>
      </c>
      <c r="Q371" s="24">
        <f>IF(ROW()&lt;9,"",IF(OR(E371="",E366=""),"",IF(E366=0,"",(E371/E366)-1)))</f>
        <v/>
      </c>
      <c r="R371" s="24">
        <f>IF(ROW()&lt;7,"",IF(OR(G371="",G368=""),"",IF(G368=0,"",(G371/G368)-1)))</f>
        <v/>
      </c>
      <c r="S371" s="24">
        <f>IF(ROW()&lt;9,"",IF(OR(G371="",G366=""),"",IF(G366=0,"",(G371/G366)-1)))</f>
        <v/>
      </c>
      <c r="T371" s="24">
        <f>IF(ROW()&lt;7,"",IF(OR(L371="",L368=""),"",IF(L368=0,"",(L371/L368)-1)))</f>
        <v/>
      </c>
      <c r="U371" s="24">
        <f>IF(ROW()&lt;9,"",IF(OR(L371="",L366=""),"",IF(L366=0,"",(L371/L366)-1)))</f>
        <v/>
      </c>
      <c r="V371" s="24">
        <f>IF(ROW()&lt;7,"",IF(OR(N371="",N368=""),"",IF(N368=0,"",(N371/N368)-1)))</f>
        <v/>
      </c>
      <c r="W371" s="24">
        <f>IF(ROW()&lt;9,"",IF(OR(N371="",N366=""),"",IF(N366=0,"",(N371/N366)-1)))</f>
        <v/>
      </c>
      <c r="X371" s="24">
        <f>IF(OR(F371="",M371=""),"",F371-M371)</f>
        <v/>
      </c>
      <c r="Y371" s="24">
        <f>IF(OR(P371="",T371=""),"",P371-T371)</f>
        <v/>
      </c>
      <c r="Z371" s="24">
        <f>IF(OR(Q371="",U371=""),"",Q371-U371)</f>
        <v/>
      </c>
      <c r="AA371" s="24">
        <f>IF(OR(H371="",O371=""),"",H371-O371)</f>
        <v/>
      </c>
      <c r="AB371" s="24">
        <f>IF(OR(R371="",V371=""),"",R371-V371)</f>
        <v/>
      </c>
      <c r="AC371" s="24">
        <f>IF(OR(S371="",W371=""),"",S371-W371)</f>
        <v/>
      </c>
      <c r="AD371" s="13" t="n"/>
      <c r="AE371" s="24">
        <f>IF(OR(AD371="",AD370=""),"",IF(AD370=0,"",(AD371/AD370)-1))</f>
        <v/>
      </c>
      <c r="AF371" s="24">
        <f>IF(ROW()&lt;7,"",IF(OR(AD371="",AD368=""),"",IF(AD368=0,"",(AD371/AD368)-1)))</f>
        <v/>
      </c>
      <c r="AG371" s="24">
        <f>IF(ROW()&lt;9,"",IF(OR(AD371="",AD366=""),"",IF(AD366=0,"",(AD371/AD366)-1)))</f>
        <v/>
      </c>
      <c r="AH371" s="13">
        <f>IF(ROW()&lt;23,"",AVERAGE(AD352:AD371))</f>
        <v/>
      </c>
      <c r="AI371">
        <f>IF(OR(AD371="",AH371=""),"",IF(AD371&gt;AH371,"Bull","Bear"))</f>
        <v/>
      </c>
      <c r="AJ371" s="13" t="n"/>
      <c r="AK371" s="24">
        <f>IF(OR(AJ371="",AJ370=""),"",IF(AJ370=0,"",(AJ371/AJ370)-1))</f>
        <v/>
      </c>
      <c r="AL371" s="24">
        <f>IF(ROW()&lt;7,"",IF(OR(AJ371="",AJ368=""),"",IF(AJ368=0,"",(AJ371/AJ368)-1)))</f>
        <v/>
      </c>
      <c r="AM371" s="24">
        <f>IF(ROW()&lt;9,"",IF(OR(AJ371="",AJ366=""),"",IF(AJ366=0,"",(AJ371/AJ366)-1)))</f>
        <v/>
      </c>
      <c r="AN371" s="13">
        <f>IF(ROW()&lt;23,"",AVERAGE(AJ352:AJ371))</f>
        <v/>
      </c>
      <c r="AO371">
        <f>IF(OR(AJ371="",AN371=""),"",IF(AJ371&gt;AN371,"Bull","Bear"))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8">
        <f>IFERROR((M372/M371)-1,"")</f>
        <v/>
      </c>
      <c r="O372" s="24">
        <f>IF(OR(N372="",N371=""),"",IF(N371=0,"",(N372/N371)-1))</f>
        <v/>
      </c>
      <c r="P372" s="11">
        <f>IF(ROW()&lt;7,"",IF(OR(E372="",E369=""),"",IF(E369=0,"",(E372/E369)-1)))</f>
        <v/>
      </c>
      <c r="Q372" s="24">
        <f>IF(ROW()&lt;9,"",IF(OR(E372="",E367=""),"",IF(E367=0,"",(E372/E367)-1)))</f>
        <v/>
      </c>
      <c r="R372" s="24">
        <f>IF(ROW()&lt;7,"",IF(OR(G372="",G369=""),"",IF(G369=0,"",(G372/G369)-1)))</f>
        <v/>
      </c>
      <c r="S372" s="24">
        <f>IF(ROW()&lt;9,"",IF(OR(G372="",G367=""),"",IF(G367=0,"",(G372/G367)-1)))</f>
        <v/>
      </c>
      <c r="T372" s="24">
        <f>IF(ROW()&lt;7,"",IF(OR(L372="",L369=""),"",IF(L369=0,"",(L372/L369)-1)))</f>
        <v/>
      </c>
      <c r="U372" s="24">
        <f>IF(ROW()&lt;9,"",IF(OR(L372="",L367=""),"",IF(L367=0,"",(L372/L367)-1)))</f>
        <v/>
      </c>
      <c r="V372" s="24">
        <f>IF(ROW()&lt;7,"",IF(OR(N372="",N369=""),"",IF(N369=0,"",(N372/N369)-1)))</f>
        <v/>
      </c>
      <c r="W372" s="24">
        <f>IF(ROW()&lt;9,"",IF(OR(N372="",N367=""),"",IF(N367=0,"",(N372/N367)-1)))</f>
        <v/>
      </c>
      <c r="X372" s="24">
        <f>IF(OR(F372="",M372=""),"",F372-M372)</f>
        <v/>
      </c>
      <c r="Y372" s="24">
        <f>IF(OR(P372="",T372=""),"",P372-T372)</f>
        <v/>
      </c>
      <c r="Z372" s="24">
        <f>IF(OR(Q372="",U372=""),"",Q372-U372)</f>
        <v/>
      </c>
      <c r="AA372" s="24">
        <f>IF(OR(H372="",O372=""),"",H372-O372)</f>
        <v/>
      </c>
      <c r="AB372" s="24">
        <f>IF(OR(R372="",V372=""),"",R372-V372)</f>
        <v/>
      </c>
      <c r="AC372" s="24">
        <f>IF(OR(S372="",W372=""),"",S372-W372)</f>
        <v/>
      </c>
      <c r="AD372" s="13" t="n"/>
      <c r="AE372" s="24">
        <f>IF(OR(AD372="",AD371=""),"",IF(AD371=0,"",(AD372/AD371)-1))</f>
        <v/>
      </c>
      <c r="AF372" s="24">
        <f>IF(ROW()&lt;7,"",IF(OR(AD372="",AD369=""),"",IF(AD369=0,"",(AD372/AD369)-1)))</f>
        <v/>
      </c>
      <c r="AG372" s="24">
        <f>IF(ROW()&lt;9,"",IF(OR(AD372="",AD367=""),"",IF(AD367=0,"",(AD372/AD367)-1)))</f>
        <v/>
      </c>
      <c r="AH372" s="13">
        <f>IF(ROW()&lt;23,"",AVERAGE(AD353:AD372))</f>
        <v/>
      </c>
      <c r="AI372">
        <f>IF(OR(AD372="",AH372=""),"",IF(AD372&gt;AH372,"Bull","Bear"))</f>
        <v/>
      </c>
      <c r="AJ372" s="13" t="n"/>
      <c r="AK372" s="24">
        <f>IF(OR(AJ372="",AJ371=""),"",IF(AJ371=0,"",(AJ372/AJ371)-1))</f>
        <v/>
      </c>
      <c r="AL372" s="24">
        <f>IF(ROW()&lt;7,"",IF(OR(AJ372="",AJ369=""),"",IF(AJ369=0,"",(AJ372/AJ369)-1)))</f>
        <v/>
      </c>
      <c r="AM372" s="24">
        <f>IF(ROW()&lt;9,"",IF(OR(AJ372="",AJ367=""),"",IF(AJ367=0,"",(AJ372/AJ367)-1)))</f>
        <v/>
      </c>
      <c r="AN372" s="13">
        <f>IF(ROW()&lt;23,"",AVERAGE(AJ353:AJ372))</f>
        <v/>
      </c>
      <c r="AO372">
        <f>IF(OR(AJ372="",AN372=""),"",IF(AJ372&gt;AN372,"Bull","Bear"))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8">
        <f>IFERROR((M373/M372)-1,"")</f>
        <v/>
      </c>
      <c r="O373" s="24">
        <f>IF(OR(N373="",N372=""),"",IF(N372=0,"",(N373/N372)-1))</f>
        <v/>
      </c>
      <c r="P373" s="11">
        <f>IF(ROW()&lt;7,"",IF(OR(E373="",E370=""),"",IF(E370=0,"",(E373/E370)-1)))</f>
        <v/>
      </c>
      <c r="Q373" s="24">
        <f>IF(ROW()&lt;9,"",IF(OR(E373="",E368=""),"",IF(E368=0,"",(E373/E368)-1)))</f>
        <v/>
      </c>
      <c r="R373" s="24">
        <f>IF(ROW()&lt;7,"",IF(OR(G373="",G370=""),"",IF(G370=0,"",(G373/G370)-1)))</f>
        <v/>
      </c>
      <c r="S373" s="24">
        <f>IF(ROW()&lt;9,"",IF(OR(G373="",G368=""),"",IF(G368=0,"",(G373/G368)-1)))</f>
        <v/>
      </c>
      <c r="T373" s="24">
        <f>IF(ROW()&lt;7,"",IF(OR(L373="",L370=""),"",IF(L370=0,"",(L373/L370)-1)))</f>
        <v/>
      </c>
      <c r="U373" s="24">
        <f>IF(ROW()&lt;9,"",IF(OR(L373="",L368=""),"",IF(L368=0,"",(L373/L368)-1)))</f>
        <v/>
      </c>
      <c r="V373" s="24">
        <f>IF(ROW()&lt;7,"",IF(OR(N373="",N370=""),"",IF(N370=0,"",(N373/N370)-1)))</f>
        <v/>
      </c>
      <c r="W373" s="24">
        <f>IF(ROW()&lt;9,"",IF(OR(N373="",N368=""),"",IF(N368=0,"",(N373/N368)-1)))</f>
        <v/>
      </c>
      <c r="X373" s="24">
        <f>IF(OR(F373="",M373=""),"",F373-M373)</f>
        <v/>
      </c>
      <c r="Y373" s="24">
        <f>IF(OR(P373="",T373=""),"",P373-T373)</f>
        <v/>
      </c>
      <c r="Z373" s="24">
        <f>IF(OR(Q373="",U373=""),"",Q373-U373)</f>
        <v/>
      </c>
      <c r="AA373" s="24">
        <f>IF(OR(H373="",O373=""),"",H373-O373)</f>
        <v/>
      </c>
      <c r="AB373" s="24">
        <f>IF(OR(R373="",V373=""),"",R373-V373)</f>
        <v/>
      </c>
      <c r="AC373" s="24">
        <f>IF(OR(S373="",W373=""),"",S373-W373)</f>
        <v/>
      </c>
      <c r="AD373" s="13" t="n"/>
      <c r="AE373" s="24">
        <f>IF(OR(AD373="",AD372=""),"",IF(AD372=0,"",(AD373/AD372)-1))</f>
        <v/>
      </c>
      <c r="AF373" s="24">
        <f>IF(ROW()&lt;7,"",IF(OR(AD373="",AD370=""),"",IF(AD370=0,"",(AD373/AD370)-1)))</f>
        <v/>
      </c>
      <c r="AG373" s="24">
        <f>IF(ROW()&lt;9,"",IF(OR(AD373="",AD368=""),"",IF(AD368=0,"",(AD373/AD368)-1)))</f>
        <v/>
      </c>
      <c r="AH373" s="13">
        <f>IF(ROW()&lt;23,"",AVERAGE(AD354:AD373))</f>
        <v/>
      </c>
      <c r="AI373">
        <f>IF(OR(AD373="",AH373=""),"",IF(AD373&gt;AH373,"Bull","Bear"))</f>
        <v/>
      </c>
      <c r="AJ373" s="13" t="n"/>
      <c r="AK373" s="24">
        <f>IF(OR(AJ373="",AJ372=""),"",IF(AJ372=0,"",(AJ373/AJ372)-1))</f>
        <v/>
      </c>
      <c r="AL373" s="24">
        <f>IF(ROW()&lt;7,"",IF(OR(AJ373="",AJ370=""),"",IF(AJ370=0,"",(AJ373/AJ370)-1)))</f>
        <v/>
      </c>
      <c r="AM373" s="24">
        <f>IF(ROW()&lt;9,"",IF(OR(AJ373="",AJ368=""),"",IF(AJ368=0,"",(AJ373/AJ368)-1)))</f>
        <v/>
      </c>
      <c r="AN373" s="13">
        <f>IF(ROW()&lt;23,"",AVERAGE(AJ354:AJ373))</f>
        <v/>
      </c>
      <c r="AO373">
        <f>IF(OR(AJ373="",AN373=""),"",IF(AJ373&gt;AN373,"Bull","Bear"))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8">
        <f>IFERROR((M374/M373)-1,"")</f>
        <v/>
      </c>
      <c r="O374" s="24">
        <f>IF(OR(N374="",N373=""),"",IF(N373=0,"",(N374/N373)-1))</f>
        <v/>
      </c>
      <c r="P374" s="11">
        <f>IF(ROW()&lt;7,"",IF(OR(E374="",E371=""),"",IF(E371=0,"",(E374/E371)-1)))</f>
        <v/>
      </c>
      <c r="Q374" s="24">
        <f>IF(ROW()&lt;9,"",IF(OR(E374="",E369=""),"",IF(E369=0,"",(E374/E369)-1)))</f>
        <v/>
      </c>
      <c r="R374" s="24">
        <f>IF(ROW()&lt;7,"",IF(OR(G374="",G371=""),"",IF(G371=0,"",(G374/G371)-1)))</f>
        <v/>
      </c>
      <c r="S374" s="24">
        <f>IF(ROW()&lt;9,"",IF(OR(G374="",G369=""),"",IF(G369=0,"",(G374/G369)-1)))</f>
        <v/>
      </c>
      <c r="T374" s="24">
        <f>IF(ROW()&lt;7,"",IF(OR(L374="",L371=""),"",IF(L371=0,"",(L374/L371)-1)))</f>
        <v/>
      </c>
      <c r="U374" s="24">
        <f>IF(ROW()&lt;9,"",IF(OR(L374="",L369=""),"",IF(L369=0,"",(L374/L369)-1)))</f>
        <v/>
      </c>
      <c r="V374" s="24">
        <f>IF(ROW()&lt;7,"",IF(OR(N374="",N371=""),"",IF(N371=0,"",(N374/N371)-1)))</f>
        <v/>
      </c>
      <c r="W374" s="24">
        <f>IF(ROW()&lt;9,"",IF(OR(N374="",N369=""),"",IF(N369=0,"",(N374/N369)-1)))</f>
        <v/>
      </c>
      <c r="X374" s="24">
        <f>IF(OR(F374="",M374=""),"",F374-M374)</f>
        <v/>
      </c>
      <c r="Y374" s="24">
        <f>IF(OR(P374="",T374=""),"",P374-T374)</f>
        <v/>
      </c>
      <c r="Z374" s="24">
        <f>IF(OR(Q374="",U374=""),"",Q374-U374)</f>
        <v/>
      </c>
      <c r="AA374" s="24">
        <f>IF(OR(H374="",O374=""),"",H374-O374)</f>
        <v/>
      </c>
      <c r="AB374" s="24">
        <f>IF(OR(R374="",V374=""),"",R374-V374)</f>
        <v/>
      </c>
      <c r="AC374" s="24">
        <f>IF(OR(S374="",W374=""),"",S374-W374)</f>
        <v/>
      </c>
      <c r="AD374" s="13" t="n"/>
      <c r="AE374" s="24">
        <f>IF(OR(AD374="",AD373=""),"",IF(AD373=0,"",(AD374/AD373)-1))</f>
        <v/>
      </c>
      <c r="AF374" s="24">
        <f>IF(ROW()&lt;7,"",IF(OR(AD374="",AD371=""),"",IF(AD371=0,"",(AD374/AD371)-1)))</f>
        <v/>
      </c>
      <c r="AG374" s="24">
        <f>IF(ROW()&lt;9,"",IF(OR(AD374="",AD369=""),"",IF(AD369=0,"",(AD374/AD369)-1)))</f>
        <v/>
      </c>
      <c r="AH374" s="13">
        <f>IF(ROW()&lt;23,"",AVERAGE(AD355:AD374))</f>
        <v/>
      </c>
      <c r="AI374">
        <f>IF(OR(AD374="",AH374=""),"",IF(AD374&gt;AH374,"Bull","Bear"))</f>
        <v/>
      </c>
      <c r="AJ374" s="13" t="n"/>
      <c r="AK374" s="24">
        <f>IF(OR(AJ374="",AJ373=""),"",IF(AJ373=0,"",(AJ374/AJ373)-1))</f>
        <v/>
      </c>
      <c r="AL374" s="24">
        <f>IF(ROW()&lt;7,"",IF(OR(AJ374="",AJ371=""),"",IF(AJ371=0,"",(AJ374/AJ371)-1)))</f>
        <v/>
      </c>
      <c r="AM374" s="24">
        <f>IF(ROW()&lt;9,"",IF(OR(AJ374="",AJ369=""),"",IF(AJ369=0,"",(AJ374/AJ369)-1)))</f>
        <v/>
      </c>
      <c r="AN374" s="13">
        <f>IF(ROW()&lt;23,"",AVERAGE(AJ355:AJ374))</f>
        <v/>
      </c>
      <c r="AO374">
        <f>IF(OR(AJ374="",AN374=""),"",IF(AJ374&gt;AN374,"Bull","Bear"))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8">
        <f>IFERROR((M375/M374)-1,"")</f>
        <v/>
      </c>
      <c r="O375" s="24">
        <f>IF(OR(N375="",N374=""),"",IF(N374=0,"",(N375/N374)-1))</f>
        <v/>
      </c>
      <c r="P375" s="11">
        <f>IF(ROW()&lt;7,"",IF(OR(E375="",E372=""),"",IF(E372=0,"",(E375/E372)-1)))</f>
        <v/>
      </c>
      <c r="Q375" s="24">
        <f>IF(ROW()&lt;9,"",IF(OR(E375="",E370=""),"",IF(E370=0,"",(E375/E370)-1)))</f>
        <v/>
      </c>
      <c r="R375" s="24">
        <f>IF(ROW()&lt;7,"",IF(OR(G375="",G372=""),"",IF(G372=0,"",(G375/G372)-1)))</f>
        <v/>
      </c>
      <c r="S375" s="24">
        <f>IF(ROW()&lt;9,"",IF(OR(G375="",G370=""),"",IF(G370=0,"",(G375/G370)-1)))</f>
        <v/>
      </c>
      <c r="T375" s="24">
        <f>IF(ROW()&lt;7,"",IF(OR(L375="",L372=""),"",IF(L372=0,"",(L375/L372)-1)))</f>
        <v/>
      </c>
      <c r="U375" s="24">
        <f>IF(ROW()&lt;9,"",IF(OR(L375="",L370=""),"",IF(L370=0,"",(L375/L370)-1)))</f>
        <v/>
      </c>
      <c r="V375" s="24">
        <f>IF(ROW()&lt;7,"",IF(OR(N375="",N372=""),"",IF(N372=0,"",(N375/N372)-1)))</f>
        <v/>
      </c>
      <c r="W375" s="24">
        <f>IF(ROW()&lt;9,"",IF(OR(N375="",N370=""),"",IF(N370=0,"",(N375/N370)-1)))</f>
        <v/>
      </c>
      <c r="X375" s="24">
        <f>IF(OR(F375="",M375=""),"",F375-M375)</f>
        <v/>
      </c>
      <c r="Y375" s="24">
        <f>IF(OR(P375="",T375=""),"",P375-T375)</f>
        <v/>
      </c>
      <c r="Z375" s="24">
        <f>IF(OR(Q375="",U375=""),"",Q375-U375)</f>
        <v/>
      </c>
      <c r="AA375" s="24">
        <f>IF(OR(H375="",O375=""),"",H375-O375)</f>
        <v/>
      </c>
      <c r="AB375" s="24">
        <f>IF(OR(R375="",V375=""),"",R375-V375)</f>
        <v/>
      </c>
      <c r="AC375" s="24">
        <f>IF(OR(S375="",W375=""),"",S375-W375)</f>
        <v/>
      </c>
      <c r="AD375" s="13" t="n"/>
      <c r="AE375" s="24">
        <f>IF(OR(AD375="",AD374=""),"",IF(AD374=0,"",(AD375/AD374)-1))</f>
        <v/>
      </c>
      <c r="AF375" s="24">
        <f>IF(ROW()&lt;7,"",IF(OR(AD375="",AD372=""),"",IF(AD372=0,"",(AD375/AD372)-1)))</f>
        <v/>
      </c>
      <c r="AG375" s="24">
        <f>IF(ROW()&lt;9,"",IF(OR(AD375="",AD370=""),"",IF(AD370=0,"",(AD375/AD370)-1)))</f>
        <v/>
      </c>
      <c r="AH375" s="13">
        <f>IF(ROW()&lt;23,"",AVERAGE(AD356:AD375))</f>
        <v/>
      </c>
      <c r="AI375">
        <f>IF(OR(AD375="",AH375=""),"",IF(AD375&gt;AH375,"Bull","Bear"))</f>
        <v/>
      </c>
      <c r="AJ375" s="13" t="n"/>
      <c r="AK375" s="24">
        <f>IF(OR(AJ375="",AJ374=""),"",IF(AJ374=0,"",(AJ375/AJ374)-1))</f>
        <v/>
      </c>
      <c r="AL375" s="24">
        <f>IF(ROW()&lt;7,"",IF(OR(AJ375="",AJ372=""),"",IF(AJ372=0,"",(AJ375/AJ372)-1)))</f>
        <v/>
      </c>
      <c r="AM375" s="24">
        <f>IF(ROW()&lt;9,"",IF(OR(AJ375="",AJ370=""),"",IF(AJ370=0,"",(AJ375/AJ370)-1)))</f>
        <v/>
      </c>
      <c r="AN375" s="13">
        <f>IF(ROW()&lt;23,"",AVERAGE(AJ356:AJ375))</f>
        <v/>
      </c>
      <c r="AO375">
        <f>IF(OR(AJ375="",AN375=""),"",IF(AJ375&gt;AN375,"Bull","Bear"))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8">
        <f>IFERROR((M376/M375)-1,"")</f>
        <v/>
      </c>
      <c r="O376" s="24">
        <f>IF(OR(N376="",N375=""),"",IF(N375=0,"",(N376/N375)-1))</f>
        <v/>
      </c>
      <c r="P376" s="11">
        <f>IF(ROW()&lt;7,"",IF(OR(E376="",E373=""),"",IF(E373=0,"",(E376/E373)-1)))</f>
        <v/>
      </c>
      <c r="Q376" s="24">
        <f>IF(ROW()&lt;9,"",IF(OR(E376="",E371=""),"",IF(E371=0,"",(E376/E371)-1)))</f>
        <v/>
      </c>
      <c r="R376" s="24">
        <f>IF(ROW()&lt;7,"",IF(OR(G376="",G373=""),"",IF(G373=0,"",(G376/G373)-1)))</f>
        <v/>
      </c>
      <c r="S376" s="24">
        <f>IF(ROW()&lt;9,"",IF(OR(G376="",G371=""),"",IF(G371=0,"",(G376/G371)-1)))</f>
        <v/>
      </c>
      <c r="T376" s="24">
        <f>IF(ROW()&lt;7,"",IF(OR(L376="",L373=""),"",IF(L373=0,"",(L376/L373)-1)))</f>
        <v/>
      </c>
      <c r="U376" s="24">
        <f>IF(ROW()&lt;9,"",IF(OR(L376="",L371=""),"",IF(L371=0,"",(L376/L371)-1)))</f>
        <v/>
      </c>
      <c r="V376" s="24">
        <f>IF(ROW()&lt;7,"",IF(OR(N376="",N373=""),"",IF(N373=0,"",(N376/N373)-1)))</f>
        <v/>
      </c>
      <c r="W376" s="24">
        <f>IF(ROW()&lt;9,"",IF(OR(N376="",N371=""),"",IF(N371=0,"",(N376/N371)-1)))</f>
        <v/>
      </c>
      <c r="X376" s="24">
        <f>IF(OR(F376="",M376=""),"",F376-M376)</f>
        <v/>
      </c>
      <c r="Y376" s="24">
        <f>IF(OR(P376="",T376=""),"",P376-T376)</f>
        <v/>
      </c>
      <c r="Z376" s="24">
        <f>IF(OR(Q376="",U376=""),"",Q376-U376)</f>
        <v/>
      </c>
      <c r="AA376" s="24">
        <f>IF(OR(H376="",O376=""),"",H376-O376)</f>
        <v/>
      </c>
      <c r="AB376" s="24">
        <f>IF(OR(R376="",V376=""),"",R376-V376)</f>
        <v/>
      </c>
      <c r="AC376" s="24">
        <f>IF(OR(S376="",W376=""),"",S376-W376)</f>
        <v/>
      </c>
      <c r="AD376" s="13" t="n"/>
      <c r="AE376" s="24">
        <f>IF(OR(AD376="",AD375=""),"",IF(AD375=0,"",(AD376/AD375)-1))</f>
        <v/>
      </c>
      <c r="AF376" s="24">
        <f>IF(ROW()&lt;7,"",IF(OR(AD376="",AD373=""),"",IF(AD373=0,"",(AD376/AD373)-1)))</f>
        <v/>
      </c>
      <c r="AG376" s="24">
        <f>IF(ROW()&lt;9,"",IF(OR(AD376="",AD371=""),"",IF(AD371=0,"",(AD376/AD371)-1)))</f>
        <v/>
      </c>
      <c r="AH376" s="13">
        <f>IF(ROW()&lt;23,"",AVERAGE(AD357:AD376))</f>
        <v/>
      </c>
      <c r="AI376">
        <f>IF(OR(AD376="",AH376=""),"",IF(AD376&gt;AH376,"Bull","Bear"))</f>
        <v/>
      </c>
      <c r="AJ376" s="13" t="n"/>
      <c r="AK376" s="24">
        <f>IF(OR(AJ376="",AJ375=""),"",IF(AJ375=0,"",(AJ376/AJ375)-1))</f>
        <v/>
      </c>
      <c r="AL376" s="24">
        <f>IF(ROW()&lt;7,"",IF(OR(AJ376="",AJ373=""),"",IF(AJ373=0,"",(AJ376/AJ373)-1)))</f>
        <v/>
      </c>
      <c r="AM376" s="24">
        <f>IF(ROW()&lt;9,"",IF(OR(AJ376="",AJ371=""),"",IF(AJ371=0,"",(AJ376/AJ371)-1)))</f>
        <v/>
      </c>
      <c r="AN376" s="13">
        <f>IF(ROW()&lt;23,"",AVERAGE(AJ357:AJ376))</f>
        <v/>
      </c>
      <c r="AO376">
        <f>IF(OR(AJ376="",AN376=""),"",IF(AJ376&gt;AN376,"Bull","Bear"))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8">
        <f>IFERROR((M377/M376)-1,"")</f>
        <v/>
      </c>
      <c r="O377" s="24">
        <f>IF(OR(N377="",N376=""),"",IF(N376=0,"",(N377/N376)-1))</f>
        <v/>
      </c>
      <c r="P377" s="11">
        <f>IF(ROW()&lt;7,"",IF(OR(E377="",E374=""),"",IF(E374=0,"",(E377/E374)-1)))</f>
        <v/>
      </c>
      <c r="Q377" s="24">
        <f>IF(ROW()&lt;9,"",IF(OR(E377="",E372=""),"",IF(E372=0,"",(E377/E372)-1)))</f>
        <v/>
      </c>
      <c r="R377" s="24">
        <f>IF(ROW()&lt;7,"",IF(OR(G377="",G374=""),"",IF(G374=0,"",(G377/G374)-1)))</f>
        <v/>
      </c>
      <c r="S377" s="24">
        <f>IF(ROW()&lt;9,"",IF(OR(G377="",G372=""),"",IF(G372=0,"",(G377/G372)-1)))</f>
        <v/>
      </c>
      <c r="T377" s="24">
        <f>IF(ROW()&lt;7,"",IF(OR(L377="",L374=""),"",IF(L374=0,"",(L377/L374)-1)))</f>
        <v/>
      </c>
      <c r="U377" s="24">
        <f>IF(ROW()&lt;9,"",IF(OR(L377="",L372=""),"",IF(L372=0,"",(L377/L372)-1)))</f>
        <v/>
      </c>
      <c r="V377" s="24">
        <f>IF(ROW()&lt;7,"",IF(OR(N377="",N374=""),"",IF(N374=0,"",(N377/N374)-1)))</f>
        <v/>
      </c>
      <c r="W377" s="24">
        <f>IF(ROW()&lt;9,"",IF(OR(N377="",N372=""),"",IF(N372=0,"",(N377/N372)-1)))</f>
        <v/>
      </c>
      <c r="X377" s="24">
        <f>IF(OR(F377="",M377=""),"",F377-M377)</f>
        <v/>
      </c>
      <c r="Y377" s="24">
        <f>IF(OR(P377="",T377=""),"",P377-T377)</f>
        <v/>
      </c>
      <c r="Z377" s="24">
        <f>IF(OR(Q377="",U377=""),"",Q377-U377)</f>
        <v/>
      </c>
      <c r="AA377" s="24">
        <f>IF(OR(H377="",O377=""),"",H377-O377)</f>
        <v/>
      </c>
      <c r="AB377" s="24">
        <f>IF(OR(R377="",V377=""),"",R377-V377)</f>
        <v/>
      </c>
      <c r="AC377" s="24">
        <f>IF(OR(S377="",W377=""),"",S377-W377)</f>
        <v/>
      </c>
      <c r="AD377" s="13" t="n"/>
      <c r="AE377" s="24">
        <f>IF(OR(AD377="",AD376=""),"",IF(AD376=0,"",(AD377/AD376)-1))</f>
        <v/>
      </c>
      <c r="AF377" s="24">
        <f>IF(ROW()&lt;7,"",IF(OR(AD377="",AD374=""),"",IF(AD374=0,"",(AD377/AD374)-1)))</f>
        <v/>
      </c>
      <c r="AG377" s="24">
        <f>IF(ROW()&lt;9,"",IF(OR(AD377="",AD372=""),"",IF(AD372=0,"",(AD377/AD372)-1)))</f>
        <v/>
      </c>
      <c r="AH377" s="13">
        <f>IF(ROW()&lt;23,"",AVERAGE(AD358:AD377))</f>
        <v/>
      </c>
      <c r="AI377">
        <f>IF(OR(AD377="",AH377=""),"",IF(AD377&gt;AH377,"Bull","Bear"))</f>
        <v/>
      </c>
      <c r="AJ377" s="13" t="n"/>
      <c r="AK377" s="24">
        <f>IF(OR(AJ377="",AJ376=""),"",IF(AJ376=0,"",(AJ377/AJ376)-1))</f>
        <v/>
      </c>
      <c r="AL377" s="24">
        <f>IF(ROW()&lt;7,"",IF(OR(AJ377="",AJ374=""),"",IF(AJ374=0,"",(AJ377/AJ374)-1)))</f>
        <v/>
      </c>
      <c r="AM377" s="24">
        <f>IF(ROW()&lt;9,"",IF(OR(AJ377="",AJ372=""),"",IF(AJ372=0,"",(AJ377/AJ372)-1)))</f>
        <v/>
      </c>
      <c r="AN377" s="13">
        <f>IF(ROW()&lt;23,"",AVERAGE(AJ358:AJ377))</f>
        <v/>
      </c>
      <c r="AO377">
        <f>IF(OR(AJ377="",AN377=""),"",IF(AJ377&gt;AN377,"Bull","Bear"))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8">
        <f>IFERROR((M378/M377)-1,"")</f>
        <v/>
      </c>
      <c r="O378" s="24">
        <f>IF(OR(N378="",N377=""),"",IF(N377=0,"",(N378/N377)-1))</f>
        <v/>
      </c>
      <c r="P378" s="11">
        <f>IF(ROW()&lt;7,"",IF(OR(E378="",E375=""),"",IF(E375=0,"",(E378/E375)-1)))</f>
        <v/>
      </c>
      <c r="Q378" s="24">
        <f>IF(ROW()&lt;9,"",IF(OR(E378="",E373=""),"",IF(E373=0,"",(E378/E373)-1)))</f>
        <v/>
      </c>
      <c r="R378" s="24">
        <f>IF(ROW()&lt;7,"",IF(OR(G378="",G375=""),"",IF(G375=0,"",(G378/G375)-1)))</f>
        <v/>
      </c>
      <c r="S378" s="24">
        <f>IF(ROW()&lt;9,"",IF(OR(G378="",G373=""),"",IF(G373=0,"",(G378/G373)-1)))</f>
        <v/>
      </c>
      <c r="T378" s="24">
        <f>IF(ROW()&lt;7,"",IF(OR(L378="",L375=""),"",IF(L375=0,"",(L378/L375)-1)))</f>
        <v/>
      </c>
      <c r="U378" s="24">
        <f>IF(ROW()&lt;9,"",IF(OR(L378="",L373=""),"",IF(L373=0,"",(L378/L373)-1)))</f>
        <v/>
      </c>
      <c r="V378" s="24">
        <f>IF(ROW()&lt;7,"",IF(OR(N378="",N375=""),"",IF(N375=0,"",(N378/N375)-1)))</f>
        <v/>
      </c>
      <c r="W378" s="24">
        <f>IF(ROW()&lt;9,"",IF(OR(N378="",N373=""),"",IF(N373=0,"",(N378/N373)-1)))</f>
        <v/>
      </c>
      <c r="X378" s="24">
        <f>IF(OR(F378="",M378=""),"",F378-M378)</f>
        <v/>
      </c>
      <c r="Y378" s="24">
        <f>IF(OR(P378="",T378=""),"",P378-T378)</f>
        <v/>
      </c>
      <c r="Z378" s="24">
        <f>IF(OR(Q378="",U378=""),"",Q378-U378)</f>
        <v/>
      </c>
      <c r="AA378" s="24">
        <f>IF(OR(H378="",O378=""),"",H378-O378)</f>
        <v/>
      </c>
      <c r="AB378" s="24">
        <f>IF(OR(R378="",V378=""),"",R378-V378)</f>
        <v/>
      </c>
      <c r="AC378" s="24">
        <f>IF(OR(S378="",W378=""),"",S378-W378)</f>
        <v/>
      </c>
      <c r="AD378" s="13" t="n"/>
      <c r="AE378" s="24">
        <f>IF(OR(AD378="",AD377=""),"",IF(AD377=0,"",(AD378/AD377)-1))</f>
        <v/>
      </c>
      <c r="AF378" s="24">
        <f>IF(ROW()&lt;7,"",IF(OR(AD378="",AD375=""),"",IF(AD375=0,"",(AD378/AD375)-1)))</f>
        <v/>
      </c>
      <c r="AG378" s="24">
        <f>IF(ROW()&lt;9,"",IF(OR(AD378="",AD373=""),"",IF(AD373=0,"",(AD378/AD373)-1)))</f>
        <v/>
      </c>
      <c r="AH378" s="13">
        <f>IF(ROW()&lt;23,"",AVERAGE(AD359:AD378))</f>
        <v/>
      </c>
      <c r="AI378">
        <f>IF(OR(AD378="",AH378=""),"",IF(AD378&gt;AH378,"Bull","Bear"))</f>
        <v/>
      </c>
      <c r="AJ378" s="13" t="n"/>
      <c r="AK378" s="24">
        <f>IF(OR(AJ378="",AJ377=""),"",IF(AJ377=0,"",(AJ378/AJ377)-1))</f>
        <v/>
      </c>
      <c r="AL378" s="24">
        <f>IF(ROW()&lt;7,"",IF(OR(AJ378="",AJ375=""),"",IF(AJ375=0,"",(AJ378/AJ375)-1)))</f>
        <v/>
      </c>
      <c r="AM378" s="24">
        <f>IF(ROW()&lt;9,"",IF(OR(AJ378="",AJ373=""),"",IF(AJ373=0,"",(AJ378/AJ373)-1)))</f>
        <v/>
      </c>
      <c r="AN378" s="13">
        <f>IF(ROW()&lt;23,"",AVERAGE(AJ359:AJ378))</f>
        <v/>
      </c>
      <c r="AO378">
        <f>IF(OR(AJ378="",AN378=""),"",IF(AJ378&gt;AN378,"Bull","Bear"))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8">
        <f>IFERROR((M379/M378)-1,"")</f>
        <v/>
      </c>
      <c r="O379" s="24">
        <f>IF(OR(N379="",N378=""),"",IF(N378=0,"",(N379/N378)-1))</f>
        <v/>
      </c>
      <c r="P379" s="11">
        <f>IF(ROW()&lt;7,"",IF(OR(E379="",E376=""),"",IF(E376=0,"",(E379/E376)-1)))</f>
        <v/>
      </c>
      <c r="Q379" s="24">
        <f>IF(ROW()&lt;9,"",IF(OR(E379="",E374=""),"",IF(E374=0,"",(E379/E374)-1)))</f>
        <v/>
      </c>
      <c r="R379" s="24">
        <f>IF(ROW()&lt;7,"",IF(OR(G379="",G376=""),"",IF(G376=0,"",(G379/G376)-1)))</f>
        <v/>
      </c>
      <c r="S379" s="24">
        <f>IF(ROW()&lt;9,"",IF(OR(G379="",G374=""),"",IF(G374=0,"",(G379/G374)-1)))</f>
        <v/>
      </c>
      <c r="T379" s="24">
        <f>IF(ROW()&lt;7,"",IF(OR(L379="",L376=""),"",IF(L376=0,"",(L379/L376)-1)))</f>
        <v/>
      </c>
      <c r="U379" s="24">
        <f>IF(ROW()&lt;9,"",IF(OR(L379="",L374=""),"",IF(L374=0,"",(L379/L374)-1)))</f>
        <v/>
      </c>
      <c r="V379" s="24">
        <f>IF(ROW()&lt;7,"",IF(OR(N379="",N376=""),"",IF(N376=0,"",(N379/N376)-1)))</f>
        <v/>
      </c>
      <c r="W379" s="24">
        <f>IF(ROW()&lt;9,"",IF(OR(N379="",N374=""),"",IF(N374=0,"",(N379/N374)-1)))</f>
        <v/>
      </c>
      <c r="X379" s="24">
        <f>IF(OR(F379="",M379=""),"",F379-M379)</f>
        <v/>
      </c>
      <c r="Y379" s="24">
        <f>IF(OR(P379="",T379=""),"",P379-T379)</f>
        <v/>
      </c>
      <c r="Z379" s="24">
        <f>IF(OR(Q379="",U379=""),"",Q379-U379)</f>
        <v/>
      </c>
      <c r="AA379" s="24">
        <f>IF(OR(H379="",O379=""),"",H379-O379)</f>
        <v/>
      </c>
      <c r="AB379" s="24">
        <f>IF(OR(R379="",V379=""),"",R379-V379)</f>
        <v/>
      </c>
      <c r="AC379" s="24">
        <f>IF(OR(S379="",W379=""),"",S379-W379)</f>
        <v/>
      </c>
      <c r="AD379" s="13" t="n"/>
      <c r="AE379" s="24">
        <f>IF(OR(AD379="",AD378=""),"",IF(AD378=0,"",(AD379/AD378)-1))</f>
        <v/>
      </c>
      <c r="AF379" s="24">
        <f>IF(ROW()&lt;7,"",IF(OR(AD379="",AD376=""),"",IF(AD376=0,"",(AD379/AD376)-1)))</f>
        <v/>
      </c>
      <c r="AG379" s="24">
        <f>IF(ROW()&lt;9,"",IF(OR(AD379="",AD374=""),"",IF(AD374=0,"",(AD379/AD374)-1)))</f>
        <v/>
      </c>
      <c r="AH379" s="13">
        <f>IF(ROW()&lt;23,"",AVERAGE(AD360:AD379))</f>
        <v/>
      </c>
      <c r="AI379">
        <f>IF(OR(AD379="",AH379=""),"",IF(AD379&gt;AH379,"Bull","Bear"))</f>
        <v/>
      </c>
      <c r="AJ379" s="13" t="n"/>
      <c r="AK379" s="24">
        <f>IF(OR(AJ379="",AJ378=""),"",IF(AJ378=0,"",(AJ379/AJ378)-1))</f>
        <v/>
      </c>
      <c r="AL379" s="24">
        <f>IF(ROW()&lt;7,"",IF(OR(AJ379="",AJ376=""),"",IF(AJ376=0,"",(AJ379/AJ376)-1)))</f>
        <v/>
      </c>
      <c r="AM379" s="24">
        <f>IF(ROW()&lt;9,"",IF(OR(AJ379="",AJ374=""),"",IF(AJ374=0,"",(AJ379/AJ374)-1)))</f>
        <v/>
      </c>
      <c r="AN379" s="13">
        <f>IF(ROW()&lt;23,"",AVERAGE(AJ360:AJ379))</f>
        <v/>
      </c>
      <c r="AO379">
        <f>IF(OR(AJ379="",AN379=""),"",IF(AJ379&gt;AN379,"Bull","Bear"))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8">
        <f>IFERROR((M380/M379)-1,"")</f>
        <v/>
      </c>
      <c r="O380" s="24">
        <f>IF(OR(N380="",N379=""),"",IF(N379=0,"",(N380/N379)-1))</f>
        <v/>
      </c>
      <c r="P380" s="11">
        <f>IF(ROW()&lt;7,"",IF(OR(E380="",E377=""),"",IF(E377=0,"",(E380/E377)-1)))</f>
        <v/>
      </c>
      <c r="Q380" s="24">
        <f>IF(ROW()&lt;9,"",IF(OR(E380="",E375=""),"",IF(E375=0,"",(E380/E375)-1)))</f>
        <v/>
      </c>
      <c r="R380" s="24">
        <f>IF(ROW()&lt;7,"",IF(OR(G380="",G377=""),"",IF(G377=0,"",(G380/G377)-1)))</f>
        <v/>
      </c>
      <c r="S380" s="24">
        <f>IF(ROW()&lt;9,"",IF(OR(G380="",G375=""),"",IF(G375=0,"",(G380/G375)-1)))</f>
        <v/>
      </c>
      <c r="T380" s="24">
        <f>IF(ROW()&lt;7,"",IF(OR(L380="",L377=""),"",IF(L377=0,"",(L380/L377)-1)))</f>
        <v/>
      </c>
      <c r="U380" s="24">
        <f>IF(ROW()&lt;9,"",IF(OR(L380="",L375=""),"",IF(L375=0,"",(L380/L375)-1)))</f>
        <v/>
      </c>
      <c r="V380" s="24">
        <f>IF(ROW()&lt;7,"",IF(OR(N380="",N377=""),"",IF(N377=0,"",(N380/N377)-1)))</f>
        <v/>
      </c>
      <c r="W380" s="24">
        <f>IF(ROW()&lt;9,"",IF(OR(N380="",N375=""),"",IF(N375=0,"",(N380/N375)-1)))</f>
        <v/>
      </c>
      <c r="X380" s="24">
        <f>IF(OR(F380="",M380=""),"",F380-M380)</f>
        <v/>
      </c>
      <c r="Y380" s="24">
        <f>IF(OR(P380="",T380=""),"",P380-T380)</f>
        <v/>
      </c>
      <c r="Z380" s="24">
        <f>IF(OR(Q380="",U380=""),"",Q380-U380)</f>
        <v/>
      </c>
      <c r="AA380" s="24">
        <f>IF(OR(H380="",O380=""),"",H380-O380)</f>
        <v/>
      </c>
      <c r="AB380" s="24">
        <f>IF(OR(R380="",V380=""),"",R380-V380)</f>
        <v/>
      </c>
      <c r="AC380" s="24">
        <f>IF(OR(S380="",W380=""),"",S380-W380)</f>
        <v/>
      </c>
      <c r="AD380" s="13" t="n"/>
      <c r="AE380" s="24">
        <f>IF(OR(AD380="",AD379=""),"",IF(AD379=0,"",(AD380/AD379)-1))</f>
        <v/>
      </c>
      <c r="AF380" s="24">
        <f>IF(ROW()&lt;7,"",IF(OR(AD380="",AD377=""),"",IF(AD377=0,"",(AD380/AD377)-1)))</f>
        <v/>
      </c>
      <c r="AG380" s="24">
        <f>IF(ROW()&lt;9,"",IF(OR(AD380="",AD375=""),"",IF(AD375=0,"",(AD380/AD375)-1)))</f>
        <v/>
      </c>
      <c r="AH380" s="13">
        <f>IF(ROW()&lt;23,"",AVERAGE(AD361:AD380))</f>
        <v/>
      </c>
      <c r="AI380">
        <f>IF(OR(AD380="",AH380=""),"",IF(AD380&gt;AH380,"Bull","Bear"))</f>
        <v/>
      </c>
      <c r="AJ380" s="13" t="n"/>
      <c r="AK380" s="24">
        <f>IF(OR(AJ380="",AJ379=""),"",IF(AJ379=0,"",(AJ380/AJ379)-1))</f>
        <v/>
      </c>
      <c r="AL380" s="24">
        <f>IF(ROW()&lt;7,"",IF(OR(AJ380="",AJ377=""),"",IF(AJ377=0,"",(AJ380/AJ377)-1)))</f>
        <v/>
      </c>
      <c r="AM380" s="24">
        <f>IF(ROW()&lt;9,"",IF(OR(AJ380="",AJ375=""),"",IF(AJ375=0,"",(AJ380/AJ375)-1)))</f>
        <v/>
      </c>
      <c r="AN380" s="13">
        <f>IF(ROW()&lt;23,"",AVERAGE(AJ361:AJ380))</f>
        <v/>
      </c>
      <c r="AO380">
        <f>IF(OR(AJ380="",AN380=""),"",IF(AJ380&gt;AN380,"Bull","Bear"))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8">
        <f>IFERROR((M381/M380)-1,"")</f>
        <v/>
      </c>
      <c r="O381" s="24">
        <f>IF(OR(N381="",N380=""),"",IF(N380=0,"",(N381/N380)-1))</f>
        <v/>
      </c>
      <c r="P381" s="11">
        <f>IF(ROW()&lt;7,"",IF(OR(E381="",E378=""),"",IF(E378=0,"",(E381/E378)-1)))</f>
        <v/>
      </c>
      <c r="Q381" s="24">
        <f>IF(ROW()&lt;9,"",IF(OR(E381="",E376=""),"",IF(E376=0,"",(E381/E376)-1)))</f>
        <v/>
      </c>
      <c r="R381" s="24">
        <f>IF(ROW()&lt;7,"",IF(OR(G381="",G378=""),"",IF(G378=0,"",(G381/G378)-1)))</f>
        <v/>
      </c>
      <c r="S381" s="24">
        <f>IF(ROW()&lt;9,"",IF(OR(G381="",G376=""),"",IF(G376=0,"",(G381/G376)-1)))</f>
        <v/>
      </c>
      <c r="T381" s="24">
        <f>IF(ROW()&lt;7,"",IF(OR(L381="",L378=""),"",IF(L378=0,"",(L381/L378)-1)))</f>
        <v/>
      </c>
      <c r="U381" s="24">
        <f>IF(ROW()&lt;9,"",IF(OR(L381="",L376=""),"",IF(L376=0,"",(L381/L376)-1)))</f>
        <v/>
      </c>
      <c r="V381" s="24">
        <f>IF(ROW()&lt;7,"",IF(OR(N381="",N378=""),"",IF(N378=0,"",(N381/N378)-1)))</f>
        <v/>
      </c>
      <c r="W381" s="24">
        <f>IF(ROW()&lt;9,"",IF(OR(N381="",N376=""),"",IF(N376=0,"",(N381/N376)-1)))</f>
        <v/>
      </c>
      <c r="X381" s="24">
        <f>IF(OR(F381="",M381=""),"",F381-M381)</f>
        <v/>
      </c>
      <c r="Y381" s="24">
        <f>IF(OR(P381="",T381=""),"",P381-T381)</f>
        <v/>
      </c>
      <c r="Z381" s="24">
        <f>IF(OR(Q381="",U381=""),"",Q381-U381)</f>
        <v/>
      </c>
      <c r="AA381" s="24">
        <f>IF(OR(H381="",O381=""),"",H381-O381)</f>
        <v/>
      </c>
      <c r="AB381" s="24">
        <f>IF(OR(R381="",V381=""),"",R381-V381)</f>
        <v/>
      </c>
      <c r="AC381" s="24">
        <f>IF(OR(S381="",W381=""),"",S381-W381)</f>
        <v/>
      </c>
      <c r="AD381" s="13" t="n"/>
      <c r="AE381" s="24">
        <f>IF(OR(AD381="",AD380=""),"",IF(AD380=0,"",(AD381/AD380)-1))</f>
        <v/>
      </c>
      <c r="AF381" s="24">
        <f>IF(ROW()&lt;7,"",IF(OR(AD381="",AD378=""),"",IF(AD378=0,"",(AD381/AD378)-1)))</f>
        <v/>
      </c>
      <c r="AG381" s="24">
        <f>IF(ROW()&lt;9,"",IF(OR(AD381="",AD376=""),"",IF(AD376=0,"",(AD381/AD376)-1)))</f>
        <v/>
      </c>
      <c r="AH381" s="13">
        <f>IF(ROW()&lt;23,"",AVERAGE(AD362:AD381))</f>
        <v/>
      </c>
      <c r="AI381">
        <f>IF(OR(AD381="",AH381=""),"",IF(AD381&gt;AH381,"Bull","Bear"))</f>
        <v/>
      </c>
      <c r="AJ381" s="13" t="n"/>
      <c r="AK381" s="24">
        <f>IF(OR(AJ381="",AJ380=""),"",IF(AJ380=0,"",(AJ381/AJ380)-1))</f>
        <v/>
      </c>
      <c r="AL381" s="24">
        <f>IF(ROW()&lt;7,"",IF(OR(AJ381="",AJ378=""),"",IF(AJ378=0,"",(AJ381/AJ378)-1)))</f>
        <v/>
      </c>
      <c r="AM381" s="24">
        <f>IF(ROW()&lt;9,"",IF(OR(AJ381="",AJ376=""),"",IF(AJ376=0,"",(AJ381/AJ376)-1)))</f>
        <v/>
      </c>
      <c r="AN381" s="13">
        <f>IF(ROW()&lt;23,"",AVERAGE(AJ362:AJ381))</f>
        <v/>
      </c>
      <c r="AO381">
        <f>IF(OR(AJ381="",AN381=""),"",IF(AJ381&gt;AN381,"Bull","Bear"))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8">
        <f>IFERROR((M382/M381)-1,"")</f>
        <v/>
      </c>
      <c r="O382" s="24">
        <f>IF(OR(N382="",N381=""),"",IF(N381=0,"",(N382/N381)-1))</f>
        <v/>
      </c>
      <c r="P382" s="11">
        <f>IF(ROW()&lt;7,"",IF(OR(E382="",E379=""),"",IF(E379=0,"",(E382/E379)-1)))</f>
        <v/>
      </c>
      <c r="Q382" s="24">
        <f>IF(ROW()&lt;9,"",IF(OR(E382="",E377=""),"",IF(E377=0,"",(E382/E377)-1)))</f>
        <v/>
      </c>
      <c r="R382" s="24">
        <f>IF(ROW()&lt;7,"",IF(OR(G382="",G379=""),"",IF(G379=0,"",(G382/G379)-1)))</f>
        <v/>
      </c>
      <c r="S382" s="24">
        <f>IF(ROW()&lt;9,"",IF(OR(G382="",G377=""),"",IF(G377=0,"",(G382/G377)-1)))</f>
        <v/>
      </c>
      <c r="T382" s="24">
        <f>IF(ROW()&lt;7,"",IF(OR(L382="",L379=""),"",IF(L379=0,"",(L382/L379)-1)))</f>
        <v/>
      </c>
      <c r="U382" s="24">
        <f>IF(ROW()&lt;9,"",IF(OR(L382="",L377=""),"",IF(L377=0,"",(L382/L377)-1)))</f>
        <v/>
      </c>
      <c r="V382" s="24">
        <f>IF(ROW()&lt;7,"",IF(OR(N382="",N379=""),"",IF(N379=0,"",(N382/N379)-1)))</f>
        <v/>
      </c>
      <c r="W382" s="24">
        <f>IF(ROW()&lt;9,"",IF(OR(N382="",N377=""),"",IF(N377=0,"",(N382/N377)-1)))</f>
        <v/>
      </c>
      <c r="X382" s="24">
        <f>IF(OR(F382="",M382=""),"",F382-M382)</f>
        <v/>
      </c>
      <c r="Y382" s="24">
        <f>IF(OR(P382="",T382=""),"",P382-T382)</f>
        <v/>
      </c>
      <c r="Z382" s="24">
        <f>IF(OR(Q382="",U382=""),"",Q382-U382)</f>
        <v/>
      </c>
      <c r="AA382" s="24">
        <f>IF(OR(H382="",O382=""),"",H382-O382)</f>
        <v/>
      </c>
      <c r="AB382" s="24">
        <f>IF(OR(R382="",V382=""),"",R382-V382)</f>
        <v/>
      </c>
      <c r="AC382" s="24">
        <f>IF(OR(S382="",W382=""),"",S382-W382)</f>
        <v/>
      </c>
      <c r="AD382" s="13" t="n"/>
      <c r="AE382" s="24">
        <f>IF(OR(AD382="",AD381=""),"",IF(AD381=0,"",(AD382/AD381)-1))</f>
        <v/>
      </c>
      <c r="AF382" s="24">
        <f>IF(ROW()&lt;7,"",IF(OR(AD382="",AD379=""),"",IF(AD379=0,"",(AD382/AD379)-1)))</f>
        <v/>
      </c>
      <c r="AG382" s="24">
        <f>IF(ROW()&lt;9,"",IF(OR(AD382="",AD377=""),"",IF(AD377=0,"",(AD382/AD377)-1)))</f>
        <v/>
      </c>
      <c r="AH382" s="13">
        <f>IF(ROW()&lt;23,"",AVERAGE(AD363:AD382))</f>
        <v/>
      </c>
      <c r="AI382">
        <f>IF(OR(AD382="",AH382=""),"",IF(AD382&gt;AH382,"Bull","Bear"))</f>
        <v/>
      </c>
      <c r="AJ382" s="13" t="n"/>
      <c r="AK382" s="24">
        <f>IF(OR(AJ382="",AJ381=""),"",IF(AJ381=0,"",(AJ382/AJ381)-1))</f>
        <v/>
      </c>
      <c r="AL382" s="24">
        <f>IF(ROW()&lt;7,"",IF(OR(AJ382="",AJ379=""),"",IF(AJ379=0,"",(AJ382/AJ379)-1)))</f>
        <v/>
      </c>
      <c r="AM382" s="24">
        <f>IF(ROW()&lt;9,"",IF(OR(AJ382="",AJ377=""),"",IF(AJ377=0,"",(AJ382/AJ377)-1)))</f>
        <v/>
      </c>
      <c r="AN382" s="13">
        <f>IF(ROW()&lt;23,"",AVERAGE(AJ363:AJ382))</f>
        <v/>
      </c>
      <c r="AO382">
        <f>IF(OR(AJ382="",AN382=""),"",IF(AJ382&gt;AN382,"Bull","Bear"))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8">
        <f>IFERROR((M383/M382)-1,"")</f>
        <v/>
      </c>
      <c r="O383" s="24">
        <f>IF(OR(N383="",N382=""),"",IF(N382=0,"",(N383/N382)-1))</f>
        <v/>
      </c>
      <c r="P383" s="11">
        <f>IF(ROW()&lt;7,"",IF(OR(E383="",E380=""),"",IF(E380=0,"",(E383/E380)-1)))</f>
        <v/>
      </c>
      <c r="Q383" s="24">
        <f>IF(ROW()&lt;9,"",IF(OR(E383="",E378=""),"",IF(E378=0,"",(E383/E378)-1)))</f>
        <v/>
      </c>
      <c r="R383" s="24">
        <f>IF(ROW()&lt;7,"",IF(OR(G383="",G380=""),"",IF(G380=0,"",(G383/G380)-1)))</f>
        <v/>
      </c>
      <c r="S383" s="24">
        <f>IF(ROW()&lt;9,"",IF(OR(G383="",G378=""),"",IF(G378=0,"",(G383/G378)-1)))</f>
        <v/>
      </c>
      <c r="T383" s="24">
        <f>IF(ROW()&lt;7,"",IF(OR(L383="",L380=""),"",IF(L380=0,"",(L383/L380)-1)))</f>
        <v/>
      </c>
      <c r="U383" s="24">
        <f>IF(ROW()&lt;9,"",IF(OR(L383="",L378=""),"",IF(L378=0,"",(L383/L378)-1)))</f>
        <v/>
      </c>
      <c r="V383" s="24">
        <f>IF(ROW()&lt;7,"",IF(OR(N383="",N380=""),"",IF(N380=0,"",(N383/N380)-1)))</f>
        <v/>
      </c>
      <c r="W383" s="24">
        <f>IF(ROW()&lt;9,"",IF(OR(N383="",N378=""),"",IF(N378=0,"",(N383/N378)-1)))</f>
        <v/>
      </c>
      <c r="X383" s="24">
        <f>IF(OR(F383="",M383=""),"",F383-M383)</f>
        <v/>
      </c>
      <c r="Y383" s="24">
        <f>IF(OR(P383="",T383=""),"",P383-T383)</f>
        <v/>
      </c>
      <c r="Z383" s="24">
        <f>IF(OR(Q383="",U383=""),"",Q383-U383)</f>
        <v/>
      </c>
      <c r="AA383" s="24">
        <f>IF(OR(H383="",O383=""),"",H383-O383)</f>
        <v/>
      </c>
      <c r="AB383" s="24">
        <f>IF(OR(R383="",V383=""),"",R383-V383)</f>
        <v/>
      </c>
      <c r="AC383" s="24">
        <f>IF(OR(S383="",W383=""),"",S383-W383)</f>
        <v/>
      </c>
      <c r="AD383" s="13" t="n"/>
      <c r="AE383" s="24">
        <f>IF(OR(AD383="",AD382=""),"",IF(AD382=0,"",(AD383/AD382)-1))</f>
        <v/>
      </c>
      <c r="AF383" s="24">
        <f>IF(ROW()&lt;7,"",IF(OR(AD383="",AD380=""),"",IF(AD380=0,"",(AD383/AD380)-1)))</f>
        <v/>
      </c>
      <c r="AG383" s="24">
        <f>IF(ROW()&lt;9,"",IF(OR(AD383="",AD378=""),"",IF(AD378=0,"",(AD383/AD378)-1)))</f>
        <v/>
      </c>
      <c r="AH383" s="13">
        <f>IF(ROW()&lt;23,"",AVERAGE(AD364:AD383))</f>
        <v/>
      </c>
      <c r="AI383">
        <f>IF(OR(AD383="",AH383=""),"",IF(AD383&gt;AH383,"Bull","Bear"))</f>
        <v/>
      </c>
      <c r="AJ383" s="13" t="n"/>
      <c r="AK383" s="24">
        <f>IF(OR(AJ383="",AJ382=""),"",IF(AJ382=0,"",(AJ383/AJ382)-1))</f>
        <v/>
      </c>
      <c r="AL383" s="24">
        <f>IF(ROW()&lt;7,"",IF(OR(AJ383="",AJ380=""),"",IF(AJ380=0,"",(AJ383/AJ380)-1)))</f>
        <v/>
      </c>
      <c r="AM383" s="24">
        <f>IF(ROW()&lt;9,"",IF(OR(AJ383="",AJ378=""),"",IF(AJ378=0,"",(AJ383/AJ378)-1)))</f>
        <v/>
      </c>
      <c r="AN383" s="13">
        <f>IF(ROW()&lt;23,"",AVERAGE(AJ364:AJ383))</f>
        <v/>
      </c>
      <c r="AO383">
        <f>IF(OR(AJ383="",AN383=""),"",IF(AJ383&gt;AN383,"Bull","Bear"))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8">
        <f>IFERROR((M384/M383)-1,"")</f>
        <v/>
      </c>
      <c r="O384" s="24">
        <f>IF(OR(N384="",N383=""),"",IF(N383=0,"",(N384/N383)-1))</f>
        <v/>
      </c>
      <c r="P384" s="11">
        <f>IF(ROW()&lt;7,"",IF(OR(E384="",E381=""),"",IF(E381=0,"",(E384/E381)-1)))</f>
        <v/>
      </c>
      <c r="Q384" s="24">
        <f>IF(ROW()&lt;9,"",IF(OR(E384="",E379=""),"",IF(E379=0,"",(E384/E379)-1)))</f>
        <v/>
      </c>
      <c r="R384" s="24">
        <f>IF(ROW()&lt;7,"",IF(OR(G384="",G381=""),"",IF(G381=0,"",(G384/G381)-1)))</f>
        <v/>
      </c>
      <c r="S384" s="24">
        <f>IF(ROW()&lt;9,"",IF(OR(G384="",G379=""),"",IF(G379=0,"",(G384/G379)-1)))</f>
        <v/>
      </c>
      <c r="T384" s="24">
        <f>IF(ROW()&lt;7,"",IF(OR(L384="",L381=""),"",IF(L381=0,"",(L384/L381)-1)))</f>
        <v/>
      </c>
      <c r="U384" s="24">
        <f>IF(ROW()&lt;9,"",IF(OR(L384="",L379=""),"",IF(L379=0,"",(L384/L379)-1)))</f>
        <v/>
      </c>
      <c r="V384" s="24">
        <f>IF(ROW()&lt;7,"",IF(OR(N384="",N381=""),"",IF(N381=0,"",(N384/N381)-1)))</f>
        <v/>
      </c>
      <c r="W384" s="24">
        <f>IF(ROW()&lt;9,"",IF(OR(N384="",N379=""),"",IF(N379=0,"",(N384/N379)-1)))</f>
        <v/>
      </c>
      <c r="X384" s="24">
        <f>IF(OR(F384="",M384=""),"",F384-M384)</f>
        <v/>
      </c>
      <c r="Y384" s="24">
        <f>IF(OR(P384="",T384=""),"",P384-T384)</f>
        <v/>
      </c>
      <c r="Z384" s="24">
        <f>IF(OR(Q384="",U384=""),"",Q384-U384)</f>
        <v/>
      </c>
      <c r="AA384" s="24">
        <f>IF(OR(H384="",O384=""),"",H384-O384)</f>
        <v/>
      </c>
      <c r="AB384" s="24">
        <f>IF(OR(R384="",V384=""),"",R384-V384)</f>
        <v/>
      </c>
      <c r="AC384" s="24">
        <f>IF(OR(S384="",W384=""),"",S384-W384)</f>
        <v/>
      </c>
      <c r="AD384" s="13" t="n"/>
      <c r="AE384" s="24">
        <f>IF(OR(AD384="",AD383=""),"",IF(AD383=0,"",(AD384/AD383)-1))</f>
        <v/>
      </c>
      <c r="AF384" s="24">
        <f>IF(ROW()&lt;7,"",IF(OR(AD384="",AD381=""),"",IF(AD381=0,"",(AD384/AD381)-1)))</f>
        <v/>
      </c>
      <c r="AG384" s="24">
        <f>IF(ROW()&lt;9,"",IF(OR(AD384="",AD379=""),"",IF(AD379=0,"",(AD384/AD379)-1)))</f>
        <v/>
      </c>
      <c r="AH384" s="13">
        <f>IF(ROW()&lt;23,"",AVERAGE(AD365:AD384))</f>
        <v/>
      </c>
      <c r="AI384">
        <f>IF(OR(AD384="",AH384=""),"",IF(AD384&gt;AH384,"Bull","Bear"))</f>
        <v/>
      </c>
      <c r="AJ384" s="13" t="n"/>
      <c r="AK384" s="24">
        <f>IF(OR(AJ384="",AJ383=""),"",IF(AJ383=0,"",(AJ384/AJ383)-1))</f>
        <v/>
      </c>
      <c r="AL384" s="24">
        <f>IF(ROW()&lt;7,"",IF(OR(AJ384="",AJ381=""),"",IF(AJ381=0,"",(AJ384/AJ381)-1)))</f>
        <v/>
      </c>
      <c r="AM384" s="24">
        <f>IF(ROW()&lt;9,"",IF(OR(AJ384="",AJ379=""),"",IF(AJ379=0,"",(AJ384/AJ379)-1)))</f>
        <v/>
      </c>
      <c r="AN384" s="13">
        <f>IF(ROW()&lt;23,"",AVERAGE(AJ365:AJ384))</f>
        <v/>
      </c>
      <c r="AO384">
        <f>IF(OR(AJ384="",AN384=""),"",IF(AJ384&gt;AN384,"Bull","Bear"))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8">
        <f>IFERROR((M385/M384)-1,"")</f>
        <v/>
      </c>
      <c r="O385" s="24">
        <f>IF(OR(N385="",N384=""),"",IF(N384=0,"",(N385/N384)-1))</f>
        <v/>
      </c>
      <c r="P385" s="11">
        <f>IF(ROW()&lt;7,"",IF(OR(E385="",E382=""),"",IF(E382=0,"",(E385/E382)-1)))</f>
        <v/>
      </c>
      <c r="Q385" s="24">
        <f>IF(ROW()&lt;9,"",IF(OR(E385="",E380=""),"",IF(E380=0,"",(E385/E380)-1)))</f>
        <v/>
      </c>
      <c r="R385" s="24">
        <f>IF(ROW()&lt;7,"",IF(OR(G385="",G382=""),"",IF(G382=0,"",(G385/G382)-1)))</f>
        <v/>
      </c>
      <c r="S385" s="24">
        <f>IF(ROW()&lt;9,"",IF(OR(G385="",G380=""),"",IF(G380=0,"",(G385/G380)-1)))</f>
        <v/>
      </c>
      <c r="T385" s="24">
        <f>IF(ROW()&lt;7,"",IF(OR(L385="",L382=""),"",IF(L382=0,"",(L385/L382)-1)))</f>
        <v/>
      </c>
      <c r="U385" s="24">
        <f>IF(ROW()&lt;9,"",IF(OR(L385="",L380=""),"",IF(L380=0,"",(L385/L380)-1)))</f>
        <v/>
      </c>
      <c r="V385" s="24">
        <f>IF(ROW()&lt;7,"",IF(OR(N385="",N382=""),"",IF(N382=0,"",(N385/N382)-1)))</f>
        <v/>
      </c>
      <c r="W385" s="24">
        <f>IF(ROW()&lt;9,"",IF(OR(N385="",N380=""),"",IF(N380=0,"",(N385/N380)-1)))</f>
        <v/>
      </c>
      <c r="X385" s="24">
        <f>IF(OR(F385="",M385=""),"",F385-M385)</f>
        <v/>
      </c>
      <c r="Y385" s="24">
        <f>IF(OR(P385="",T385=""),"",P385-T385)</f>
        <v/>
      </c>
      <c r="Z385" s="24">
        <f>IF(OR(Q385="",U385=""),"",Q385-U385)</f>
        <v/>
      </c>
      <c r="AA385" s="24">
        <f>IF(OR(H385="",O385=""),"",H385-O385)</f>
        <v/>
      </c>
      <c r="AB385" s="24">
        <f>IF(OR(R385="",V385=""),"",R385-V385)</f>
        <v/>
      </c>
      <c r="AC385" s="24">
        <f>IF(OR(S385="",W385=""),"",S385-W385)</f>
        <v/>
      </c>
      <c r="AD385" s="13" t="n"/>
      <c r="AE385" s="24">
        <f>IF(OR(AD385="",AD384=""),"",IF(AD384=0,"",(AD385/AD384)-1))</f>
        <v/>
      </c>
      <c r="AF385" s="24">
        <f>IF(ROW()&lt;7,"",IF(OR(AD385="",AD382=""),"",IF(AD382=0,"",(AD385/AD382)-1)))</f>
        <v/>
      </c>
      <c r="AG385" s="24">
        <f>IF(ROW()&lt;9,"",IF(OR(AD385="",AD380=""),"",IF(AD380=0,"",(AD385/AD380)-1)))</f>
        <v/>
      </c>
      <c r="AH385" s="13">
        <f>IF(ROW()&lt;23,"",AVERAGE(AD366:AD385))</f>
        <v/>
      </c>
      <c r="AI385">
        <f>IF(OR(AD385="",AH385=""),"",IF(AD385&gt;AH385,"Bull","Bear"))</f>
        <v/>
      </c>
      <c r="AJ385" s="13" t="n"/>
      <c r="AK385" s="24">
        <f>IF(OR(AJ385="",AJ384=""),"",IF(AJ384=0,"",(AJ385/AJ384)-1))</f>
        <v/>
      </c>
      <c r="AL385" s="24">
        <f>IF(ROW()&lt;7,"",IF(OR(AJ385="",AJ382=""),"",IF(AJ382=0,"",(AJ385/AJ382)-1)))</f>
        <v/>
      </c>
      <c r="AM385" s="24">
        <f>IF(ROW()&lt;9,"",IF(OR(AJ385="",AJ380=""),"",IF(AJ380=0,"",(AJ385/AJ380)-1)))</f>
        <v/>
      </c>
      <c r="AN385" s="13">
        <f>IF(ROW()&lt;23,"",AVERAGE(AJ366:AJ385))</f>
        <v/>
      </c>
      <c r="AO385">
        <f>IF(OR(AJ385="",AN385=""),"",IF(AJ385&gt;AN385,"Bull","Bear"))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8">
        <f>IFERROR((M386/M385)-1,"")</f>
        <v/>
      </c>
      <c r="O386" s="24">
        <f>IF(OR(N386="",N385=""),"",IF(N385=0,"",(N386/N385)-1))</f>
        <v/>
      </c>
      <c r="P386" s="11">
        <f>IF(ROW()&lt;7,"",IF(OR(E386="",E383=""),"",IF(E383=0,"",(E386/E383)-1)))</f>
        <v/>
      </c>
      <c r="Q386" s="24">
        <f>IF(ROW()&lt;9,"",IF(OR(E386="",E381=""),"",IF(E381=0,"",(E386/E381)-1)))</f>
        <v/>
      </c>
      <c r="R386" s="24">
        <f>IF(ROW()&lt;7,"",IF(OR(G386="",G383=""),"",IF(G383=0,"",(G386/G383)-1)))</f>
        <v/>
      </c>
      <c r="S386" s="24">
        <f>IF(ROW()&lt;9,"",IF(OR(G386="",G381=""),"",IF(G381=0,"",(G386/G381)-1)))</f>
        <v/>
      </c>
      <c r="T386" s="24">
        <f>IF(ROW()&lt;7,"",IF(OR(L386="",L383=""),"",IF(L383=0,"",(L386/L383)-1)))</f>
        <v/>
      </c>
      <c r="U386" s="24">
        <f>IF(ROW()&lt;9,"",IF(OR(L386="",L381=""),"",IF(L381=0,"",(L386/L381)-1)))</f>
        <v/>
      </c>
      <c r="V386" s="24">
        <f>IF(ROW()&lt;7,"",IF(OR(N386="",N383=""),"",IF(N383=0,"",(N386/N383)-1)))</f>
        <v/>
      </c>
      <c r="W386" s="24">
        <f>IF(ROW()&lt;9,"",IF(OR(N386="",N381=""),"",IF(N381=0,"",(N386/N381)-1)))</f>
        <v/>
      </c>
      <c r="X386" s="24">
        <f>IF(OR(F386="",M386=""),"",F386-M386)</f>
        <v/>
      </c>
      <c r="Y386" s="24">
        <f>IF(OR(P386="",T386=""),"",P386-T386)</f>
        <v/>
      </c>
      <c r="Z386" s="24">
        <f>IF(OR(Q386="",U386=""),"",Q386-U386)</f>
        <v/>
      </c>
      <c r="AA386" s="24">
        <f>IF(OR(H386="",O386=""),"",H386-O386)</f>
        <v/>
      </c>
      <c r="AB386" s="24">
        <f>IF(OR(R386="",V386=""),"",R386-V386)</f>
        <v/>
      </c>
      <c r="AC386" s="24">
        <f>IF(OR(S386="",W386=""),"",S386-W386)</f>
        <v/>
      </c>
      <c r="AD386" s="13" t="n"/>
      <c r="AE386" s="24">
        <f>IF(OR(AD386="",AD385=""),"",IF(AD385=0,"",(AD386/AD385)-1))</f>
        <v/>
      </c>
      <c r="AF386" s="24">
        <f>IF(ROW()&lt;7,"",IF(OR(AD386="",AD383=""),"",IF(AD383=0,"",(AD386/AD383)-1)))</f>
        <v/>
      </c>
      <c r="AG386" s="24">
        <f>IF(ROW()&lt;9,"",IF(OR(AD386="",AD381=""),"",IF(AD381=0,"",(AD386/AD381)-1)))</f>
        <v/>
      </c>
      <c r="AH386" s="13">
        <f>IF(ROW()&lt;23,"",AVERAGE(AD367:AD386))</f>
        <v/>
      </c>
      <c r="AI386">
        <f>IF(OR(AD386="",AH386=""),"",IF(AD386&gt;AH386,"Bull","Bear"))</f>
        <v/>
      </c>
      <c r="AJ386" s="13" t="n"/>
      <c r="AK386" s="24">
        <f>IF(OR(AJ386="",AJ385=""),"",IF(AJ385=0,"",(AJ386/AJ385)-1))</f>
        <v/>
      </c>
      <c r="AL386" s="24">
        <f>IF(ROW()&lt;7,"",IF(OR(AJ386="",AJ383=""),"",IF(AJ383=0,"",(AJ386/AJ383)-1)))</f>
        <v/>
      </c>
      <c r="AM386" s="24">
        <f>IF(ROW()&lt;9,"",IF(OR(AJ386="",AJ381=""),"",IF(AJ381=0,"",(AJ386/AJ381)-1)))</f>
        <v/>
      </c>
      <c r="AN386" s="13">
        <f>IF(ROW()&lt;23,"",AVERAGE(AJ367:AJ386))</f>
        <v/>
      </c>
      <c r="AO386">
        <f>IF(OR(AJ386="",AN386=""),"",IF(AJ386&gt;AN386,"Bull","Bear"))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8">
        <f>IFERROR((M387/M386)-1,"")</f>
        <v/>
      </c>
      <c r="O387" s="24">
        <f>IF(OR(N387="",N386=""),"",IF(N386=0,"",(N387/N386)-1))</f>
        <v/>
      </c>
      <c r="P387" s="11">
        <f>IF(ROW()&lt;7,"",IF(OR(E387="",E384=""),"",IF(E384=0,"",(E387/E384)-1)))</f>
        <v/>
      </c>
      <c r="Q387" s="24">
        <f>IF(ROW()&lt;9,"",IF(OR(E387="",E382=""),"",IF(E382=0,"",(E387/E382)-1)))</f>
        <v/>
      </c>
      <c r="R387" s="24">
        <f>IF(ROW()&lt;7,"",IF(OR(G387="",G384=""),"",IF(G384=0,"",(G387/G384)-1)))</f>
        <v/>
      </c>
      <c r="S387" s="24">
        <f>IF(ROW()&lt;9,"",IF(OR(G387="",G382=""),"",IF(G382=0,"",(G387/G382)-1)))</f>
        <v/>
      </c>
      <c r="T387" s="24">
        <f>IF(ROW()&lt;7,"",IF(OR(L387="",L384=""),"",IF(L384=0,"",(L387/L384)-1)))</f>
        <v/>
      </c>
      <c r="U387" s="24">
        <f>IF(ROW()&lt;9,"",IF(OR(L387="",L382=""),"",IF(L382=0,"",(L387/L382)-1)))</f>
        <v/>
      </c>
      <c r="V387" s="24">
        <f>IF(ROW()&lt;7,"",IF(OR(N387="",N384=""),"",IF(N384=0,"",(N387/N384)-1)))</f>
        <v/>
      </c>
      <c r="W387" s="24">
        <f>IF(ROW()&lt;9,"",IF(OR(N387="",N382=""),"",IF(N382=0,"",(N387/N382)-1)))</f>
        <v/>
      </c>
      <c r="X387" s="24">
        <f>IF(OR(F387="",M387=""),"",F387-M387)</f>
        <v/>
      </c>
      <c r="Y387" s="24">
        <f>IF(OR(P387="",T387=""),"",P387-T387)</f>
        <v/>
      </c>
      <c r="Z387" s="24">
        <f>IF(OR(Q387="",U387=""),"",Q387-U387)</f>
        <v/>
      </c>
      <c r="AA387" s="24">
        <f>IF(OR(H387="",O387=""),"",H387-O387)</f>
        <v/>
      </c>
      <c r="AB387" s="24">
        <f>IF(OR(R387="",V387=""),"",R387-V387)</f>
        <v/>
      </c>
      <c r="AC387" s="24">
        <f>IF(OR(S387="",W387=""),"",S387-W387)</f>
        <v/>
      </c>
      <c r="AD387" s="13" t="n"/>
      <c r="AE387" s="24">
        <f>IF(OR(AD387="",AD386=""),"",IF(AD386=0,"",(AD387/AD386)-1))</f>
        <v/>
      </c>
      <c r="AF387" s="24">
        <f>IF(ROW()&lt;7,"",IF(OR(AD387="",AD384=""),"",IF(AD384=0,"",(AD387/AD384)-1)))</f>
        <v/>
      </c>
      <c r="AG387" s="24">
        <f>IF(ROW()&lt;9,"",IF(OR(AD387="",AD382=""),"",IF(AD382=0,"",(AD387/AD382)-1)))</f>
        <v/>
      </c>
      <c r="AH387" s="13">
        <f>IF(ROW()&lt;23,"",AVERAGE(AD368:AD387))</f>
        <v/>
      </c>
      <c r="AI387">
        <f>IF(OR(AD387="",AH387=""),"",IF(AD387&gt;AH387,"Bull","Bear"))</f>
        <v/>
      </c>
      <c r="AJ387" s="13" t="n"/>
      <c r="AK387" s="24">
        <f>IF(OR(AJ387="",AJ386=""),"",IF(AJ386=0,"",(AJ387/AJ386)-1))</f>
        <v/>
      </c>
      <c r="AL387" s="24">
        <f>IF(ROW()&lt;7,"",IF(OR(AJ387="",AJ384=""),"",IF(AJ384=0,"",(AJ387/AJ384)-1)))</f>
        <v/>
      </c>
      <c r="AM387" s="24">
        <f>IF(ROW()&lt;9,"",IF(OR(AJ387="",AJ382=""),"",IF(AJ382=0,"",(AJ387/AJ382)-1)))</f>
        <v/>
      </c>
      <c r="AN387" s="13">
        <f>IF(ROW()&lt;23,"",AVERAGE(AJ368:AJ387))</f>
        <v/>
      </c>
      <c r="AO387">
        <f>IF(OR(AJ387="",AN387=""),"",IF(AJ387&gt;AN387,"Bull","Bear"))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8">
        <f>IFERROR((M388/M387)-1,"")</f>
        <v/>
      </c>
      <c r="O388" s="24">
        <f>IF(OR(N388="",N387=""),"",IF(N387=0,"",(N388/N387)-1))</f>
        <v/>
      </c>
      <c r="P388" s="11">
        <f>IF(ROW()&lt;7,"",IF(OR(E388="",E385=""),"",IF(E385=0,"",(E388/E385)-1)))</f>
        <v/>
      </c>
      <c r="Q388" s="24">
        <f>IF(ROW()&lt;9,"",IF(OR(E388="",E383=""),"",IF(E383=0,"",(E388/E383)-1)))</f>
        <v/>
      </c>
      <c r="R388" s="24">
        <f>IF(ROW()&lt;7,"",IF(OR(G388="",G385=""),"",IF(G385=0,"",(G388/G385)-1)))</f>
        <v/>
      </c>
      <c r="S388" s="24">
        <f>IF(ROW()&lt;9,"",IF(OR(G388="",G383=""),"",IF(G383=0,"",(G388/G383)-1)))</f>
        <v/>
      </c>
      <c r="T388" s="24">
        <f>IF(ROW()&lt;7,"",IF(OR(L388="",L385=""),"",IF(L385=0,"",(L388/L385)-1)))</f>
        <v/>
      </c>
      <c r="U388" s="24">
        <f>IF(ROW()&lt;9,"",IF(OR(L388="",L383=""),"",IF(L383=0,"",(L388/L383)-1)))</f>
        <v/>
      </c>
      <c r="V388" s="24">
        <f>IF(ROW()&lt;7,"",IF(OR(N388="",N385=""),"",IF(N385=0,"",(N388/N385)-1)))</f>
        <v/>
      </c>
      <c r="W388" s="24">
        <f>IF(ROW()&lt;9,"",IF(OR(N388="",N383=""),"",IF(N383=0,"",(N388/N383)-1)))</f>
        <v/>
      </c>
      <c r="X388" s="24">
        <f>IF(OR(F388="",M388=""),"",F388-M388)</f>
        <v/>
      </c>
      <c r="Y388" s="24">
        <f>IF(OR(P388="",T388=""),"",P388-T388)</f>
        <v/>
      </c>
      <c r="Z388" s="24">
        <f>IF(OR(Q388="",U388=""),"",Q388-U388)</f>
        <v/>
      </c>
      <c r="AA388" s="24">
        <f>IF(OR(H388="",O388=""),"",H388-O388)</f>
        <v/>
      </c>
      <c r="AB388" s="24">
        <f>IF(OR(R388="",V388=""),"",R388-V388)</f>
        <v/>
      </c>
      <c r="AC388" s="24">
        <f>IF(OR(S388="",W388=""),"",S388-W388)</f>
        <v/>
      </c>
      <c r="AD388" s="13" t="n"/>
      <c r="AE388" s="24">
        <f>IF(OR(AD388="",AD387=""),"",IF(AD387=0,"",(AD388/AD387)-1))</f>
        <v/>
      </c>
      <c r="AF388" s="24">
        <f>IF(ROW()&lt;7,"",IF(OR(AD388="",AD385=""),"",IF(AD385=0,"",(AD388/AD385)-1)))</f>
        <v/>
      </c>
      <c r="AG388" s="24">
        <f>IF(ROW()&lt;9,"",IF(OR(AD388="",AD383=""),"",IF(AD383=0,"",(AD388/AD383)-1)))</f>
        <v/>
      </c>
      <c r="AH388" s="13">
        <f>IF(ROW()&lt;23,"",AVERAGE(AD369:AD388))</f>
        <v/>
      </c>
      <c r="AI388">
        <f>IF(OR(AD388="",AH388=""),"",IF(AD388&gt;AH388,"Bull","Bear"))</f>
        <v/>
      </c>
      <c r="AJ388" s="13" t="n"/>
      <c r="AK388" s="24">
        <f>IF(OR(AJ388="",AJ387=""),"",IF(AJ387=0,"",(AJ388/AJ387)-1))</f>
        <v/>
      </c>
      <c r="AL388" s="24">
        <f>IF(ROW()&lt;7,"",IF(OR(AJ388="",AJ385=""),"",IF(AJ385=0,"",(AJ388/AJ385)-1)))</f>
        <v/>
      </c>
      <c r="AM388" s="24">
        <f>IF(ROW()&lt;9,"",IF(OR(AJ388="",AJ383=""),"",IF(AJ383=0,"",(AJ388/AJ383)-1)))</f>
        <v/>
      </c>
      <c r="AN388" s="13">
        <f>IF(ROW()&lt;23,"",AVERAGE(AJ369:AJ388))</f>
        <v/>
      </c>
      <c r="AO388">
        <f>IF(OR(AJ388="",AN388=""),"",IF(AJ388&gt;AN388,"Bull","Bear"))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8">
        <f>IFERROR((M389/M388)-1,"")</f>
        <v/>
      </c>
      <c r="O389" s="24">
        <f>IF(OR(N389="",N388=""),"",IF(N388=0,"",(N389/N388)-1))</f>
        <v/>
      </c>
      <c r="P389" s="11">
        <f>IF(ROW()&lt;7,"",IF(OR(E389="",E386=""),"",IF(E386=0,"",(E389/E386)-1)))</f>
        <v/>
      </c>
      <c r="Q389" s="24">
        <f>IF(ROW()&lt;9,"",IF(OR(E389="",E384=""),"",IF(E384=0,"",(E389/E384)-1)))</f>
        <v/>
      </c>
      <c r="R389" s="24">
        <f>IF(ROW()&lt;7,"",IF(OR(G389="",G386=""),"",IF(G386=0,"",(G389/G386)-1)))</f>
        <v/>
      </c>
      <c r="S389" s="24">
        <f>IF(ROW()&lt;9,"",IF(OR(G389="",G384=""),"",IF(G384=0,"",(G389/G384)-1)))</f>
        <v/>
      </c>
      <c r="T389" s="24">
        <f>IF(ROW()&lt;7,"",IF(OR(L389="",L386=""),"",IF(L386=0,"",(L389/L386)-1)))</f>
        <v/>
      </c>
      <c r="U389" s="24">
        <f>IF(ROW()&lt;9,"",IF(OR(L389="",L384=""),"",IF(L384=0,"",(L389/L384)-1)))</f>
        <v/>
      </c>
      <c r="V389" s="24">
        <f>IF(ROW()&lt;7,"",IF(OR(N389="",N386=""),"",IF(N386=0,"",(N389/N386)-1)))</f>
        <v/>
      </c>
      <c r="W389" s="24">
        <f>IF(ROW()&lt;9,"",IF(OR(N389="",N384=""),"",IF(N384=0,"",(N389/N384)-1)))</f>
        <v/>
      </c>
      <c r="X389" s="24">
        <f>IF(OR(F389="",M389=""),"",F389-M389)</f>
        <v/>
      </c>
      <c r="Y389" s="24">
        <f>IF(OR(P389="",T389=""),"",P389-T389)</f>
        <v/>
      </c>
      <c r="Z389" s="24">
        <f>IF(OR(Q389="",U389=""),"",Q389-U389)</f>
        <v/>
      </c>
      <c r="AA389" s="24">
        <f>IF(OR(H389="",O389=""),"",H389-O389)</f>
        <v/>
      </c>
      <c r="AB389" s="24">
        <f>IF(OR(R389="",V389=""),"",R389-V389)</f>
        <v/>
      </c>
      <c r="AC389" s="24">
        <f>IF(OR(S389="",W389=""),"",S389-W389)</f>
        <v/>
      </c>
      <c r="AD389" s="13" t="n"/>
      <c r="AE389" s="24">
        <f>IF(OR(AD389="",AD388=""),"",IF(AD388=0,"",(AD389/AD388)-1))</f>
        <v/>
      </c>
      <c r="AF389" s="24">
        <f>IF(ROW()&lt;7,"",IF(OR(AD389="",AD386=""),"",IF(AD386=0,"",(AD389/AD386)-1)))</f>
        <v/>
      </c>
      <c r="AG389" s="24">
        <f>IF(ROW()&lt;9,"",IF(OR(AD389="",AD384=""),"",IF(AD384=0,"",(AD389/AD384)-1)))</f>
        <v/>
      </c>
      <c r="AH389" s="13">
        <f>IF(ROW()&lt;23,"",AVERAGE(AD370:AD389))</f>
        <v/>
      </c>
      <c r="AI389">
        <f>IF(OR(AD389="",AH389=""),"",IF(AD389&gt;AH389,"Bull","Bear"))</f>
        <v/>
      </c>
      <c r="AJ389" s="13" t="n"/>
      <c r="AK389" s="24">
        <f>IF(OR(AJ389="",AJ388=""),"",IF(AJ388=0,"",(AJ389/AJ388)-1))</f>
        <v/>
      </c>
      <c r="AL389" s="24">
        <f>IF(ROW()&lt;7,"",IF(OR(AJ389="",AJ386=""),"",IF(AJ386=0,"",(AJ389/AJ386)-1)))</f>
        <v/>
      </c>
      <c r="AM389" s="24">
        <f>IF(ROW()&lt;9,"",IF(OR(AJ389="",AJ384=""),"",IF(AJ384=0,"",(AJ389/AJ384)-1)))</f>
        <v/>
      </c>
      <c r="AN389" s="13">
        <f>IF(ROW()&lt;23,"",AVERAGE(AJ370:AJ389))</f>
        <v/>
      </c>
      <c r="AO389">
        <f>IF(OR(AJ389="",AN389=""),"",IF(AJ389&gt;AN389,"Bull","Bear"))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8">
        <f>IFERROR((M390/M389)-1,"")</f>
        <v/>
      </c>
      <c r="O390" s="24">
        <f>IF(OR(N390="",N389=""),"",IF(N389=0,"",(N390/N389)-1))</f>
        <v/>
      </c>
      <c r="P390" s="11">
        <f>IF(ROW()&lt;7,"",IF(OR(E390="",E387=""),"",IF(E387=0,"",(E390/E387)-1)))</f>
        <v/>
      </c>
      <c r="Q390" s="24">
        <f>IF(ROW()&lt;9,"",IF(OR(E390="",E385=""),"",IF(E385=0,"",(E390/E385)-1)))</f>
        <v/>
      </c>
      <c r="R390" s="24">
        <f>IF(ROW()&lt;7,"",IF(OR(G390="",G387=""),"",IF(G387=0,"",(G390/G387)-1)))</f>
        <v/>
      </c>
      <c r="S390" s="24">
        <f>IF(ROW()&lt;9,"",IF(OR(G390="",G385=""),"",IF(G385=0,"",(G390/G385)-1)))</f>
        <v/>
      </c>
      <c r="T390" s="24">
        <f>IF(ROW()&lt;7,"",IF(OR(L390="",L387=""),"",IF(L387=0,"",(L390/L387)-1)))</f>
        <v/>
      </c>
      <c r="U390" s="24">
        <f>IF(ROW()&lt;9,"",IF(OR(L390="",L385=""),"",IF(L385=0,"",(L390/L385)-1)))</f>
        <v/>
      </c>
      <c r="V390" s="24">
        <f>IF(ROW()&lt;7,"",IF(OR(N390="",N387=""),"",IF(N387=0,"",(N390/N387)-1)))</f>
        <v/>
      </c>
      <c r="W390" s="24">
        <f>IF(ROW()&lt;9,"",IF(OR(N390="",N385=""),"",IF(N385=0,"",(N390/N385)-1)))</f>
        <v/>
      </c>
      <c r="X390" s="24">
        <f>IF(OR(F390="",M390=""),"",F390-M390)</f>
        <v/>
      </c>
      <c r="Y390" s="24">
        <f>IF(OR(P390="",T390=""),"",P390-T390)</f>
        <v/>
      </c>
      <c r="Z390" s="24">
        <f>IF(OR(Q390="",U390=""),"",Q390-U390)</f>
        <v/>
      </c>
      <c r="AA390" s="24">
        <f>IF(OR(H390="",O390=""),"",H390-O390)</f>
        <v/>
      </c>
      <c r="AB390" s="24">
        <f>IF(OR(R390="",V390=""),"",R390-V390)</f>
        <v/>
      </c>
      <c r="AC390" s="24">
        <f>IF(OR(S390="",W390=""),"",S390-W390)</f>
        <v/>
      </c>
      <c r="AD390" s="13" t="n"/>
      <c r="AE390" s="24">
        <f>IF(OR(AD390="",AD389=""),"",IF(AD389=0,"",(AD390/AD389)-1))</f>
        <v/>
      </c>
      <c r="AF390" s="24">
        <f>IF(ROW()&lt;7,"",IF(OR(AD390="",AD387=""),"",IF(AD387=0,"",(AD390/AD387)-1)))</f>
        <v/>
      </c>
      <c r="AG390" s="24">
        <f>IF(ROW()&lt;9,"",IF(OR(AD390="",AD385=""),"",IF(AD385=0,"",(AD390/AD385)-1)))</f>
        <v/>
      </c>
      <c r="AH390" s="13">
        <f>IF(ROW()&lt;23,"",AVERAGE(AD371:AD390))</f>
        <v/>
      </c>
      <c r="AI390">
        <f>IF(OR(AD390="",AH390=""),"",IF(AD390&gt;AH390,"Bull","Bear"))</f>
        <v/>
      </c>
      <c r="AJ390" s="13" t="n"/>
      <c r="AK390" s="24">
        <f>IF(OR(AJ390="",AJ389=""),"",IF(AJ389=0,"",(AJ390/AJ389)-1))</f>
        <v/>
      </c>
      <c r="AL390" s="24">
        <f>IF(ROW()&lt;7,"",IF(OR(AJ390="",AJ387=""),"",IF(AJ387=0,"",(AJ390/AJ387)-1)))</f>
        <v/>
      </c>
      <c r="AM390" s="24">
        <f>IF(ROW()&lt;9,"",IF(OR(AJ390="",AJ385=""),"",IF(AJ385=0,"",(AJ390/AJ385)-1)))</f>
        <v/>
      </c>
      <c r="AN390" s="13">
        <f>IF(ROW()&lt;23,"",AVERAGE(AJ371:AJ390))</f>
        <v/>
      </c>
      <c r="AO390">
        <f>IF(OR(AJ390="",AN390=""),"",IF(AJ390&gt;AN390,"Bull","Bear"))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8">
        <f>IFERROR((M391/M390)-1,"")</f>
        <v/>
      </c>
      <c r="O391" s="24">
        <f>IF(OR(N391="",N390=""),"",IF(N390=0,"",(N391/N390)-1))</f>
        <v/>
      </c>
      <c r="P391" s="11">
        <f>IF(ROW()&lt;7,"",IF(OR(E391="",E388=""),"",IF(E388=0,"",(E391/E388)-1)))</f>
        <v/>
      </c>
      <c r="Q391" s="24">
        <f>IF(ROW()&lt;9,"",IF(OR(E391="",E386=""),"",IF(E386=0,"",(E391/E386)-1)))</f>
        <v/>
      </c>
      <c r="R391" s="24">
        <f>IF(ROW()&lt;7,"",IF(OR(G391="",G388=""),"",IF(G388=0,"",(G391/G388)-1)))</f>
        <v/>
      </c>
      <c r="S391" s="24">
        <f>IF(ROW()&lt;9,"",IF(OR(G391="",G386=""),"",IF(G386=0,"",(G391/G386)-1)))</f>
        <v/>
      </c>
      <c r="T391" s="24">
        <f>IF(ROW()&lt;7,"",IF(OR(L391="",L388=""),"",IF(L388=0,"",(L391/L388)-1)))</f>
        <v/>
      </c>
      <c r="U391" s="24">
        <f>IF(ROW()&lt;9,"",IF(OR(L391="",L386=""),"",IF(L386=0,"",(L391/L386)-1)))</f>
        <v/>
      </c>
      <c r="V391" s="24">
        <f>IF(ROW()&lt;7,"",IF(OR(N391="",N388=""),"",IF(N388=0,"",(N391/N388)-1)))</f>
        <v/>
      </c>
      <c r="W391" s="24">
        <f>IF(ROW()&lt;9,"",IF(OR(N391="",N386=""),"",IF(N386=0,"",(N391/N386)-1)))</f>
        <v/>
      </c>
      <c r="X391" s="24">
        <f>IF(OR(F391="",M391=""),"",F391-M391)</f>
        <v/>
      </c>
      <c r="Y391" s="24">
        <f>IF(OR(P391="",T391=""),"",P391-T391)</f>
        <v/>
      </c>
      <c r="Z391" s="24">
        <f>IF(OR(Q391="",U391=""),"",Q391-U391)</f>
        <v/>
      </c>
      <c r="AA391" s="24">
        <f>IF(OR(H391="",O391=""),"",H391-O391)</f>
        <v/>
      </c>
      <c r="AB391" s="24">
        <f>IF(OR(R391="",V391=""),"",R391-V391)</f>
        <v/>
      </c>
      <c r="AC391" s="24">
        <f>IF(OR(S391="",W391=""),"",S391-W391)</f>
        <v/>
      </c>
      <c r="AD391" s="13" t="n"/>
      <c r="AE391" s="24">
        <f>IF(OR(AD391="",AD390=""),"",IF(AD390=0,"",(AD391/AD390)-1))</f>
        <v/>
      </c>
      <c r="AF391" s="24">
        <f>IF(ROW()&lt;7,"",IF(OR(AD391="",AD388=""),"",IF(AD388=0,"",(AD391/AD388)-1)))</f>
        <v/>
      </c>
      <c r="AG391" s="24">
        <f>IF(ROW()&lt;9,"",IF(OR(AD391="",AD386=""),"",IF(AD386=0,"",(AD391/AD386)-1)))</f>
        <v/>
      </c>
      <c r="AH391" s="13">
        <f>IF(ROW()&lt;23,"",AVERAGE(AD372:AD391))</f>
        <v/>
      </c>
      <c r="AI391">
        <f>IF(OR(AD391="",AH391=""),"",IF(AD391&gt;AH391,"Bull","Bear"))</f>
        <v/>
      </c>
      <c r="AJ391" s="13" t="n"/>
      <c r="AK391" s="24">
        <f>IF(OR(AJ391="",AJ390=""),"",IF(AJ390=0,"",(AJ391/AJ390)-1))</f>
        <v/>
      </c>
      <c r="AL391" s="24">
        <f>IF(ROW()&lt;7,"",IF(OR(AJ391="",AJ388=""),"",IF(AJ388=0,"",(AJ391/AJ388)-1)))</f>
        <v/>
      </c>
      <c r="AM391" s="24">
        <f>IF(ROW()&lt;9,"",IF(OR(AJ391="",AJ386=""),"",IF(AJ386=0,"",(AJ391/AJ386)-1)))</f>
        <v/>
      </c>
      <c r="AN391" s="13">
        <f>IF(ROW()&lt;23,"",AVERAGE(AJ372:AJ391))</f>
        <v/>
      </c>
      <c r="AO391">
        <f>IF(OR(AJ391="",AN391=""),"",IF(AJ391&gt;AN391,"Bull","Bear"))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8">
        <f>IFERROR((M392/M391)-1,"")</f>
        <v/>
      </c>
      <c r="O392" s="24">
        <f>IF(OR(N392="",N391=""),"",IF(N391=0,"",(N392/N391)-1))</f>
        <v/>
      </c>
      <c r="P392" s="11">
        <f>IF(ROW()&lt;7,"",IF(OR(E392="",E389=""),"",IF(E389=0,"",(E392/E389)-1)))</f>
        <v/>
      </c>
      <c r="Q392" s="24">
        <f>IF(ROW()&lt;9,"",IF(OR(E392="",E387=""),"",IF(E387=0,"",(E392/E387)-1)))</f>
        <v/>
      </c>
      <c r="R392" s="24">
        <f>IF(ROW()&lt;7,"",IF(OR(G392="",G389=""),"",IF(G389=0,"",(G392/G389)-1)))</f>
        <v/>
      </c>
      <c r="S392" s="24">
        <f>IF(ROW()&lt;9,"",IF(OR(G392="",G387=""),"",IF(G387=0,"",(G392/G387)-1)))</f>
        <v/>
      </c>
      <c r="T392" s="24">
        <f>IF(ROW()&lt;7,"",IF(OR(L392="",L389=""),"",IF(L389=0,"",(L392/L389)-1)))</f>
        <v/>
      </c>
      <c r="U392" s="24">
        <f>IF(ROW()&lt;9,"",IF(OR(L392="",L387=""),"",IF(L387=0,"",(L392/L387)-1)))</f>
        <v/>
      </c>
      <c r="V392" s="24">
        <f>IF(ROW()&lt;7,"",IF(OR(N392="",N389=""),"",IF(N389=0,"",(N392/N389)-1)))</f>
        <v/>
      </c>
      <c r="W392" s="24">
        <f>IF(ROW()&lt;9,"",IF(OR(N392="",N387=""),"",IF(N387=0,"",(N392/N387)-1)))</f>
        <v/>
      </c>
      <c r="X392" s="24">
        <f>IF(OR(F392="",M392=""),"",F392-M392)</f>
        <v/>
      </c>
      <c r="Y392" s="24">
        <f>IF(OR(P392="",T392=""),"",P392-T392)</f>
        <v/>
      </c>
      <c r="Z392" s="24">
        <f>IF(OR(Q392="",U392=""),"",Q392-U392)</f>
        <v/>
      </c>
      <c r="AA392" s="24">
        <f>IF(OR(H392="",O392=""),"",H392-O392)</f>
        <v/>
      </c>
      <c r="AB392" s="24">
        <f>IF(OR(R392="",V392=""),"",R392-V392)</f>
        <v/>
      </c>
      <c r="AC392" s="24">
        <f>IF(OR(S392="",W392=""),"",S392-W392)</f>
        <v/>
      </c>
      <c r="AD392" s="13" t="n"/>
      <c r="AE392" s="24">
        <f>IF(OR(AD392="",AD391=""),"",IF(AD391=0,"",(AD392/AD391)-1))</f>
        <v/>
      </c>
      <c r="AF392" s="24">
        <f>IF(ROW()&lt;7,"",IF(OR(AD392="",AD389=""),"",IF(AD389=0,"",(AD392/AD389)-1)))</f>
        <v/>
      </c>
      <c r="AG392" s="24">
        <f>IF(ROW()&lt;9,"",IF(OR(AD392="",AD387=""),"",IF(AD387=0,"",(AD392/AD387)-1)))</f>
        <v/>
      </c>
      <c r="AH392" s="13">
        <f>IF(ROW()&lt;23,"",AVERAGE(AD373:AD392))</f>
        <v/>
      </c>
      <c r="AI392">
        <f>IF(OR(AD392="",AH392=""),"",IF(AD392&gt;AH392,"Bull","Bear"))</f>
        <v/>
      </c>
      <c r="AJ392" s="13" t="n"/>
      <c r="AK392" s="24">
        <f>IF(OR(AJ392="",AJ391=""),"",IF(AJ391=0,"",(AJ392/AJ391)-1))</f>
        <v/>
      </c>
      <c r="AL392" s="24">
        <f>IF(ROW()&lt;7,"",IF(OR(AJ392="",AJ389=""),"",IF(AJ389=0,"",(AJ392/AJ389)-1)))</f>
        <v/>
      </c>
      <c r="AM392" s="24">
        <f>IF(ROW()&lt;9,"",IF(OR(AJ392="",AJ387=""),"",IF(AJ387=0,"",(AJ392/AJ387)-1)))</f>
        <v/>
      </c>
      <c r="AN392" s="13">
        <f>IF(ROW()&lt;23,"",AVERAGE(AJ373:AJ392))</f>
        <v/>
      </c>
      <c r="AO392">
        <f>IF(OR(AJ392="",AN392=""),"",IF(AJ392&gt;AN392,"Bull","Bear"))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8">
        <f>IFERROR((M393/M392)-1,"")</f>
        <v/>
      </c>
      <c r="O393" s="24">
        <f>IF(OR(N393="",N392=""),"",IF(N392=0,"",(N393/N392)-1))</f>
        <v/>
      </c>
      <c r="P393" s="11">
        <f>IF(ROW()&lt;7,"",IF(OR(E393="",E390=""),"",IF(E390=0,"",(E393/E390)-1)))</f>
        <v/>
      </c>
      <c r="Q393" s="24">
        <f>IF(ROW()&lt;9,"",IF(OR(E393="",E388=""),"",IF(E388=0,"",(E393/E388)-1)))</f>
        <v/>
      </c>
      <c r="R393" s="24">
        <f>IF(ROW()&lt;7,"",IF(OR(G393="",G390=""),"",IF(G390=0,"",(G393/G390)-1)))</f>
        <v/>
      </c>
      <c r="S393" s="24">
        <f>IF(ROW()&lt;9,"",IF(OR(G393="",G388=""),"",IF(G388=0,"",(G393/G388)-1)))</f>
        <v/>
      </c>
      <c r="T393" s="24">
        <f>IF(ROW()&lt;7,"",IF(OR(L393="",L390=""),"",IF(L390=0,"",(L393/L390)-1)))</f>
        <v/>
      </c>
      <c r="U393" s="24">
        <f>IF(ROW()&lt;9,"",IF(OR(L393="",L388=""),"",IF(L388=0,"",(L393/L388)-1)))</f>
        <v/>
      </c>
      <c r="V393" s="24">
        <f>IF(ROW()&lt;7,"",IF(OR(N393="",N390=""),"",IF(N390=0,"",(N393/N390)-1)))</f>
        <v/>
      </c>
      <c r="W393" s="24">
        <f>IF(ROW()&lt;9,"",IF(OR(N393="",N388=""),"",IF(N388=0,"",(N393/N388)-1)))</f>
        <v/>
      </c>
      <c r="X393" s="24">
        <f>IF(OR(F393="",M393=""),"",F393-M393)</f>
        <v/>
      </c>
      <c r="Y393" s="24">
        <f>IF(OR(P393="",T393=""),"",P393-T393)</f>
        <v/>
      </c>
      <c r="Z393" s="24">
        <f>IF(OR(Q393="",U393=""),"",Q393-U393)</f>
        <v/>
      </c>
      <c r="AA393" s="24">
        <f>IF(OR(H393="",O393=""),"",H393-O393)</f>
        <v/>
      </c>
      <c r="AB393" s="24">
        <f>IF(OR(R393="",V393=""),"",R393-V393)</f>
        <v/>
      </c>
      <c r="AC393" s="24">
        <f>IF(OR(S393="",W393=""),"",S393-W393)</f>
        <v/>
      </c>
      <c r="AD393" s="13" t="n"/>
      <c r="AE393" s="24">
        <f>IF(OR(AD393="",AD392=""),"",IF(AD392=0,"",(AD393/AD392)-1))</f>
        <v/>
      </c>
      <c r="AF393" s="24">
        <f>IF(ROW()&lt;7,"",IF(OR(AD393="",AD390=""),"",IF(AD390=0,"",(AD393/AD390)-1)))</f>
        <v/>
      </c>
      <c r="AG393" s="24">
        <f>IF(ROW()&lt;9,"",IF(OR(AD393="",AD388=""),"",IF(AD388=0,"",(AD393/AD388)-1)))</f>
        <v/>
      </c>
      <c r="AH393" s="13">
        <f>IF(ROW()&lt;23,"",AVERAGE(AD374:AD393))</f>
        <v/>
      </c>
      <c r="AI393">
        <f>IF(OR(AD393="",AH393=""),"",IF(AD393&gt;AH393,"Bull","Bear"))</f>
        <v/>
      </c>
      <c r="AJ393" s="13" t="n"/>
      <c r="AK393" s="24">
        <f>IF(OR(AJ393="",AJ392=""),"",IF(AJ392=0,"",(AJ393/AJ392)-1))</f>
        <v/>
      </c>
      <c r="AL393" s="24">
        <f>IF(ROW()&lt;7,"",IF(OR(AJ393="",AJ390=""),"",IF(AJ390=0,"",(AJ393/AJ390)-1)))</f>
        <v/>
      </c>
      <c r="AM393" s="24">
        <f>IF(ROW()&lt;9,"",IF(OR(AJ393="",AJ388=""),"",IF(AJ388=0,"",(AJ393/AJ388)-1)))</f>
        <v/>
      </c>
      <c r="AN393" s="13">
        <f>IF(ROW()&lt;23,"",AVERAGE(AJ374:AJ393))</f>
        <v/>
      </c>
      <c r="AO393">
        <f>IF(OR(AJ393="",AN393=""),"",IF(AJ393&gt;AN393,"Bull","Bear"))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8">
        <f>IFERROR((M394/M393)-1,"")</f>
        <v/>
      </c>
      <c r="O394" s="24">
        <f>IF(OR(N394="",N393=""),"",IF(N393=0,"",(N394/N393)-1))</f>
        <v/>
      </c>
      <c r="P394" s="11">
        <f>IF(ROW()&lt;7,"",IF(OR(E394="",E391=""),"",IF(E391=0,"",(E394/E391)-1)))</f>
        <v/>
      </c>
      <c r="Q394" s="24">
        <f>IF(ROW()&lt;9,"",IF(OR(E394="",E389=""),"",IF(E389=0,"",(E394/E389)-1)))</f>
        <v/>
      </c>
      <c r="R394" s="24">
        <f>IF(ROW()&lt;7,"",IF(OR(G394="",G391=""),"",IF(G391=0,"",(G394/G391)-1)))</f>
        <v/>
      </c>
      <c r="S394" s="24">
        <f>IF(ROW()&lt;9,"",IF(OR(G394="",G389=""),"",IF(G389=0,"",(G394/G389)-1)))</f>
        <v/>
      </c>
      <c r="T394" s="24">
        <f>IF(ROW()&lt;7,"",IF(OR(L394="",L391=""),"",IF(L391=0,"",(L394/L391)-1)))</f>
        <v/>
      </c>
      <c r="U394" s="24">
        <f>IF(ROW()&lt;9,"",IF(OR(L394="",L389=""),"",IF(L389=0,"",(L394/L389)-1)))</f>
        <v/>
      </c>
      <c r="V394" s="24">
        <f>IF(ROW()&lt;7,"",IF(OR(N394="",N391=""),"",IF(N391=0,"",(N394/N391)-1)))</f>
        <v/>
      </c>
      <c r="W394" s="24">
        <f>IF(ROW()&lt;9,"",IF(OR(N394="",N389=""),"",IF(N389=0,"",(N394/N389)-1)))</f>
        <v/>
      </c>
      <c r="X394" s="24">
        <f>IF(OR(F394="",M394=""),"",F394-M394)</f>
        <v/>
      </c>
      <c r="Y394" s="24">
        <f>IF(OR(P394="",T394=""),"",P394-T394)</f>
        <v/>
      </c>
      <c r="Z394" s="24">
        <f>IF(OR(Q394="",U394=""),"",Q394-U394)</f>
        <v/>
      </c>
      <c r="AA394" s="24">
        <f>IF(OR(H394="",O394=""),"",H394-O394)</f>
        <v/>
      </c>
      <c r="AB394" s="24">
        <f>IF(OR(R394="",V394=""),"",R394-V394)</f>
        <v/>
      </c>
      <c r="AC394" s="24">
        <f>IF(OR(S394="",W394=""),"",S394-W394)</f>
        <v/>
      </c>
      <c r="AD394" s="13" t="n"/>
      <c r="AE394" s="24">
        <f>IF(OR(AD394="",AD393=""),"",IF(AD393=0,"",(AD394/AD393)-1))</f>
        <v/>
      </c>
      <c r="AF394" s="24">
        <f>IF(ROW()&lt;7,"",IF(OR(AD394="",AD391=""),"",IF(AD391=0,"",(AD394/AD391)-1)))</f>
        <v/>
      </c>
      <c r="AG394" s="24">
        <f>IF(ROW()&lt;9,"",IF(OR(AD394="",AD389=""),"",IF(AD389=0,"",(AD394/AD389)-1)))</f>
        <v/>
      </c>
      <c r="AH394" s="13">
        <f>IF(ROW()&lt;23,"",AVERAGE(AD375:AD394))</f>
        <v/>
      </c>
      <c r="AI394">
        <f>IF(OR(AD394="",AH394=""),"",IF(AD394&gt;AH394,"Bull","Bear"))</f>
        <v/>
      </c>
      <c r="AJ394" s="13" t="n"/>
      <c r="AK394" s="24">
        <f>IF(OR(AJ394="",AJ393=""),"",IF(AJ393=0,"",(AJ394/AJ393)-1))</f>
        <v/>
      </c>
      <c r="AL394" s="24">
        <f>IF(ROW()&lt;7,"",IF(OR(AJ394="",AJ391=""),"",IF(AJ391=0,"",(AJ394/AJ391)-1)))</f>
        <v/>
      </c>
      <c r="AM394" s="24">
        <f>IF(ROW()&lt;9,"",IF(OR(AJ394="",AJ389=""),"",IF(AJ389=0,"",(AJ394/AJ389)-1)))</f>
        <v/>
      </c>
      <c r="AN394" s="13">
        <f>IF(ROW()&lt;23,"",AVERAGE(AJ375:AJ394))</f>
        <v/>
      </c>
      <c r="AO394">
        <f>IF(OR(AJ394="",AN394=""),"",IF(AJ394&gt;AN394,"Bull","Bear"))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8">
        <f>IFERROR((M395/M394)-1,"")</f>
        <v/>
      </c>
      <c r="O395" s="24">
        <f>IF(OR(N395="",N394=""),"",IF(N394=0,"",(N395/N394)-1))</f>
        <v/>
      </c>
      <c r="P395" s="11">
        <f>IF(ROW()&lt;7,"",IF(OR(E395="",E392=""),"",IF(E392=0,"",(E395/E392)-1)))</f>
        <v/>
      </c>
      <c r="Q395" s="24">
        <f>IF(ROW()&lt;9,"",IF(OR(E395="",E390=""),"",IF(E390=0,"",(E395/E390)-1)))</f>
        <v/>
      </c>
      <c r="R395" s="24">
        <f>IF(ROW()&lt;7,"",IF(OR(G395="",G392=""),"",IF(G392=0,"",(G395/G392)-1)))</f>
        <v/>
      </c>
      <c r="S395" s="24">
        <f>IF(ROW()&lt;9,"",IF(OR(G395="",G390=""),"",IF(G390=0,"",(G395/G390)-1)))</f>
        <v/>
      </c>
      <c r="T395" s="24">
        <f>IF(ROW()&lt;7,"",IF(OR(L395="",L392=""),"",IF(L392=0,"",(L395/L392)-1)))</f>
        <v/>
      </c>
      <c r="U395" s="24">
        <f>IF(ROW()&lt;9,"",IF(OR(L395="",L390=""),"",IF(L390=0,"",(L395/L390)-1)))</f>
        <v/>
      </c>
      <c r="V395" s="24">
        <f>IF(ROW()&lt;7,"",IF(OR(N395="",N392=""),"",IF(N392=0,"",(N395/N392)-1)))</f>
        <v/>
      </c>
      <c r="W395" s="24">
        <f>IF(ROW()&lt;9,"",IF(OR(N395="",N390=""),"",IF(N390=0,"",(N395/N390)-1)))</f>
        <v/>
      </c>
      <c r="X395" s="24">
        <f>IF(OR(F395="",M395=""),"",F395-M395)</f>
        <v/>
      </c>
      <c r="Y395" s="24">
        <f>IF(OR(P395="",T395=""),"",P395-T395)</f>
        <v/>
      </c>
      <c r="Z395" s="24">
        <f>IF(OR(Q395="",U395=""),"",Q395-U395)</f>
        <v/>
      </c>
      <c r="AA395" s="24">
        <f>IF(OR(H395="",O395=""),"",H395-O395)</f>
        <v/>
      </c>
      <c r="AB395" s="24">
        <f>IF(OR(R395="",V395=""),"",R395-V395)</f>
        <v/>
      </c>
      <c r="AC395" s="24">
        <f>IF(OR(S395="",W395=""),"",S395-W395)</f>
        <v/>
      </c>
      <c r="AD395" s="13" t="n"/>
      <c r="AE395" s="24">
        <f>IF(OR(AD395="",AD394=""),"",IF(AD394=0,"",(AD395/AD394)-1))</f>
        <v/>
      </c>
      <c r="AF395" s="24">
        <f>IF(ROW()&lt;7,"",IF(OR(AD395="",AD392=""),"",IF(AD392=0,"",(AD395/AD392)-1)))</f>
        <v/>
      </c>
      <c r="AG395" s="24">
        <f>IF(ROW()&lt;9,"",IF(OR(AD395="",AD390=""),"",IF(AD390=0,"",(AD395/AD390)-1)))</f>
        <v/>
      </c>
      <c r="AH395" s="13">
        <f>IF(ROW()&lt;23,"",AVERAGE(AD376:AD395))</f>
        <v/>
      </c>
      <c r="AI395">
        <f>IF(OR(AD395="",AH395=""),"",IF(AD395&gt;AH395,"Bull","Bear"))</f>
        <v/>
      </c>
      <c r="AJ395" s="13" t="n"/>
      <c r="AK395" s="24">
        <f>IF(OR(AJ395="",AJ394=""),"",IF(AJ394=0,"",(AJ395/AJ394)-1))</f>
        <v/>
      </c>
      <c r="AL395" s="24">
        <f>IF(ROW()&lt;7,"",IF(OR(AJ395="",AJ392=""),"",IF(AJ392=0,"",(AJ395/AJ392)-1)))</f>
        <v/>
      </c>
      <c r="AM395" s="24">
        <f>IF(ROW()&lt;9,"",IF(OR(AJ395="",AJ390=""),"",IF(AJ390=0,"",(AJ395/AJ390)-1)))</f>
        <v/>
      </c>
      <c r="AN395" s="13">
        <f>IF(ROW()&lt;23,"",AVERAGE(AJ376:AJ395))</f>
        <v/>
      </c>
      <c r="AO395">
        <f>IF(OR(AJ395="",AN395=""),"",IF(AJ395&gt;AN395,"Bull","Bear"))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8">
        <f>IFERROR((M396/M395)-1,"")</f>
        <v/>
      </c>
      <c r="O396" s="24">
        <f>IF(OR(N396="",N395=""),"",IF(N395=0,"",(N396/N395)-1))</f>
        <v/>
      </c>
      <c r="P396" s="11">
        <f>IF(ROW()&lt;7,"",IF(OR(E396="",E393=""),"",IF(E393=0,"",(E396/E393)-1)))</f>
        <v/>
      </c>
      <c r="Q396" s="24">
        <f>IF(ROW()&lt;9,"",IF(OR(E396="",E391=""),"",IF(E391=0,"",(E396/E391)-1)))</f>
        <v/>
      </c>
      <c r="R396" s="24">
        <f>IF(ROW()&lt;7,"",IF(OR(G396="",G393=""),"",IF(G393=0,"",(G396/G393)-1)))</f>
        <v/>
      </c>
      <c r="S396" s="24">
        <f>IF(ROW()&lt;9,"",IF(OR(G396="",G391=""),"",IF(G391=0,"",(G396/G391)-1)))</f>
        <v/>
      </c>
      <c r="T396" s="24">
        <f>IF(ROW()&lt;7,"",IF(OR(L396="",L393=""),"",IF(L393=0,"",(L396/L393)-1)))</f>
        <v/>
      </c>
      <c r="U396" s="24">
        <f>IF(ROW()&lt;9,"",IF(OR(L396="",L391=""),"",IF(L391=0,"",(L396/L391)-1)))</f>
        <v/>
      </c>
      <c r="V396" s="24">
        <f>IF(ROW()&lt;7,"",IF(OR(N396="",N393=""),"",IF(N393=0,"",(N396/N393)-1)))</f>
        <v/>
      </c>
      <c r="W396" s="24">
        <f>IF(ROW()&lt;9,"",IF(OR(N396="",N391=""),"",IF(N391=0,"",(N396/N391)-1)))</f>
        <v/>
      </c>
      <c r="X396" s="24">
        <f>IF(OR(F396="",M396=""),"",F396-M396)</f>
        <v/>
      </c>
      <c r="Y396" s="24">
        <f>IF(OR(P396="",T396=""),"",P396-T396)</f>
        <v/>
      </c>
      <c r="Z396" s="24">
        <f>IF(OR(Q396="",U396=""),"",Q396-U396)</f>
        <v/>
      </c>
      <c r="AA396" s="24">
        <f>IF(OR(H396="",O396=""),"",H396-O396)</f>
        <v/>
      </c>
      <c r="AB396" s="24">
        <f>IF(OR(R396="",V396=""),"",R396-V396)</f>
        <v/>
      </c>
      <c r="AC396" s="24">
        <f>IF(OR(S396="",W396=""),"",S396-W396)</f>
        <v/>
      </c>
      <c r="AD396" s="13" t="n"/>
      <c r="AE396" s="24">
        <f>IF(OR(AD396="",AD395=""),"",IF(AD395=0,"",(AD396/AD395)-1))</f>
        <v/>
      </c>
      <c r="AF396" s="24">
        <f>IF(ROW()&lt;7,"",IF(OR(AD396="",AD393=""),"",IF(AD393=0,"",(AD396/AD393)-1)))</f>
        <v/>
      </c>
      <c r="AG396" s="24">
        <f>IF(ROW()&lt;9,"",IF(OR(AD396="",AD391=""),"",IF(AD391=0,"",(AD396/AD391)-1)))</f>
        <v/>
      </c>
      <c r="AH396" s="13">
        <f>IF(ROW()&lt;23,"",AVERAGE(AD377:AD396))</f>
        <v/>
      </c>
      <c r="AI396">
        <f>IF(OR(AD396="",AH396=""),"",IF(AD396&gt;AH396,"Bull","Bear"))</f>
        <v/>
      </c>
      <c r="AJ396" s="13" t="n"/>
      <c r="AK396" s="24">
        <f>IF(OR(AJ396="",AJ395=""),"",IF(AJ395=0,"",(AJ396/AJ395)-1))</f>
        <v/>
      </c>
      <c r="AL396" s="24">
        <f>IF(ROW()&lt;7,"",IF(OR(AJ396="",AJ393=""),"",IF(AJ393=0,"",(AJ396/AJ393)-1)))</f>
        <v/>
      </c>
      <c r="AM396" s="24">
        <f>IF(ROW()&lt;9,"",IF(OR(AJ396="",AJ391=""),"",IF(AJ391=0,"",(AJ396/AJ391)-1)))</f>
        <v/>
      </c>
      <c r="AN396" s="13">
        <f>IF(ROW()&lt;23,"",AVERAGE(AJ377:AJ396))</f>
        <v/>
      </c>
      <c r="AO396">
        <f>IF(OR(AJ396="",AN396=""),"",IF(AJ396&gt;AN396,"Bull","Bear"))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8">
        <f>IFERROR((M397/M396)-1,"")</f>
        <v/>
      </c>
      <c r="O397" s="24">
        <f>IF(OR(N397="",N396=""),"",IF(N396=0,"",(N397/N396)-1))</f>
        <v/>
      </c>
      <c r="P397" s="11">
        <f>IF(ROW()&lt;7,"",IF(OR(E397="",E394=""),"",IF(E394=0,"",(E397/E394)-1)))</f>
        <v/>
      </c>
      <c r="Q397" s="24">
        <f>IF(ROW()&lt;9,"",IF(OR(E397="",E392=""),"",IF(E392=0,"",(E397/E392)-1)))</f>
        <v/>
      </c>
      <c r="R397" s="24">
        <f>IF(ROW()&lt;7,"",IF(OR(G397="",G394=""),"",IF(G394=0,"",(G397/G394)-1)))</f>
        <v/>
      </c>
      <c r="S397" s="24">
        <f>IF(ROW()&lt;9,"",IF(OR(G397="",G392=""),"",IF(G392=0,"",(G397/G392)-1)))</f>
        <v/>
      </c>
      <c r="T397" s="24">
        <f>IF(ROW()&lt;7,"",IF(OR(L397="",L394=""),"",IF(L394=0,"",(L397/L394)-1)))</f>
        <v/>
      </c>
      <c r="U397" s="24">
        <f>IF(ROW()&lt;9,"",IF(OR(L397="",L392=""),"",IF(L392=0,"",(L397/L392)-1)))</f>
        <v/>
      </c>
      <c r="V397" s="24">
        <f>IF(ROW()&lt;7,"",IF(OR(N397="",N394=""),"",IF(N394=0,"",(N397/N394)-1)))</f>
        <v/>
      </c>
      <c r="W397" s="24">
        <f>IF(ROW()&lt;9,"",IF(OR(N397="",N392=""),"",IF(N392=0,"",(N397/N392)-1)))</f>
        <v/>
      </c>
      <c r="X397" s="24">
        <f>IF(OR(F397="",M397=""),"",F397-M397)</f>
        <v/>
      </c>
      <c r="Y397" s="24">
        <f>IF(OR(P397="",T397=""),"",P397-T397)</f>
        <v/>
      </c>
      <c r="Z397" s="24">
        <f>IF(OR(Q397="",U397=""),"",Q397-U397)</f>
        <v/>
      </c>
      <c r="AA397" s="24">
        <f>IF(OR(H397="",O397=""),"",H397-O397)</f>
        <v/>
      </c>
      <c r="AB397" s="24">
        <f>IF(OR(R397="",V397=""),"",R397-V397)</f>
        <v/>
      </c>
      <c r="AC397" s="24">
        <f>IF(OR(S397="",W397=""),"",S397-W397)</f>
        <v/>
      </c>
      <c r="AD397" s="13" t="n"/>
      <c r="AE397" s="24">
        <f>IF(OR(AD397="",AD396=""),"",IF(AD396=0,"",(AD397/AD396)-1))</f>
        <v/>
      </c>
      <c r="AF397" s="24">
        <f>IF(ROW()&lt;7,"",IF(OR(AD397="",AD394=""),"",IF(AD394=0,"",(AD397/AD394)-1)))</f>
        <v/>
      </c>
      <c r="AG397" s="24">
        <f>IF(ROW()&lt;9,"",IF(OR(AD397="",AD392=""),"",IF(AD392=0,"",(AD397/AD392)-1)))</f>
        <v/>
      </c>
      <c r="AH397" s="13">
        <f>IF(ROW()&lt;23,"",AVERAGE(AD378:AD397))</f>
        <v/>
      </c>
      <c r="AI397">
        <f>IF(OR(AD397="",AH397=""),"",IF(AD397&gt;AH397,"Bull","Bear"))</f>
        <v/>
      </c>
      <c r="AJ397" s="13" t="n"/>
      <c r="AK397" s="24">
        <f>IF(OR(AJ397="",AJ396=""),"",IF(AJ396=0,"",(AJ397/AJ396)-1))</f>
        <v/>
      </c>
      <c r="AL397" s="24">
        <f>IF(ROW()&lt;7,"",IF(OR(AJ397="",AJ394=""),"",IF(AJ394=0,"",(AJ397/AJ394)-1)))</f>
        <v/>
      </c>
      <c r="AM397" s="24">
        <f>IF(ROW()&lt;9,"",IF(OR(AJ397="",AJ392=""),"",IF(AJ392=0,"",(AJ397/AJ392)-1)))</f>
        <v/>
      </c>
      <c r="AN397" s="13">
        <f>IF(ROW()&lt;23,"",AVERAGE(AJ378:AJ397))</f>
        <v/>
      </c>
      <c r="AO397">
        <f>IF(OR(AJ397="",AN397=""),"",IF(AJ397&gt;AN397,"Bull","Bear"))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8">
        <f>IFERROR((M398/M397)-1,"")</f>
        <v/>
      </c>
      <c r="O398" s="24">
        <f>IF(OR(N398="",N397=""),"",IF(N397=0,"",(N398/N397)-1))</f>
        <v/>
      </c>
      <c r="P398" s="11">
        <f>IF(ROW()&lt;7,"",IF(OR(E398="",E395=""),"",IF(E395=0,"",(E398/E395)-1)))</f>
        <v/>
      </c>
      <c r="Q398" s="24">
        <f>IF(ROW()&lt;9,"",IF(OR(E398="",E393=""),"",IF(E393=0,"",(E398/E393)-1)))</f>
        <v/>
      </c>
      <c r="R398" s="24">
        <f>IF(ROW()&lt;7,"",IF(OR(G398="",G395=""),"",IF(G395=0,"",(G398/G395)-1)))</f>
        <v/>
      </c>
      <c r="S398" s="24">
        <f>IF(ROW()&lt;9,"",IF(OR(G398="",G393=""),"",IF(G393=0,"",(G398/G393)-1)))</f>
        <v/>
      </c>
      <c r="T398" s="24">
        <f>IF(ROW()&lt;7,"",IF(OR(L398="",L395=""),"",IF(L395=0,"",(L398/L395)-1)))</f>
        <v/>
      </c>
      <c r="U398" s="24">
        <f>IF(ROW()&lt;9,"",IF(OR(L398="",L393=""),"",IF(L393=0,"",(L398/L393)-1)))</f>
        <v/>
      </c>
      <c r="V398" s="24">
        <f>IF(ROW()&lt;7,"",IF(OR(N398="",N395=""),"",IF(N395=0,"",(N398/N395)-1)))</f>
        <v/>
      </c>
      <c r="W398" s="24">
        <f>IF(ROW()&lt;9,"",IF(OR(N398="",N393=""),"",IF(N393=0,"",(N398/N393)-1)))</f>
        <v/>
      </c>
      <c r="X398" s="24">
        <f>IF(OR(F398="",M398=""),"",F398-M398)</f>
        <v/>
      </c>
      <c r="Y398" s="24">
        <f>IF(OR(P398="",T398=""),"",P398-T398)</f>
        <v/>
      </c>
      <c r="Z398" s="24">
        <f>IF(OR(Q398="",U398=""),"",Q398-U398)</f>
        <v/>
      </c>
      <c r="AA398" s="24">
        <f>IF(OR(H398="",O398=""),"",H398-O398)</f>
        <v/>
      </c>
      <c r="AB398" s="24">
        <f>IF(OR(R398="",V398=""),"",R398-V398)</f>
        <v/>
      </c>
      <c r="AC398" s="24">
        <f>IF(OR(S398="",W398=""),"",S398-W398)</f>
        <v/>
      </c>
      <c r="AD398" s="13" t="n"/>
      <c r="AE398" s="24">
        <f>IF(OR(AD398="",AD397=""),"",IF(AD397=0,"",(AD398/AD397)-1))</f>
        <v/>
      </c>
      <c r="AF398" s="24">
        <f>IF(ROW()&lt;7,"",IF(OR(AD398="",AD395=""),"",IF(AD395=0,"",(AD398/AD395)-1)))</f>
        <v/>
      </c>
      <c r="AG398" s="24">
        <f>IF(ROW()&lt;9,"",IF(OR(AD398="",AD393=""),"",IF(AD393=0,"",(AD398/AD393)-1)))</f>
        <v/>
      </c>
      <c r="AH398" s="13">
        <f>IF(ROW()&lt;23,"",AVERAGE(AD379:AD398))</f>
        <v/>
      </c>
      <c r="AI398">
        <f>IF(OR(AD398="",AH398=""),"",IF(AD398&gt;AH398,"Bull","Bear"))</f>
        <v/>
      </c>
      <c r="AJ398" s="13" t="n"/>
      <c r="AK398" s="24">
        <f>IF(OR(AJ398="",AJ397=""),"",IF(AJ397=0,"",(AJ398/AJ397)-1))</f>
        <v/>
      </c>
      <c r="AL398" s="24">
        <f>IF(ROW()&lt;7,"",IF(OR(AJ398="",AJ395=""),"",IF(AJ395=0,"",(AJ398/AJ395)-1)))</f>
        <v/>
      </c>
      <c r="AM398" s="24">
        <f>IF(ROW()&lt;9,"",IF(OR(AJ398="",AJ393=""),"",IF(AJ393=0,"",(AJ398/AJ393)-1)))</f>
        <v/>
      </c>
      <c r="AN398" s="13">
        <f>IF(ROW()&lt;23,"",AVERAGE(AJ379:AJ398))</f>
        <v/>
      </c>
      <c r="AO398">
        <f>IF(OR(AJ398="",AN398=""),"",IF(AJ398&gt;AN398,"Bull","Bear"))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8">
        <f>IFERROR((M399/M398)-1,"")</f>
        <v/>
      </c>
      <c r="O399" s="24">
        <f>IF(OR(N399="",N398=""),"",IF(N398=0,"",(N399/N398)-1))</f>
        <v/>
      </c>
      <c r="P399" s="11">
        <f>IF(ROW()&lt;7,"",IF(OR(E399="",E396=""),"",IF(E396=0,"",(E399/E396)-1)))</f>
        <v/>
      </c>
      <c r="Q399" s="24">
        <f>IF(ROW()&lt;9,"",IF(OR(E399="",E394=""),"",IF(E394=0,"",(E399/E394)-1)))</f>
        <v/>
      </c>
      <c r="R399" s="24">
        <f>IF(ROW()&lt;7,"",IF(OR(G399="",G396=""),"",IF(G396=0,"",(G399/G396)-1)))</f>
        <v/>
      </c>
      <c r="S399" s="24">
        <f>IF(ROW()&lt;9,"",IF(OR(G399="",G394=""),"",IF(G394=0,"",(G399/G394)-1)))</f>
        <v/>
      </c>
      <c r="T399" s="24">
        <f>IF(ROW()&lt;7,"",IF(OR(L399="",L396=""),"",IF(L396=0,"",(L399/L396)-1)))</f>
        <v/>
      </c>
      <c r="U399" s="24">
        <f>IF(ROW()&lt;9,"",IF(OR(L399="",L394=""),"",IF(L394=0,"",(L399/L394)-1)))</f>
        <v/>
      </c>
      <c r="V399" s="24">
        <f>IF(ROW()&lt;7,"",IF(OR(N399="",N396=""),"",IF(N396=0,"",(N399/N396)-1)))</f>
        <v/>
      </c>
      <c r="W399" s="24">
        <f>IF(ROW()&lt;9,"",IF(OR(N399="",N394=""),"",IF(N394=0,"",(N399/N394)-1)))</f>
        <v/>
      </c>
      <c r="X399" s="24">
        <f>IF(OR(F399="",M399=""),"",F399-M399)</f>
        <v/>
      </c>
      <c r="Y399" s="24">
        <f>IF(OR(P399="",T399=""),"",P399-T399)</f>
        <v/>
      </c>
      <c r="Z399" s="24">
        <f>IF(OR(Q399="",U399=""),"",Q399-U399)</f>
        <v/>
      </c>
      <c r="AA399" s="24">
        <f>IF(OR(H399="",O399=""),"",H399-O399)</f>
        <v/>
      </c>
      <c r="AB399" s="24">
        <f>IF(OR(R399="",V399=""),"",R399-V399)</f>
        <v/>
      </c>
      <c r="AC399" s="24">
        <f>IF(OR(S399="",W399=""),"",S399-W399)</f>
        <v/>
      </c>
      <c r="AD399" s="13" t="n"/>
      <c r="AE399" s="24">
        <f>IF(OR(AD399="",AD398=""),"",IF(AD398=0,"",(AD399/AD398)-1))</f>
        <v/>
      </c>
      <c r="AF399" s="24">
        <f>IF(ROW()&lt;7,"",IF(OR(AD399="",AD396=""),"",IF(AD396=0,"",(AD399/AD396)-1)))</f>
        <v/>
      </c>
      <c r="AG399" s="24">
        <f>IF(ROW()&lt;9,"",IF(OR(AD399="",AD394=""),"",IF(AD394=0,"",(AD399/AD394)-1)))</f>
        <v/>
      </c>
      <c r="AH399" s="13">
        <f>IF(ROW()&lt;23,"",AVERAGE(AD380:AD399))</f>
        <v/>
      </c>
      <c r="AI399">
        <f>IF(OR(AD399="",AH399=""),"",IF(AD399&gt;AH399,"Bull","Bear"))</f>
        <v/>
      </c>
      <c r="AJ399" s="13" t="n"/>
      <c r="AK399" s="24">
        <f>IF(OR(AJ399="",AJ398=""),"",IF(AJ398=0,"",(AJ399/AJ398)-1))</f>
        <v/>
      </c>
      <c r="AL399" s="24">
        <f>IF(ROW()&lt;7,"",IF(OR(AJ399="",AJ396=""),"",IF(AJ396=0,"",(AJ399/AJ396)-1)))</f>
        <v/>
      </c>
      <c r="AM399" s="24">
        <f>IF(ROW()&lt;9,"",IF(OR(AJ399="",AJ394=""),"",IF(AJ394=0,"",(AJ399/AJ394)-1)))</f>
        <v/>
      </c>
      <c r="AN399" s="13">
        <f>IF(ROW()&lt;23,"",AVERAGE(AJ380:AJ399))</f>
        <v/>
      </c>
      <c r="AO399">
        <f>IF(OR(AJ399="",AN399=""),"",IF(AJ399&gt;AN399,"Bull","Bear"))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8">
        <f>IFERROR((M400/M399)-1,"")</f>
        <v/>
      </c>
      <c r="O400" s="24">
        <f>IF(OR(N400="",N399=""),"",IF(N399=0,"",(N400/N399)-1))</f>
        <v/>
      </c>
      <c r="P400" s="11">
        <f>IF(ROW()&lt;7,"",IF(OR(E400="",E397=""),"",IF(E397=0,"",(E400/E397)-1)))</f>
        <v/>
      </c>
      <c r="Q400" s="24">
        <f>IF(ROW()&lt;9,"",IF(OR(E400="",E395=""),"",IF(E395=0,"",(E400/E395)-1)))</f>
        <v/>
      </c>
      <c r="R400" s="24">
        <f>IF(ROW()&lt;7,"",IF(OR(G400="",G397=""),"",IF(G397=0,"",(G400/G397)-1)))</f>
        <v/>
      </c>
      <c r="S400" s="24">
        <f>IF(ROW()&lt;9,"",IF(OR(G400="",G395=""),"",IF(G395=0,"",(G400/G395)-1)))</f>
        <v/>
      </c>
      <c r="T400" s="24">
        <f>IF(ROW()&lt;7,"",IF(OR(L400="",L397=""),"",IF(L397=0,"",(L400/L397)-1)))</f>
        <v/>
      </c>
      <c r="U400" s="24">
        <f>IF(ROW()&lt;9,"",IF(OR(L400="",L395=""),"",IF(L395=0,"",(L400/L395)-1)))</f>
        <v/>
      </c>
      <c r="V400" s="24">
        <f>IF(ROW()&lt;7,"",IF(OR(N400="",N397=""),"",IF(N397=0,"",(N400/N397)-1)))</f>
        <v/>
      </c>
      <c r="W400" s="24">
        <f>IF(ROW()&lt;9,"",IF(OR(N400="",N395=""),"",IF(N395=0,"",(N400/N395)-1)))</f>
        <v/>
      </c>
      <c r="X400" s="24">
        <f>IF(OR(F400="",M400=""),"",F400-M400)</f>
        <v/>
      </c>
      <c r="Y400" s="24">
        <f>IF(OR(P400="",T400=""),"",P400-T400)</f>
        <v/>
      </c>
      <c r="Z400" s="24">
        <f>IF(OR(Q400="",U400=""),"",Q400-U400)</f>
        <v/>
      </c>
      <c r="AA400" s="24">
        <f>IF(OR(H400="",O400=""),"",H400-O400)</f>
        <v/>
      </c>
      <c r="AB400" s="24">
        <f>IF(OR(R400="",V400=""),"",R400-V400)</f>
        <v/>
      </c>
      <c r="AC400" s="24">
        <f>IF(OR(S400="",W400=""),"",S400-W400)</f>
        <v/>
      </c>
      <c r="AD400" s="13" t="n"/>
      <c r="AE400" s="24">
        <f>IF(OR(AD400="",AD399=""),"",IF(AD399=0,"",(AD400/AD399)-1))</f>
        <v/>
      </c>
      <c r="AF400" s="24">
        <f>IF(ROW()&lt;7,"",IF(OR(AD400="",AD397=""),"",IF(AD397=0,"",(AD400/AD397)-1)))</f>
        <v/>
      </c>
      <c r="AG400" s="24">
        <f>IF(ROW()&lt;9,"",IF(OR(AD400="",AD395=""),"",IF(AD395=0,"",(AD400/AD395)-1)))</f>
        <v/>
      </c>
      <c r="AH400" s="13">
        <f>IF(ROW()&lt;23,"",AVERAGE(AD381:AD400))</f>
        <v/>
      </c>
      <c r="AI400">
        <f>IF(OR(AD400="",AH400=""),"",IF(AD400&gt;AH400,"Bull","Bear"))</f>
        <v/>
      </c>
      <c r="AJ400" s="13" t="n"/>
      <c r="AK400" s="24">
        <f>IF(OR(AJ400="",AJ399=""),"",IF(AJ399=0,"",(AJ400/AJ399)-1))</f>
        <v/>
      </c>
      <c r="AL400" s="24">
        <f>IF(ROW()&lt;7,"",IF(OR(AJ400="",AJ397=""),"",IF(AJ397=0,"",(AJ400/AJ397)-1)))</f>
        <v/>
      </c>
      <c r="AM400" s="24">
        <f>IF(ROW()&lt;9,"",IF(OR(AJ400="",AJ395=""),"",IF(AJ395=0,"",(AJ400/AJ395)-1)))</f>
        <v/>
      </c>
      <c r="AN400" s="13">
        <f>IF(ROW()&lt;23,"",AVERAGE(AJ381:AJ400))</f>
        <v/>
      </c>
      <c r="AO400">
        <f>IF(OR(AJ400="",AN400=""),"",IF(AJ400&gt;AN400,"Bull","Bear"))</f>
        <v/>
      </c>
    </row>
  </sheetData>
  <mergeCells count="6">
    <mergeCell ref="B2:G2"/>
    <mergeCell ref="AD2:AO2"/>
    <mergeCell ref="A2"/>
    <mergeCell ref="P2:W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1D %</t>
        </is>
      </c>
      <c r="B4" s="10">
        <f>IFERROR(LOOKUP(2,1/(Daily_Data!F:F&lt;&gt;""),Daily_Data!F:F),"")</f>
        <v/>
      </c>
    </row>
    <row r="5">
      <c r="A5" s="14" t="inlineStr">
        <is>
          <t>SOXS 1D %</t>
        </is>
      </c>
      <c r="B5" s="10">
        <f>IFERROR(LOOKUP(2,1/(Daily_Data!H:H&lt;&gt;""),Daily_Data!H:H),"")</f>
        <v/>
      </c>
    </row>
    <row r="6">
      <c r="A6" s="14" t="inlineStr">
        <is>
          <t>TQQQ 1D %</t>
        </is>
      </c>
      <c r="B6" s="10">
        <f>IFERROR(LOOKUP(2,1/(Daily_Data!M:M&lt;&gt;""),Daily_Data!M:M),"")</f>
        <v/>
      </c>
    </row>
    <row r="7">
      <c r="A7" s="14" t="inlineStr">
        <is>
          <t>SQQQ 1D %</t>
        </is>
      </c>
      <c r="B7" s="10">
        <f>IFERROR(LOOKUP(2,1/(Daily_Data!O:O&lt;&gt;""),Daily_Data!O:O),"")</f>
        <v/>
      </c>
    </row>
    <row r="8">
      <c r="A8" s="16" t="n"/>
      <c r="B8" s="17" t="n"/>
    </row>
    <row r="9">
      <c r="A9" s="14" t="inlineStr">
        <is>
          <t>SOXL 3D %</t>
        </is>
      </c>
      <c r="B9" s="10">
        <f>IFERROR(LOOKUP(2,1/(Daily_Data!P:P&lt;&gt;""),Daily_Data!P:P),"")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IFERROR(LOOKUP(2,1/(Daily_Data!T:T&lt;&gt;""),Daily_Data!T:T),"")</f>
        <v/>
      </c>
    </row>
    <row r="12">
      <c r="A12" s="14" t="inlineStr">
        <is>
          <t>SQQQ 3D %</t>
        </is>
      </c>
      <c r="B12" s="10">
        <f>IFERROR(LOOKUP(2,1/(Daily_Data!V:V&lt;&gt;""),Daily_Data!V:V),"")</f>
        <v/>
      </c>
    </row>
    <row r="14">
      <c r="A14" s="29" t="inlineStr">
        <is>
          <t>SOXL 5D %</t>
        </is>
      </c>
      <c r="B14" s="30">
        <f>IFERROR(LOOKUP(2,1/(Daily_Data!Q:Q&lt;&gt;""),Daily_Data!Q:Q),"")</f>
        <v/>
      </c>
    </row>
    <row r="15">
      <c r="A15" s="29" t="inlineStr">
        <is>
          <t>SOXS 5D %</t>
        </is>
      </c>
      <c r="B15" s="30">
        <f>IFERROR(LOOKUP(2,1/(Daily_Data!S:S&lt;&gt;""),Daily_Data!S:S),"")</f>
        <v/>
      </c>
    </row>
    <row r="16">
      <c r="A16" s="29" t="inlineStr">
        <is>
          <t>TQQQ 5D %</t>
        </is>
      </c>
      <c r="B16" s="30">
        <f>IFERROR(LOOKUP(2,1/(Daily_Data!U:U&lt;&gt;""),Daily_Data!U:U),"")</f>
        <v/>
      </c>
    </row>
    <row r="17">
      <c r="A17" s="29" t="inlineStr">
        <is>
          <t>SQQQ 5D %</t>
        </is>
      </c>
      <c r="B17" s="30">
        <f>IFERROR(LOOKUP(2,1/(Daily_Data!W:W&lt;&gt;""),Daily_Data!W:W),"")</f>
        <v/>
      </c>
    </row>
    <row r="19">
      <c r="A19" s="29" t="inlineStr">
        <is>
          <t>Daily Direction Score</t>
        </is>
      </c>
      <c r="B19" s="31">
        <f>IF(OR(B6="",B7=""),"",IF(AND(B6&gt;0,B7&lt;0),1,IF(AND(B6&lt;0,B7&gt;0),-1,0)))</f>
        <v/>
      </c>
    </row>
    <row r="20">
      <c r="A20" s="29" t="inlineStr">
        <is>
          <t>3D Direction Score</t>
        </is>
      </c>
      <c r="B20" s="31">
        <f>IF(OR(B11="",B12=""),"",IF(AND(B11&gt;0,B12&lt;0),1,IF(AND(B11&lt;0,B12&gt;0),-1,0)))</f>
        <v/>
      </c>
    </row>
    <row r="21">
      <c r="A21" s="29" t="inlineStr">
        <is>
          <t>5D Direction Score</t>
        </is>
      </c>
      <c r="B21" s="31">
        <f>IF(OR(B16="",B17=""),"",IF(AND(B16&gt;0,B17&lt;0),1,IF(AND(B16&lt;0,B17&gt;0),-1,0)))</f>
        <v/>
      </c>
    </row>
    <row r="22">
      <c r="A22" s="29" t="inlineStr">
        <is>
          <t>Total Direction Score</t>
        </is>
      </c>
      <c r="B22" s="31">
        <f>SUM(N(B19),N(B20),N(B21))</f>
        <v/>
      </c>
    </row>
    <row r="23">
      <c r="A23" s="29" t="inlineStr">
        <is>
          <t>Market Direction</t>
        </is>
      </c>
      <c r="B23" s="32">
        <f>IF(COUNTA(B19:B21)=0,"Need More Data",IF(B22&gt;0,"Bull",IF(B22&lt;0,"Bear","Mixed")))</f>
        <v/>
      </c>
    </row>
    <row r="24">
      <c r="A24" s="29" t="inlineStr">
        <is>
          <t>Bull Leadership Score</t>
        </is>
      </c>
      <c r="B24" s="33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9" t="inlineStr">
        <is>
          <t>Bear Leadership Score</t>
        </is>
      </c>
      <c r="B25" s="33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9" t="inlineStr">
        <is>
          <t>Sector Leadership</t>
        </is>
      </c>
      <c r="B26" s="32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9" t="inlineStr">
        <is>
          <t>Trade ETF</t>
        </is>
      </c>
      <c r="B27" s="32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9" t="inlineStr">
        <is>
          <t>Confidence</t>
        </is>
      </c>
      <c r="B28" s="32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9" t="inlineStr">
        <is>
          <t>Reason</t>
        </is>
      </c>
      <c r="B29" s="32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22" t="inlineStr">
        <is>
          <t>v5 adds 3-day and 5-day momentum plus leadership spreads so the Signal tab can rank the best ETF more intelligently.</t>
        </is>
      </c>
    </row>
    <row r="33">
      <c r="A33" s="29" t="inlineStr">
        <is>
          <t>QQQ Trend</t>
        </is>
      </c>
      <c r="B33" s="32">
        <f>IFERROR(LOOKUP(2,1/(Daily_Data!AI:AI&lt;&gt;""),Daily_Data!AI:AI),"")</f>
        <v/>
      </c>
    </row>
    <row r="34">
      <c r="A34" s="29" t="inlineStr">
        <is>
          <t>SMH Trend</t>
        </is>
      </c>
      <c r="B34" s="32">
        <f>IFERROR(LOOKUP(2,1/(Daily_Data!AO:AO&lt;&gt;""),Daily_Data!AO:AO),"")</f>
        <v/>
      </c>
    </row>
    <row r="35">
      <c r="A35" s="29" t="inlineStr">
        <is>
          <t>Market Filter</t>
        </is>
      </c>
      <c r="B35" s="32">
        <f>IF(OR(B33="",B34=""),"Need More Data",IF(AND(B33="Bull",B34="Bull"),"Bull Allowed",IF(AND(B33="Bear",B34="Bear"),"Bear Allowed","Mixed / Wait")))</f>
        <v/>
      </c>
    </row>
    <row r="36">
      <c r="A36" s="29" t="inlineStr">
        <is>
          <t>Trade ETF v6</t>
        </is>
      </c>
      <c r="B36" s="32">
        <f>IF(B35="Bull Allowed",IF(B30&gt;0,"SOXL",IF(B30&lt;0,"TQQQ","WAIT")),IF(B35="Bear Allowed",IF(B31&gt;0,"SOXS",IF(B31&lt;0,"SQQQ","WAIT")),"WAIT"))</f>
        <v/>
      </c>
    </row>
    <row r="37">
      <c r="A37" s="29" t="inlineStr">
        <is>
          <t>Confidence v6</t>
        </is>
      </c>
      <c r="B37" s="32">
        <f>IF(B36="WAIT","Low",IF(B35="Bull Allowed",IF(ABS(B30)&gt;=2,"Strong",IF(ABS(B30)&gt;=1,"Moderate","Low")),IF(B35="Bear Allowed",IF(ABS(B31)&gt;=2,"Strong",IF(ABS(B31)&gt;=1,"Moderate","Low")),"Low")))</f>
        <v/>
      </c>
    </row>
    <row r="38">
      <c r="A38" s="29" t="inlineStr">
        <is>
          <t>Reason v6</t>
        </is>
      </c>
      <c r="B38" s="32">
        <f>IF(B36="WAIT",IF(B35="Mixed / Wait","QQQ and SMH trend filters disagree","Need more signal ETF history"),IF(B35="Bull Allowed",IF(B30&gt;0,"QQQ and SMH bullish; semiconductors leading","QQQ and SMH bullish; tech leading"),IF(B31&gt;0,"QQQ and SMH bearish; semiconductors weakest","QQQ and SMH bearish; tech weakest")))</f>
        <v/>
      </c>
    </row>
    <row r="39">
      <c r="A39" s="29" t="inlineStr">
        <is>
          <t>Paper-Trade Ready</t>
        </is>
      </c>
      <c r="B39" s="32">
        <f>IF(B36="WAIT","Observe Only","Ready for paper-trade tracking")</f>
        <v/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28" customWidth="1" min="15" max="15"/>
  </cols>
  <sheetData>
    <row r="1">
      <c r="A1" s="36" t="inlineStr">
        <is>
          <t>Paper Trade Tracker</t>
        </is>
      </c>
    </row>
    <row r="2">
      <c r="A2" s="37" t="inlineStr">
        <is>
          <t>Date</t>
        </is>
      </c>
      <c r="B2" s="37" t="inlineStr">
        <is>
          <t>Signal ETF 1</t>
        </is>
      </c>
      <c r="C2" s="37" t="inlineStr">
        <is>
          <t>Signal ETF 2</t>
        </is>
      </c>
      <c r="D2" s="37" t="inlineStr">
        <is>
          <t>Action</t>
        </is>
      </c>
      <c r="E2" s="37" t="inlineStr">
        <is>
          <t>Entry Price 1</t>
        </is>
      </c>
      <c r="F2" s="37" t="inlineStr">
        <is>
          <t>Entry Price 2</t>
        </is>
      </c>
      <c r="G2" s="37" t="inlineStr">
        <is>
          <t>Exit Price 1</t>
        </is>
      </c>
      <c r="H2" s="37" t="inlineStr">
        <is>
          <t>Exit Price 2</t>
        </is>
      </c>
      <c r="I2" s="37" t="inlineStr">
        <is>
          <t>Allocation 1 ($)</t>
        </is>
      </c>
      <c r="J2" s="37" t="inlineStr">
        <is>
          <t>Allocation 2 ($)</t>
        </is>
      </c>
      <c r="K2" s="37" t="inlineStr">
        <is>
          <t>P&amp;L 1 ($)</t>
        </is>
      </c>
      <c r="L2" s="37" t="inlineStr">
        <is>
          <t>P&amp;L 2 ($)</t>
        </is>
      </c>
      <c r="M2" s="37" t="inlineStr">
        <is>
          <t>Net P&amp;L ($)</t>
        </is>
      </c>
      <c r="N2" s="37" t="inlineStr">
        <is>
          <t>Equity Curve ($)</t>
        </is>
      </c>
      <c r="O2" s="37" t="inlineStr">
        <is>
          <t>Notes</t>
        </is>
      </c>
    </row>
    <row r="3">
      <c r="A3" s="12" t="n"/>
      <c r="E3" s="20" t="n"/>
      <c r="F3" s="20" t="n"/>
      <c r="G3" s="20" t="n"/>
      <c r="H3" s="20" t="n"/>
      <c r="I3" s="20" t="n"/>
      <c r="J3" s="20" t="n"/>
      <c r="K3" s="20">
        <f>IF(OR(E3="",G3="",I3=""),"",((G3-E3)/E3)*I3)</f>
        <v/>
      </c>
      <c r="L3" s="20">
        <f>IF(OR(F3="",H3="",J3=""),"",((H3-F3)/F3)*J3)</f>
        <v/>
      </c>
      <c r="M3" s="20">
        <f>SUM(N(K3),N(L3))</f>
        <v/>
      </c>
      <c r="N3" s="20">
        <f>10000+M3</f>
        <v/>
      </c>
    </row>
    <row r="4">
      <c r="A4" s="12" t="n"/>
      <c r="E4" s="20" t="n"/>
      <c r="F4" s="20" t="n"/>
      <c r="G4" s="20" t="n"/>
      <c r="H4" s="20" t="n"/>
      <c r="I4" s="20" t="n"/>
      <c r="J4" s="20" t="n"/>
      <c r="K4" s="20">
        <f>IF(OR(E4="",G4="",I4=""),"",((G4-E4)/E4)*I4)</f>
        <v/>
      </c>
      <c r="L4" s="20">
        <f>IF(OR(F4="",H4="",J4=""),"",((H4-F4)/F4)*J4)</f>
        <v/>
      </c>
      <c r="M4" s="20">
        <f>SUM(N(K4),N(L4))</f>
        <v/>
      </c>
      <c r="N4" s="20">
        <f>N3+M4</f>
        <v/>
      </c>
    </row>
    <row r="5">
      <c r="A5" s="12" t="n"/>
      <c r="E5" s="20" t="n"/>
      <c r="F5" s="20" t="n"/>
      <c r="G5" s="20" t="n"/>
      <c r="H5" s="20" t="n"/>
      <c r="I5" s="20" t="n"/>
      <c r="J5" s="20" t="n"/>
      <c r="K5" s="20">
        <f>IF(OR(E5="",G5="",I5=""),"",((G5-E5)/E5)*I5)</f>
        <v/>
      </c>
      <c r="L5" s="20">
        <f>IF(OR(F5="",H5="",J5=""),"",((H5-F5)/F5)*J5)</f>
        <v/>
      </c>
      <c r="M5" s="20">
        <f>SUM(N(K5),N(L5))</f>
        <v/>
      </c>
      <c r="N5" s="20">
        <f>N4+M5</f>
        <v/>
      </c>
    </row>
    <row r="6">
      <c r="A6" s="12" t="n"/>
      <c r="E6" s="20" t="n"/>
      <c r="F6" s="20" t="n"/>
      <c r="G6" s="20" t="n"/>
      <c r="H6" s="20" t="n"/>
      <c r="I6" s="20" t="n"/>
      <c r="J6" s="20" t="n"/>
      <c r="K6" s="20">
        <f>IF(OR(E6="",G6="",I6=""),"",((G6-E6)/E6)*I6)</f>
        <v/>
      </c>
      <c r="L6" s="20">
        <f>IF(OR(F6="",H6="",J6=""),"",((H6-F6)/F6)*J6)</f>
        <v/>
      </c>
      <c r="M6" s="20">
        <f>SUM(N(K6),N(L6))</f>
        <v/>
      </c>
      <c r="N6" s="20">
        <f>N5+M6</f>
        <v/>
      </c>
    </row>
    <row r="7">
      <c r="A7" s="12" t="n"/>
      <c r="E7" s="20" t="n"/>
      <c r="F7" s="20" t="n"/>
      <c r="G7" s="20" t="n"/>
      <c r="H7" s="20" t="n"/>
      <c r="I7" s="20" t="n"/>
      <c r="J7" s="20" t="n"/>
      <c r="K7" s="20">
        <f>IF(OR(E7="",G7="",I7=""),"",((G7-E7)/E7)*I7)</f>
        <v/>
      </c>
      <c r="L7" s="20">
        <f>IF(OR(F7="",H7="",J7=""),"",((H7-F7)/F7)*J7)</f>
        <v/>
      </c>
      <c r="M7" s="20">
        <f>SUM(N(K7),N(L7))</f>
        <v/>
      </c>
      <c r="N7" s="20">
        <f>N6+M7</f>
        <v/>
      </c>
    </row>
    <row r="8">
      <c r="A8" s="12" t="n"/>
      <c r="E8" s="20" t="n"/>
      <c r="F8" s="20" t="n"/>
      <c r="G8" s="20" t="n"/>
      <c r="H8" s="20" t="n"/>
      <c r="I8" s="20" t="n"/>
      <c r="J8" s="20" t="n"/>
      <c r="K8" s="20">
        <f>IF(OR(E8="",G8="",I8=""),"",((G8-E8)/E8)*I8)</f>
        <v/>
      </c>
      <c r="L8" s="20">
        <f>IF(OR(F8="",H8="",J8=""),"",((H8-F8)/F8)*J8)</f>
        <v/>
      </c>
      <c r="M8" s="20">
        <f>SUM(N(K8),N(L8))</f>
        <v/>
      </c>
      <c r="N8" s="20">
        <f>N7+M8</f>
        <v/>
      </c>
    </row>
    <row r="9">
      <c r="A9" s="12" t="n"/>
      <c r="E9" s="20" t="n"/>
      <c r="F9" s="20" t="n"/>
      <c r="G9" s="20" t="n"/>
      <c r="H9" s="20" t="n"/>
      <c r="I9" s="20" t="n"/>
      <c r="J9" s="20" t="n"/>
      <c r="K9" s="20">
        <f>IF(OR(E9="",G9="",I9=""),"",((G9-E9)/E9)*I9)</f>
        <v/>
      </c>
      <c r="L9" s="20">
        <f>IF(OR(F9="",H9="",J9=""),"",((H9-F9)/F9)*J9)</f>
        <v/>
      </c>
      <c r="M9" s="20">
        <f>SUM(N(K9),N(L9))</f>
        <v/>
      </c>
      <c r="N9" s="20">
        <f>N8+M9</f>
        <v/>
      </c>
    </row>
    <row r="10">
      <c r="A10" s="12" t="n"/>
      <c r="E10" s="20" t="n"/>
      <c r="F10" s="20" t="n"/>
      <c r="G10" s="20" t="n"/>
      <c r="H10" s="20" t="n"/>
      <c r="I10" s="20" t="n"/>
      <c r="J10" s="20" t="n"/>
      <c r="K10" s="20">
        <f>IF(OR(E10="",G10="",I10=""),"",((G10-E10)/E10)*I10)</f>
        <v/>
      </c>
      <c r="L10" s="20">
        <f>IF(OR(F10="",H10="",J10=""),"",((H10-F10)/F10)*J10)</f>
        <v/>
      </c>
      <c r="M10" s="20">
        <f>SUM(N(K10),N(L10))</f>
        <v/>
      </c>
      <c r="N10" s="20">
        <f>N9+M10</f>
        <v/>
      </c>
    </row>
    <row r="11">
      <c r="A11" s="12" t="n"/>
      <c r="E11" s="20" t="n"/>
      <c r="F11" s="20" t="n"/>
      <c r="G11" s="20" t="n"/>
      <c r="H11" s="20" t="n"/>
      <c r="I11" s="20" t="n"/>
      <c r="J11" s="20" t="n"/>
      <c r="K11" s="20">
        <f>IF(OR(E11="",G11="",I11=""),"",((G11-E11)/E11)*I11)</f>
        <v/>
      </c>
      <c r="L11" s="20">
        <f>IF(OR(F11="",H11="",J11=""),"",((H11-F11)/F11)*J11)</f>
        <v/>
      </c>
      <c r="M11" s="20">
        <f>SUM(N(K11),N(L11))</f>
        <v/>
      </c>
      <c r="N11" s="20">
        <f>N10+M11</f>
        <v/>
      </c>
    </row>
    <row r="12">
      <c r="A12" s="12" t="n"/>
      <c r="E12" s="20" t="n"/>
      <c r="F12" s="20" t="n"/>
      <c r="G12" s="20" t="n"/>
      <c r="H12" s="20" t="n"/>
      <c r="I12" s="20" t="n"/>
      <c r="J12" s="20" t="n"/>
      <c r="K12" s="20">
        <f>IF(OR(E12="",G12="",I12=""),"",((G12-E12)/E12)*I12)</f>
        <v/>
      </c>
      <c r="L12" s="20">
        <f>IF(OR(F12="",H12="",J12=""),"",((H12-F12)/F12)*J12)</f>
        <v/>
      </c>
      <c r="M12" s="20">
        <f>SUM(N(K12),N(L12))</f>
        <v/>
      </c>
      <c r="N12" s="20">
        <f>N11+M12</f>
        <v/>
      </c>
    </row>
    <row r="13">
      <c r="A13" s="12" t="n"/>
      <c r="E13" s="20" t="n"/>
      <c r="F13" s="20" t="n"/>
      <c r="G13" s="20" t="n"/>
      <c r="H13" s="20" t="n"/>
      <c r="I13" s="20" t="n"/>
      <c r="J13" s="20" t="n"/>
      <c r="K13" s="20">
        <f>IF(OR(E13="",G13="",I13=""),"",((G13-E13)/E13)*I13)</f>
        <v/>
      </c>
      <c r="L13" s="20">
        <f>IF(OR(F13="",H13="",J13=""),"",((H13-F13)/F13)*J13)</f>
        <v/>
      </c>
      <c r="M13" s="20">
        <f>SUM(N(K13),N(L13))</f>
        <v/>
      </c>
      <c r="N13" s="20">
        <f>N12+M13</f>
        <v/>
      </c>
    </row>
    <row r="14">
      <c r="A14" s="12" t="n"/>
      <c r="E14" s="20" t="n"/>
      <c r="F14" s="20" t="n"/>
      <c r="G14" s="20" t="n"/>
      <c r="H14" s="20" t="n"/>
      <c r="I14" s="20" t="n"/>
      <c r="J14" s="20" t="n"/>
      <c r="K14" s="20">
        <f>IF(OR(E14="",G14="",I14=""),"",((G14-E14)/E14)*I14)</f>
        <v/>
      </c>
      <c r="L14" s="20">
        <f>IF(OR(F14="",H14="",J14=""),"",((H14-F14)/F14)*J14)</f>
        <v/>
      </c>
      <c r="M14" s="20">
        <f>SUM(N(K14),N(L14))</f>
        <v/>
      </c>
      <c r="N14" s="20">
        <f>N13+M14</f>
        <v/>
      </c>
    </row>
    <row r="15">
      <c r="A15" s="12" t="n"/>
      <c r="E15" s="20" t="n"/>
      <c r="F15" s="20" t="n"/>
      <c r="G15" s="20" t="n"/>
      <c r="H15" s="20" t="n"/>
      <c r="I15" s="20" t="n"/>
      <c r="J15" s="20" t="n"/>
      <c r="K15" s="20">
        <f>IF(OR(E15="",G15="",I15=""),"",((G15-E15)/E15)*I15)</f>
        <v/>
      </c>
      <c r="L15" s="20">
        <f>IF(OR(F15="",H15="",J15=""),"",((H15-F15)/F15)*J15)</f>
        <v/>
      </c>
      <c r="M15" s="20">
        <f>SUM(N(K15),N(L15))</f>
        <v/>
      </c>
      <c r="N15" s="20">
        <f>N14+M15</f>
        <v/>
      </c>
    </row>
    <row r="16">
      <c r="A16" s="12" t="n"/>
      <c r="E16" s="20" t="n"/>
      <c r="F16" s="20" t="n"/>
      <c r="G16" s="20" t="n"/>
      <c r="H16" s="20" t="n"/>
      <c r="I16" s="20" t="n"/>
      <c r="J16" s="20" t="n"/>
      <c r="K16" s="20">
        <f>IF(OR(E16="",G16="",I16=""),"",((G16-E16)/E16)*I16)</f>
        <v/>
      </c>
      <c r="L16" s="20">
        <f>IF(OR(F16="",H16="",J16=""),"",((H16-F16)/F16)*J16)</f>
        <v/>
      </c>
      <c r="M16" s="20">
        <f>SUM(N(K16),N(L16))</f>
        <v/>
      </c>
      <c r="N16" s="20">
        <f>N15+M16</f>
        <v/>
      </c>
    </row>
    <row r="17">
      <c r="A17" s="12" t="n"/>
      <c r="E17" s="20" t="n"/>
      <c r="F17" s="20" t="n"/>
      <c r="G17" s="20" t="n"/>
      <c r="H17" s="20" t="n"/>
      <c r="I17" s="20" t="n"/>
      <c r="J17" s="20" t="n"/>
      <c r="K17" s="20">
        <f>IF(OR(E17="",G17="",I17=""),"",((G17-E17)/E17)*I17)</f>
        <v/>
      </c>
      <c r="L17" s="20">
        <f>IF(OR(F17="",H17="",J17=""),"",((H17-F17)/F17)*J17)</f>
        <v/>
      </c>
      <c r="M17" s="20">
        <f>SUM(N(K17),N(L17))</f>
        <v/>
      </c>
      <c r="N17" s="20">
        <f>N16+M17</f>
        <v/>
      </c>
    </row>
    <row r="18">
      <c r="A18" s="12" t="n"/>
      <c r="E18" s="20" t="n"/>
      <c r="F18" s="20" t="n"/>
      <c r="G18" s="20" t="n"/>
      <c r="H18" s="20" t="n"/>
      <c r="I18" s="20" t="n"/>
      <c r="J18" s="20" t="n"/>
      <c r="K18" s="20">
        <f>IF(OR(E18="",G18="",I18=""),"",((G18-E18)/E18)*I18)</f>
        <v/>
      </c>
      <c r="L18" s="20">
        <f>IF(OR(F18="",H18="",J18=""),"",((H18-F18)/F18)*J18)</f>
        <v/>
      </c>
      <c r="M18" s="20">
        <f>SUM(N(K18),N(L18))</f>
        <v/>
      </c>
      <c r="N18" s="20">
        <f>N17+M18</f>
        <v/>
      </c>
    </row>
    <row r="19">
      <c r="A19" s="12" t="n"/>
      <c r="E19" s="20" t="n"/>
      <c r="F19" s="20" t="n"/>
      <c r="G19" s="20" t="n"/>
      <c r="H19" s="20" t="n"/>
      <c r="I19" s="20" t="n"/>
      <c r="J19" s="20" t="n"/>
      <c r="K19" s="20">
        <f>IF(OR(E19="",G19="",I19=""),"",((G19-E19)/E19)*I19)</f>
        <v/>
      </c>
      <c r="L19" s="20">
        <f>IF(OR(F19="",H19="",J19=""),"",((H19-F19)/F19)*J19)</f>
        <v/>
      </c>
      <c r="M19" s="20">
        <f>SUM(N(K19),N(L19))</f>
        <v/>
      </c>
      <c r="N19" s="20">
        <f>N18+M19</f>
        <v/>
      </c>
    </row>
    <row r="20">
      <c r="A20" s="12" t="n"/>
      <c r="E20" s="20" t="n"/>
      <c r="F20" s="20" t="n"/>
      <c r="G20" s="20" t="n"/>
      <c r="H20" s="20" t="n"/>
      <c r="I20" s="20" t="n"/>
      <c r="J20" s="20" t="n"/>
      <c r="K20" s="20">
        <f>IF(OR(E20="",G20="",I20=""),"",((G20-E20)/E20)*I20)</f>
        <v/>
      </c>
      <c r="L20" s="20">
        <f>IF(OR(F20="",H20="",J20=""),"",((H20-F20)/F20)*J20)</f>
        <v/>
      </c>
      <c r="M20" s="20">
        <f>SUM(N(K20),N(L20))</f>
        <v/>
      </c>
      <c r="N20" s="20">
        <f>N19+M20</f>
        <v/>
      </c>
    </row>
    <row r="21">
      <c r="A21" s="12" t="n"/>
      <c r="E21" s="20" t="n"/>
      <c r="F21" s="20" t="n"/>
      <c r="G21" s="20" t="n"/>
      <c r="H21" s="20" t="n"/>
      <c r="I21" s="20" t="n"/>
      <c r="J21" s="20" t="n"/>
      <c r="K21" s="20">
        <f>IF(OR(E21="",G21="",I21=""),"",((G21-E21)/E21)*I21)</f>
        <v/>
      </c>
      <c r="L21" s="20">
        <f>IF(OR(F21="",H21="",J21=""),"",((H21-F21)/F21)*J21)</f>
        <v/>
      </c>
      <c r="M21" s="20">
        <f>SUM(N(K21),N(L21))</f>
        <v/>
      </c>
      <c r="N21" s="20">
        <f>N20+M21</f>
        <v/>
      </c>
    </row>
    <row r="22">
      <c r="A22" s="12" t="n"/>
      <c r="E22" s="20" t="n"/>
      <c r="F22" s="20" t="n"/>
      <c r="G22" s="20" t="n"/>
      <c r="H22" s="20" t="n"/>
      <c r="I22" s="20" t="n"/>
      <c r="J22" s="20" t="n"/>
      <c r="K22" s="20">
        <f>IF(OR(E22="",G22="",I22=""),"",((G22-E22)/E22)*I22)</f>
        <v/>
      </c>
      <c r="L22" s="20">
        <f>IF(OR(F22="",H22="",J22=""),"",((H22-F22)/F22)*J22)</f>
        <v/>
      </c>
      <c r="M22" s="20">
        <f>SUM(N(K22),N(L22))</f>
        <v/>
      </c>
      <c r="N22" s="20">
        <f>N21+M22</f>
        <v/>
      </c>
    </row>
    <row r="23">
      <c r="A23" s="12" t="n"/>
      <c r="E23" s="20" t="n"/>
      <c r="F23" s="20" t="n"/>
      <c r="G23" s="20" t="n"/>
      <c r="H23" s="20" t="n"/>
      <c r="I23" s="20" t="n"/>
      <c r="J23" s="20" t="n"/>
      <c r="K23" s="20">
        <f>IF(OR(E23="",G23="",I23=""),"",((G23-E23)/E23)*I23)</f>
        <v/>
      </c>
      <c r="L23" s="20">
        <f>IF(OR(F23="",H23="",J23=""),"",((H23-F23)/F23)*J23)</f>
        <v/>
      </c>
      <c r="M23" s="20">
        <f>SUM(N(K23),N(L23))</f>
        <v/>
      </c>
      <c r="N23" s="20">
        <f>N22+M23</f>
        <v/>
      </c>
    </row>
    <row r="24">
      <c r="A24" s="12" t="n"/>
      <c r="E24" s="20" t="n"/>
      <c r="F24" s="20" t="n"/>
      <c r="G24" s="20" t="n"/>
      <c r="H24" s="20" t="n"/>
      <c r="I24" s="20" t="n"/>
      <c r="J24" s="20" t="n"/>
      <c r="K24" s="20">
        <f>IF(OR(E24="",G24="",I24=""),"",((G24-E24)/E24)*I24)</f>
        <v/>
      </c>
      <c r="L24" s="20">
        <f>IF(OR(F24="",H24="",J24=""),"",((H24-F24)/F24)*J24)</f>
        <v/>
      </c>
      <c r="M24" s="20">
        <f>SUM(N(K24),N(L24))</f>
        <v/>
      </c>
      <c r="N24" s="20">
        <f>N23+M24</f>
        <v/>
      </c>
    </row>
    <row r="25">
      <c r="A25" s="12" t="n"/>
      <c r="E25" s="20" t="n"/>
      <c r="F25" s="20" t="n"/>
      <c r="G25" s="20" t="n"/>
      <c r="H25" s="20" t="n"/>
      <c r="I25" s="20" t="n"/>
      <c r="J25" s="20" t="n"/>
      <c r="K25" s="20">
        <f>IF(OR(E25="",G25="",I25=""),"",((G25-E25)/E25)*I25)</f>
        <v/>
      </c>
      <c r="L25" s="20">
        <f>IF(OR(F25="",H25="",J25=""),"",((H25-F25)/F25)*J25)</f>
        <v/>
      </c>
      <c r="M25" s="20">
        <f>SUM(N(K25),N(L25))</f>
        <v/>
      </c>
      <c r="N25" s="20">
        <f>N24+M25</f>
        <v/>
      </c>
    </row>
    <row r="26">
      <c r="A26" s="12" t="n"/>
      <c r="E26" s="20" t="n"/>
      <c r="F26" s="20" t="n"/>
      <c r="G26" s="20" t="n"/>
      <c r="H26" s="20" t="n"/>
      <c r="I26" s="20" t="n"/>
      <c r="J26" s="20" t="n"/>
      <c r="K26" s="20">
        <f>IF(OR(E26="",G26="",I26=""),"",((G26-E26)/E26)*I26)</f>
        <v/>
      </c>
      <c r="L26" s="20">
        <f>IF(OR(F26="",H26="",J26=""),"",((H26-F26)/F26)*J26)</f>
        <v/>
      </c>
      <c r="M26" s="20">
        <f>SUM(N(K26),N(L26))</f>
        <v/>
      </c>
      <c r="N26" s="20">
        <f>N25+M26</f>
        <v/>
      </c>
    </row>
    <row r="27">
      <c r="A27" s="12" t="n"/>
      <c r="E27" s="20" t="n"/>
      <c r="F27" s="20" t="n"/>
      <c r="G27" s="20" t="n"/>
      <c r="H27" s="20" t="n"/>
      <c r="I27" s="20" t="n"/>
      <c r="J27" s="20" t="n"/>
      <c r="K27" s="20">
        <f>IF(OR(E27="",G27="",I27=""),"",((G27-E27)/E27)*I27)</f>
        <v/>
      </c>
      <c r="L27" s="20">
        <f>IF(OR(F27="",H27="",J27=""),"",((H27-F27)/F27)*J27)</f>
        <v/>
      </c>
      <c r="M27" s="20">
        <f>SUM(N(K27),N(L27))</f>
        <v/>
      </c>
      <c r="N27" s="20">
        <f>N26+M27</f>
        <v/>
      </c>
    </row>
    <row r="28">
      <c r="A28" s="12" t="n"/>
      <c r="E28" s="20" t="n"/>
      <c r="F28" s="20" t="n"/>
      <c r="G28" s="20" t="n"/>
      <c r="H28" s="20" t="n"/>
      <c r="I28" s="20" t="n"/>
      <c r="J28" s="20" t="n"/>
      <c r="K28" s="20">
        <f>IF(OR(E28="",G28="",I28=""),"",((G28-E28)/E28)*I28)</f>
        <v/>
      </c>
      <c r="L28" s="20">
        <f>IF(OR(F28="",H28="",J28=""),"",((H28-F28)/F28)*J28)</f>
        <v/>
      </c>
      <c r="M28" s="20">
        <f>SUM(N(K28),N(L28))</f>
        <v/>
      </c>
      <c r="N28" s="20">
        <f>N27+M28</f>
        <v/>
      </c>
    </row>
    <row r="29">
      <c r="A29" s="12" t="n"/>
      <c r="E29" s="20" t="n"/>
      <c r="F29" s="20" t="n"/>
      <c r="G29" s="20" t="n"/>
      <c r="H29" s="20" t="n"/>
      <c r="I29" s="20" t="n"/>
      <c r="J29" s="20" t="n"/>
      <c r="K29" s="20">
        <f>IF(OR(E29="",G29="",I29=""),"",((G29-E29)/E29)*I29)</f>
        <v/>
      </c>
      <c r="L29" s="20">
        <f>IF(OR(F29="",H29="",J29=""),"",((H29-F29)/F29)*J29)</f>
        <v/>
      </c>
      <c r="M29" s="20">
        <f>SUM(N(K29),N(L29))</f>
        <v/>
      </c>
      <c r="N29" s="20">
        <f>N28+M29</f>
        <v/>
      </c>
    </row>
    <row r="30">
      <c r="A30" s="12" t="n"/>
      <c r="E30" s="20" t="n"/>
      <c r="F30" s="20" t="n"/>
      <c r="G30" s="20" t="n"/>
      <c r="H30" s="20" t="n"/>
      <c r="I30" s="20" t="n"/>
      <c r="J30" s="20" t="n"/>
      <c r="K30" s="20">
        <f>IF(OR(E30="",G30="",I30=""),"",((G30-E30)/E30)*I30)</f>
        <v/>
      </c>
      <c r="L30" s="20">
        <f>IF(OR(F30="",H30="",J30=""),"",((H30-F30)/F30)*J30)</f>
        <v/>
      </c>
      <c r="M30" s="20">
        <f>SUM(N(K30),N(L30))</f>
        <v/>
      </c>
      <c r="N30" s="20">
        <f>N29+M30</f>
        <v/>
      </c>
    </row>
    <row r="31">
      <c r="A31" s="12" t="n"/>
      <c r="E31" s="20" t="n"/>
      <c r="F31" s="20" t="n"/>
      <c r="G31" s="20" t="n"/>
      <c r="H31" s="20" t="n"/>
      <c r="I31" s="20" t="n"/>
      <c r="J31" s="20" t="n"/>
      <c r="K31" s="20">
        <f>IF(OR(E31="",G31="",I31=""),"",((G31-E31)/E31)*I31)</f>
        <v/>
      </c>
      <c r="L31" s="20">
        <f>IF(OR(F31="",H31="",J31=""),"",((H31-F31)/F31)*J31)</f>
        <v/>
      </c>
      <c r="M31" s="20">
        <f>SUM(N(K31),N(L31))</f>
        <v/>
      </c>
      <c r="N31" s="20">
        <f>N30+M31</f>
        <v/>
      </c>
    </row>
    <row r="32">
      <c r="A32" s="12" t="n"/>
      <c r="E32" s="20" t="n"/>
      <c r="F32" s="20" t="n"/>
      <c r="G32" s="20" t="n"/>
      <c r="H32" s="20" t="n"/>
      <c r="I32" s="20" t="n"/>
      <c r="J32" s="20" t="n"/>
      <c r="K32" s="20">
        <f>IF(OR(E32="",G32="",I32=""),"",((G32-E32)/E32)*I32)</f>
        <v/>
      </c>
      <c r="L32" s="20">
        <f>IF(OR(F32="",H32="",J32=""),"",((H32-F32)/F32)*J32)</f>
        <v/>
      </c>
      <c r="M32" s="20">
        <f>SUM(N(K32),N(L32))</f>
        <v/>
      </c>
      <c r="N32" s="20">
        <f>N31+M32</f>
        <v/>
      </c>
    </row>
    <row r="33">
      <c r="A33" s="12" t="n"/>
      <c r="E33" s="20" t="n"/>
      <c r="F33" s="20" t="n"/>
      <c r="G33" s="20" t="n"/>
      <c r="H33" s="20" t="n"/>
      <c r="I33" s="20" t="n"/>
      <c r="J33" s="20" t="n"/>
      <c r="K33" s="20">
        <f>IF(OR(E33="",G33="",I33=""),"",((G33-E33)/E33)*I33)</f>
        <v/>
      </c>
      <c r="L33" s="20">
        <f>IF(OR(F33="",H33="",J33=""),"",((H33-F33)/F33)*J33)</f>
        <v/>
      </c>
      <c r="M33" s="20">
        <f>SUM(N(K33),N(L33))</f>
        <v/>
      </c>
      <c r="N33" s="20">
        <f>N32+M33</f>
        <v/>
      </c>
    </row>
    <row r="34">
      <c r="A34" s="12" t="n"/>
      <c r="E34" s="20" t="n"/>
      <c r="F34" s="20" t="n"/>
      <c r="G34" s="20" t="n"/>
      <c r="H34" s="20" t="n"/>
      <c r="I34" s="20" t="n"/>
      <c r="J34" s="20" t="n"/>
      <c r="K34" s="20">
        <f>IF(OR(E34="",G34="",I34=""),"",((G34-E34)/E34)*I34)</f>
        <v/>
      </c>
      <c r="L34" s="20">
        <f>IF(OR(F34="",H34="",J34=""),"",((H34-F34)/F34)*J34)</f>
        <v/>
      </c>
      <c r="M34" s="20">
        <f>SUM(N(K34),N(L34))</f>
        <v/>
      </c>
      <c r="N34" s="20">
        <f>N33+M34</f>
        <v/>
      </c>
    </row>
    <row r="35">
      <c r="A35" s="12" t="n"/>
      <c r="E35" s="20" t="n"/>
      <c r="F35" s="20" t="n"/>
      <c r="G35" s="20" t="n"/>
      <c r="H35" s="20" t="n"/>
      <c r="I35" s="20" t="n"/>
      <c r="J35" s="20" t="n"/>
      <c r="K35" s="20">
        <f>IF(OR(E35="",G35="",I35=""),"",((G35-E35)/E35)*I35)</f>
        <v/>
      </c>
      <c r="L35" s="20">
        <f>IF(OR(F35="",H35="",J35=""),"",((H35-F35)/F35)*J35)</f>
        <v/>
      </c>
      <c r="M35" s="20">
        <f>SUM(N(K35),N(L35))</f>
        <v/>
      </c>
      <c r="N35" s="20">
        <f>N34+M35</f>
        <v/>
      </c>
    </row>
    <row r="36">
      <c r="A36" s="12" t="n"/>
      <c r="E36" s="20" t="n"/>
      <c r="F36" s="20" t="n"/>
      <c r="G36" s="20" t="n"/>
      <c r="H36" s="20" t="n"/>
      <c r="I36" s="20" t="n"/>
      <c r="J36" s="20" t="n"/>
      <c r="K36" s="20">
        <f>IF(OR(E36="",G36="",I36=""),"",((G36-E36)/E36)*I36)</f>
        <v/>
      </c>
      <c r="L36" s="20">
        <f>IF(OR(F36="",H36="",J36=""),"",((H36-F36)/F36)*J36)</f>
        <v/>
      </c>
      <c r="M36" s="20">
        <f>SUM(N(K36),N(L36))</f>
        <v/>
      </c>
      <c r="N36" s="20">
        <f>N35+M36</f>
        <v/>
      </c>
    </row>
    <row r="37">
      <c r="A37" s="12" t="n"/>
      <c r="E37" s="20" t="n"/>
      <c r="F37" s="20" t="n"/>
      <c r="G37" s="20" t="n"/>
      <c r="H37" s="20" t="n"/>
      <c r="I37" s="20" t="n"/>
      <c r="J37" s="20" t="n"/>
      <c r="K37" s="20">
        <f>IF(OR(E37="",G37="",I37=""),"",((G37-E37)/E37)*I37)</f>
        <v/>
      </c>
      <c r="L37" s="20">
        <f>IF(OR(F37="",H37="",J37=""),"",((H37-F37)/F37)*J37)</f>
        <v/>
      </c>
      <c r="M37" s="20">
        <f>SUM(N(K37),N(L37))</f>
        <v/>
      </c>
      <c r="N37" s="20">
        <f>N36+M37</f>
        <v/>
      </c>
    </row>
    <row r="38">
      <c r="A38" s="12" t="n"/>
      <c r="E38" s="20" t="n"/>
      <c r="F38" s="20" t="n"/>
      <c r="G38" s="20" t="n"/>
      <c r="H38" s="20" t="n"/>
      <c r="I38" s="20" t="n"/>
      <c r="J38" s="20" t="n"/>
      <c r="K38" s="20">
        <f>IF(OR(E38="",G38="",I38=""),"",((G38-E38)/E38)*I38)</f>
        <v/>
      </c>
      <c r="L38" s="20">
        <f>IF(OR(F38="",H38="",J38=""),"",((H38-F38)/F38)*J38)</f>
        <v/>
      </c>
      <c r="M38" s="20">
        <f>SUM(N(K38),N(L38))</f>
        <v/>
      </c>
      <c r="N38" s="20">
        <f>N37+M38</f>
        <v/>
      </c>
    </row>
    <row r="39">
      <c r="A39" s="12" t="n"/>
      <c r="E39" s="20" t="n"/>
      <c r="F39" s="20" t="n"/>
      <c r="G39" s="20" t="n"/>
      <c r="H39" s="20" t="n"/>
      <c r="I39" s="20" t="n"/>
      <c r="J39" s="20" t="n"/>
      <c r="K39" s="20">
        <f>IF(OR(E39="",G39="",I39=""),"",((G39-E39)/E39)*I39)</f>
        <v/>
      </c>
      <c r="L39" s="20">
        <f>IF(OR(F39="",H39="",J39=""),"",((H39-F39)/F39)*J39)</f>
        <v/>
      </c>
      <c r="M39" s="20">
        <f>SUM(N(K39),N(L39))</f>
        <v/>
      </c>
      <c r="N39" s="20">
        <f>N38+M39</f>
        <v/>
      </c>
    </row>
    <row r="40">
      <c r="A40" s="12" t="n"/>
      <c r="E40" s="20" t="n"/>
      <c r="F40" s="20" t="n"/>
      <c r="G40" s="20" t="n"/>
      <c r="H40" s="20" t="n"/>
      <c r="I40" s="20" t="n"/>
      <c r="J40" s="20" t="n"/>
      <c r="K40" s="20">
        <f>IF(OR(E40="",G40="",I40=""),"",((G40-E40)/E40)*I40)</f>
        <v/>
      </c>
      <c r="L40" s="20">
        <f>IF(OR(F40="",H40="",J40=""),"",((H40-F40)/F40)*J40)</f>
        <v/>
      </c>
      <c r="M40" s="20">
        <f>SUM(N(K40),N(L40))</f>
        <v/>
      </c>
      <c r="N40" s="20">
        <f>N39+M40</f>
        <v/>
      </c>
    </row>
    <row r="41">
      <c r="A41" s="12" t="n"/>
      <c r="E41" s="20" t="n"/>
      <c r="F41" s="20" t="n"/>
      <c r="G41" s="20" t="n"/>
      <c r="H41" s="20" t="n"/>
      <c r="I41" s="20" t="n"/>
      <c r="J41" s="20" t="n"/>
      <c r="K41" s="20">
        <f>IF(OR(E41="",G41="",I41=""),"",((G41-E41)/E41)*I41)</f>
        <v/>
      </c>
      <c r="L41" s="20">
        <f>IF(OR(F41="",H41="",J41=""),"",((H41-F41)/F41)*J41)</f>
        <v/>
      </c>
      <c r="M41" s="20">
        <f>SUM(N(K41),N(L41))</f>
        <v/>
      </c>
      <c r="N41" s="20">
        <f>N40+M41</f>
        <v/>
      </c>
    </row>
    <row r="42">
      <c r="A42" s="12" t="n"/>
      <c r="E42" s="20" t="n"/>
      <c r="F42" s="20" t="n"/>
      <c r="G42" s="20" t="n"/>
      <c r="H42" s="20" t="n"/>
      <c r="I42" s="20" t="n"/>
      <c r="J42" s="20" t="n"/>
      <c r="K42" s="20">
        <f>IF(OR(E42="",G42="",I42=""),"",((G42-E42)/E42)*I42)</f>
        <v/>
      </c>
      <c r="L42" s="20">
        <f>IF(OR(F42="",H42="",J42=""),"",((H42-F42)/F42)*J42)</f>
        <v/>
      </c>
      <c r="M42" s="20">
        <f>SUM(N(K42),N(L42))</f>
        <v/>
      </c>
      <c r="N42" s="20">
        <f>N41+M42</f>
        <v/>
      </c>
    </row>
    <row r="43">
      <c r="A43" s="12" t="n"/>
      <c r="E43" s="20" t="n"/>
      <c r="F43" s="20" t="n"/>
      <c r="G43" s="20" t="n"/>
      <c r="H43" s="20" t="n"/>
      <c r="I43" s="20" t="n"/>
      <c r="J43" s="20" t="n"/>
      <c r="K43" s="20">
        <f>IF(OR(E43="",G43="",I43=""),"",((G43-E43)/E43)*I43)</f>
        <v/>
      </c>
      <c r="L43" s="20">
        <f>IF(OR(F43="",H43="",J43=""),"",((H43-F43)/F43)*J43)</f>
        <v/>
      </c>
      <c r="M43" s="20">
        <f>SUM(N(K43),N(L43))</f>
        <v/>
      </c>
      <c r="N43" s="20">
        <f>N42+M43</f>
        <v/>
      </c>
    </row>
    <row r="44">
      <c r="A44" s="12" t="n"/>
      <c r="E44" s="20" t="n"/>
      <c r="F44" s="20" t="n"/>
      <c r="G44" s="20" t="n"/>
      <c r="H44" s="20" t="n"/>
      <c r="I44" s="20" t="n"/>
      <c r="J44" s="20" t="n"/>
      <c r="K44" s="20">
        <f>IF(OR(E44="",G44="",I44=""),"",((G44-E44)/E44)*I44)</f>
        <v/>
      </c>
      <c r="L44" s="20">
        <f>IF(OR(F44="",H44="",J44=""),"",((H44-F44)/F44)*J44)</f>
        <v/>
      </c>
      <c r="M44" s="20">
        <f>SUM(N(K44),N(L44))</f>
        <v/>
      </c>
      <c r="N44" s="20">
        <f>N43+M44</f>
        <v/>
      </c>
    </row>
    <row r="45">
      <c r="A45" s="12" t="n"/>
      <c r="E45" s="20" t="n"/>
      <c r="F45" s="20" t="n"/>
      <c r="G45" s="20" t="n"/>
      <c r="H45" s="20" t="n"/>
      <c r="I45" s="20" t="n"/>
      <c r="J45" s="20" t="n"/>
      <c r="K45" s="20">
        <f>IF(OR(E45="",G45="",I45=""),"",((G45-E45)/E45)*I45)</f>
        <v/>
      </c>
      <c r="L45" s="20">
        <f>IF(OR(F45="",H45="",J45=""),"",((H45-F45)/F45)*J45)</f>
        <v/>
      </c>
      <c r="M45" s="20">
        <f>SUM(N(K45),N(L45))</f>
        <v/>
      </c>
      <c r="N45" s="20">
        <f>N44+M45</f>
        <v/>
      </c>
    </row>
    <row r="46">
      <c r="A46" s="12" t="n"/>
      <c r="E46" s="20" t="n"/>
      <c r="F46" s="20" t="n"/>
      <c r="G46" s="20" t="n"/>
      <c r="H46" s="20" t="n"/>
      <c r="I46" s="20" t="n"/>
      <c r="J46" s="20" t="n"/>
      <c r="K46" s="20">
        <f>IF(OR(E46="",G46="",I46=""),"",((G46-E46)/E46)*I46)</f>
        <v/>
      </c>
      <c r="L46" s="20">
        <f>IF(OR(F46="",H46="",J46=""),"",((H46-F46)/F46)*J46)</f>
        <v/>
      </c>
      <c r="M46" s="20">
        <f>SUM(N(K46),N(L46))</f>
        <v/>
      </c>
      <c r="N46" s="20">
        <f>N45+M46</f>
        <v/>
      </c>
    </row>
    <row r="47">
      <c r="A47" s="12" t="n"/>
      <c r="E47" s="20" t="n"/>
      <c r="F47" s="20" t="n"/>
      <c r="G47" s="20" t="n"/>
      <c r="H47" s="20" t="n"/>
      <c r="I47" s="20" t="n"/>
      <c r="J47" s="20" t="n"/>
      <c r="K47" s="20">
        <f>IF(OR(E47="",G47="",I47=""),"",((G47-E47)/E47)*I47)</f>
        <v/>
      </c>
      <c r="L47" s="20">
        <f>IF(OR(F47="",H47="",J47=""),"",((H47-F47)/F47)*J47)</f>
        <v/>
      </c>
      <c r="M47" s="20">
        <f>SUM(N(K47),N(L47))</f>
        <v/>
      </c>
      <c r="N47" s="20">
        <f>N46+M47</f>
        <v/>
      </c>
    </row>
    <row r="48">
      <c r="A48" s="12" t="n"/>
      <c r="E48" s="20" t="n"/>
      <c r="F48" s="20" t="n"/>
      <c r="G48" s="20" t="n"/>
      <c r="H48" s="20" t="n"/>
      <c r="I48" s="20" t="n"/>
      <c r="J48" s="20" t="n"/>
      <c r="K48" s="20">
        <f>IF(OR(E48="",G48="",I48=""),"",((G48-E48)/E48)*I48)</f>
        <v/>
      </c>
      <c r="L48" s="20">
        <f>IF(OR(F48="",H48="",J48=""),"",((H48-F48)/F48)*J48)</f>
        <v/>
      </c>
      <c r="M48" s="20">
        <f>SUM(N(K48),N(L48))</f>
        <v/>
      </c>
      <c r="N48" s="20">
        <f>N47+M48</f>
        <v/>
      </c>
    </row>
    <row r="49">
      <c r="A49" s="12" t="n"/>
      <c r="E49" s="20" t="n"/>
      <c r="F49" s="20" t="n"/>
      <c r="G49" s="20" t="n"/>
      <c r="H49" s="20" t="n"/>
      <c r="I49" s="20" t="n"/>
      <c r="J49" s="20" t="n"/>
      <c r="K49" s="20">
        <f>IF(OR(E49="",G49="",I49=""),"",((G49-E49)/E49)*I49)</f>
        <v/>
      </c>
      <c r="L49" s="20">
        <f>IF(OR(F49="",H49="",J49=""),"",((H49-F49)/F49)*J49)</f>
        <v/>
      </c>
      <c r="M49" s="20">
        <f>SUM(N(K49),N(L49))</f>
        <v/>
      </c>
      <c r="N49" s="20">
        <f>N48+M49</f>
        <v/>
      </c>
    </row>
    <row r="50">
      <c r="A50" s="12" t="n"/>
      <c r="E50" s="20" t="n"/>
      <c r="F50" s="20" t="n"/>
      <c r="G50" s="20" t="n"/>
      <c r="H50" s="20" t="n"/>
      <c r="I50" s="20" t="n"/>
      <c r="J50" s="20" t="n"/>
      <c r="K50" s="20">
        <f>IF(OR(E50="",G50="",I50=""),"",((G50-E50)/E50)*I50)</f>
        <v/>
      </c>
      <c r="L50" s="20">
        <f>IF(OR(F50="",H50="",J50=""),"",((H50-F50)/F50)*J50)</f>
        <v/>
      </c>
      <c r="M50" s="20">
        <f>SUM(N(K50),N(L50))</f>
        <v/>
      </c>
      <c r="N50" s="20">
        <f>N49+M50</f>
        <v/>
      </c>
    </row>
    <row r="51">
      <c r="A51" s="12" t="n"/>
      <c r="E51" s="20" t="n"/>
      <c r="F51" s="20" t="n"/>
      <c r="G51" s="20" t="n"/>
      <c r="H51" s="20" t="n"/>
      <c r="I51" s="20" t="n"/>
      <c r="J51" s="20" t="n"/>
      <c r="K51" s="20">
        <f>IF(OR(E51="",G51="",I51=""),"",((G51-E51)/E51)*I51)</f>
        <v/>
      </c>
      <c r="L51" s="20">
        <f>IF(OR(F51="",H51="",J51=""),"",((H51-F51)/F51)*J51)</f>
        <v/>
      </c>
      <c r="M51" s="20">
        <f>SUM(N(K51),N(L51))</f>
        <v/>
      </c>
      <c r="N51" s="20">
        <f>N50+M51</f>
        <v/>
      </c>
    </row>
    <row r="52">
      <c r="A52" s="12" t="n"/>
      <c r="E52" s="20" t="n"/>
      <c r="F52" s="20" t="n"/>
      <c r="G52" s="20" t="n"/>
      <c r="H52" s="20" t="n"/>
      <c r="I52" s="20" t="n"/>
      <c r="J52" s="20" t="n"/>
      <c r="K52" s="20">
        <f>IF(OR(E52="",G52="",I52=""),"",((G52-E52)/E52)*I52)</f>
        <v/>
      </c>
      <c r="L52" s="20">
        <f>IF(OR(F52="",H52="",J52=""),"",((H52-F52)/F52)*J52)</f>
        <v/>
      </c>
      <c r="M52" s="20">
        <f>SUM(N(K52),N(L52))</f>
        <v/>
      </c>
      <c r="N52" s="20">
        <f>N51+M52</f>
        <v/>
      </c>
    </row>
    <row r="53">
      <c r="A53" s="12" t="n"/>
      <c r="E53" s="20" t="n"/>
      <c r="F53" s="20" t="n"/>
      <c r="G53" s="20" t="n"/>
      <c r="H53" s="20" t="n"/>
      <c r="I53" s="20" t="n"/>
      <c r="J53" s="20" t="n"/>
      <c r="K53" s="20">
        <f>IF(OR(E53="",G53="",I53=""),"",((G53-E53)/E53)*I53)</f>
        <v/>
      </c>
      <c r="L53" s="20">
        <f>IF(OR(F53="",H53="",J53=""),"",((H53-F53)/F53)*J53)</f>
        <v/>
      </c>
      <c r="M53" s="20">
        <f>SUM(N(K53),N(L53))</f>
        <v/>
      </c>
      <c r="N53" s="20">
        <f>N52+M53</f>
        <v/>
      </c>
    </row>
    <row r="54">
      <c r="A54" s="12" t="n"/>
      <c r="E54" s="20" t="n"/>
      <c r="F54" s="20" t="n"/>
      <c r="G54" s="20" t="n"/>
      <c r="H54" s="20" t="n"/>
      <c r="I54" s="20" t="n"/>
      <c r="J54" s="20" t="n"/>
      <c r="K54" s="20">
        <f>IF(OR(E54="",G54="",I54=""),"",((G54-E54)/E54)*I54)</f>
        <v/>
      </c>
      <c r="L54" s="20">
        <f>IF(OR(F54="",H54="",J54=""),"",((H54-F54)/F54)*J54)</f>
        <v/>
      </c>
      <c r="M54" s="20">
        <f>SUM(N(K54),N(L54))</f>
        <v/>
      </c>
      <c r="N54" s="20">
        <f>N53+M54</f>
        <v/>
      </c>
    </row>
    <row r="55">
      <c r="A55" s="12" t="n"/>
      <c r="E55" s="20" t="n"/>
      <c r="F55" s="20" t="n"/>
      <c r="G55" s="20" t="n"/>
      <c r="H55" s="20" t="n"/>
      <c r="I55" s="20" t="n"/>
      <c r="J55" s="20" t="n"/>
      <c r="K55" s="20">
        <f>IF(OR(E55="",G55="",I55=""),"",((G55-E55)/E55)*I55)</f>
        <v/>
      </c>
      <c r="L55" s="20">
        <f>IF(OR(F55="",H55="",J55=""),"",((H55-F55)/F55)*J55)</f>
        <v/>
      </c>
      <c r="M55" s="20">
        <f>SUM(N(K55),N(L55))</f>
        <v/>
      </c>
      <c r="N55" s="20">
        <f>N54+M55</f>
        <v/>
      </c>
    </row>
    <row r="56">
      <c r="A56" s="12" t="n"/>
      <c r="E56" s="20" t="n"/>
      <c r="F56" s="20" t="n"/>
      <c r="G56" s="20" t="n"/>
      <c r="H56" s="20" t="n"/>
      <c r="I56" s="20" t="n"/>
      <c r="J56" s="20" t="n"/>
      <c r="K56" s="20">
        <f>IF(OR(E56="",G56="",I56=""),"",((G56-E56)/E56)*I56)</f>
        <v/>
      </c>
      <c r="L56" s="20">
        <f>IF(OR(F56="",H56="",J56=""),"",((H56-F56)/F56)*J56)</f>
        <v/>
      </c>
      <c r="M56" s="20">
        <f>SUM(N(K56),N(L56))</f>
        <v/>
      </c>
      <c r="N56" s="20">
        <f>N55+M56</f>
        <v/>
      </c>
    </row>
    <row r="57">
      <c r="A57" s="12" t="n"/>
      <c r="E57" s="20" t="n"/>
      <c r="F57" s="20" t="n"/>
      <c r="G57" s="20" t="n"/>
      <c r="H57" s="20" t="n"/>
      <c r="I57" s="20" t="n"/>
      <c r="J57" s="20" t="n"/>
      <c r="K57" s="20">
        <f>IF(OR(E57="",G57="",I57=""),"",((G57-E57)/E57)*I57)</f>
        <v/>
      </c>
      <c r="L57" s="20">
        <f>IF(OR(F57="",H57="",J57=""),"",((H57-F57)/F57)*J57)</f>
        <v/>
      </c>
      <c r="M57" s="20">
        <f>SUM(N(K57),N(L57))</f>
        <v/>
      </c>
      <c r="N57" s="20">
        <f>N56+M57</f>
        <v/>
      </c>
    </row>
    <row r="58">
      <c r="A58" s="12" t="n"/>
      <c r="E58" s="20" t="n"/>
      <c r="F58" s="20" t="n"/>
      <c r="G58" s="20" t="n"/>
      <c r="H58" s="20" t="n"/>
      <c r="I58" s="20" t="n"/>
      <c r="J58" s="20" t="n"/>
      <c r="K58" s="20">
        <f>IF(OR(E58="",G58="",I58=""),"",((G58-E58)/E58)*I58)</f>
        <v/>
      </c>
      <c r="L58" s="20">
        <f>IF(OR(F58="",H58="",J58=""),"",((H58-F58)/F58)*J58)</f>
        <v/>
      </c>
      <c r="M58" s="20">
        <f>SUM(N(K58),N(L58))</f>
        <v/>
      </c>
      <c r="N58" s="20">
        <f>N57+M58</f>
        <v/>
      </c>
    </row>
    <row r="59">
      <c r="A59" s="12" t="n"/>
      <c r="E59" s="20" t="n"/>
      <c r="F59" s="20" t="n"/>
      <c r="G59" s="20" t="n"/>
      <c r="H59" s="20" t="n"/>
      <c r="I59" s="20" t="n"/>
      <c r="J59" s="20" t="n"/>
      <c r="K59" s="20">
        <f>IF(OR(E59="",G59="",I59=""),"",((G59-E59)/E59)*I59)</f>
        <v/>
      </c>
      <c r="L59" s="20">
        <f>IF(OR(F59="",H59="",J59=""),"",((H59-F59)/F59)*J59)</f>
        <v/>
      </c>
      <c r="M59" s="20">
        <f>SUM(N(K59),N(L59))</f>
        <v/>
      </c>
      <c r="N59" s="20">
        <f>N58+M59</f>
        <v/>
      </c>
    </row>
    <row r="60">
      <c r="A60" s="12" t="n"/>
      <c r="E60" s="20" t="n"/>
      <c r="F60" s="20" t="n"/>
      <c r="G60" s="20" t="n"/>
      <c r="H60" s="20" t="n"/>
      <c r="I60" s="20" t="n"/>
      <c r="J60" s="20" t="n"/>
      <c r="K60" s="20">
        <f>IF(OR(E60="",G60="",I60=""),"",((G60-E60)/E60)*I60)</f>
        <v/>
      </c>
      <c r="L60" s="20">
        <f>IF(OR(F60="",H60="",J60=""),"",((H60-F60)/F60)*J60)</f>
        <v/>
      </c>
      <c r="M60" s="20">
        <f>SUM(N(K60),N(L60))</f>
        <v/>
      </c>
      <c r="N60" s="20">
        <f>N59+M60</f>
        <v/>
      </c>
    </row>
    <row r="61">
      <c r="A61" s="12" t="n"/>
      <c r="E61" s="20" t="n"/>
      <c r="F61" s="20" t="n"/>
      <c r="G61" s="20" t="n"/>
      <c r="H61" s="20" t="n"/>
      <c r="I61" s="20" t="n"/>
      <c r="J61" s="20" t="n"/>
      <c r="K61" s="20">
        <f>IF(OR(E61="",G61="",I61=""),"",((G61-E61)/E61)*I61)</f>
        <v/>
      </c>
      <c r="L61" s="20">
        <f>IF(OR(F61="",H61="",J61=""),"",((H61-F61)/F61)*J61)</f>
        <v/>
      </c>
      <c r="M61" s="20">
        <f>SUM(N(K61),N(L61))</f>
        <v/>
      </c>
      <c r="N61" s="20">
        <f>N60+M61</f>
        <v/>
      </c>
    </row>
    <row r="62">
      <c r="A62" s="12" t="n"/>
      <c r="E62" s="20" t="n"/>
      <c r="F62" s="20" t="n"/>
      <c r="G62" s="20" t="n"/>
      <c r="H62" s="20" t="n"/>
      <c r="I62" s="20" t="n"/>
      <c r="J62" s="20" t="n"/>
      <c r="K62" s="20">
        <f>IF(OR(E62="",G62="",I62=""),"",((G62-E62)/E62)*I62)</f>
        <v/>
      </c>
      <c r="L62" s="20">
        <f>IF(OR(F62="",H62="",J62=""),"",((H62-F62)/F62)*J62)</f>
        <v/>
      </c>
      <c r="M62" s="20">
        <f>SUM(N(K62),N(L62))</f>
        <v/>
      </c>
      <c r="N62" s="20">
        <f>N61+M62</f>
        <v/>
      </c>
    </row>
    <row r="63">
      <c r="A63" s="12" t="n"/>
      <c r="E63" s="20" t="n"/>
      <c r="F63" s="20" t="n"/>
      <c r="G63" s="20" t="n"/>
      <c r="H63" s="20" t="n"/>
      <c r="I63" s="20" t="n"/>
      <c r="J63" s="20" t="n"/>
      <c r="K63" s="20">
        <f>IF(OR(E63="",G63="",I63=""),"",((G63-E63)/E63)*I63)</f>
        <v/>
      </c>
      <c r="L63" s="20">
        <f>IF(OR(F63="",H63="",J63=""),"",((H63-F63)/F63)*J63)</f>
        <v/>
      </c>
      <c r="M63" s="20">
        <f>SUM(N(K63),N(L63))</f>
        <v/>
      </c>
      <c r="N63" s="20">
        <f>N62+M63</f>
        <v/>
      </c>
    </row>
    <row r="64">
      <c r="A64" s="12" t="n"/>
      <c r="E64" s="20" t="n"/>
      <c r="F64" s="20" t="n"/>
      <c r="G64" s="20" t="n"/>
      <c r="H64" s="20" t="n"/>
      <c r="I64" s="20" t="n"/>
      <c r="J64" s="20" t="n"/>
      <c r="K64" s="20">
        <f>IF(OR(E64="",G64="",I64=""),"",((G64-E64)/E64)*I64)</f>
        <v/>
      </c>
      <c r="L64" s="20">
        <f>IF(OR(F64="",H64="",J64=""),"",((H64-F64)/F64)*J64)</f>
        <v/>
      </c>
      <c r="M64" s="20">
        <f>SUM(N(K64),N(L64))</f>
        <v/>
      </c>
      <c r="N64" s="20">
        <f>N63+M64</f>
        <v/>
      </c>
    </row>
    <row r="65">
      <c r="A65" s="12" t="n"/>
      <c r="E65" s="20" t="n"/>
      <c r="F65" s="20" t="n"/>
      <c r="G65" s="20" t="n"/>
      <c r="H65" s="20" t="n"/>
      <c r="I65" s="20" t="n"/>
      <c r="J65" s="20" t="n"/>
      <c r="K65" s="20">
        <f>IF(OR(E65="",G65="",I65=""),"",((G65-E65)/E65)*I65)</f>
        <v/>
      </c>
      <c r="L65" s="20">
        <f>IF(OR(F65="",H65="",J65=""),"",((H65-F65)/F65)*J65)</f>
        <v/>
      </c>
      <c r="M65" s="20">
        <f>SUM(N(K65),N(L65))</f>
        <v/>
      </c>
      <c r="N65" s="20">
        <f>N64+M65</f>
        <v/>
      </c>
    </row>
    <row r="66">
      <c r="A66" s="12" t="n"/>
      <c r="E66" s="20" t="n"/>
      <c r="F66" s="20" t="n"/>
      <c r="G66" s="20" t="n"/>
      <c r="H66" s="20" t="n"/>
      <c r="I66" s="20" t="n"/>
      <c r="J66" s="20" t="n"/>
      <c r="K66" s="20">
        <f>IF(OR(E66="",G66="",I66=""),"",((G66-E66)/E66)*I66)</f>
        <v/>
      </c>
      <c r="L66" s="20">
        <f>IF(OR(F66="",H66="",J66=""),"",((H66-F66)/F66)*J66)</f>
        <v/>
      </c>
      <c r="M66" s="20">
        <f>SUM(N(K66),N(L66))</f>
        <v/>
      </c>
      <c r="N66" s="20">
        <f>N65+M66</f>
        <v/>
      </c>
    </row>
    <row r="67">
      <c r="A67" s="12" t="n"/>
      <c r="E67" s="20" t="n"/>
      <c r="F67" s="20" t="n"/>
      <c r="G67" s="20" t="n"/>
      <c r="H67" s="20" t="n"/>
      <c r="I67" s="20" t="n"/>
      <c r="J67" s="20" t="n"/>
      <c r="K67" s="20">
        <f>IF(OR(E67="",G67="",I67=""),"",((G67-E67)/E67)*I67)</f>
        <v/>
      </c>
      <c r="L67" s="20">
        <f>IF(OR(F67="",H67="",J67=""),"",((H67-F67)/F67)*J67)</f>
        <v/>
      </c>
      <c r="M67" s="20">
        <f>SUM(N(K67),N(L67))</f>
        <v/>
      </c>
      <c r="N67" s="20">
        <f>N66+M67</f>
        <v/>
      </c>
    </row>
    <row r="68">
      <c r="A68" s="12" t="n"/>
      <c r="E68" s="20" t="n"/>
      <c r="F68" s="20" t="n"/>
      <c r="G68" s="20" t="n"/>
      <c r="H68" s="20" t="n"/>
      <c r="I68" s="20" t="n"/>
      <c r="J68" s="20" t="n"/>
      <c r="K68" s="20">
        <f>IF(OR(E68="",G68="",I68=""),"",((G68-E68)/E68)*I68)</f>
        <v/>
      </c>
      <c r="L68" s="20">
        <f>IF(OR(F68="",H68="",J68=""),"",((H68-F68)/F68)*J68)</f>
        <v/>
      </c>
      <c r="M68" s="20">
        <f>SUM(N(K68),N(L68))</f>
        <v/>
      </c>
      <c r="N68" s="20">
        <f>N67+M68</f>
        <v/>
      </c>
    </row>
    <row r="69">
      <c r="A69" s="12" t="n"/>
      <c r="E69" s="20" t="n"/>
      <c r="F69" s="20" t="n"/>
      <c r="G69" s="20" t="n"/>
      <c r="H69" s="20" t="n"/>
      <c r="I69" s="20" t="n"/>
      <c r="J69" s="20" t="n"/>
      <c r="K69" s="20">
        <f>IF(OR(E69="",G69="",I69=""),"",((G69-E69)/E69)*I69)</f>
        <v/>
      </c>
      <c r="L69" s="20">
        <f>IF(OR(F69="",H69="",J69=""),"",((H69-F69)/F69)*J69)</f>
        <v/>
      </c>
      <c r="M69" s="20">
        <f>SUM(N(K69),N(L69))</f>
        <v/>
      </c>
      <c r="N69" s="20">
        <f>N68+M69</f>
        <v/>
      </c>
    </row>
    <row r="70">
      <c r="A70" s="12" t="n"/>
      <c r="E70" s="20" t="n"/>
      <c r="F70" s="20" t="n"/>
      <c r="G70" s="20" t="n"/>
      <c r="H70" s="20" t="n"/>
      <c r="I70" s="20" t="n"/>
      <c r="J70" s="20" t="n"/>
      <c r="K70" s="20">
        <f>IF(OR(E70="",G70="",I70=""),"",((G70-E70)/E70)*I70)</f>
        <v/>
      </c>
      <c r="L70" s="20">
        <f>IF(OR(F70="",H70="",J70=""),"",((H70-F70)/F70)*J70)</f>
        <v/>
      </c>
      <c r="M70" s="20">
        <f>SUM(N(K70),N(L70))</f>
        <v/>
      </c>
      <c r="N70" s="20">
        <f>N69+M70</f>
        <v/>
      </c>
    </row>
    <row r="71">
      <c r="A71" s="12" t="n"/>
      <c r="E71" s="20" t="n"/>
      <c r="F71" s="20" t="n"/>
      <c r="G71" s="20" t="n"/>
      <c r="H71" s="20" t="n"/>
      <c r="I71" s="20" t="n"/>
      <c r="J71" s="20" t="n"/>
      <c r="K71" s="20">
        <f>IF(OR(E71="",G71="",I71=""),"",((G71-E71)/E71)*I71)</f>
        <v/>
      </c>
      <c r="L71" s="20">
        <f>IF(OR(F71="",H71="",J71=""),"",((H71-F71)/F71)*J71)</f>
        <v/>
      </c>
      <c r="M71" s="20">
        <f>SUM(N(K71),N(L71))</f>
        <v/>
      </c>
      <c r="N71" s="20">
        <f>N70+M71</f>
        <v/>
      </c>
    </row>
    <row r="72">
      <c r="A72" s="12" t="n"/>
      <c r="E72" s="20" t="n"/>
      <c r="F72" s="20" t="n"/>
      <c r="G72" s="20" t="n"/>
      <c r="H72" s="20" t="n"/>
      <c r="I72" s="20" t="n"/>
      <c r="J72" s="20" t="n"/>
      <c r="K72" s="20">
        <f>IF(OR(E72="",G72="",I72=""),"",((G72-E72)/E72)*I72)</f>
        <v/>
      </c>
      <c r="L72" s="20">
        <f>IF(OR(F72="",H72="",J72=""),"",((H72-F72)/F72)*J72)</f>
        <v/>
      </c>
      <c r="M72" s="20">
        <f>SUM(N(K72),N(L72))</f>
        <v/>
      </c>
      <c r="N72" s="20">
        <f>N71+M72</f>
        <v/>
      </c>
    </row>
    <row r="73">
      <c r="A73" s="12" t="n"/>
      <c r="E73" s="20" t="n"/>
      <c r="F73" s="20" t="n"/>
      <c r="G73" s="20" t="n"/>
      <c r="H73" s="20" t="n"/>
      <c r="I73" s="20" t="n"/>
      <c r="J73" s="20" t="n"/>
      <c r="K73" s="20">
        <f>IF(OR(E73="",G73="",I73=""),"",((G73-E73)/E73)*I73)</f>
        <v/>
      </c>
      <c r="L73" s="20">
        <f>IF(OR(F73="",H73="",J73=""),"",((H73-F73)/F73)*J73)</f>
        <v/>
      </c>
      <c r="M73" s="20">
        <f>SUM(N(K73),N(L73))</f>
        <v/>
      </c>
      <c r="N73" s="20">
        <f>N72+M73</f>
        <v/>
      </c>
    </row>
    <row r="74">
      <c r="A74" s="12" t="n"/>
      <c r="E74" s="20" t="n"/>
      <c r="F74" s="20" t="n"/>
      <c r="G74" s="20" t="n"/>
      <c r="H74" s="20" t="n"/>
      <c r="I74" s="20" t="n"/>
      <c r="J74" s="20" t="n"/>
      <c r="K74" s="20">
        <f>IF(OR(E74="",G74="",I74=""),"",((G74-E74)/E74)*I74)</f>
        <v/>
      </c>
      <c r="L74" s="20">
        <f>IF(OR(F74="",H74="",J74=""),"",((H74-F74)/F74)*J74)</f>
        <v/>
      </c>
      <c r="M74" s="20">
        <f>SUM(N(K74),N(L74))</f>
        <v/>
      </c>
      <c r="N74" s="20">
        <f>N73+M74</f>
        <v/>
      </c>
    </row>
    <row r="75">
      <c r="A75" s="12" t="n"/>
      <c r="E75" s="20" t="n"/>
      <c r="F75" s="20" t="n"/>
      <c r="G75" s="20" t="n"/>
      <c r="H75" s="20" t="n"/>
      <c r="I75" s="20" t="n"/>
      <c r="J75" s="20" t="n"/>
      <c r="K75" s="20">
        <f>IF(OR(E75="",G75="",I75=""),"",((G75-E75)/E75)*I75)</f>
        <v/>
      </c>
      <c r="L75" s="20">
        <f>IF(OR(F75="",H75="",J75=""),"",((H75-F75)/F75)*J75)</f>
        <v/>
      </c>
      <c r="M75" s="20">
        <f>SUM(N(K75),N(L75))</f>
        <v/>
      </c>
      <c r="N75" s="20">
        <f>N74+M75</f>
        <v/>
      </c>
    </row>
    <row r="76">
      <c r="A76" s="12" t="n"/>
      <c r="E76" s="20" t="n"/>
      <c r="F76" s="20" t="n"/>
      <c r="G76" s="20" t="n"/>
      <c r="H76" s="20" t="n"/>
      <c r="I76" s="20" t="n"/>
      <c r="J76" s="20" t="n"/>
      <c r="K76" s="20">
        <f>IF(OR(E76="",G76="",I76=""),"",((G76-E76)/E76)*I76)</f>
        <v/>
      </c>
      <c r="L76" s="20">
        <f>IF(OR(F76="",H76="",J76=""),"",((H76-F76)/F76)*J76)</f>
        <v/>
      </c>
      <c r="M76" s="20">
        <f>SUM(N(K76),N(L76))</f>
        <v/>
      </c>
      <c r="N76" s="20">
        <f>N75+M76</f>
        <v/>
      </c>
    </row>
    <row r="77">
      <c r="A77" s="12" t="n"/>
      <c r="E77" s="20" t="n"/>
      <c r="F77" s="20" t="n"/>
      <c r="G77" s="20" t="n"/>
      <c r="H77" s="20" t="n"/>
      <c r="I77" s="20" t="n"/>
      <c r="J77" s="20" t="n"/>
      <c r="K77" s="20">
        <f>IF(OR(E77="",G77="",I77=""),"",((G77-E77)/E77)*I77)</f>
        <v/>
      </c>
      <c r="L77" s="20">
        <f>IF(OR(F77="",H77="",J77=""),"",((H77-F77)/F77)*J77)</f>
        <v/>
      </c>
      <c r="M77" s="20">
        <f>SUM(N(K77),N(L77))</f>
        <v/>
      </c>
      <c r="N77" s="20">
        <f>N76+M77</f>
        <v/>
      </c>
    </row>
    <row r="78">
      <c r="A78" s="12" t="n"/>
      <c r="E78" s="20" t="n"/>
      <c r="F78" s="20" t="n"/>
      <c r="G78" s="20" t="n"/>
      <c r="H78" s="20" t="n"/>
      <c r="I78" s="20" t="n"/>
      <c r="J78" s="20" t="n"/>
      <c r="K78" s="20">
        <f>IF(OR(E78="",G78="",I78=""),"",((G78-E78)/E78)*I78)</f>
        <v/>
      </c>
      <c r="L78" s="20">
        <f>IF(OR(F78="",H78="",J78=""),"",((H78-F78)/F78)*J78)</f>
        <v/>
      </c>
      <c r="M78" s="20">
        <f>SUM(N(K78),N(L78))</f>
        <v/>
      </c>
      <c r="N78" s="20">
        <f>N77+M78</f>
        <v/>
      </c>
    </row>
    <row r="79">
      <c r="A79" s="12" t="n"/>
      <c r="E79" s="20" t="n"/>
      <c r="F79" s="20" t="n"/>
      <c r="G79" s="20" t="n"/>
      <c r="H79" s="20" t="n"/>
      <c r="I79" s="20" t="n"/>
      <c r="J79" s="20" t="n"/>
      <c r="K79" s="20">
        <f>IF(OR(E79="",G79="",I79=""),"",((G79-E79)/E79)*I79)</f>
        <v/>
      </c>
      <c r="L79" s="20">
        <f>IF(OR(F79="",H79="",J79=""),"",((H79-F79)/F79)*J79)</f>
        <v/>
      </c>
      <c r="M79" s="20">
        <f>SUM(N(K79),N(L79))</f>
        <v/>
      </c>
      <c r="N79" s="20">
        <f>N78+M79</f>
        <v/>
      </c>
    </row>
    <row r="80">
      <c r="A80" s="12" t="n"/>
      <c r="E80" s="20" t="n"/>
      <c r="F80" s="20" t="n"/>
      <c r="G80" s="20" t="n"/>
      <c r="H80" s="20" t="n"/>
      <c r="I80" s="20" t="n"/>
      <c r="J80" s="20" t="n"/>
      <c r="K80" s="20">
        <f>IF(OR(E80="",G80="",I80=""),"",((G80-E80)/E80)*I80)</f>
        <v/>
      </c>
      <c r="L80" s="20">
        <f>IF(OR(F80="",H80="",J80=""),"",((H80-F80)/F80)*J80)</f>
        <v/>
      </c>
      <c r="M80" s="20">
        <f>SUM(N(K80),N(L80))</f>
        <v/>
      </c>
      <c r="N80" s="20">
        <f>N79+M80</f>
        <v/>
      </c>
    </row>
    <row r="81">
      <c r="A81" s="12" t="n"/>
      <c r="E81" s="20" t="n"/>
      <c r="F81" s="20" t="n"/>
      <c r="G81" s="20" t="n"/>
      <c r="H81" s="20" t="n"/>
      <c r="I81" s="20" t="n"/>
      <c r="J81" s="20" t="n"/>
      <c r="K81" s="20">
        <f>IF(OR(E81="",G81="",I81=""),"",((G81-E81)/E81)*I81)</f>
        <v/>
      </c>
      <c r="L81" s="20">
        <f>IF(OR(F81="",H81="",J81=""),"",((H81-F81)/F81)*J81)</f>
        <v/>
      </c>
      <c r="M81" s="20">
        <f>SUM(N(K81),N(L81))</f>
        <v/>
      </c>
      <c r="N81" s="20">
        <f>N80+M81</f>
        <v/>
      </c>
    </row>
    <row r="82">
      <c r="A82" s="12" t="n"/>
      <c r="E82" s="20" t="n"/>
      <c r="F82" s="20" t="n"/>
      <c r="G82" s="20" t="n"/>
      <c r="H82" s="20" t="n"/>
      <c r="I82" s="20" t="n"/>
      <c r="J82" s="20" t="n"/>
      <c r="K82" s="20">
        <f>IF(OR(E82="",G82="",I82=""),"",((G82-E82)/E82)*I82)</f>
        <v/>
      </c>
      <c r="L82" s="20">
        <f>IF(OR(F82="",H82="",J82=""),"",((H82-F82)/F82)*J82)</f>
        <v/>
      </c>
      <c r="M82" s="20">
        <f>SUM(N(K82),N(L82))</f>
        <v/>
      </c>
      <c r="N82" s="20">
        <f>N81+M82</f>
        <v/>
      </c>
    </row>
    <row r="83">
      <c r="A83" s="12" t="n"/>
      <c r="E83" s="20" t="n"/>
      <c r="F83" s="20" t="n"/>
      <c r="G83" s="20" t="n"/>
      <c r="H83" s="20" t="n"/>
      <c r="I83" s="20" t="n"/>
      <c r="J83" s="20" t="n"/>
      <c r="K83" s="20">
        <f>IF(OR(E83="",G83="",I83=""),"",((G83-E83)/E83)*I83)</f>
        <v/>
      </c>
      <c r="L83" s="20">
        <f>IF(OR(F83="",H83="",J83=""),"",((H83-F83)/F83)*J83)</f>
        <v/>
      </c>
      <c r="M83" s="20">
        <f>SUM(N(K83),N(L83))</f>
        <v/>
      </c>
      <c r="N83" s="20">
        <f>N82+M83</f>
        <v/>
      </c>
    </row>
    <row r="84">
      <c r="A84" s="12" t="n"/>
      <c r="E84" s="20" t="n"/>
      <c r="F84" s="20" t="n"/>
      <c r="G84" s="20" t="n"/>
      <c r="H84" s="20" t="n"/>
      <c r="I84" s="20" t="n"/>
      <c r="J84" s="20" t="n"/>
      <c r="K84" s="20">
        <f>IF(OR(E84="",G84="",I84=""),"",((G84-E84)/E84)*I84)</f>
        <v/>
      </c>
      <c r="L84" s="20">
        <f>IF(OR(F84="",H84="",J84=""),"",((H84-F84)/F84)*J84)</f>
        <v/>
      </c>
      <c r="M84" s="20">
        <f>SUM(N(K84),N(L84))</f>
        <v/>
      </c>
      <c r="N84" s="20">
        <f>N83+M84</f>
        <v/>
      </c>
    </row>
    <row r="85">
      <c r="A85" s="12" t="n"/>
      <c r="E85" s="20" t="n"/>
      <c r="F85" s="20" t="n"/>
      <c r="G85" s="20" t="n"/>
      <c r="H85" s="20" t="n"/>
      <c r="I85" s="20" t="n"/>
      <c r="J85" s="20" t="n"/>
      <c r="K85" s="20">
        <f>IF(OR(E85="",G85="",I85=""),"",((G85-E85)/E85)*I85)</f>
        <v/>
      </c>
      <c r="L85" s="20">
        <f>IF(OR(F85="",H85="",J85=""),"",((H85-F85)/F85)*J85)</f>
        <v/>
      </c>
      <c r="M85" s="20">
        <f>SUM(N(K85),N(L85))</f>
        <v/>
      </c>
      <c r="N85" s="20">
        <f>N84+M85</f>
        <v/>
      </c>
    </row>
    <row r="86">
      <c r="A86" s="12" t="n"/>
      <c r="E86" s="20" t="n"/>
      <c r="F86" s="20" t="n"/>
      <c r="G86" s="20" t="n"/>
      <c r="H86" s="20" t="n"/>
      <c r="I86" s="20" t="n"/>
      <c r="J86" s="20" t="n"/>
      <c r="K86" s="20">
        <f>IF(OR(E86="",G86="",I86=""),"",((G86-E86)/E86)*I86)</f>
        <v/>
      </c>
      <c r="L86" s="20">
        <f>IF(OR(F86="",H86="",J86=""),"",((H86-F86)/F86)*J86)</f>
        <v/>
      </c>
      <c r="M86" s="20">
        <f>SUM(N(K86),N(L86))</f>
        <v/>
      </c>
      <c r="N86" s="20">
        <f>N85+M86</f>
        <v/>
      </c>
    </row>
    <row r="87">
      <c r="A87" s="12" t="n"/>
      <c r="E87" s="20" t="n"/>
      <c r="F87" s="20" t="n"/>
      <c r="G87" s="20" t="n"/>
      <c r="H87" s="20" t="n"/>
      <c r="I87" s="20" t="n"/>
      <c r="J87" s="20" t="n"/>
      <c r="K87" s="20">
        <f>IF(OR(E87="",G87="",I87=""),"",((G87-E87)/E87)*I87)</f>
        <v/>
      </c>
      <c r="L87" s="20">
        <f>IF(OR(F87="",H87="",J87=""),"",((H87-F87)/F87)*J87)</f>
        <v/>
      </c>
      <c r="M87" s="20">
        <f>SUM(N(K87),N(L87))</f>
        <v/>
      </c>
      <c r="N87" s="20">
        <f>N86+M87</f>
        <v/>
      </c>
    </row>
    <row r="88">
      <c r="A88" s="12" t="n"/>
      <c r="E88" s="20" t="n"/>
      <c r="F88" s="20" t="n"/>
      <c r="G88" s="20" t="n"/>
      <c r="H88" s="20" t="n"/>
      <c r="I88" s="20" t="n"/>
      <c r="J88" s="20" t="n"/>
      <c r="K88" s="20">
        <f>IF(OR(E88="",G88="",I88=""),"",((G88-E88)/E88)*I88)</f>
        <v/>
      </c>
      <c r="L88" s="20">
        <f>IF(OR(F88="",H88="",J88=""),"",((H88-F88)/F88)*J88)</f>
        <v/>
      </c>
      <c r="M88" s="20">
        <f>SUM(N(K88),N(L88))</f>
        <v/>
      </c>
      <c r="N88" s="20">
        <f>N87+M88</f>
        <v/>
      </c>
    </row>
    <row r="89">
      <c r="A89" s="12" t="n"/>
      <c r="E89" s="20" t="n"/>
      <c r="F89" s="20" t="n"/>
      <c r="G89" s="20" t="n"/>
      <c r="H89" s="20" t="n"/>
      <c r="I89" s="20" t="n"/>
      <c r="J89" s="20" t="n"/>
      <c r="K89" s="20">
        <f>IF(OR(E89="",G89="",I89=""),"",((G89-E89)/E89)*I89)</f>
        <v/>
      </c>
      <c r="L89" s="20">
        <f>IF(OR(F89="",H89="",J89=""),"",((H89-F89)/F89)*J89)</f>
        <v/>
      </c>
      <c r="M89" s="20">
        <f>SUM(N(K89),N(L89))</f>
        <v/>
      </c>
      <c r="N89" s="20">
        <f>N88+M89</f>
        <v/>
      </c>
    </row>
    <row r="90">
      <c r="A90" s="12" t="n"/>
      <c r="E90" s="20" t="n"/>
      <c r="F90" s="20" t="n"/>
      <c r="G90" s="20" t="n"/>
      <c r="H90" s="20" t="n"/>
      <c r="I90" s="20" t="n"/>
      <c r="J90" s="20" t="n"/>
      <c r="K90" s="20">
        <f>IF(OR(E90="",G90="",I90=""),"",((G90-E90)/E90)*I90)</f>
        <v/>
      </c>
      <c r="L90" s="20">
        <f>IF(OR(F90="",H90="",J90=""),"",((H90-F90)/F90)*J90)</f>
        <v/>
      </c>
      <c r="M90" s="20">
        <f>SUM(N(K90),N(L90))</f>
        <v/>
      </c>
      <c r="N90" s="20">
        <f>N89+M90</f>
        <v/>
      </c>
    </row>
    <row r="91">
      <c r="A91" s="12" t="n"/>
      <c r="E91" s="20" t="n"/>
      <c r="F91" s="20" t="n"/>
      <c r="G91" s="20" t="n"/>
      <c r="H91" s="20" t="n"/>
      <c r="I91" s="20" t="n"/>
      <c r="J91" s="20" t="n"/>
      <c r="K91" s="20">
        <f>IF(OR(E91="",G91="",I91=""),"",((G91-E91)/E91)*I91)</f>
        <v/>
      </c>
      <c r="L91" s="20">
        <f>IF(OR(F91="",H91="",J91=""),"",((H91-F91)/F91)*J91)</f>
        <v/>
      </c>
      <c r="M91" s="20">
        <f>SUM(N(K91),N(L91))</f>
        <v/>
      </c>
      <c r="N91" s="20">
        <f>N90+M91</f>
        <v/>
      </c>
    </row>
    <row r="92">
      <c r="A92" s="12" t="n"/>
      <c r="E92" s="20" t="n"/>
      <c r="F92" s="20" t="n"/>
      <c r="G92" s="20" t="n"/>
      <c r="H92" s="20" t="n"/>
      <c r="I92" s="20" t="n"/>
      <c r="J92" s="20" t="n"/>
      <c r="K92" s="20">
        <f>IF(OR(E92="",G92="",I92=""),"",((G92-E92)/E92)*I92)</f>
        <v/>
      </c>
      <c r="L92" s="20">
        <f>IF(OR(F92="",H92="",J92=""),"",((H92-F92)/F92)*J92)</f>
        <v/>
      </c>
      <c r="M92" s="20">
        <f>SUM(N(K92),N(L92))</f>
        <v/>
      </c>
      <c r="N92" s="20">
        <f>N91+M92</f>
        <v/>
      </c>
    </row>
    <row r="93">
      <c r="A93" s="12" t="n"/>
      <c r="E93" s="20" t="n"/>
      <c r="F93" s="20" t="n"/>
      <c r="G93" s="20" t="n"/>
      <c r="H93" s="20" t="n"/>
      <c r="I93" s="20" t="n"/>
      <c r="J93" s="20" t="n"/>
      <c r="K93" s="20">
        <f>IF(OR(E93="",G93="",I93=""),"",((G93-E93)/E93)*I93)</f>
        <v/>
      </c>
      <c r="L93" s="20">
        <f>IF(OR(F93="",H93="",J93=""),"",((H93-F93)/F93)*J93)</f>
        <v/>
      </c>
      <c r="M93" s="20">
        <f>SUM(N(K93),N(L93))</f>
        <v/>
      </c>
      <c r="N93" s="20">
        <f>N92+M93</f>
        <v/>
      </c>
    </row>
    <row r="94">
      <c r="A94" s="12" t="n"/>
      <c r="E94" s="20" t="n"/>
      <c r="F94" s="20" t="n"/>
      <c r="G94" s="20" t="n"/>
      <c r="H94" s="20" t="n"/>
      <c r="I94" s="20" t="n"/>
      <c r="J94" s="20" t="n"/>
      <c r="K94" s="20">
        <f>IF(OR(E94="",G94="",I94=""),"",((G94-E94)/E94)*I94)</f>
        <v/>
      </c>
      <c r="L94" s="20">
        <f>IF(OR(F94="",H94="",J94=""),"",((H94-F94)/F94)*J94)</f>
        <v/>
      </c>
      <c r="M94" s="20">
        <f>SUM(N(K94),N(L94))</f>
        <v/>
      </c>
      <c r="N94" s="20">
        <f>N93+M94</f>
        <v/>
      </c>
    </row>
    <row r="95">
      <c r="A95" s="12" t="n"/>
      <c r="E95" s="20" t="n"/>
      <c r="F95" s="20" t="n"/>
      <c r="G95" s="20" t="n"/>
      <c r="H95" s="20" t="n"/>
      <c r="I95" s="20" t="n"/>
      <c r="J95" s="20" t="n"/>
      <c r="K95" s="20">
        <f>IF(OR(E95="",G95="",I95=""),"",((G95-E95)/E95)*I95)</f>
        <v/>
      </c>
      <c r="L95" s="20">
        <f>IF(OR(F95="",H95="",J95=""),"",((H95-F95)/F95)*J95)</f>
        <v/>
      </c>
      <c r="M95" s="20">
        <f>SUM(N(K95),N(L95))</f>
        <v/>
      </c>
      <c r="N95" s="20">
        <f>N94+M95</f>
        <v/>
      </c>
    </row>
    <row r="96">
      <c r="A96" s="12" t="n"/>
      <c r="E96" s="20" t="n"/>
      <c r="F96" s="20" t="n"/>
      <c r="G96" s="20" t="n"/>
      <c r="H96" s="20" t="n"/>
      <c r="I96" s="20" t="n"/>
      <c r="J96" s="20" t="n"/>
      <c r="K96" s="20">
        <f>IF(OR(E96="",G96="",I96=""),"",((G96-E96)/E96)*I96)</f>
        <v/>
      </c>
      <c r="L96" s="20">
        <f>IF(OR(F96="",H96="",J96=""),"",((H96-F96)/F96)*J96)</f>
        <v/>
      </c>
      <c r="M96" s="20">
        <f>SUM(N(K96),N(L96))</f>
        <v/>
      </c>
      <c r="N96" s="20">
        <f>N95+M96</f>
        <v/>
      </c>
    </row>
    <row r="97">
      <c r="A97" s="12" t="n"/>
      <c r="E97" s="20" t="n"/>
      <c r="F97" s="20" t="n"/>
      <c r="G97" s="20" t="n"/>
      <c r="H97" s="20" t="n"/>
      <c r="I97" s="20" t="n"/>
      <c r="J97" s="20" t="n"/>
      <c r="K97" s="20">
        <f>IF(OR(E97="",G97="",I97=""),"",((G97-E97)/E97)*I97)</f>
        <v/>
      </c>
      <c r="L97" s="20">
        <f>IF(OR(F97="",H97="",J97=""),"",((H97-F97)/F97)*J97)</f>
        <v/>
      </c>
      <c r="M97" s="20">
        <f>SUM(N(K97),N(L97))</f>
        <v/>
      </c>
      <c r="N97" s="20">
        <f>N96+M97</f>
        <v/>
      </c>
    </row>
    <row r="98">
      <c r="A98" s="12" t="n"/>
      <c r="E98" s="20" t="n"/>
      <c r="F98" s="20" t="n"/>
      <c r="G98" s="20" t="n"/>
      <c r="H98" s="20" t="n"/>
      <c r="I98" s="20" t="n"/>
      <c r="J98" s="20" t="n"/>
      <c r="K98" s="20">
        <f>IF(OR(E98="",G98="",I98=""),"",((G98-E98)/E98)*I98)</f>
        <v/>
      </c>
      <c r="L98" s="20">
        <f>IF(OR(F98="",H98="",J98=""),"",((H98-F98)/F98)*J98)</f>
        <v/>
      </c>
      <c r="M98" s="20">
        <f>SUM(N(K98),N(L98))</f>
        <v/>
      </c>
      <c r="N98" s="20">
        <f>N97+M98</f>
        <v/>
      </c>
    </row>
    <row r="99">
      <c r="A99" s="12" t="n"/>
      <c r="E99" s="20" t="n"/>
      <c r="F99" s="20" t="n"/>
      <c r="G99" s="20" t="n"/>
      <c r="H99" s="20" t="n"/>
      <c r="I99" s="20" t="n"/>
      <c r="J99" s="20" t="n"/>
      <c r="K99" s="20">
        <f>IF(OR(E99="",G99="",I99=""),"",((G99-E99)/E99)*I99)</f>
        <v/>
      </c>
      <c r="L99" s="20">
        <f>IF(OR(F99="",H99="",J99=""),"",((H99-F99)/F99)*J99)</f>
        <v/>
      </c>
      <c r="M99" s="20">
        <f>SUM(N(K99),N(L99))</f>
        <v/>
      </c>
      <c r="N99" s="20">
        <f>N98+M99</f>
        <v/>
      </c>
    </row>
    <row r="100">
      <c r="A100" s="12" t="n"/>
      <c r="E100" s="20" t="n"/>
      <c r="F100" s="20" t="n"/>
      <c r="G100" s="20" t="n"/>
      <c r="H100" s="20" t="n"/>
      <c r="I100" s="20" t="n"/>
      <c r="J100" s="20" t="n"/>
      <c r="K100" s="20">
        <f>IF(OR(E100="",G100="",I100=""),"",((G100-E100)/E100)*I100)</f>
        <v/>
      </c>
      <c r="L100" s="20">
        <f>IF(OR(F100="",H100="",J100=""),"",((H100-F100)/F100)*J100)</f>
        <v/>
      </c>
      <c r="M100" s="20">
        <f>SUM(N(K100),N(L100))</f>
        <v/>
      </c>
      <c r="N100" s="20">
        <f>N99+M100</f>
        <v/>
      </c>
    </row>
    <row r="101">
      <c r="A101" s="12" t="n"/>
      <c r="E101" s="20" t="n"/>
      <c r="F101" s="20" t="n"/>
      <c r="G101" s="20" t="n"/>
      <c r="H101" s="20" t="n"/>
      <c r="I101" s="20" t="n"/>
      <c r="J101" s="20" t="n"/>
      <c r="K101" s="20">
        <f>IF(OR(E101="",G101="",I101=""),"",((G101-E101)/E101)*I101)</f>
        <v/>
      </c>
      <c r="L101" s="20">
        <f>IF(OR(F101="",H101="",J101=""),"",((H101-F101)/F101)*J101)</f>
        <v/>
      </c>
      <c r="M101" s="20">
        <f>SUM(N(K101),N(L101))</f>
        <v/>
      </c>
      <c r="N101" s="20">
        <f>N100+M101</f>
        <v/>
      </c>
    </row>
    <row r="102">
      <c r="A102" s="12" t="n"/>
      <c r="E102" s="20" t="n"/>
      <c r="F102" s="20" t="n"/>
      <c r="G102" s="20" t="n"/>
      <c r="H102" s="20" t="n"/>
      <c r="I102" s="20" t="n"/>
      <c r="J102" s="20" t="n"/>
      <c r="K102" s="20">
        <f>IF(OR(E102="",G102="",I102=""),"",((G102-E102)/E102)*I102)</f>
        <v/>
      </c>
      <c r="L102" s="20">
        <f>IF(OR(F102="",H102="",J102=""),"",((H102-F102)/F102)*J102)</f>
        <v/>
      </c>
      <c r="M102" s="20">
        <f>SUM(N(K102),N(L102))</f>
        <v/>
      </c>
      <c r="N102" s="20">
        <f>N101+M102</f>
        <v/>
      </c>
    </row>
    <row r="103">
      <c r="A103" s="12" t="n"/>
      <c r="E103" s="20" t="n"/>
      <c r="F103" s="20" t="n"/>
      <c r="G103" s="20" t="n"/>
      <c r="H103" s="20" t="n"/>
      <c r="I103" s="20" t="n"/>
      <c r="J103" s="20" t="n"/>
      <c r="K103" s="20">
        <f>IF(OR(E103="",G103="",I103=""),"",((G103-E103)/E103)*I103)</f>
        <v/>
      </c>
      <c r="L103" s="20">
        <f>IF(OR(F103="",H103="",J103=""),"",((H103-F103)/F103)*J103)</f>
        <v/>
      </c>
      <c r="M103" s="20">
        <f>SUM(N(K103),N(L103))</f>
        <v/>
      </c>
      <c r="N103" s="20">
        <f>N102+M103</f>
        <v/>
      </c>
    </row>
    <row r="104">
      <c r="A104" s="12" t="n"/>
      <c r="E104" s="20" t="n"/>
      <c r="F104" s="20" t="n"/>
      <c r="G104" s="20" t="n"/>
      <c r="H104" s="20" t="n"/>
      <c r="I104" s="20" t="n"/>
      <c r="J104" s="20" t="n"/>
      <c r="K104" s="20">
        <f>IF(OR(E104="",G104="",I104=""),"",((G104-E104)/E104)*I104)</f>
        <v/>
      </c>
      <c r="L104" s="20">
        <f>IF(OR(F104="",H104="",J104=""),"",((H104-F104)/F104)*J104)</f>
        <v/>
      </c>
      <c r="M104" s="20">
        <f>SUM(N(K104),N(L104))</f>
        <v/>
      </c>
      <c r="N104" s="20">
        <f>N103+M104</f>
        <v/>
      </c>
    </row>
    <row r="105">
      <c r="A105" s="12" t="n"/>
      <c r="E105" s="20" t="n"/>
      <c r="F105" s="20" t="n"/>
      <c r="G105" s="20" t="n"/>
      <c r="H105" s="20" t="n"/>
      <c r="I105" s="20" t="n"/>
      <c r="J105" s="20" t="n"/>
      <c r="K105" s="20">
        <f>IF(OR(E105="",G105="",I105=""),"",((G105-E105)/E105)*I105)</f>
        <v/>
      </c>
      <c r="L105" s="20">
        <f>IF(OR(F105="",H105="",J105=""),"",((H105-F105)/F105)*J105)</f>
        <v/>
      </c>
      <c r="M105" s="20">
        <f>SUM(N(K105),N(L105))</f>
        <v/>
      </c>
      <c r="N105" s="20">
        <f>N104+M105</f>
        <v/>
      </c>
    </row>
    <row r="106">
      <c r="A106" s="12" t="n"/>
      <c r="E106" s="20" t="n"/>
      <c r="F106" s="20" t="n"/>
      <c r="G106" s="20" t="n"/>
      <c r="H106" s="20" t="n"/>
      <c r="I106" s="20" t="n"/>
      <c r="J106" s="20" t="n"/>
      <c r="K106" s="20">
        <f>IF(OR(E106="",G106="",I106=""),"",((G106-E106)/E106)*I106)</f>
        <v/>
      </c>
      <c r="L106" s="20">
        <f>IF(OR(F106="",H106="",J106=""),"",((H106-F106)/F106)*J106)</f>
        <v/>
      </c>
      <c r="M106" s="20">
        <f>SUM(N(K106),N(L106))</f>
        <v/>
      </c>
      <c r="N106" s="20">
        <f>N105+M106</f>
        <v/>
      </c>
    </row>
    <row r="107">
      <c r="A107" s="12" t="n"/>
      <c r="E107" s="20" t="n"/>
      <c r="F107" s="20" t="n"/>
      <c r="G107" s="20" t="n"/>
      <c r="H107" s="20" t="n"/>
      <c r="I107" s="20" t="n"/>
      <c r="J107" s="20" t="n"/>
      <c r="K107" s="20">
        <f>IF(OR(E107="",G107="",I107=""),"",((G107-E107)/E107)*I107)</f>
        <v/>
      </c>
      <c r="L107" s="20">
        <f>IF(OR(F107="",H107="",J107=""),"",((H107-F107)/F107)*J107)</f>
        <v/>
      </c>
      <c r="M107" s="20">
        <f>SUM(N(K107),N(L107))</f>
        <v/>
      </c>
      <c r="N107" s="20">
        <f>N106+M107</f>
        <v/>
      </c>
    </row>
    <row r="108">
      <c r="A108" s="12" t="n"/>
      <c r="E108" s="20" t="n"/>
      <c r="F108" s="20" t="n"/>
      <c r="G108" s="20" t="n"/>
      <c r="H108" s="20" t="n"/>
      <c r="I108" s="20" t="n"/>
      <c r="J108" s="20" t="n"/>
      <c r="K108" s="20">
        <f>IF(OR(E108="",G108="",I108=""),"",((G108-E108)/E108)*I108)</f>
        <v/>
      </c>
      <c r="L108" s="20">
        <f>IF(OR(F108="",H108="",J108=""),"",((H108-F108)/F108)*J108)</f>
        <v/>
      </c>
      <c r="M108" s="20">
        <f>SUM(N(K108),N(L108))</f>
        <v/>
      </c>
      <c r="N108" s="20">
        <f>N107+M108</f>
        <v/>
      </c>
    </row>
    <row r="109">
      <c r="A109" s="12" t="n"/>
      <c r="E109" s="20" t="n"/>
      <c r="F109" s="20" t="n"/>
      <c r="G109" s="20" t="n"/>
      <c r="H109" s="20" t="n"/>
      <c r="I109" s="20" t="n"/>
      <c r="J109" s="20" t="n"/>
      <c r="K109" s="20">
        <f>IF(OR(E109="",G109="",I109=""),"",((G109-E109)/E109)*I109)</f>
        <v/>
      </c>
      <c r="L109" s="20">
        <f>IF(OR(F109="",H109="",J109=""),"",((H109-F109)/F109)*J109)</f>
        <v/>
      </c>
      <c r="M109" s="20">
        <f>SUM(N(K109),N(L109))</f>
        <v/>
      </c>
      <c r="N109" s="20">
        <f>N108+M109</f>
        <v/>
      </c>
    </row>
    <row r="110">
      <c r="A110" s="12" t="n"/>
      <c r="E110" s="20" t="n"/>
      <c r="F110" s="20" t="n"/>
      <c r="G110" s="20" t="n"/>
      <c r="H110" s="20" t="n"/>
      <c r="I110" s="20" t="n"/>
      <c r="J110" s="20" t="n"/>
      <c r="K110" s="20">
        <f>IF(OR(E110="",G110="",I110=""),"",((G110-E110)/E110)*I110)</f>
        <v/>
      </c>
      <c r="L110" s="20">
        <f>IF(OR(F110="",H110="",J110=""),"",((H110-F110)/F110)*J110)</f>
        <v/>
      </c>
      <c r="M110" s="20">
        <f>SUM(N(K110),N(L110))</f>
        <v/>
      </c>
      <c r="N110" s="20">
        <f>N109+M110</f>
        <v/>
      </c>
    </row>
    <row r="111">
      <c r="A111" s="12" t="n"/>
      <c r="E111" s="20" t="n"/>
      <c r="F111" s="20" t="n"/>
      <c r="G111" s="20" t="n"/>
      <c r="H111" s="20" t="n"/>
      <c r="I111" s="20" t="n"/>
      <c r="J111" s="20" t="n"/>
      <c r="K111" s="20">
        <f>IF(OR(E111="",G111="",I111=""),"",((G111-E111)/E111)*I111)</f>
        <v/>
      </c>
      <c r="L111" s="20">
        <f>IF(OR(F111="",H111="",J111=""),"",((H111-F111)/F111)*J111)</f>
        <v/>
      </c>
      <c r="M111" s="20">
        <f>SUM(N(K111),N(L111))</f>
        <v/>
      </c>
      <c r="N111" s="20">
        <f>N110+M111</f>
        <v/>
      </c>
    </row>
    <row r="112">
      <c r="A112" s="12" t="n"/>
      <c r="E112" s="20" t="n"/>
      <c r="F112" s="20" t="n"/>
      <c r="G112" s="20" t="n"/>
      <c r="H112" s="20" t="n"/>
      <c r="I112" s="20" t="n"/>
      <c r="J112" s="20" t="n"/>
      <c r="K112" s="20">
        <f>IF(OR(E112="",G112="",I112=""),"",((G112-E112)/E112)*I112)</f>
        <v/>
      </c>
      <c r="L112" s="20">
        <f>IF(OR(F112="",H112="",J112=""),"",((H112-F112)/F112)*J112)</f>
        <v/>
      </c>
      <c r="M112" s="20">
        <f>SUM(N(K112),N(L112))</f>
        <v/>
      </c>
      <c r="N112" s="20">
        <f>N111+M112</f>
        <v/>
      </c>
    </row>
    <row r="113">
      <c r="A113" s="12" t="n"/>
      <c r="E113" s="20" t="n"/>
      <c r="F113" s="20" t="n"/>
      <c r="G113" s="20" t="n"/>
      <c r="H113" s="20" t="n"/>
      <c r="I113" s="20" t="n"/>
      <c r="J113" s="20" t="n"/>
      <c r="K113" s="20">
        <f>IF(OR(E113="",G113="",I113=""),"",((G113-E113)/E113)*I113)</f>
        <v/>
      </c>
      <c r="L113" s="20">
        <f>IF(OR(F113="",H113="",J113=""),"",((H113-F113)/F113)*J113)</f>
        <v/>
      </c>
      <c r="M113" s="20">
        <f>SUM(N(K113),N(L113))</f>
        <v/>
      </c>
      <c r="N113" s="20">
        <f>N112+M113</f>
        <v/>
      </c>
    </row>
    <row r="114">
      <c r="A114" s="12" t="n"/>
      <c r="E114" s="20" t="n"/>
      <c r="F114" s="20" t="n"/>
      <c r="G114" s="20" t="n"/>
      <c r="H114" s="20" t="n"/>
      <c r="I114" s="20" t="n"/>
      <c r="J114" s="20" t="n"/>
      <c r="K114" s="20">
        <f>IF(OR(E114="",G114="",I114=""),"",((G114-E114)/E114)*I114)</f>
        <v/>
      </c>
      <c r="L114" s="20">
        <f>IF(OR(F114="",H114="",J114=""),"",((H114-F114)/F114)*J114)</f>
        <v/>
      </c>
      <c r="M114" s="20">
        <f>SUM(N(K114),N(L114))</f>
        <v/>
      </c>
      <c r="N114" s="20">
        <f>N113+M114</f>
        <v/>
      </c>
    </row>
    <row r="115">
      <c r="A115" s="12" t="n"/>
      <c r="E115" s="20" t="n"/>
      <c r="F115" s="20" t="n"/>
      <c r="G115" s="20" t="n"/>
      <c r="H115" s="20" t="n"/>
      <c r="I115" s="20" t="n"/>
      <c r="J115" s="20" t="n"/>
      <c r="K115" s="20">
        <f>IF(OR(E115="",G115="",I115=""),"",((G115-E115)/E115)*I115)</f>
        <v/>
      </c>
      <c r="L115" s="20">
        <f>IF(OR(F115="",H115="",J115=""),"",((H115-F115)/F115)*J115)</f>
        <v/>
      </c>
      <c r="M115" s="20">
        <f>SUM(N(K115),N(L115))</f>
        <v/>
      </c>
      <c r="N115" s="20">
        <f>N114+M115</f>
        <v/>
      </c>
    </row>
    <row r="116">
      <c r="A116" s="12" t="n"/>
      <c r="E116" s="20" t="n"/>
      <c r="F116" s="20" t="n"/>
      <c r="G116" s="20" t="n"/>
      <c r="H116" s="20" t="n"/>
      <c r="I116" s="20" t="n"/>
      <c r="J116" s="20" t="n"/>
      <c r="K116" s="20">
        <f>IF(OR(E116="",G116="",I116=""),"",((G116-E116)/E116)*I116)</f>
        <v/>
      </c>
      <c r="L116" s="20">
        <f>IF(OR(F116="",H116="",J116=""),"",((H116-F116)/F116)*J116)</f>
        <v/>
      </c>
      <c r="M116" s="20">
        <f>SUM(N(K116),N(L116))</f>
        <v/>
      </c>
      <c r="N116" s="20">
        <f>N115+M116</f>
        <v/>
      </c>
    </row>
    <row r="117">
      <c r="A117" s="12" t="n"/>
      <c r="E117" s="20" t="n"/>
      <c r="F117" s="20" t="n"/>
      <c r="G117" s="20" t="n"/>
      <c r="H117" s="20" t="n"/>
      <c r="I117" s="20" t="n"/>
      <c r="J117" s="20" t="n"/>
      <c r="K117" s="20">
        <f>IF(OR(E117="",G117="",I117=""),"",((G117-E117)/E117)*I117)</f>
        <v/>
      </c>
      <c r="L117" s="20">
        <f>IF(OR(F117="",H117="",J117=""),"",((H117-F117)/F117)*J117)</f>
        <v/>
      </c>
      <c r="M117" s="20">
        <f>SUM(N(K117),N(L117))</f>
        <v/>
      </c>
      <c r="N117" s="20">
        <f>N116+M117</f>
        <v/>
      </c>
    </row>
    <row r="118">
      <c r="A118" s="12" t="n"/>
      <c r="E118" s="20" t="n"/>
      <c r="F118" s="20" t="n"/>
      <c r="G118" s="20" t="n"/>
      <c r="H118" s="20" t="n"/>
      <c r="I118" s="20" t="n"/>
      <c r="J118" s="20" t="n"/>
      <c r="K118" s="20">
        <f>IF(OR(E118="",G118="",I118=""),"",((G118-E118)/E118)*I118)</f>
        <v/>
      </c>
      <c r="L118" s="20">
        <f>IF(OR(F118="",H118="",J118=""),"",((H118-F118)/F118)*J118)</f>
        <v/>
      </c>
      <c r="M118" s="20">
        <f>SUM(N(K118),N(L118))</f>
        <v/>
      </c>
      <c r="N118" s="20">
        <f>N117+M118</f>
        <v/>
      </c>
    </row>
    <row r="119">
      <c r="A119" s="12" t="n"/>
      <c r="E119" s="20" t="n"/>
      <c r="F119" s="20" t="n"/>
      <c r="G119" s="20" t="n"/>
      <c r="H119" s="20" t="n"/>
      <c r="I119" s="20" t="n"/>
      <c r="J119" s="20" t="n"/>
      <c r="K119" s="20">
        <f>IF(OR(E119="",G119="",I119=""),"",((G119-E119)/E119)*I119)</f>
        <v/>
      </c>
      <c r="L119" s="20">
        <f>IF(OR(F119="",H119="",J119=""),"",((H119-F119)/F119)*J119)</f>
        <v/>
      </c>
      <c r="M119" s="20">
        <f>SUM(N(K119),N(L119))</f>
        <v/>
      </c>
      <c r="N119" s="20">
        <f>N118+M119</f>
        <v/>
      </c>
    </row>
    <row r="120">
      <c r="A120" s="12" t="n"/>
      <c r="E120" s="20" t="n"/>
      <c r="F120" s="20" t="n"/>
      <c r="G120" s="20" t="n"/>
      <c r="H120" s="20" t="n"/>
      <c r="I120" s="20" t="n"/>
      <c r="J120" s="20" t="n"/>
      <c r="K120" s="20">
        <f>IF(OR(E120="",G120="",I120=""),"",((G120-E120)/E120)*I120)</f>
        <v/>
      </c>
      <c r="L120" s="20">
        <f>IF(OR(F120="",H120="",J120=""),"",((H120-F120)/F120)*J120)</f>
        <v/>
      </c>
      <c r="M120" s="20">
        <f>SUM(N(K120),N(L120))</f>
        <v/>
      </c>
      <c r="N120" s="20">
        <f>N119+M120</f>
        <v/>
      </c>
    </row>
    <row r="121">
      <c r="A121" s="12" t="n"/>
      <c r="E121" s="20" t="n"/>
      <c r="F121" s="20" t="n"/>
      <c r="G121" s="20" t="n"/>
      <c r="H121" s="20" t="n"/>
      <c r="I121" s="20" t="n"/>
      <c r="J121" s="20" t="n"/>
      <c r="K121" s="20">
        <f>IF(OR(E121="",G121="",I121=""),"",((G121-E121)/E121)*I121)</f>
        <v/>
      </c>
      <c r="L121" s="20">
        <f>IF(OR(F121="",H121="",J121=""),"",((H121-F121)/F121)*J121)</f>
        <v/>
      </c>
      <c r="M121" s="20">
        <f>SUM(N(K121),N(L121))</f>
        <v/>
      </c>
      <c r="N121" s="20">
        <f>N120+M121</f>
        <v/>
      </c>
    </row>
    <row r="122">
      <c r="A122" s="12" t="n"/>
      <c r="E122" s="20" t="n"/>
      <c r="F122" s="20" t="n"/>
      <c r="G122" s="20" t="n"/>
      <c r="H122" s="20" t="n"/>
      <c r="I122" s="20" t="n"/>
      <c r="J122" s="20" t="n"/>
      <c r="K122" s="20">
        <f>IF(OR(E122="",G122="",I122=""),"",((G122-E122)/E122)*I122)</f>
        <v/>
      </c>
      <c r="L122" s="20">
        <f>IF(OR(F122="",H122="",J122=""),"",((H122-F122)/F122)*J122)</f>
        <v/>
      </c>
      <c r="M122" s="20">
        <f>SUM(N(K122),N(L122))</f>
        <v/>
      </c>
      <c r="N122" s="20">
        <f>N121+M122</f>
        <v/>
      </c>
    </row>
    <row r="123">
      <c r="A123" s="12" t="n"/>
      <c r="E123" s="20" t="n"/>
      <c r="F123" s="20" t="n"/>
      <c r="G123" s="20" t="n"/>
      <c r="H123" s="20" t="n"/>
      <c r="I123" s="20" t="n"/>
      <c r="J123" s="20" t="n"/>
      <c r="K123" s="20">
        <f>IF(OR(E123="",G123="",I123=""),"",((G123-E123)/E123)*I123)</f>
        <v/>
      </c>
      <c r="L123" s="20">
        <f>IF(OR(F123="",H123="",J123=""),"",((H123-F123)/F123)*J123)</f>
        <v/>
      </c>
      <c r="M123" s="20">
        <f>SUM(N(K123),N(L123))</f>
        <v/>
      </c>
      <c r="N123" s="20">
        <f>N122+M123</f>
        <v/>
      </c>
    </row>
    <row r="124">
      <c r="A124" s="12" t="n"/>
      <c r="E124" s="20" t="n"/>
      <c r="F124" s="20" t="n"/>
      <c r="G124" s="20" t="n"/>
      <c r="H124" s="20" t="n"/>
      <c r="I124" s="20" t="n"/>
      <c r="J124" s="20" t="n"/>
      <c r="K124" s="20">
        <f>IF(OR(E124="",G124="",I124=""),"",((G124-E124)/E124)*I124)</f>
        <v/>
      </c>
      <c r="L124" s="20">
        <f>IF(OR(F124="",H124="",J124=""),"",((H124-F124)/F124)*J124)</f>
        <v/>
      </c>
      <c r="M124" s="20">
        <f>SUM(N(K124),N(L124))</f>
        <v/>
      </c>
      <c r="N124" s="20">
        <f>N123+M124</f>
        <v/>
      </c>
    </row>
    <row r="125">
      <c r="A125" s="12" t="n"/>
      <c r="E125" s="20" t="n"/>
      <c r="F125" s="20" t="n"/>
      <c r="G125" s="20" t="n"/>
      <c r="H125" s="20" t="n"/>
      <c r="I125" s="20" t="n"/>
      <c r="J125" s="20" t="n"/>
      <c r="K125" s="20">
        <f>IF(OR(E125="",G125="",I125=""),"",((G125-E125)/E125)*I125)</f>
        <v/>
      </c>
      <c r="L125" s="20">
        <f>IF(OR(F125="",H125="",J125=""),"",((H125-F125)/F125)*J125)</f>
        <v/>
      </c>
      <c r="M125" s="20">
        <f>SUM(N(K125),N(L125))</f>
        <v/>
      </c>
      <c r="N125" s="20">
        <f>N124+M125</f>
        <v/>
      </c>
    </row>
    <row r="126">
      <c r="A126" s="12" t="n"/>
      <c r="E126" s="20" t="n"/>
      <c r="F126" s="20" t="n"/>
      <c r="G126" s="20" t="n"/>
      <c r="H126" s="20" t="n"/>
      <c r="I126" s="20" t="n"/>
      <c r="J126" s="20" t="n"/>
      <c r="K126" s="20">
        <f>IF(OR(E126="",G126="",I126=""),"",((G126-E126)/E126)*I126)</f>
        <v/>
      </c>
      <c r="L126" s="20">
        <f>IF(OR(F126="",H126="",J126=""),"",((H126-F126)/F126)*J126)</f>
        <v/>
      </c>
      <c r="M126" s="20">
        <f>SUM(N(K126),N(L126))</f>
        <v/>
      </c>
      <c r="N126" s="20">
        <f>N125+M126</f>
        <v/>
      </c>
    </row>
    <row r="127">
      <c r="A127" s="12" t="n"/>
      <c r="E127" s="20" t="n"/>
      <c r="F127" s="20" t="n"/>
      <c r="G127" s="20" t="n"/>
      <c r="H127" s="20" t="n"/>
      <c r="I127" s="20" t="n"/>
      <c r="J127" s="20" t="n"/>
      <c r="K127" s="20">
        <f>IF(OR(E127="",G127="",I127=""),"",((G127-E127)/E127)*I127)</f>
        <v/>
      </c>
      <c r="L127" s="20">
        <f>IF(OR(F127="",H127="",J127=""),"",((H127-F127)/F127)*J127)</f>
        <v/>
      </c>
      <c r="M127" s="20">
        <f>SUM(N(K127),N(L127))</f>
        <v/>
      </c>
      <c r="N127" s="20">
        <f>N126+M127</f>
        <v/>
      </c>
    </row>
    <row r="128">
      <c r="A128" s="12" t="n"/>
      <c r="E128" s="20" t="n"/>
      <c r="F128" s="20" t="n"/>
      <c r="G128" s="20" t="n"/>
      <c r="H128" s="20" t="n"/>
      <c r="I128" s="20" t="n"/>
      <c r="J128" s="20" t="n"/>
      <c r="K128" s="20">
        <f>IF(OR(E128="",G128="",I128=""),"",((G128-E128)/E128)*I128)</f>
        <v/>
      </c>
      <c r="L128" s="20">
        <f>IF(OR(F128="",H128="",J128=""),"",((H128-F128)/F128)*J128)</f>
        <v/>
      </c>
      <c r="M128" s="20">
        <f>SUM(N(K128),N(L128))</f>
        <v/>
      </c>
      <c r="N128" s="20">
        <f>N127+M128</f>
        <v/>
      </c>
    </row>
    <row r="129">
      <c r="A129" s="12" t="n"/>
      <c r="E129" s="20" t="n"/>
      <c r="F129" s="20" t="n"/>
      <c r="G129" s="20" t="n"/>
      <c r="H129" s="20" t="n"/>
      <c r="I129" s="20" t="n"/>
      <c r="J129" s="20" t="n"/>
      <c r="K129" s="20">
        <f>IF(OR(E129="",G129="",I129=""),"",((G129-E129)/E129)*I129)</f>
        <v/>
      </c>
      <c r="L129" s="20">
        <f>IF(OR(F129="",H129="",J129=""),"",((H129-F129)/F129)*J129)</f>
        <v/>
      </c>
      <c r="M129" s="20">
        <f>SUM(N(K129),N(L129))</f>
        <v/>
      </c>
      <c r="N129" s="20">
        <f>N128+M129</f>
        <v/>
      </c>
    </row>
    <row r="130">
      <c r="A130" s="12" t="n"/>
      <c r="E130" s="20" t="n"/>
      <c r="F130" s="20" t="n"/>
      <c r="G130" s="20" t="n"/>
      <c r="H130" s="20" t="n"/>
      <c r="I130" s="20" t="n"/>
      <c r="J130" s="20" t="n"/>
      <c r="K130" s="20">
        <f>IF(OR(E130="",G130="",I130=""),"",((G130-E130)/E130)*I130)</f>
        <v/>
      </c>
      <c r="L130" s="20">
        <f>IF(OR(F130="",H130="",J130=""),"",((H130-F130)/F130)*J130)</f>
        <v/>
      </c>
      <c r="M130" s="20">
        <f>SUM(N(K130),N(L130))</f>
        <v/>
      </c>
      <c r="N130" s="20">
        <f>N129+M130</f>
        <v/>
      </c>
    </row>
    <row r="131">
      <c r="A131" s="12" t="n"/>
      <c r="E131" s="20" t="n"/>
      <c r="F131" s="20" t="n"/>
      <c r="G131" s="20" t="n"/>
      <c r="H131" s="20" t="n"/>
      <c r="I131" s="20" t="n"/>
      <c r="J131" s="20" t="n"/>
      <c r="K131" s="20">
        <f>IF(OR(E131="",G131="",I131=""),"",((G131-E131)/E131)*I131)</f>
        <v/>
      </c>
      <c r="L131" s="20">
        <f>IF(OR(F131="",H131="",J131=""),"",((H131-F131)/F131)*J131)</f>
        <v/>
      </c>
      <c r="M131" s="20">
        <f>SUM(N(K131),N(L131))</f>
        <v/>
      </c>
      <c r="N131" s="20">
        <f>N130+M131</f>
        <v/>
      </c>
    </row>
    <row r="132">
      <c r="A132" s="12" t="n"/>
      <c r="E132" s="20" t="n"/>
      <c r="F132" s="20" t="n"/>
      <c r="G132" s="20" t="n"/>
      <c r="H132" s="20" t="n"/>
      <c r="I132" s="20" t="n"/>
      <c r="J132" s="20" t="n"/>
      <c r="K132" s="20">
        <f>IF(OR(E132="",G132="",I132=""),"",((G132-E132)/E132)*I132)</f>
        <v/>
      </c>
      <c r="L132" s="20">
        <f>IF(OR(F132="",H132="",J132=""),"",((H132-F132)/F132)*J132)</f>
        <v/>
      </c>
      <c r="M132" s="20">
        <f>SUM(N(K132),N(L132))</f>
        <v/>
      </c>
      <c r="N132" s="20">
        <f>N131+M132</f>
        <v/>
      </c>
    </row>
    <row r="133">
      <c r="A133" s="12" t="n"/>
      <c r="E133" s="20" t="n"/>
      <c r="F133" s="20" t="n"/>
      <c r="G133" s="20" t="n"/>
      <c r="H133" s="20" t="n"/>
      <c r="I133" s="20" t="n"/>
      <c r="J133" s="20" t="n"/>
      <c r="K133" s="20">
        <f>IF(OR(E133="",G133="",I133=""),"",((G133-E133)/E133)*I133)</f>
        <v/>
      </c>
      <c r="L133" s="20">
        <f>IF(OR(F133="",H133="",J133=""),"",((H133-F133)/F133)*J133)</f>
        <v/>
      </c>
      <c r="M133" s="20">
        <f>SUM(N(K133),N(L133))</f>
        <v/>
      </c>
      <c r="N133" s="20">
        <f>N132+M133</f>
        <v/>
      </c>
    </row>
    <row r="134">
      <c r="A134" s="12" t="n"/>
      <c r="E134" s="20" t="n"/>
      <c r="F134" s="20" t="n"/>
      <c r="G134" s="20" t="n"/>
      <c r="H134" s="20" t="n"/>
      <c r="I134" s="20" t="n"/>
      <c r="J134" s="20" t="n"/>
      <c r="K134" s="20">
        <f>IF(OR(E134="",G134="",I134=""),"",((G134-E134)/E134)*I134)</f>
        <v/>
      </c>
      <c r="L134" s="20">
        <f>IF(OR(F134="",H134="",J134=""),"",((H134-F134)/F134)*J134)</f>
        <v/>
      </c>
      <c r="M134" s="20">
        <f>SUM(N(K134),N(L134))</f>
        <v/>
      </c>
      <c r="N134" s="20">
        <f>N133+M134</f>
        <v/>
      </c>
    </row>
    <row r="135">
      <c r="A135" s="12" t="n"/>
      <c r="E135" s="20" t="n"/>
      <c r="F135" s="20" t="n"/>
      <c r="G135" s="20" t="n"/>
      <c r="H135" s="20" t="n"/>
      <c r="I135" s="20" t="n"/>
      <c r="J135" s="20" t="n"/>
      <c r="K135" s="20">
        <f>IF(OR(E135="",G135="",I135=""),"",((G135-E135)/E135)*I135)</f>
        <v/>
      </c>
      <c r="L135" s="20">
        <f>IF(OR(F135="",H135="",J135=""),"",((H135-F135)/F135)*J135)</f>
        <v/>
      </c>
      <c r="M135" s="20">
        <f>SUM(N(K135),N(L135))</f>
        <v/>
      </c>
      <c r="N135" s="20">
        <f>N134+M135</f>
        <v/>
      </c>
    </row>
    <row r="136">
      <c r="A136" s="12" t="n"/>
      <c r="E136" s="20" t="n"/>
      <c r="F136" s="20" t="n"/>
      <c r="G136" s="20" t="n"/>
      <c r="H136" s="20" t="n"/>
      <c r="I136" s="20" t="n"/>
      <c r="J136" s="20" t="n"/>
      <c r="K136" s="20">
        <f>IF(OR(E136="",G136="",I136=""),"",((G136-E136)/E136)*I136)</f>
        <v/>
      </c>
      <c r="L136" s="20">
        <f>IF(OR(F136="",H136="",J136=""),"",((H136-F136)/F136)*J136)</f>
        <v/>
      </c>
      <c r="M136" s="20">
        <f>SUM(N(K136),N(L136))</f>
        <v/>
      </c>
      <c r="N136" s="20">
        <f>N135+M136</f>
        <v/>
      </c>
    </row>
    <row r="137">
      <c r="A137" s="12" t="n"/>
      <c r="E137" s="20" t="n"/>
      <c r="F137" s="20" t="n"/>
      <c r="G137" s="20" t="n"/>
      <c r="H137" s="20" t="n"/>
      <c r="I137" s="20" t="n"/>
      <c r="J137" s="20" t="n"/>
      <c r="K137" s="20">
        <f>IF(OR(E137="",G137="",I137=""),"",((G137-E137)/E137)*I137)</f>
        <v/>
      </c>
      <c r="L137" s="20">
        <f>IF(OR(F137="",H137="",J137=""),"",((H137-F137)/F137)*J137)</f>
        <v/>
      </c>
      <c r="M137" s="20">
        <f>SUM(N(K137),N(L137))</f>
        <v/>
      </c>
      <c r="N137" s="20">
        <f>N136+M137</f>
        <v/>
      </c>
    </row>
    <row r="138">
      <c r="A138" s="12" t="n"/>
      <c r="E138" s="20" t="n"/>
      <c r="F138" s="20" t="n"/>
      <c r="G138" s="20" t="n"/>
      <c r="H138" s="20" t="n"/>
      <c r="I138" s="20" t="n"/>
      <c r="J138" s="20" t="n"/>
      <c r="K138" s="20">
        <f>IF(OR(E138="",G138="",I138=""),"",((G138-E138)/E138)*I138)</f>
        <v/>
      </c>
      <c r="L138" s="20">
        <f>IF(OR(F138="",H138="",J138=""),"",((H138-F138)/F138)*J138)</f>
        <v/>
      </c>
      <c r="M138" s="20">
        <f>SUM(N(K138),N(L138))</f>
        <v/>
      </c>
      <c r="N138" s="20">
        <f>N137+M138</f>
        <v/>
      </c>
    </row>
    <row r="139">
      <c r="A139" s="12" t="n"/>
      <c r="E139" s="20" t="n"/>
      <c r="F139" s="20" t="n"/>
      <c r="G139" s="20" t="n"/>
      <c r="H139" s="20" t="n"/>
      <c r="I139" s="20" t="n"/>
      <c r="J139" s="20" t="n"/>
      <c r="K139" s="20">
        <f>IF(OR(E139="",G139="",I139=""),"",((G139-E139)/E139)*I139)</f>
        <v/>
      </c>
      <c r="L139" s="20">
        <f>IF(OR(F139="",H139="",J139=""),"",((H139-F139)/F139)*J139)</f>
        <v/>
      </c>
      <c r="M139" s="20">
        <f>SUM(N(K139),N(L139))</f>
        <v/>
      </c>
      <c r="N139" s="20">
        <f>N138+M139</f>
        <v/>
      </c>
    </row>
    <row r="140">
      <c r="A140" s="12" t="n"/>
      <c r="E140" s="20" t="n"/>
      <c r="F140" s="20" t="n"/>
      <c r="G140" s="20" t="n"/>
      <c r="H140" s="20" t="n"/>
      <c r="I140" s="20" t="n"/>
      <c r="J140" s="20" t="n"/>
      <c r="K140" s="20">
        <f>IF(OR(E140="",G140="",I140=""),"",((G140-E140)/E140)*I140)</f>
        <v/>
      </c>
      <c r="L140" s="20">
        <f>IF(OR(F140="",H140="",J140=""),"",((H140-F140)/F140)*J140)</f>
        <v/>
      </c>
      <c r="M140" s="20">
        <f>SUM(N(K140),N(L140))</f>
        <v/>
      </c>
      <c r="N140" s="20">
        <f>N139+M140</f>
        <v/>
      </c>
    </row>
    <row r="141">
      <c r="A141" s="12" t="n"/>
      <c r="E141" s="20" t="n"/>
      <c r="F141" s="20" t="n"/>
      <c r="G141" s="20" t="n"/>
      <c r="H141" s="20" t="n"/>
      <c r="I141" s="20" t="n"/>
      <c r="J141" s="20" t="n"/>
      <c r="K141" s="20">
        <f>IF(OR(E141="",G141="",I141=""),"",((G141-E141)/E141)*I141)</f>
        <v/>
      </c>
      <c r="L141" s="20">
        <f>IF(OR(F141="",H141="",J141=""),"",((H141-F141)/F141)*J141)</f>
        <v/>
      </c>
      <c r="M141" s="20">
        <f>SUM(N(K141),N(L141))</f>
        <v/>
      </c>
      <c r="N141" s="20">
        <f>N140+M141</f>
        <v/>
      </c>
    </row>
    <row r="142">
      <c r="A142" s="12" t="n"/>
      <c r="E142" s="20" t="n"/>
      <c r="F142" s="20" t="n"/>
      <c r="G142" s="20" t="n"/>
      <c r="H142" s="20" t="n"/>
      <c r="I142" s="20" t="n"/>
      <c r="J142" s="20" t="n"/>
      <c r="K142" s="20">
        <f>IF(OR(E142="",G142="",I142=""),"",((G142-E142)/E142)*I142)</f>
        <v/>
      </c>
      <c r="L142" s="20">
        <f>IF(OR(F142="",H142="",J142=""),"",((H142-F142)/F142)*J142)</f>
        <v/>
      </c>
      <c r="M142" s="20">
        <f>SUM(N(K142),N(L142))</f>
        <v/>
      </c>
      <c r="N142" s="20">
        <f>N141+M142</f>
        <v/>
      </c>
    </row>
    <row r="143">
      <c r="A143" s="12" t="n"/>
      <c r="E143" s="20" t="n"/>
      <c r="F143" s="20" t="n"/>
      <c r="G143" s="20" t="n"/>
      <c r="H143" s="20" t="n"/>
      <c r="I143" s="20" t="n"/>
      <c r="J143" s="20" t="n"/>
      <c r="K143" s="20">
        <f>IF(OR(E143="",G143="",I143=""),"",((G143-E143)/E143)*I143)</f>
        <v/>
      </c>
      <c r="L143" s="20">
        <f>IF(OR(F143="",H143="",J143=""),"",((H143-F143)/F143)*J143)</f>
        <v/>
      </c>
      <c r="M143" s="20">
        <f>SUM(N(K143),N(L143))</f>
        <v/>
      </c>
      <c r="N143" s="20">
        <f>N142+M143</f>
        <v/>
      </c>
    </row>
    <row r="144">
      <c r="A144" s="12" t="n"/>
      <c r="E144" s="20" t="n"/>
      <c r="F144" s="20" t="n"/>
      <c r="G144" s="20" t="n"/>
      <c r="H144" s="20" t="n"/>
      <c r="I144" s="20" t="n"/>
      <c r="J144" s="20" t="n"/>
      <c r="K144" s="20">
        <f>IF(OR(E144="",G144="",I144=""),"",((G144-E144)/E144)*I144)</f>
        <v/>
      </c>
      <c r="L144" s="20">
        <f>IF(OR(F144="",H144="",J144=""),"",((H144-F144)/F144)*J144)</f>
        <v/>
      </c>
      <c r="M144" s="20">
        <f>SUM(N(K144),N(L144))</f>
        <v/>
      </c>
      <c r="N144" s="20">
        <f>N143+M144</f>
        <v/>
      </c>
    </row>
    <row r="145">
      <c r="A145" s="12" t="n"/>
      <c r="E145" s="20" t="n"/>
      <c r="F145" s="20" t="n"/>
      <c r="G145" s="20" t="n"/>
      <c r="H145" s="20" t="n"/>
      <c r="I145" s="20" t="n"/>
      <c r="J145" s="20" t="n"/>
      <c r="K145" s="20">
        <f>IF(OR(E145="",G145="",I145=""),"",((G145-E145)/E145)*I145)</f>
        <v/>
      </c>
      <c r="L145" s="20">
        <f>IF(OR(F145="",H145="",J145=""),"",((H145-F145)/F145)*J145)</f>
        <v/>
      </c>
      <c r="M145" s="20">
        <f>SUM(N(K145),N(L145))</f>
        <v/>
      </c>
      <c r="N145" s="20">
        <f>N144+M145</f>
        <v/>
      </c>
    </row>
    <row r="146">
      <c r="A146" s="12" t="n"/>
      <c r="E146" s="20" t="n"/>
      <c r="F146" s="20" t="n"/>
      <c r="G146" s="20" t="n"/>
      <c r="H146" s="20" t="n"/>
      <c r="I146" s="20" t="n"/>
      <c r="J146" s="20" t="n"/>
      <c r="K146" s="20">
        <f>IF(OR(E146="",G146="",I146=""),"",((G146-E146)/E146)*I146)</f>
        <v/>
      </c>
      <c r="L146" s="20">
        <f>IF(OR(F146="",H146="",J146=""),"",((H146-F146)/F146)*J146)</f>
        <v/>
      </c>
      <c r="M146" s="20">
        <f>SUM(N(K146),N(L146))</f>
        <v/>
      </c>
      <c r="N146" s="20">
        <f>N145+M146</f>
        <v/>
      </c>
    </row>
    <row r="147">
      <c r="A147" s="12" t="n"/>
      <c r="E147" s="20" t="n"/>
      <c r="F147" s="20" t="n"/>
      <c r="G147" s="20" t="n"/>
      <c r="H147" s="20" t="n"/>
      <c r="I147" s="20" t="n"/>
      <c r="J147" s="20" t="n"/>
      <c r="K147" s="20">
        <f>IF(OR(E147="",G147="",I147=""),"",((G147-E147)/E147)*I147)</f>
        <v/>
      </c>
      <c r="L147" s="20">
        <f>IF(OR(F147="",H147="",J147=""),"",((H147-F147)/F147)*J147)</f>
        <v/>
      </c>
      <c r="M147" s="20">
        <f>SUM(N(K147),N(L147))</f>
        <v/>
      </c>
      <c r="N147" s="20">
        <f>N146+M147</f>
        <v/>
      </c>
    </row>
    <row r="148">
      <c r="A148" s="12" t="n"/>
      <c r="E148" s="20" t="n"/>
      <c r="F148" s="20" t="n"/>
      <c r="G148" s="20" t="n"/>
      <c r="H148" s="20" t="n"/>
      <c r="I148" s="20" t="n"/>
      <c r="J148" s="20" t="n"/>
      <c r="K148" s="20">
        <f>IF(OR(E148="",G148="",I148=""),"",((G148-E148)/E148)*I148)</f>
        <v/>
      </c>
      <c r="L148" s="20">
        <f>IF(OR(F148="",H148="",J148=""),"",((H148-F148)/F148)*J148)</f>
        <v/>
      </c>
      <c r="M148" s="20">
        <f>SUM(N(K148),N(L148))</f>
        <v/>
      </c>
      <c r="N148" s="20">
        <f>N147+M148</f>
        <v/>
      </c>
    </row>
    <row r="149">
      <c r="A149" s="12" t="n"/>
      <c r="E149" s="20" t="n"/>
      <c r="F149" s="20" t="n"/>
      <c r="G149" s="20" t="n"/>
      <c r="H149" s="20" t="n"/>
      <c r="I149" s="20" t="n"/>
      <c r="J149" s="20" t="n"/>
      <c r="K149" s="20">
        <f>IF(OR(E149="",G149="",I149=""),"",((G149-E149)/E149)*I149)</f>
        <v/>
      </c>
      <c r="L149" s="20">
        <f>IF(OR(F149="",H149="",J149=""),"",((H149-F149)/F149)*J149)</f>
        <v/>
      </c>
      <c r="M149" s="20">
        <f>SUM(N(K149),N(L149))</f>
        <v/>
      </c>
      <c r="N149" s="20">
        <f>N148+M149</f>
        <v/>
      </c>
    </row>
    <row r="150">
      <c r="A150" s="12" t="n"/>
      <c r="E150" s="20" t="n"/>
      <c r="F150" s="20" t="n"/>
      <c r="G150" s="20" t="n"/>
      <c r="H150" s="20" t="n"/>
      <c r="I150" s="20" t="n"/>
      <c r="J150" s="20" t="n"/>
      <c r="K150" s="20">
        <f>IF(OR(E150="",G150="",I150=""),"",((G150-E150)/E150)*I150)</f>
        <v/>
      </c>
      <c r="L150" s="20">
        <f>IF(OR(F150="",H150="",J150=""),"",((H150-F150)/F150)*J150)</f>
        <v/>
      </c>
      <c r="M150" s="20">
        <f>SUM(N(K150),N(L150))</f>
        <v/>
      </c>
      <c r="N150" s="20">
        <f>N149+M150</f>
        <v/>
      </c>
    </row>
    <row r="151">
      <c r="A151" s="12" t="n"/>
      <c r="E151" s="20" t="n"/>
      <c r="F151" s="20" t="n"/>
      <c r="G151" s="20" t="n"/>
      <c r="H151" s="20" t="n"/>
      <c r="I151" s="20" t="n"/>
      <c r="J151" s="20" t="n"/>
      <c r="K151" s="20">
        <f>IF(OR(E151="",G151="",I151=""),"",((G151-E151)/E151)*I151)</f>
        <v/>
      </c>
      <c r="L151" s="20">
        <f>IF(OR(F151="",H151="",J151=""),"",((H151-F151)/F151)*J151)</f>
        <v/>
      </c>
      <c r="M151" s="20">
        <f>SUM(N(K151),N(L151))</f>
        <v/>
      </c>
      <c r="N151" s="20">
        <f>N150+M151</f>
        <v/>
      </c>
    </row>
    <row r="152">
      <c r="A152" s="12" t="n"/>
      <c r="E152" s="20" t="n"/>
      <c r="F152" s="20" t="n"/>
      <c r="G152" s="20" t="n"/>
      <c r="H152" s="20" t="n"/>
      <c r="I152" s="20" t="n"/>
      <c r="J152" s="20" t="n"/>
      <c r="K152" s="20">
        <f>IF(OR(E152="",G152="",I152=""),"",((G152-E152)/E152)*I152)</f>
        <v/>
      </c>
      <c r="L152" s="20">
        <f>IF(OR(F152="",H152="",J152=""),"",((H152-F152)/F152)*J152)</f>
        <v/>
      </c>
      <c r="M152" s="20">
        <f>SUM(N(K152),N(L152))</f>
        <v/>
      </c>
      <c r="N152" s="20">
        <f>N151+M152</f>
        <v/>
      </c>
    </row>
    <row r="153">
      <c r="A153" s="12" t="n"/>
      <c r="E153" s="20" t="n"/>
      <c r="F153" s="20" t="n"/>
      <c r="G153" s="20" t="n"/>
      <c r="H153" s="20" t="n"/>
      <c r="I153" s="20" t="n"/>
      <c r="J153" s="20" t="n"/>
      <c r="K153" s="20">
        <f>IF(OR(E153="",G153="",I153=""),"",((G153-E153)/E153)*I153)</f>
        <v/>
      </c>
      <c r="L153" s="20">
        <f>IF(OR(F153="",H153="",J153=""),"",((H153-F153)/F153)*J153)</f>
        <v/>
      </c>
      <c r="M153" s="20">
        <f>SUM(N(K153),N(L153))</f>
        <v/>
      </c>
      <c r="N153" s="20">
        <f>N152+M153</f>
        <v/>
      </c>
    </row>
    <row r="154">
      <c r="A154" s="12" t="n"/>
      <c r="E154" s="20" t="n"/>
      <c r="F154" s="20" t="n"/>
      <c r="G154" s="20" t="n"/>
      <c r="H154" s="20" t="n"/>
      <c r="I154" s="20" t="n"/>
      <c r="J154" s="20" t="n"/>
      <c r="K154" s="20">
        <f>IF(OR(E154="",G154="",I154=""),"",((G154-E154)/E154)*I154)</f>
        <v/>
      </c>
      <c r="L154" s="20">
        <f>IF(OR(F154="",H154="",J154=""),"",((H154-F154)/F154)*J154)</f>
        <v/>
      </c>
      <c r="M154" s="20">
        <f>SUM(N(K154),N(L154))</f>
        <v/>
      </c>
      <c r="N154" s="20">
        <f>N153+M154</f>
        <v/>
      </c>
    </row>
    <row r="155">
      <c r="A155" s="12" t="n"/>
      <c r="E155" s="20" t="n"/>
      <c r="F155" s="20" t="n"/>
      <c r="G155" s="20" t="n"/>
      <c r="H155" s="20" t="n"/>
      <c r="I155" s="20" t="n"/>
      <c r="J155" s="20" t="n"/>
      <c r="K155" s="20">
        <f>IF(OR(E155="",G155="",I155=""),"",((G155-E155)/E155)*I155)</f>
        <v/>
      </c>
      <c r="L155" s="20">
        <f>IF(OR(F155="",H155="",J155=""),"",((H155-F155)/F155)*J155)</f>
        <v/>
      </c>
      <c r="M155" s="20">
        <f>SUM(N(K155),N(L155))</f>
        <v/>
      </c>
      <c r="N155" s="20">
        <f>N154+M155</f>
        <v/>
      </c>
    </row>
    <row r="156">
      <c r="A156" s="12" t="n"/>
      <c r="E156" s="20" t="n"/>
      <c r="F156" s="20" t="n"/>
      <c r="G156" s="20" t="n"/>
      <c r="H156" s="20" t="n"/>
      <c r="I156" s="20" t="n"/>
      <c r="J156" s="20" t="n"/>
      <c r="K156" s="20">
        <f>IF(OR(E156="",G156="",I156=""),"",((G156-E156)/E156)*I156)</f>
        <v/>
      </c>
      <c r="L156" s="20">
        <f>IF(OR(F156="",H156="",J156=""),"",((H156-F156)/F156)*J156)</f>
        <v/>
      </c>
      <c r="M156" s="20">
        <f>SUM(N(K156),N(L156))</f>
        <v/>
      </c>
      <c r="N156" s="20">
        <f>N155+M156</f>
        <v/>
      </c>
    </row>
    <row r="157">
      <c r="A157" s="12" t="n"/>
      <c r="E157" s="20" t="n"/>
      <c r="F157" s="20" t="n"/>
      <c r="G157" s="20" t="n"/>
      <c r="H157" s="20" t="n"/>
      <c r="I157" s="20" t="n"/>
      <c r="J157" s="20" t="n"/>
      <c r="K157" s="20">
        <f>IF(OR(E157="",G157="",I157=""),"",((G157-E157)/E157)*I157)</f>
        <v/>
      </c>
      <c r="L157" s="20">
        <f>IF(OR(F157="",H157="",J157=""),"",((H157-F157)/F157)*J157)</f>
        <v/>
      </c>
      <c r="M157" s="20">
        <f>SUM(N(K157),N(L157))</f>
        <v/>
      </c>
      <c r="N157" s="20">
        <f>N156+M157</f>
        <v/>
      </c>
    </row>
    <row r="158">
      <c r="A158" s="12" t="n"/>
      <c r="E158" s="20" t="n"/>
      <c r="F158" s="20" t="n"/>
      <c r="G158" s="20" t="n"/>
      <c r="H158" s="20" t="n"/>
      <c r="I158" s="20" t="n"/>
      <c r="J158" s="20" t="n"/>
      <c r="K158" s="20">
        <f>IF(OR(E158="",G158="",I158=""),"",((G158-E158)/E158)*I158)</f>
        <v/>
      </c>
      <c r="L158" s="20">
        <f>IF(OR(F158="",H158="",J158=""),"",((H158-F158)/F158)*J158)</f>
        <v/>
      </c>
      <c r="M158" s="20">
        <f>SUM(N(K158),N(L158))</f>
        <v/>
      </c>
      <c r="N158" s="20">
        <f>N157+M158</f>
        <v/>
      </c>
    </row>
    <row r="159">
      <c r="A159" s="12" t="n"/>
      <c r="E159" s="20" t="n"/>
      <c r="F159" s="20" t="n"/>
      <c r="G159" s="20" t="n"/>
      <c r="H159" s="20" t="n"/>
      <c r="I159" s="20" t="n"/>
      <c r="J159" s="20" t="n"/>
      <c r="K159" s="20">
        <f>IF(OR(E159="",G159="",I159=""),"",((G159-E159)/E159)*I159)</f>
        <v/>
      </c>
      <c r="L159" s="20">
        <f>IF(OR(F159="",H159="",J159=""),"",((H159-F159)/F159)*J159)</f>
        <v/>
      </c>
      <c r="M159" s="20">
        <f>SUM(N(K159),N(L159))</f>
        <v/>
      </c>
      <c r="N159" s="20">
        <f>N158+M159</f>
        <v/>
      </c>
    </row>
    <row r="160">
      <c r="A160" s="12" t="n"/>
      <c r="E160" s="20" t="n"/>
      <c r="F160" s="20" t="n"/>
      <c r="G160" s="20" t="n"/>
      <c r="H160" s="20" t="n"/>
      <c r="I160" s="20" t="n"/>
      <c r="J160" s="20" t="n"/>
      <c r="K160" s="20">
        <f>IF(OR(E160="",G160="",I160=""),"",((G160-E160)/E160)*I160)</f>
        <v/>
      </c>
      <c r="L160" s="20">
        <f>IF(OR(F160="",H160="",J160=""),"",((H160-F160)/F160)*J160)</f>
        <v/>
      </c>
      <c r="M160" s="20">
        <f>SUM(N(K160),N(L160))</f>
        <v/>
      </c>
      <c r="N160" s="20">
        <f>N159+M160</f>
        <v/>
      </c>
    </row>
    <row r="161">
      <c r="A161" s="12" t="n"/>
      <c r="E161" s="20" t="n"/>
      <c r="F161" s="20" t="n"/>
      <c r="G161" s="20" t="n"/>
      <c r="H161" s="20" t="n"/>
      <c r="I161" s="20" t="n"/>
      <c r="J161" s="20" t="n"/>
      <c r="K161" s="20">
        <f>IF(OR(E161="",G161="",I161=""),"",((G161-E161)/E161)*I161)</f>
        <v/>
      </c>
      <c r="L161" s="20">
        <f>IF(OR(F161="",H161="",J161=""),"",((H161-F161)/F161)*J161)</f>
        <v/>
      </c>
      <c r="M161" s="20">
        <f>SUM(N(K161),N(L161))</f>
        <v/>
      </c>
      <c r="N161" s="20">
        <f>N160+M161</f>
        <v/>
      </c>
    </row>
    <row r="162">
      <c r="A162" s="12" t="n"/>
      <c r="E162" s="20" t="n"/>
      <c r="F162" s="20" t="n"/>
      <c r="G162" s="20" t="n"/>
      <c r="H162" s="20" t="n"/>
      <c r="I162" s="20" t="n"/>
      <c r="J162" s="20" t="n"/>
      <c r="K162" s="20">
        <f>IF(OR(E162="",G162="",I162=""),"",((G162-E162)/E162)*I162)</f>
        <v/>
      </c>
      <c r="L162" s="20">
        <f>IF(OR(F162="",H162="",J162=""),"",((H162-F162)/F162)*J162)</f>
        <v/>
      </c>
      <c r="M162" s="20">
        <f>SUM(N(K162),N(L162))</f>
        <v/>
      </c>
      <c r="N162" s="20">
        <f>N161+M162</f>
        <v/>
      </c>
    </row>
    <row r="163">
      <c r="A163" s="12" t="n"/>
      <c r="E163" s="20" t="n"/>
      <c r="F163" s="20" t="n"/>
      <c r="G163" s="20" t="n"/>
      <c r="H163" s="20" t="n"/>
      <c r="I163" s="20" t="n"/>
      <c r="J163" s="20" t="n"/>
      <c r="K163" s="20">
        <f>IF(OR(E163="",G163="",I163=""),"",((G163-E163)/E163)*I163)</f>
        <v/>
      </c>
      <c r="L163" s="20">
        <f>IF(OR(F163="",H163="",J163=""),"",((H163-F163)/F163)*J163)</f>
        <v/>
      </c>
      <c r="M163" s="20">
        <f>SUM(N(K163),N(L163))</f>
        <v/>
      </c>
      <c r="N163" s="20">
        <f>N162+M163</f>
        <v/>
      </c>
    </row>
    <row r="164">
      <c r="A164" s="12" t="n"/>
      <c r="E164" s="20" t="n"/>
      <c r="F164" s="20" t="n"/>
      <c r="G164" s="20" t="n"/>
      <c r="H164" s="20" t="n"/>
      <c r="I164" s="20" t="n"/>
      <c r="J164" s="20" t="n"/>
      <c r="K164" s="20">
        <f>IF(OR(E164="",G164="",I164=""),"",((G164-E164)/E164)*I164)</f>
        <v/>
      </c>
      <c r="L164" s="20">
        <f>IF(OR(F164="",H164="",J164=""),"",((H164-F164)/F164)*J164)</f>
        <v/>
      </c>
      <c r="M164" s="20">
        <f>SUM(N(K164),N(L164))</f>
        <v/>
      </c>
      <c r="N164" s="20">
        <f>N163+M164</f>
        <v/>
      </c>
    </row>
    <row r="165">
      <c r="A165" s="12" t="n"/>
      <c r="E165" s="20" t="n"/>
      <c r="F165" s="20" t="n"/>
      <c r="G165" s="20" t="n"/>
      <c r="H165" s="20" t="n"/>
      <c r="I165" s="20" t="n"/>
      <c r="J165" s="20" t="n"/>
      <c r="K165" s="20">
        <f>IF(OR(E165="",G165="",I165=""),"",((G165-E165)/E165)*I165)</f>
        <v/>
      </c>
      <c r="L165" s="20">
        <f>IF(OR(F165="",H165="",J165=""),"",((H165-F165)/F165)*J165)</f>
        <v/>
      </c>
      <c r="M165" s="20">
        <f>SUM(N(K165),N(L165))</f>
        <v/>
      </c>
      <c r="N165" s="20">
        <f>N164+M165</f>
        <v/>
      </c>
    </row>
    <row r="166">
      <c r="A166" s="12" t="n"/>
      <c r="E166" s="20" t="n"/>
      <c r="F166" s="20" t="n"/>
      <c r="G166" s="20" t="n"/>
      <c r="H166" s="20" t="n"/>
      <c r="I166" s="20" t="n"/>
      <c r="J166" s="20" t="n"/>
      <c r="K166" s="20">
        <f>IF(OR(E166="",G166="",I166=""),"",((G166-E166)/E166)*I166)</f>
        <v/>
      </c>
      <c r="L166" s="20">
        <f>IF(OR(F166="",H166="",J166=""),"",((H166-F166)/F166)*J166)</f>
        <v/>
      </c>
      <c r="M166" s="20">
        <f>SUM(N(K166),N(L166))</f>
        <v/>
      </c>
      <c r="N166" s="20">
        <f>N165+M166</f>
        <v/>
      </c>
    </row>
    <row r="167">
      <c r="A167" s="12" t="n"/>
      <c r="E167" s="20" t="n"/>
      <c r="F167" s="20" t="n"/>
      <c r="G167" s="20" t="n"/>
      <c r="H167" s="20" t="n"/>
      <c r="I167" s="20" t="n"/>
      <c r="J167" s="20" t="n"/>
      <c r="K167" s="20">
        <f>IF(OR(E167="",G167="",I167=""),"",((G167-E167)/E167)*I167)</f>
        <v/>
      </c>
      <c r="L167" s="20">
        <f>IF(OR(F167="",H167="",J167=""),"",((H167-F167)/F167)*J167)</f>
        <v/>
      </c>
      <c r="M167" s="20">
        <f>SUM(N(K167),N(L167))</f>
        <v/>
      </c>
      <c r="N167" s="20">
        <f>N166+M167</f>
        <v/>
      </c>
    </row>
    <row r="168">
      <c r="A168" s="12" t="n"/>
      <c r="E168" s="20" t="n"/>
      <c r="F168" s="20" t="n"/>
      <c r="G168" s="20" t="n"/>
      <c r="H168" s="20" t="n"/>
      <c r="I168" s="20" t="n"/>
      <c r="J168" s="20" t="n"/>
      <c r="K168" s="20">
        <f>IF(OR(E168="",G168="",I168=""),"",((G168-E168)/E168)*I168)</f>
        <v/>
      </c>
      <c r="L168" s="20">
        <f>IF(OR(F168="",H168="",J168=""),"",((H168-F168)/F168)*J168)</f>
        <v/>
      </c>
      <c r="M168" s="20">
        <f>SUM(N(K168),N(L168))</f>
        <v/>
      </c>
      <c r="N168" s="20">
        <f>N167+M168</f>
        <v/>
      </c>
    </row>
    <row r="169">
      <c r="A169" s="12" t="n"/>
      <c r="E169" s="20" t="n"/>
      <c r="F169" s="20" t="n"/>
      <c r="G169" s="20" t="n"/>
      <c r="H169" s="20" t="n"/>
      <c r="I169" s="20" t="n"/>
      <c r="J169" s="20" t="n"/>
      <c r="K169" s="20">
        <f>IF(OR(E169="",G169="",I169=""),"",((G169-E169)/E169)*I169)</f>
        <v/>
      </c>
      <c r="L169" s="20">
        <f>IF(OR(F169="",H169="",J169=""),"",((H169-F169)/F169)*J169)</f>
        <v/>
      </c>
      <c r="M169" s="20">
        <f>SUM(N(K169),N(L169))</f>
        <v/>
      </c>
      <c r="N169" s="20">
        <f>N168+M169</f>
        <v/>
      </c>
    </row>
    <row r="170">
      <c r="A170" s="12" t="n"/>
      <c r="E170" s="20" t="n"/>
      <c r="F170" s="20" t="n"/>
      <c r="G170" s="20" t="n"/>
      <c r="H170" s="20" t="n"/>
      <c r="I170" s="20" t="n"/>
      <c r="J170" s="20" t="n"/>
      <c r="K170" s="20">
        <f>IF(OR(E170="",G170="",I170=""),"",((G170-E170)/E170)*I170)</f>
        <v/>
      </c>
      <c r="L170" s="20">
        <f>IF(OR(F170="",H170="",J170=""),"",((H170-F170)/F170)*J170)</f>
        <v/>
      </c>
      <c r="M170" s="20">
        <f>SUM(N(K170),N(L170))</f>
        <v/>
      </c>
      <c r="N170" s="20">
        <f>N169+M170</f>
        <v/>
      </c>
    </row>
    <row r="171">
      <c r="A171" s="12" t="n"/>
      <c r="E171" s="20" t="n"/>
      <c r="F171" s="20" t="n"/>
      <c r="G171" s="20" t="n"/>
      <c r="H171" s="20" t="n"/>
      <c r="I171" s="20" t="n"/>
      <c r="J171" s="20" t="n"/>
      <c r="K171" s="20">
        <f>IF(OR(E171="",G171="",I171=""),"",((G171-E171)/E171)*I171)</f>
        <v/>
      </c>
      <c r="L171" s="20">
        <f>IF(OR(F171="",H171="",J171=""),"",((H171-F171)/F171)*J171)</f>
        <v/>
      </c>
      <c r="M171" s="20">
        <f>SUM(N(K171),N(L171))</f>
        <v/>
      </c>
      <c r="N171" s="20">
        <f>N170+M171</f>
        <v/>
      </c>
    </row>
    <row r="172">
      <c r="A172" s="12" t="n"/>
      <c r="E172" s="20" t="n"/>
      <c r="F172" s="20" t="n"/>
      <c r="G172" s="20" t="n"/>
      <c r="H172" s="20" t="n"/>
      <c r="I172" s="20" t="n"/>
      <c r="J172" s="20" t="n"/>
      <c r="K172" s="20">
        <f>IF(OR(E172="",G172="",I172=""),"",((G172-E172)/E172)*I172)</f>
        <v/>
      </c>
      <c r="L172" s="20">
        <f>IF(OR(F172="",H172="",J172=""),"",((H172-F172)/F172)*J172)</f>
        <v/>
      </c>
      <c r="M172" s="20">
        <f>SUM(N(K172),N(L172))</f>
        <v/>
      </c>
      <c r="N172" s="20">
        <f>N171+M172</f>
        <v/>
      </c>
    </row>
    <row r="173">
      <c r="A173" s="12" t="n"/>
      <c r="E173" s="20" t="n"/>
      <c r="F173" s="20" t="n"/>
      <c r="G173" s="20" t="n"/>
      <c r="H173" s="20" t="n"/>
      <c r="I173" s="20" t="n"/>
      <c r="J173" s="20" t="n"/>
      <c r="K173" s="20">
        <f>IF(OR(E173="",G173="",I173=""),"",((G173-E173)/E173)*I173)</f>
        <v/>
      </c>
      <c r="L173" s="20">
        <f>IF(OR(F173="",H173="",J173=""),"",((H173-F173)/F173)*J173)</f>
        <v/>
      </c>
      <c r="M173" s="20">
        <f>SUM(N(K173),N(L173))</f>
        <v/>
      </c>
      <c r="N173" s="20">
        <f>N172+M173</f>
        <v/>
      </c>
    </row>
    <row r="174">
      <c r="A174" s="12" t="n"/>
      <c r="E174" s="20" t="n"/>
      <c r="F174" s="20" t="n"/>
      <c r="G174" s="20" t="n"/>
      <c r="H174" s="20" t="n"/>
      <c r="I174" s="20" t="n"/>
      <c r="J174" s="20" t="n"/>
      <c r="K174" s="20">
        <f>IF(OR(E174="",G174="",I174=""),"",((G174-E174)/E174)*I174)</f>
        <v/>
      </c>
      <c r="L174" s="20">
        <f>IF(OR(F174="",H174="",J174=""),"",((H174-F174)/F174)*J174)</f>
        <v/>
      </c>
      <c r="M174" s="20">
        <f>SUM(N(K174),N(L174))</f>
        <v/>
      </c>
      <c r="N174" s="20">
        <f>N173+M174</f>
        <v/>
      </c>
    </row>
    <row r="175">
      <c r="A175" s="12" t="n"/>
      <c r="E175" s="20" t="n"/>
      <c r="F175" s="20" t="n"/>
      <c r="G175" s="20" t="n"/>
      <c r="H175" s="20" t="n"/>
      <c r="I175" s="20" t="n"/>
      <c r="J175" s="20" t="n"/>
      <c r="K175" s="20">
        <f>IF(OR(E175="",G175="",I175=""),"",((G175-E175)/E175)*I175)</f>
        <v/>
      </c>
      <c r="L175" s="20">
        <f>IF(OR(F175="",H175="",J175=""),"",((H175-F175)/F175)*J175)</f>
        <v/>
      </c>
      <c r="M175" s="20">
        <f>SUM(N(K175),N(L175))</f>
        <v/>
      </c>
      <c r="N175" s="20">
        <f>N174+M175</f>
        <v/>
      </c>
    </row>
    <row r="176">
      <c r="A176" s="12" t="n"/>
      <c r="E176" s="20" t="n"/>
      <c r="F176" s="20" t="n"/>
      <c r="G176" s="20" t="n"/>
      <c r="H176" s="20" t="n"/>
      <c r="I176" s="20" t="n"/>
      <c r="J176" s="20" t="n"/>
      <c r="K176" s="20">
        <f>IF(OR(E176="",G176="",I176=""),"",((G176-E176)/E176)*I176)</f>
        <v/>
      </c>
      <c r="L176" s="20">
        <f>IF(OR(F176="",H176="",J176=""),"",((H176-F176)/F176)*J176)</f>
        <v/>
      </c>
      <c r="M176" s="20">
        <f>SUM(N(K176),N(L176))</f>
        <v/>
      </c>
      <c r="N176" s="20">
        <f>N175+M176</f>
        <v/>
      </c>
    </row>
    <row r="177">
      <c r="A177" s="12" t="n"/>
      <c r="E177" s="20" t="n"/>
      <c r="F177" s="20" t="n"/>
      <c r="G177" s="20" t="n"/>
      <c r="H177" s="20" t="n"/>
      <c r="I177" s="20" t="n"/>
      <c r="J177" s="20" t="n"/>
      <c r="K177" s="20">
        <f>IF(OR(E177="",G177="",I177=""),"",((G177-E177)/E177)*I177)</f>
        <v/>
      </c>
      <c r="L177" s="20">
        <f>IF(OR(F177="",H177="",J177=""),"",((H177-F177)/F177)*J177)</f>
        <v/>
      </c>
      <c r="M177" s="20">
        <f>SUM(N(K177),N(L177))</f>
        <v/>
      </c>
      <c r="N177" s="20">
        <f>N176+M177</f>
        <v/>
      </c>
    </row>
    <row r="178">
      <c r="A178" s="12" t="n"/>
      <c r="E178" s="20" t="n"/>
      <c r="F178" s="20" t="n"/>
      <c r="G178" s="20" t="n"/>
      <c r="H178" s="20" t="n"/>
      <c r="I178" s="20" t="n"/>
      <c r="J178" s="20" t="n"/>
      <c r="K178" s="20">
        <f>IF(OR(E178="",G178="",I178=""),"",((G178-E178)/E178)*I178)</f>
        <v/>
      </c>
      <c r="L178" s="20">
        <f>IF(OR(F178="",H178="",J178=""),"",((H178-F178)/F178)*J178)</f>
        <v/>
      </c>
      <c r="M178" s="20">
        <f>SUM(N(K178),N(L178))</f>
        <v/>
      </c>
      <c r="N178" s="20">
        <f>N177+M178</f>
        <v/>
      </c>
    </row>
    <row r="179">
      <c r="A179" s="12" t="n"/>
      <c r="E179" s="20" t="n"/>
      <c r="F179" s="20" t="n"/>
      <c r="G179" s="20" t="n"/>
      <c r="H179" s="20" t="n"/>
      <c r="I179" s="20" t="n"/>
      <c r="J179" s="20" t="n"/>
      <c r="K179" s="20">
        <f>IF(OR(E179="",G179="",I179=""),"",((G179-E179)/E179)*I179)</f>
        <v/>
      </c>
      <c r="L179" s="20">
        <f>IF(OR(F179="",H179="",J179=""),"",((H179-F179)/F179)*J179)</f>
        <v/>
      </c>
      <c r="M179" s="20">
        <f>SUM(N(K179),N(L179))</f>
        <v/>
      </c>
      <c r="N179" s="20">
        <f>N178+M179</f>
        <v/>
      </c>
    </row>
    <row r="180">
      <c r="A180" s="12" t="n"/>
      <c r="E180" s="20" t="n"/>
      <c r="F180" s="20" t="n"/>
      <c r="G180" s="20" t="n"/>
      <c r="H180" s="20" t="n"/>
      <c r="I180" s="20" t="n"/>
      <c r="J180" s="20" t="n"/>
      <c r="K180" s="20">
        <f>IF(OR(E180="",G180="",I180=""),"",((G180-E180)/E180)*I180)</f>
        <v/>
      </c>
      <c r="L180" s="20">
        <f>IF(OR(F180="",H180="",J180=""),"",((H180-F180)/F180)*J180)</f>
        <v/>
      </c>
      <c r="M180" s="20">
        <f>SUM(N(K180),N(L180))</f>
        <v/>
      </c>
      <c r="N180" s="20">
        <f>N179+M180</f>
        <v/>
      </c>
    </row>
    <row r="181">
      <c r="A181" s="12" t="n"/>
      <c r="E181" s="20" t="n"/>
      <c r="F181" s="20" t="n"/>
      <c r="G181" s="20" t="n"/>
      <c r="H181" s="20" t="n"/>
      <c r="I181" s="20" t="n"/>
      <c r="J181" s="20" t="n"/>
      <c r="K181" s="20">
        <f>IF(OR(E181="",G181="",I181=""),"",((G181-E181)/E181)*I181)</f>
        <v/>
      </c>
      <c r="L181" s="20">
        <f>IF(OR(F181="",H181="",J181=""),"",((H181-F181)/F181)*J181)</f>
        <v/>
      </c>
      <c r="M181" s="20">
        <f>SUM(N(K181),N(L181))</f>
        <v/>
      </c>
      <c r="N181" s="20">
        <f>N180+M181</f>
        <v/>
      </c>
    </row>
    <row r="182">
      <c r="A182" s="12" t="n"/>
      <c r="E182" s="20" t="n"/>
      <c r="F182" s="20" t="n"/>
      <c r="G182" s="20" t="n"/>
      <c r="H182" s="20" t="n"/>
      <c r="I182" s="20" t="n"/>
      <c r="J182" s="20" t="n"/>
      <c r="K182" s="20">
        <f>IF(OR(E182="",G182="",I182=""),"",((G182-E182)/E182)*I182)</f>
        <v/>
      </c>
      <c r="L182" s="20">
        <f>IF(OR(F182="",H182="",J182=""),"",((H182-F182)/F182)*J182)</f>
        <v/>
      </c>
      <c r="M182" s="20">
        <f>SUM(N(K182),N(L182))</f>
        <v/>
      </c>
      <c r="N182" s="20">
        <f>N181+M182</f>
        <v/>
      </c>
    </row>
    <row r="183">
      <c r="A183" s="12" t="n"/>
      <c r="E183" s="20" t="n"/>
      <c r="F183" s="20" t="n"/>
      <c r="G183" s="20" t="n"/>
      <c r="H183" s="20" t="n"/>
      <c r="I183" s="20" t="n"/>
      <c r="J183" s="20" t="n"/>
      <c r="K183" s="20">
        <f>IF(OR(E183="",G183="",I183=""),"",((G183-E183)/E183)*I183)</f>
        <v/>
      </c>
      <c r="L183" s="20">
        <f>IF(OR(F183="",H183="",J183=""),"",((H183-F183)/F183)*J183)</f>
        <v/>
      </c>
      <c r="M183" s="20">
        <f>SUM(N(K183),N(L183))</f>
        <v/>
      </c>
      <c r="N183" s="20">
        <f>N182+M183</f>
        <v/>
      </c>
    </row>
    <row r="184">
      <c r="A184" s="12" t="n"/>
      <c r="E184" s="20" t="n"/>
      <c r="F184" s="20" t="n"/>
      <c r="G184" s="20" t="n"/>
      <c r="H184" s="20" t="n"/>
      <c r="I184" s="20" t="n"/>
      <c r="J184" s="20" t="n"/>
      <c r="K184" s="20">
        <f>IF(OR(E184="",G184="",I184=""),"",((G184-E184)/E184)*I184)</f>
        <v/>
      </c>
      <c r="L184" s="20">
        <f>IF(OR(F184="",H184="",J184=""),"",((H184-F184)/F184)*J184)</f>
        <v/>
      </c>
      <c r="M184" s="20">
        <f>SUM(N(K184),N(L184))</f>
        <v/>
      </c>
      <c r="N184" s="20">
        <f>N183+M184</f>
        <v/>
      </c>
    </row>
    <row r="185">
      <c r="A185" s="12" t="n"/>
      <c r="E185" s="20" t="n"/>
      <c r="F185" s="20" t="n"/>
      <c r="G185" s="20" t="n"/>
      <c r="H185" s="20" t="n"/>
      <c r="I185" s="20" t="n"/>
      <c r="J185" s="20" t="n"/>
      <c r="K185" s="20">
        <f>IF(OR(E185="",G185="",I185=""),"",((G185-E185)/E185)*I185)</f>
        <v/>
      </c>
      <c r="L185" s="20">
        <f>IF(OR(F185="",H185="",J185=""),"",((H185-F185)/F185)*J185)</f>
        <v/>
      </c>
      <c r="M185" s="20">
        <f>SUM(N(K185),N(L185))</f>
        <v/>
      </c>
      <c r="N185" s="20">
        <f>N184+M185</f>
        <v/>
      </c>
    </row>
    <row r="186">
      <c r="A186" s="12" t="n"/>
      <c r="E186" s="20" t="n"/>
      <c r="F186" s="20" t="n"/>
      <c r="G186" s="20" t="n"/>
      <c r="H186" s="20" t="n"/>
      <c r="I186" s="20" t="n"/>
      <c r="J186" s="20" t="n"/>
      <c r="K186" s="20">
        <f>IF(OR(E186="",G186="",I186=""),"",((G186-E186)/E186)*I186)</f>
        <v/>
      </c>
      <c r="L186" s="20">
        <f>IF(OR(F186="",H186="",J186=""),"",((H186-F186)/F186)*J186)</f>
        <v/>
      </c>
      <c r="M186" s="20">
        <f>SUM(N(K186),N(L186))</f>
        <v/>
      </c>
      <c r="N186" s="20">
        <f>N185+M186</f>
        <v/>
      </c>
    </row>
    <row r="187">
      <c r="A187" s="12" t="n"/>
      <c r="E187" s="20" t="n"/>
      <c r="F187" s="20" t="n"/>
      <c r="G187" s="20" t="n"/>
      <c r="H187" s="20" t="n"/>
      <c r="I187" s="20" t="n"/>
      <c r="J187" s="20" t="n"/>
      <c r="K187" s="20">
        <f>IF(OR(E187="",G187="",I187=""),"",((G187-E187)/E187)*I187)</f>
        <v/>
      </c>
      <c r="L187" s="20">
        <f>IF(OR(F187="",H187="",J187=""),"",((H187-F187)/F187)*J187)</f>
        <v/>
      </c>
      <c r="M187" s="20">
        <f>SUM(N(K187),N(L187))</f>
        <v/>
      </c>
      <c r="N187" s="20">
        <f>N186+M187</f>
        <v/>
      </c>
    </row>
    <row r="188">
      <c r="A188" s="12" t="n"/>
      <c r="E188" s="20" t="n"/>
      <c r="F188" s="20" t="n"/>
      <c r="G188" s="20" t="n"/>
      <c r="H188" s="20" t="n"/>
      <c r="I188" s="20" t="n"/>
      <c r="J188" s="20" t="n"/>
      <c r="K188" s="20">
        <f>IF(OR(E188="",G188="",I188=""),"",((G188-E188)/E188)*I188)</f>
        <v/>
      </c>
      <c r="L188" s="20">
        <f>IF(OR(F188="",H188="",J188=""),"",((H188-F188)/F188)*J188)</f>
        <v/>
      </c>
      <c r="M188" s="20">
        <f>SUM(N(K188),N(L188))</f>
        <v/>
      </c>
      <c r="N188" s="20">
        <f>N187+M188</f>
        <v/>
      </c>
    </row>
    <row r="189">
      <c r="A189" s="12" t="n"/>
      <c r="E189" s="20" t="n"/>
      <c r="F189" s="20" t="n"/>
      <c r="G189" s="20" t="n"/>
      <c r="H189" s="20" t="n"/>
      <c r="I189" s="20" t="n"/>
      <c r="J189" s="20" t="n"/>
      <c r="K189" s="20">
        <f>IF(OR(E189="",G189="",I189=""),"",((G189-E189)/E189)*I189)</f>
        <v/>
      </c>
      <c r="L189" s="20">
        <f>IF(OR(F189="",H189="",J189=""),"",((H189-F189)/F189)*J189)</f>
        <v/>
      </c>
      <c r="M189" s="20">
        <f>SUM(N(K189),N(L189))</f>
        <v/>
      </c>
      <c r="N189" s="20">
        <f>N188+M189</f>
        <v/>
      </c>
    </row>
    <row r="190">
      <c r="A190" s="12" t="n"/>
      <c r="E190" s="20" t="n"/>
      <c r="F190" s="20" t="n"/>
      <c r="G190" s="20" t="n"/>
      <c r="H190" s="20" t="n"/>
      <c r="I190" s="20" t="n"/>
      <c r="J190" s="20" t="n"/>
      <c r="K190" s="20">
        <f>IF(OR(E190="",G190="",I190=""),"",((G190-E190)/E190)*I190)</f>
        <v/>
      </c>
      <c r="L190" s="20">
        <f>IF(OR(F190="",H190="",J190=""),"",((H190-F190)/F190)*J190)</f>
        <v/>
      </c>
      <c r="M190" s="20">
        <f>SUM(N(K190),N(L190))</f>
        <v/>
      </c>
      <c r="N190" s="20">
        <f>N189+M190</f>
        <v/>
      </c>
    </row>
    <row r="191">
      <c r="A191" s="12" t="n"/>
      <c r="E191" s="20" t="n"/>
      <c r="F191" s="20" t="n"/>
      <c r="G191" s="20" t="n"/>
      <c r="H191" s="20" t="n"/>
      <c r="I191" s="20" t="n"/>
      <c r="J191" s="20" t="n"/>
      <c r="K191" s="20">
        <f>IF(OR(E191="",G191="",I191=""),"",((G191-E191)/E191)*I191)</f>
        <v/>
      </c>
      <c r="L191" s="20">
        <f>IF(OR(F191="",H191="",J191=""),"",((H191-F191)/F191)*J191)</f>
        <v/>
      </c>
      <c r="M191" s="20">
        <f>SUM(N(K191),N(L191))</f>
        <v/>
      </c>
      <c r="N191" s="20">
        <f>N190+M191</f>
        <v/>
      </c>
    </row>
    <row r="192">
      <c r="A192" s="12" t="n"/>
      <c r="E192" s="20" t="n"/>
      <c r="F192" s="20" t="n"/>
      <c r="G192" s="20" t="n"/>
      <c r="H192" s="20" t="n"/>
      <c r="I192" s="20" t="n"/>
      <c r="J192" s="20" t="n"/>
      <c r="K192" s="20">
        <f>IF(OR(E192="",G192="",I192=""),"",((G192-E192)/E192)*I192)</f>
        <v/>
      </c>
      <c r="L192" s="20">
        <f>IF(OR(F192="",H192="",J192=""),"",((H192-F192)/F192)*J192)</f>
        <v/>
      </c>
      <c r="M192" s="20">
        <f>SUM(N(K192),N(L192))</f>
        <v/>
      </c>
      <c r="N192" s="20">
        <f>N191+M192</f>
        <v/>
      </c>
    </row>
    <row r="193">
      <c r="A193" s="12" t="n"/>
      <c r="E193" s="20" t="n"/>
      <c r="F193" s="20" t="n"/>
      <c r="G193" s="20" t="n"/>
      <c r="H193" s="20" t="n"/>
      <c r="I193" s="20" t="n"/>
      <c r="J193" s="20" t="n"/>
      <c r="K193" s="20">
        <f>IF(OR(E193="",G193="",I193=""),"",((G193-E193)/E193)*I193)</f>
        <v/>
      </c>
      <c r="L193" s="20">
        <f>IF(OR(F193="",H193="",J193=""),"",((H193-F193)/F193)*J193)</f>
        <v/>
      </c>
      <c r="M193" s="20">
        <f>SUM(N(K193),N(L193))</f>
        <v/>
      </c>
      <c r="N193" s="20">
        <f>N192+M193</f>
        <v/>
      </c>
    </row>
    <row r="194">
      <c r="A194" s="12" t="n"/>
      <c r="E194" s="20" t="n"/>
      <c r="F194" s="20" t="n"/>
      <c r="G194" s="20" t="n"/>
      <c r="H194" s="20" t="n"/>
      <c r="I194" s="20" t="n"/>
      <c r="J194" s="20" t="n"/>
      <c r="K194" s="20">
        <f>IF(OR(E194="",G194="",I194=""),"",((G194-E194)/E194)*I194)</f>
        <v/>
      </c>
      <c r="L194" s="20">
        <f>IF(OR(F194="",H194="",J194=""),"",((H194-F194)/F194)*J194)</f>
        <v/>
      </c>
      <c r="M194" s="20">
        <f>SUM(N(K194),N(L194))</f>
        <v/>
      </c>
      <c r="N194" s="20">
        <f>N193+M194</f>
        <v/>
      </c>
    </row>
    <row r="195">
      <c r="A195" s="12" t="n"/>
      <c r="E195" s="20" t="n"/>
      <c r="F195" s="20" t="n"/>
      <c r="G195" s="20" t="n"/>
      <c r="H195" s="20" t="n"/>
      <c r="I195" s="20" t="n"/>
      <c r="J195" s="20" t="n"/>
      <c r="K195" s="20">
        <f>IF(OR(E195="",G195="",I195=""),"",((G195-E195)/E195)*I195)</f>
        <v/>
      </c>
      <c r="L195" s="20">
        <f>IF(OR(F195="",H195="",J195=""),"",((H195-F195)/F195)*J195)</f>
        <v/>
      </c>
      <c r="M195" s="20">
        <f>SUM(N(K195),N(L195))</f>
        <v/>
      </c>
      <c r="N195" s="20">
        <f>N194+M195</f>
        <v/>
      </c>
    </row>
    <row r="196">
      <c r="A196" s="12" t="n"/>
      <c r="E196" s="20" t="n"/>
      <c r="F196" s="20" t="n"/>
      <c r="G196" s="20" t="n"/>
      <c r="H196" s="20" t="n"/>
      <c r="I196" s="20" t="n"/>
      <c r="J196" s="20" t="n"/>
      <c r="K196" s="20">
        <f>IF(OR(E196="",G196="",I196=""),"",((G196-E196)/E196)*I196)</f>
        <v/>
      </c>
      <c r="L196" s="20">
        <f>IF(OR(F196="",H196="",J196=""),"",((H196-F196)/F196)*J196)</f>
        <v/>
      </c>
      <c r="M196" s="20">
        <f>SUM(N(K196),N(L196))</f>
        <v/>
      </c>
      <c r="N196" s="20">
        <f>N195+M196</f>
        <v/>
      </c>
    </row>
    <row r="197">
      <c r="A197" s="12" t="n"/>
      <c r="E197" s="20" t="n"/>
      <c r="F197" s="20" t="n"/>
      <c r="G197" s="20" t="n"/>
      <c r="H197" s="20" t="n"/>
      <c r="I197" s="20" t="n"/>
      <c r="J197" s="20" t="n"/>
      <c r="K197" s="20">
        <f>IF(OR(E197="",G197="",I197=""),"",((G197-E197)/E197)*I197)</f>
        <v/>
      </c>
      <c r="L197" s="20">
        <f>IF(OR(F197="",H197="",J197=""),"",((H197-F197)/F197)*J197)</f>
        <v/>
      </c>
      <c r="M197" s="20">
        <f>SUM(N(K197),N(L197))</f>
        <v/>
      </c>
      <c r="N197" s="20">
        <f>N196+M197</f>
        <v/>
      </c>
    </row>
    <row r="198">
      <c r="A198" s="12" t="n"/>
      <c r="E198" s="20" t="n"/>
      <c r="F198" s="20" t="n"/>
      <c r="G198" s="20" t="n"/>
      <c r="H198" s="20" t="n"/>
      <c r="I198" s="20" t="n"/>
      <c r="J198" s="20" t="n"/>
      <c r="K198" s="20">
        <f>IF(OR(E198="",G198="",I198=""),"",((G198-E198)/E198)*I198)</f>
        <v/>
      </c>
      <c r="L198" s="20">
        <f>IF(OR(F198="",H198="",J198=""),"",((H198-F198)/F198)*J198)</f>
        <v/>
      </c>
      <c r="M198" s="20">
        <f>SUM(N(K198),N(L198))</f>
        <v/>
      </c>
      <c r="N198" s="20">
        <f>N197+M198</f>
        <v/>
      </c>
    </row>
    <row r="199">
      <c r="A199" s="12" t="n"/>
      <c r="E199" s="20" t="n"/>
      <c r="F199" s="20" t="n"/>
      <c r="G199" s="20" t="n"/>
      <c r="H199" s="20" t="n"/>
      <c r="I199" s="20" t="n"/>
      <c r="J199" s="20" t="n"/>
      <c r="K199" s="20">
        <f>IF(OR(E199="",G199="",I199=""),"",((G199-E199)/E199)*I199)</f>
        <v/>
      </c>
      <c r="L199" s="20">
        <f>IF(OR(F199="",H199="",J199=""),"",((H199-F199)/F199)*J199)</f>
        <v/>
      </c>
      <c r="M199" s="20">
        <f>SUM(N(K199),N(L199))</f>
        <v/>
      </c>
      <c r="N199" s="20">
        <f>N198+M199</f>
        <v/>
      </c>
    </row>
    <row r="200">
      <c r="A200" s="12" t="n"/>
      <c r="E200" s="20" t="n"/>
      <c r="F200" s="20" t="n"/>
      <c r="G200" s="20" t="n"/>
      <c r="H200" s="20" t="n"/>
      <c r="I200" s="20" t="n"/>
      <c r="J200" s="20" t="n"/>
      <c r="K200" s="20">
        <f>IF(OR(E200="",G200="",I200=""),"",((G200-E200)/E200)*I200)</f>
        <v/>
      </c>
      <c r="L200" s="20">
        <f>IF(OR(F200="",H200="",J200=""),"",((H200-F200)/F200)*J200)</f>
        <v/>
      </c>
      <c r="M200" s="20">
        <f>SUM(N(K200),N(L200))</f>
        <v/>
      </c>
      <c r="N200" s="20">
        <f>N199+M200</f>
        <v/>
      </c>
    </row>
    <row r="201">
      <c r="A201" s="12" t="n"/>
      <c r="E201" s="20" t="n"/>
      <c r="F201" s="20" t="n"/>
      <c r="G201" s="20" t="n"/>
      <c r="H201" s="20" t="n"/>
      <c r="I201" s="20" t="n"/>
      <c r="J201" s="20" t="n"/>
      <c r="K201" s="20">
        <f>IF(OR(E201="",G201="",I201=""),"",((G201-E201)/E201)*I201)</f>
        <v/>
      </c>
      <c r="L201" s="20">
        <f>IF(OR(F201="",H201="",J201=""),"",((H201-F201)/F201)*J201)</f>
        <v/>
      </c>
      <c r="M201" s="20">
        <f>SUM(N(K201),N(L201))</f>
        <v/>
      </c>
      <c r="N201" s="20">
        <f>N200+M201</f>
        <v/>
      </c>
    </row>
    <row r="202">
      <c r="A202" s="12" t="n"/>
      <c r="E202" s="20" t="n"/>
      <c r="F202" s="20" t="n"/>
      <c r="G202" s="20" t="n"/>
      <c r="H202" s="20" t="n"/>
      <c r="I202" s="20" t="n"/>
      <c r="J202" s="20" t="n"/>
      <c r="K202" s="20">
        <f>IF(OR(E202="",G202="",I202=""),"",((G202-E202)/E202)*I202)</f>
        <v/>
      </c>
      <c r="L202" s="20">
        <f>IF(OR(F202="",H202="",J202=""),"",((H202-F202)/F202)*J202)</f>
        <v/>
      </c>
      <c r="M202" s="20">
        <f>SUM(N(K202),N(L202))</f>
        <v/>
      </c>
      <c r="N202" s="20">
        <f>N201+M202</f>
        <v/>
      </c>
    </row>
    <row r="203">
      <c r="A203" s="12" t="n"/>
      <c r="E203" s="20" t="n"/>
      <c r="F203" s="20" t="n"/>
      <c r="G203" s="20" t="n"/>
      <c r="H203" s="20" t="n"/>
      <c r="I203" s="20" t="n"/>
      <c r="J203" s="20" t="n"/>
      <c r="K203" s="20">
        <f>IF(OR(E203="",G203="",I203=""),"",((G203-E203)/E203)*I203)</f>
        <v/>
      </c>
      <c r="L203" s="20">
        <f>IF(OR(F203="",H203="",J203=""),"",((H203-F203)/F203)*J203)</f>
        <v/>
      </c>
      <c r="M203" s="20">
        <f>SUM(N(K203),N(L203))</f>
        <v/>
      </c>
      <c r="N203" s="20">
        <f>N202+M203</f>
        <v/>
      </c>
    </row>
    <row r="204">
      <c r="A204" s="12" t="n"/>
      <c r="E204" s="20" t="n"/>
      <c r="F204" s="20" t="n"/>
      <c r="G204" s="20" t="n"/>
      <c r="H204" s="20" t="n"/>
      <c r="I204" s="20" t="n"/>
      <c r="J204" s="20" t="n"/>
      <c r="K204" s="20">
        <f>IF(OR(E204="",G204="",I204=""),"",((G204-E204)/E204)*I204)</f>
        <v/>
      </c>
      <c r="L204" s="20">
        <f>IF(OR(F204="",H204="",J204=""),"",((H204-F204)/F204)*J204)</f>
        <v/>
      </c>
      <c r="M204" s="20">
        <f>SUM(N(K204),N(L204))</f>
        <v/>
      </c>
      <c r="N204" s="20">
        <f>N203+M204</f>
        <v/>
      </c>
    </row>
    <row r="205">
      <c r="A205" s="12" t="n"/>
      <c r="E205" s="20" t="n"/>
      <c r="F205" s="20" t="n"/>
      <c r="G205" s="20" t="n"/>
      <c r="H205" s="20" t="n"/>
      <c r="I205" s="20" t="n"/>
      <c r="J205" s="20" t="n"/>
      <c r="K205" s="20">
        <f>IF(OR(E205="",G205="",I205=""),"",((G205-E205)/E205)*I205)</f>
        <v/>
      </c>
      <c r="L205" s="20">
        <f>IF(OR(F205="",H205="",J205=""),"",((H205-F205)/F205)*J205)</f>
        <v/>
      </c>
      <c r="M205" s="20">
        <f>SUM(N(K205),N(L205))</f>
        <v/>
      </c>
      <c r="N205" s="20">
        <f>N204+M205</f>
        <v/>
      </c>
    </row>
    <row r="206">
      <c r="A206" s="12" t="n"/>
      <c r="E206" s="20" t="n"/>
      <c r="F206" s="20" t="n"/>
      <c r="G206" s="20" t="n"/>
      <c r="H206" s="20" t="n"/>
      <c r="I206" s="20" t="n"/>
      <c r="J206" s="20" t="n"/>
      <c r="K206" s="20">
        <f>IF(OR(E206="",G206="",I206=""),"",((G206-E206)/E206)*I206)</f>
        <v/>
      </c>
      <c r="L206" s="20">
        <f>IF(OR(F206="",H206="",J206=""),"",((H206-F206)/F206)*J206)</f>
        <v/>
      </c>
      <c r="M206" s="20">
        <f>SUM(N(K206),N(L206))</f>
        <v/>
      </c>
      <c r="N206" s="20">
        <f>N205+M206</f>
        <v/>
      </c>
    </row>
    <row r="207">
      <c r="A207" s="12" t="n"/>
      <c r="E207" s="20" t="n"/>
      <c r="F207" s="20" t="n"/>
      <c r="G207" s="20" t="n"/>
      <c r="H207" s="20" t="n"/>
      <c r="I207" s="20" t="n"/>
      <c r="J207" s="20" t="n"/>
      <c r="K207" s="20">
        <f>IF(OR(E207="",G207="",I207=""),"",((G207-E207)/E207)*I207)</f>
        <v/>
      </c>
      <c r="L207" s="20">
        <f>IF(OR(F207="",H207="",J207=""),"",((H207-F207)/F207)*J207)</f>
        <v/>
      </c>
      <c r="M207" s="20">
        <f>SUM(N(K207),N(L207))</f>
        <v/>
      </c>
      <c r="N207" s="20">
        <f>N206+M207</f>
        <v/>
      </c>
    </row>
    <row r="208">
      <c r="A208" s="12" t="n"/>
      <c r="E208" s="20" t="n"/>
      <c r="F208" s="20" t="n"/>
      <c r="G208" s="20" t="n"/>
      <c r="H208" s="20" t="n"/>
      <c r="I208" s="20" t="n"/>
      <c r="J208" s="20" t="n"/>
      <c r="K208" s="20">
        <f>IF(OR(E208="",G208="",I208=""),"",((G208-E208)/E208)*I208)</f>
        <v/>
      </c>
      <c r="L208" s="20">
        <f>IF(OR(F208="",H208="",J208=""),"",((H208-F208)/F208)*J208)</f>
        <v/>
      </c>
      <c r="M208" s="20">
        <f>SUM(N(K208),N(L208))</f>
        <v/>
      </c>
      <c r="N208" s="20">
        <f>N207+M208</f>
        <v/>
      </c>
    </row>
    <row r="209">
      <c r="A209" s="12" t="n"/>
      <c r="E209" s="20" t="n"/>
      <c r="F209" s="20" t="n"/>
      <c r="G209" s="20" t="n"/>
      <c r="H209" s="20" t="n"/>
      <c r="I209" s="20" t="n"/>
      <c r="J209" s="20" t="n"/>
      <c r="K209" s="20">
        <f>IF(OR(E209="",G209="",I209=""),"",((G209-E209)/E209)*I209)</f>
        <v/>
      </c>
      <c r="L209" s="20">
        <f>IF(OR(F209="",H209="",J209=""),"",((H209-F209)/F209)*J209)</f>
        <v/>
      </c>
      <c r="M209" s="20">
        <f>SUM(N(K209),N(L209))</f>
        <v/>
      </c>
      <c r="N209" s="20">
        <f>N208+M209</f>
        <v/>
      </c>
    </row>
    <row r="210">
      <c r="A210" s="12" t="n"/>
      <c r="E210" s="20" t="n"/>
      <c r="F210" s="20" t="n"/>
      <c r="G210" s="20" t="n"/>
      <c r="H210" s="20" t="n"/>
      <c r="I210" s="20" t="n"/>
      <c r="J210" s="20" t="n"/>
      <c r="K210" s="20">
        <f>IF(OR(E210="",G210="",I210=""),"",((G210-E210)/E210)*I210)</f>
        <v/>
      </c>
      <c r="L210" s="20">
        <f>IF(OR(F210="",H210="",J210=""),"",((H210-F210)/F210)*J210)</f>
        <v/>
      </c>
      <c r="M210" s="20">
        <f>SUM(N(K210),N(L210))</f>
        <v/>
      </c>
      <c r="N210" s="20">
        <f>N209+M210</f>
        <v/>
      </c>
    </row>
    <row r="211">
      <c r="A211" s="12" t="n"/>
      <c r="E211" s="20" t="n"/>
      <c r="F211" s="20" t="n"/>
      <c r="G211" s="20" t="n"/>
      <c r="H211" s="20" t="n"/>
      <c r="I211" s="20" t="n"/>
      <c r="J211" s="20" t="n"/>
      <c r="K211" s="20">
        <f>IF(OR(E211="",G211="",I211=""),"",((G211-E211)/E211)*I211)</f>
        <v/>
      </c>
      <c r="L211" s="20">
        <f>IF(OR(F211="",H211="",J211=""),"",((H211-F211)/F211)*J211)</f>
        <v/>
      </c>
      <c r="M211" s="20">
        <f>SUM(N(K211),N(L211))</f>
        <v/>
      </c>
      <c r="N211" s="20">
        <f>N210+M211</f>
        <v/>
      </c>
    </row>
    <row r="212">
      <c r="A212" s="12" t="n"/>
      <c r="E212" s="20" t="n"/>
      <c r="F212" s="20" t="n"/>
      <c r="G212" s="20" t="n"/>
      <c r="H212" s="20" t="n"/>
      <c r="I212" s="20" t="n"/>
      <c r="J212" s="20" t="n"/>
      <c r="K212" s="20">
        <f>IF(OR(E212="",G212="",I212=""),"",((G212-E212)/E212)*I212)</f>
        <v/>
      </c>
      <c r="L212" s="20">
        <f>IF(OR(F212="",H212="",J212=""),"",((H212-F212)/F212)*J212)</f>
        <v/>
      </c>
      <c r="M212" s="20">
        <f>SUM(N(K212),N(L212))</f>
        <v/>
      </c>
      <c r="N212" s="20">
        <f>N211+M212</f>
        <v/>
      </c>
    </row>
    <row r="213">
      <c r="A213" s="12" t="n"/>
      <c r="E213" s="20" t="n"/>
      <c r="F213" s="20" t="n"/>
      <c r="G213" s="20" t="n"/>
      <c r="H213" s="20" t="n"/>
      <c r="I213" s="20" t="n"/>
      <c r="J213" s="20" t="n"/>
      <c r="K213" s="20">
        <f>IF(OR(E213="",G213="",I213=""),"",((G213-E213)/E213)*I213)</f>
        <v/>
      </c>
      <c r="L213" s="20">
        <f>IF(OR(F213="",H213="",J213=""),"",((H213-F213)/F213)*J213)</f>
        <v/>
      </c>
      <c r="M213" s="20">
        <f>SUM(N(K213),N(L213))</f>
        <v/>
      </c>
      <c r="N213" s="20">
        <f>N212+M213</f>
        <v/>
      </c>
    </row>
    <row r="214">
      <c r="A214" s="12" t="n"/>
      <c r="E214" s="20" t="n"/>
      <c r="F214" s="20" t="n"/>
      <c r="G214" s="20" t="n"/>
      <c r="H214" s="20" t="n"/>
      <c r="I214" s="20" t="n"/>
      <c r="J214" s="20" t="n"/>
      <c r="K214" s="20">
        <f>IF(OR(E214="",G214="",I214=""),"",((G214-E214)/E214)*I214)</f>
        <v/>
      </c>
      <c r="L214" s="20">
        <f>IF(OR(F214="",H214="",J214=""),"",((H214-F214)/F214)*J214)</f>
        <v/>
      </c>
      <c r="M214" s="20">
        <f>SUM(N(K214),N(L214))</f>
        <v/>
      </c>
      <c r="N214" s="20">
        <f>N213+M214</f>
        <v/>
      </c>
    </row>
    <row r="215">
      <c r="A215" s="12" t="n"/>
      <c r="E215" s="20" t="n"/>
      <c r="F215" s="20" t="n"/>
      <c r="G215" s="20" t="n"/>
      <c r="H215" s="20" t="n"/>
      <c r="I215" s="20" t="n"/>
      <c r="J215" s="20" t="n"/>
      <c r="K215" s="20">
        <f>IF(OR(E215="",G215="",I215=""),"",((G215-E215)/E215)*I215)</f>
        <v/>
      </c>
      <c r="L215" s="20">
        <f>IF(OR(F215="",H215="",J215=""),"",((H215-F215)/F215)*J215)</f>
        <v/>
      </c>
      <c r="M215" s="20">
        <f>SUM(N(K215),N(L215))</f>
        <v/>
      </c>
      <c r="N215" s="20">
        <f>N214+M215</f>
        <v/>
      </c>
    </row>
    <row r="216">
      <c r="A216" s="12" t="n"/>
      <c r="E216" s="20" t="n"/>
      <c r="F216" s="20" t="n"/>
      <c r="G216" s="20" t="n"/>
      <c r="H216" s="20" t="n"/>
      <c r="I216" s="20" t="n"/>
      <c r="J216" s="20" t="n"/>
      <c r="K216" s="20">
        <f>IF(OR(E216="",G216="",I216=""),"",((G216-E216)/E216)*I216)</f>
        <v/>
      </c>
      <c r="L216" s="20">
        <f>IF(OR(F216="",H216="",J216=""),"",((H216-F216)/F216)*J216)</f>
        <v/>
      </c>
      <c r="M216" s="20">
        <f>SUM(N(K216),N(L216))</f>
        <v/>
      </c>
      <c r="N216" s="20">
        <f>N215+M216</f>
        <v/>
      </c>
    </row>
    <row r="217">
      <c r="A217" s="12" t="n"/>
      <c r="E217" s="20" t="n"/>
      <c r="F217" s="20" t="n"/>
      <c r="G217" s="20" t="n"/>
      <c r="H217" s="20" t="n"/>
      <c r="I217" s="20" t="n"/>
      <c r="J217" s="20" t="n"/>
      <c r="K217" s="20">
        <f>IF(OR(E217="",G217="",I217=""),"",((G217-E217)/E217)*I217)</f>
        <v/>
      </c>
      <c r="L217" s="20">
        <f>IF(OR(F217="",H217="",J217=""),"",((H217-F217)/F217)*J217)</f>
        <v/>
      </c>
      <c r="M217" s="20">
        <f>SUM(N(K217),N(L217))</f>
        <v/>
      </c>
      <c r="N217" s="20">
        <f>N216+M217</f>
        <v/>
      </c>
    </row>
    <row r="218">
      <c r="A218" s="12" t="n"/>
      <c r="E218" s="20" t="n"/>
      <c r="F218" s="20" t="n"/>
      <c r="G218" s="20" t="n"/>
      <c r="H218" s="20" t="n"/>
      <c r="I218" s="20" t="n"/>
      <c r="J218" s="20" t="n"/>
      <c r="K218" s="20">
        <f>IF(OR(E218="",G218="",I218=""),"",((G218-E218)/E218)*I218)</f>
        <v/>
      </c>
      <c r="L218" s="20">
        <f>IF(OR(F218="",H218="",J218=""),"",((H218-F218)/F218)*J218)</f>
        <v/>
      </c>
      <c r="M218" s="20">
        <f>SUM(N(K218),N(L218))</f>
        <v/>
      </c>
      <c r="N218" s="20">
        <f>N217+M218</f>
        <v/>
      </c>
    </row>
    <row r="219">
      <c r="A219" s="12" t="n"/>
      <c r="E219" s="20" t="n"/>
      <c r="F219" s="20" t="n"/>
      <c r="G219" s="20" t="n"/>
      <c r="H219" s="20" t="n"/>
      <c r="I219" s="20" t="n"/>
      <c r="J219" s="20" t="n"/>
      <c r="K219" s="20">
        <f>IF(OR(E219="",G219="",I219=""),"",((G219-E219)/E219)*I219)</f>
        <v/>
      </c>
      <c r="L219" s="20">
        <f>IF(OR(F219="",H219="",J219=""),"",((H219-F219)/F219)*J219)</f>
        <v/>
      </c>
      <c r="M219" s="20">
        <f>SUM(N(K219),N(L219))</f>
        <v/>
      </c>
      <c r="N219" s="20">
        <f>N218+M219</f>
        <v/>
      </c>
    </row>
    <row r="220">
      <c r="A220" s="12" t="n"/>
      <c r="E220" s="20" t="n"/>
      <c r="F220" s="20" t="n"/>
      <c r="G220" s="20" t="n"/>
      <c r="H220" s="20" t="n"/>
      <c r="I220" s="20" t="n"/>
      <c r="J220" s="20" t="n"/>
      <c r="K220" s="20">
        <f>IF(OR(E220="",G220="",I220=""),"",((G220-E220)/E220)*I220)</f>
        <v/>
      </c>
      <c r="L220" s="20">
        <f>IF(OR(F220="",H220="",J220=""),"",((H220-F220)/F220)*J220)</f>
        <v/>
      </c>
      <c r="M220" s="20">
        <f>SUM(N(K220),N(L220))</f>
        <v/>
      </c>
      <c r="N220" s="20">
        <f>N219+M220</f>
        <v/>
      </c>
    </row>
    <row r="221">
      <c r="A221" s="12" t="n"/>
      <c r="E221" s="20" t="n"/>
      <c r="F221" s="20" t="n"/>
      <c r="G221" s="20" t="n"/>
      <c r="H221" s="20" t="n"/>
      <c r="I221" s="20" t="n"/>
      <c r="J221" s="20" t="n"/>
      <c r="K221" s="20">
        <f>IF(OR(E221="",G221="",I221=""),"",((G221-E221)/E221)*I221)</f>
        <v/>
      </c>
      <c r="L221" s="20">
        <f>IF(OR(F221="",H221="",J221=""),"",((H221-F221)/F221)*J221)</f>
        <v/>
      </c>
      <c r="M221" s="20">
        <f>SUM(N(K221),N(L221))</f>
        <v/>
      </c>
      <c r="N221" s="20">
        <f>N220+M221</f>
        <v/>
      </c>
    </row>
    <row r="222">
      <c r="A222" s="12" t="n"/>
      <c r="E222" s="20" t="n"/>
      <c r="F222" s="20" t="n"/>
      <c r="G222" s="20" t="n"/>
      <c r="H222" s="20" t="n"/>
      <c r="I222" s="20" t="n"/>
      <c r="J222" s="20" t="n"/>
      <c r="K222" s="20">
        <f>IF(OR(E222="",G222="",I222=""),"",((G222-E222)/E222)*I222)</f>
        <v/>
      </c>
      <c r="L222" s="20">
        <f>IF(OR(F222="",H222="",J222=""),"",((H222-F222)/F222)*J222)</f>
        <v/>
      </c>
      <c r="M222" s="20">
        <f>SUM(N(K222),N(L222))</f>
        <v/>
      </c>
      <c r="N222" s="20">
        <f>N221+M222</f>
        <v/>
      </c>
    </row>
    <row r="223">
      <c r="A223" s="12" t="n"/>
      <c r="E223" s="20" t="n"/>
      <c r="F223" s="20" t="n"/>
      <c r="G223" s="20" t="n"/>
      <c r="H223" s="20" t="n"/>
      <c r="I223" s="20" t="n"/>
      <c r="J223" s="20" t="n"/>
      <c r="K223" s="20">
        <f>IF(OR(E223="",G223="",I223=""),"",((G223-E223)/E223)*I223)</f>
        <v/>
      </c>
      <c r="L223" s="20">
        <f>IF(OR(F223="",H223="",J223=""),"",((H223-F223)/F223)*J223)</f>
        <v/>
      </c>
      <c r="M223" s="20">
        <f>SUM(N(K223),N(L223))</f>
        <v/>
      </c>
      <c r="N223" s="20">
        <f>N222+M223</f>
        <v/>
      </c>
    </row>
    <row r="224">
      <c r="A224" s="12" t="n"/>
      <c r="E224" s="20" t="n"/>
      <c r="F224" s="20" t="n"/>
      <c r="G224" s="20" t="n"/>
      <c r="H224" s="20" t="n"/>
      <c r="I224" s="20" t="n"/>
      <c r="J224" s="20" t="n"/>
      <c r="K224" s="20">
        <f>IF(OR(E224="",G224="",I224=""),"",((G224-E224)/E224)*I224)</f>
        <v/>
      </c>
      <c r="L224" s="20">
        <f>IF(OR(F224="",H224="",J224=""),"",((H224-F224)/F224)*J224)</f>
        <v/>
      </c>
      <c r="M224" s="20">
        <f>SUM(N(K224),N(L224))</f>
        <v/>
      </c>
      <c r="N224" s="20">
        <f>N223+M224</f>
        <v/>
      </c>
    </row>
    <row r="225">
      <c r="A225" s="12" t="n"/>
      <c r="E225" s="20" t="n"/>
      <c r="F225" s="20" t="n"/>
      <c r="G225" s="20" t="n"/>
      <c r="H225" s="20" t="n"/>
      <c r="I225" s="20" t="n"/>
      <c r="J225" s="20" t="n"/>
      <c r="K225" s="20">
        <f>IF(OR(E225="",G225="",I225=""),"",((G225-E225)/E225)*I225)</f>
        <v/>
      </c>
      <c r="L225" s="20">
        <f>IF(OR(F225="",H225="",J225=""),"",((H225-F225)/F225)*J225)</f>
        <v/>
      </c>
      <c r="M225" s="20">
        <f>SUM(N(K225),N(L225))</f>
        <v/>
      </c>
      <c r="N225" s="20">
        <f>N224+M225</f>
        <v/>
      </c>
    </row>
    <row r="226">
      <c r="A226" s="12" t="n"/>
      <c r="E226" s="20" t="n"/>
      <c r="F226" s="20" t="n"/>
      <c r="G226" s="20" t="n"/>
      <c r="H226" s="20" t="n"/>
      <c r="I226" s="20" t="n"/>
      <c r="J226" s="20" t="n"/>
      <c r="K226" s="20">
        <f>IF(OR(E226="",G226="",I226=""),"",((G226-E226)/E226)*I226)</f>
        <v/>
      </c>
      <c r="L226" s="20">
        <f>IF(OR(F226="",H226="",J226=""),"",((H226-F226)/F226)*J226)</f>
        <v/>
      </c>
      <c r="M226" s="20">
        <f>SUM(N(K226),N(L226))</f>
        <v/>
      </c>
      <c r="N226" s="20">
        <f>N225+M226</f>
        <v/>
      </c>
    </row>
    <row r="227">
      <c r="A227" s="12" t="n"/>
      <c r="E227" s="20" t="n"/>
      <c r="F227" s="20" t="n"/>
      <c r="G227" s="20" t="n"/>
      <c r="H227" s="20" t="n"/>
      <c r="I227" s="20" t="n"/>
      <c r="J227" s="20" t="n"/>
      <c r="K227" s="20">
        <f>IF(OR(E227="",G227="",I227=""),"",((G227-E227)/E227)*I227)</f>
        <v/>
      </c>
      <c r="L227" s="20">
        <f>IF(OR(F227="",H227="",J227=""),"",((H227-F227)/F227)*J227)</f>
        <v/>
      </c>
      <c r="M227" s="20">
        <f>SUM(N(K227),N(L227))</f>
        <v/>
      </c>
      <c r="N227" s="20">
        <f>N226+M227</f>
        <v/>
      </c>
    </row>
    <row r="228">
      <c r="A228" s="12" t="n"/>
      <c r="E228" s="20" t="n"/>
      <c r="F228" s="20" t="n"/>
      <c r="G228" s="20" t="n"/>
      <c r="H228" s="20" t="n"/>
      <c r="I228" s="20" t="n"/>
      <c r="J228" s="20" t="n"/>
      <c r="K228" s="20">
        <f>IF(OR(E228="",G228="",I228=""),"",((G228-E228)/E228)*I228)</f>
        <v/>
      </c>
      <c r="L228" s="20">
        <f>IF(OR(F228="",H228="",J228=""),"",((H228-F228)/F228)*J228)</f>
        <v/>
      </c>
      <c r="M228" s="20">
        <f>SUM(N(K228),N(L228))</f>
        <v/>
      </c>
      <c r="N228" s="20">
        <f>N227+M228</f>
        <v/>
      </c>
    </row>
    <row r="229">
      <c r="A229" s="12" t="n"/>
      <c r="E229" s="20" t="n"/>
      <c r="F229" s="20" t="n"/>
      <c r="G229" s="20" t="n"/>
      <c r="H229" s="20" t="n"/>
      <c r="I229" s="20" t="n"/>
      <c r="J229" s="20" t="n"/>
      <c r="K229" s="20">
        <f>IF(OR(E229="",G229="",I229=""),"",((G229-E229)/E229)*I229)</f>
        <v/>
      </c>
      <c r="L229" s="20">
        <f>IF(OR(F229="",H229="",J229=""),"",((H229-F229)/F229)*J229)</f>
        <v/>
      </c>
      <c r="M229" s="20">
        <f>SUM(N(K229),N(L229))</f>
        <v/>
      </c>
      <c r="N229" s="20">
        <f>N228+M229</f>
        <v/>
      </c>
    </row>
    <row r="230">
      <c r="A230" s="12" t="n"/>
      <c r="E230" s="20" t="n"/>
      <c r="F230" s="20" t="n"/>
      <c r="G230" s="20" t="n"/>
      <c r="H230" s="20" t="n"/>
      <c r="I230" s="20" t="n"/>
      <c r="J230" s="20" t="n"/>
      <c r="K230" s="20">
        <f>IF(OR(E230="",G230="",I230=""),"",((G230-E230)/E230)*I230)</f>
        <v/>
      </c>
      <c r="L230" s="20">
        <f>IF(OR(F230="",H230="",J230=""),"",((H230-F230)/F230)*J230)</f>
        <v/>
      </c>
      <c r="M230" s="20">
        <f>SUM(N(K230),N(L230))</f>
        <v/>
      </c>
      <c r="N230" s="20">
        <f>N229+M230</f>
        <v/>
      </c>
    </row>
    <row r="231">
      <c r="A231" s="12" t="n"/>
      <c r="E231" s="20" t="n"/>
      <c r="F231" s="20" t="n"/>
      <c r="G231" s="20" t="n"/>
      <c r="H231" s="20" t="n"/>
      <c r="I231" s="20" t="n"/>
      <c r="J231" s="20" t="n"/>
      <c r="K231" s="20">
        <f>IF(OR(E231="",G231="",I231=""),"",((G231-E231)/E231)*I231)</f>
        <v/>
      </c>
      <c r="L231" s="20">
        <f>IF(OR(F231="",H231="",J231=""),"",((H231-F231)/F231)*J231)</f>
        <v/>
      </c>
      <c r="M231" s="20">
        <f>SUM(N(K231),N(L231))</f>
        <v/>
      </c>
      <c r="N231" s="20">
        <f>N230+M231</f>
        <v/>
      </c>
    </row>
    <row r="232">
      <c r="A232" s="12" t="n"/>
      <c r="E232" s="20" t="n"/>
      <c r="F232" s="20" t="n"/>
      <c r="G232" s="20" t="n"/>
      <c r="H232" s="20" t="n"/>
      <c r="I232" s="20" t="n"/>
      <c r="J232" s="20" t="n"/>
      <c r="K232" s="20">
        <f>IF(OR(E232="",G232="",I232=""),"",((G232-E232)/E232)*I232)</f>
        <v/>
      </c>
      <c r="L232" s="20">
        <f>IF(OR(F232="",H232="",J232=""),"",((H232-F232)/F232)*J232)</f>
        <v/>
      </c>
      <c r="M232" s="20">
        <f>SUM(N(K232),N(L232))</f>
        <v/>
      </c>
      <c r="N232" s="20">
        <f>N231+M232</f>
        <v/>
      </c>
    </row>
    <row r="233">
      <c r="A233" s="12" t="n"/>
      <c r="E233" s="20" t="n"/>
      <c r="F233" s="20" t="n"/>
      <c r="G233" s="20" t="n"/>
      <c r="H233" s="20" t="n"/>
      <c r="I233" s="20" t="n"/>
      <c r="J233" s="20" t="n"/>
      <c r="K233" s="20">
        <f>IF(OR(E233="",G233="",I233=""),"",((G233-E233)/E233)*I233)</f>
        <v/>
      </c>
      <c r="L233" s="20">
        <f>IF(OR(F233="",H233="",J233=""),"",((H233-F233)/F233)*J233)</f>
        <v/>
      </c>
      <c r="M233" s="20">
        <f>SUM(N(K233),N(L233))</f>
        <v/>
      </c>
      <c r="N233" s="20">
        <f>N232+M233</f>
        <v/>
      </c>
    </row>
    <row r="234">
      <c r="A234" s="12" t="n"/>
      <c r="E234" s="20" t="n"/>
      <c r="F234" s="20" t="n"/>
      <c r="G234" s="20" t="n"/>
      <c r="H234" s="20" t="n"/>
      <c r="I234" s="20" t="n"/>
      <c r="J234" s="20" t="n"/>
      <c r="K234" s="20">
        <f>IF(OR(E234="",G234="",I234=""),"",((G234-E234)/E234)*I234)</f>
        <v/>
      </c>
      <c r="L234" s="20">
        <f>IF(OR(F234="",H234="",J234=""),"",((H234-F234)/F234)*J234)</f>
        <v/>
      </c>
      <c r="M234" s="20">
        <f>SUM(N(K234),N(L234))</f>
        <v/>
      </c>
      <c r="N234" s="20">
        <f>N233+M234</f>
        <v/>
      </c>
    </row>
    <row r="235">
      <c r="A235" s="12" t="n"/>
      <c r="E235" s="20" t="n"/>
      <c r="F235" s="20" t="n"/>
      <c r="G235" s="20" t="n"/>
      <c r="H235" s="20" t="n"/>
      <c r="I235" s="20" t="n"/>
      <c r="J235" s="20" t="n"/>
      <c r="K235" s="20">
        <f>IF(OR(E235="",G235="",I235=""),"",((G235-E235)/E235)*I235)</f>
        <v/>
      </c>
      <c r="L235" s="20">
        <f>IF(OR(F235="",H235="",J235=""),"",((H235-F235)/F235)*J235)</f>
        <v/>
      </c>
      <c r="M235" s="20">
        <f>SUM(N(K235),N(L235))</f>
        <v/>
      </c>
      <c r="N235" s="20">
        <f>N234+M235</f>
        <v/>
      </c>
    </row>
    <row r="236">
      <c r="A236" s="12" t="n"/>
      <c r="E236" s="20" t="n"/>
      <c r="F236" s="20" t="n"/>
      <c r="G236" s="20" t="n"/>
      <c r="H236" s="20" t="n"/>
      <c r="I236" s="20" t="n"/>
      <c r="J236" s="20" t="n"/>
      <c r="K236" s="20">
        <f>IF(OR(E236="",G236="",I236=""),"",((G236-E236)/E236)*I236)</f>
        <v/>
      </c>
      <c r="L236" s="20">
        <f>IF(OR(F236="",H236="",J236=""),"",((H236-F236)/F236)*J236)</f>
        <v/>
      </c>
      <c r="M236" s="20">
        <f>SUM(N(K236),N(L236))</f>
        <v/>
      </c>
      <c r="N236" s="20">
        <f>N235+M236</f>
        <v/>
      </c>
    </row>
    <row r="237">
      <c r="A237" s="12" t="n"/>
      <c r="E237" s="20" t="n"/>
      <c r="F237" s="20" t="n"/>
      <c r="G237" s="20" t="n"/>
      <c r="H237" s="20" t="n"/>
      <c r="I237" s="20" t="n"/>
      <c r="J237" s="20" t="n"/>
      <c r="K237" s="20">
        <f>IF(OR(E237="",G237="",I237=""),"",((G237-E237)/E237)*I237)</f>
        <v/>
      </c>
      <c r="L237" s="20">
        <f>IF(OR(F237="",H237="",J237=""),"",((H237-F237)/F237)*J237)</f>
        <v/>
      </c>
      <c r="M237" s="20">
        <f>SUM(N(K237),N(L237))</f>
        <v/>
      </c>
      <c r="N237" s="20">
        <f>N236+M237</f>
        <v/>
      </c>
    </row>
    <row r="238">
      <c r="A238" s="12" t="n"/>
      <c r="E238" s="20" t="n"/>
      <c r="F238" s="20" t="n"/>
      <c r="G238" s="20" t="n"/>
      <c r="H238" s="20" t="n"/>
      <c r="I238" s="20" t="n"/>
      <c r="J238" s="20" t="n"/>
      <c r="K238" s="20">
        <f>IF(OR(E238="",G238="",I238=""),"",((G238-E238)/E238)*I238)</f>
        <v/>
      </c>
      <c r="L238" s="20">
        <f>IF(OR(F238="",H238="",J238=""),"",((H238-F238)/F238)*J238)</f>
        <v/>
      </c>
      <c r="M238" s="20">
        <f>SUM(N(K238),N(L238))</f>
        <v/>
      </c>
      <c r="N238" s="20">
        <f>N237+M238</f>
        <v/>
      </c>
    </row>
    <row r="239">
      <c r="A239" s="12" t="n"/>
      <c r="E239" s="20" t="n"/>
      <c r="F239" s="20" t="n"/>
      <c r="G239" s="20" t="n"/>
      <c r="H239" s="20" t="n"/>
      <c r="I239" s="20" t="n"/>
      <c r="J239" s="20" t="n"/>
      <c r="K239" s="20">
        <f>IF(OR(E239="",G239="",I239=""),"",((G239-E239)/E239)*I239)</f>
        <v/>
      </c>
      <c r="L239" s="20">
        <f>IF(OR(F239="",H239="",J239=""),"",((H239-F239)/F239)*J239)</f>
        <v/>
      </c>
      <c r="M239" s="20">
        <f>SUM(N(K239),N(L239))</f>
        <v/>
      </c>
      <c r="N239" s="20">
        <f>N238+M239</f>
        <v/>
      </c>
    </row>
    <row r="240">
      <c r="A240" s="12" t="n"/>
      <c r="E240" s="20" t="n"/>
      <c r="F240" s="20" t="n"/>
      <c r="G240" s="20" t="n"/>
      <c r="H240" s="20" t="n"/>
      <c r="I240" s="20" t="n"/>
      <c r="J240" s="20" t="n"/>
      <c r="K240" s="20">
        <f>IF(OR(E240="",G240="",I240=""),"",((G240-E240)/E240)*I240)</f>
        <v/>
      </c>
      <c r="L240" s="20">
        <f>IF(OR(F240="",H240="",J240=""),"",((H240-F240)/F240)*J240)</f>
        <v/>
      </c>
      <c r="M240" s="20">
        <f>SUM(N(K240),N(L240))</f>
        <v/>
      </c>
      <c r="N240" s="20">
        <f>N239+M240</f>
        <v/>
      </c>
    </row>
    <row r="241">
      <c r="A241" s="12" t="n"/>
      <c r="E241" s="20" t="n"/>
      <c r="F241" s="20" t="n"/>
      <c r="G241" s="20" t="n"/>
      <c r="H241" s="20" t="n"/>
      <c r="I241" s="20" t="n"/>
      <c r="J241" s="20" t="n"/>
      <c r="K241" s="20">
        <f>IF(OR(E241="",G241="",I241=""),"",((G241-E241)/E241)*I241)</f>
        <v/>
      </c>
      <c r="L241" s="20">
        <f>IF(OR(F241="",H241="",J241=""),"",((H241-F241)/F241)*J241)</f>
        <v/>
      </c>
      <c r="M241" s="20">
        <f>SUM(N(K241),N(L241))</f>
        <v/>
      </c>
      <c r="N241" s="20">
        <f>N240+M241</f>
        <v/>
      </c>
    </row>
    <row r="242">
      <c r="A242" s="12" t="n"/>
      <c r="E242" s="20" t="n"/>
      <c r="F242" s="20" t="n"/>
      <c r="G242" s="20" t="n"/>
      <c r="H242" s="20" t="n"/>
      <c r="I242" s="20" t="n"/>
      <c r="J242" s="20" t="n"/>
      <c r="K242" s="20">
        <f>IF(OR(E242="",G242="",I242=""),"",((G242-E242)/E242)*I242)</f>
        <v/>
      </c>
      <c r="L242" s="20">
        <f>IF(OR(F242="",H242="",J242=""),"",((H242-F242)/F242)*J242)</f>
        <v/>
      </c>
      <c r="M242" s="20">
        <f>SUM(N(K242),N(L242))</f>
        <v/>
      </c>
      <c r="N242" s="20">
        <f>N241+M242</f>
        <v/>
      </c>
    </row>
    <row r="243">
      <c r="A243" s="12" t="n"/>
      <c r="E243" s="20" t="n"/>
      <c r="F243" s="20" t="n"/>
      <c r="G243" s="20" t="n"/>
      <c r="H243" s="20" t="n"/>
      <c r="I243" s="20" t="n"/>
      <c r="J243" s="20" t="n"/>
      <c r="K243" s="20">
        <f>IF(OR(E243="",G243="",I243=""),"",((G243-E243)/E243)*I243)</f>
        <v/>
      </c>
      <c r="L243" s="20">
        <f>IF(OR(F243="",H243="",J243=""),"",((H243-F243)/F243)*J243)</f>
        <v/>
      </c>
      <c r="M243" s="20">
        <f>SUM(N(K243),N(L243))</f>
        <v/>
      </c>
      <c r="N243" s="20">
        <f>N242+M243</f>
        <v/>
      </c>
    </row>
    <row r="244">
      <c r="A244" s="12" t="n"/>
      <c r="E244" s="20" t="n"/>
      <c r="F244" s="20" t="n"/>
      <c r="G244" s="20" t="n"/>
      <c r="H244" s="20" t="n"/>
      <c r="I244" s="20" t="n"/>
      <c r="J244" s="20" t="n"/>
      <c r="K244" s="20">
        <f>IF(OR(E244="",G244="",I244=""),"",((G244-E244)/E244)*I244)</f>
        <v/>
      </c>
      <c r="L244" s="20">
        <f>IF(OR(F244="",H244="",J244=""),"",((H244-F244)/F244)*J244)</f>
        <v/>
      </c>
      <c r="M244" s="20">
        <f>SUM(N(K244),N(L244))</f>
        <v/>
      </c>
      <c r="N244" s="20">
        <f>N243+M244</f>
        <v/>
      </c>
    </row>
    <row r="245">
      <c r="A245" s="12" t="n"/>
      <c r="E245" s="20" t="n"/>
      <c r="F245" s="20" t="n"/>
      <c r="G245" s="20" t="n"/>
      <c r="H245" s="20" t="n"/>
      <c r="I245" s="20" t="n"/>
      <c r="J245" s="20" t="n"/>
      <c r="K245" s="20">
        <f>IF(OR(E245="",G245="",I245=""),"",((G245-E245)/E245)*I245)</f>
        <v/>
      </c>
      <c r="L245" s="20">
        <f>IF(OR(F245="",H245="",J245=""),"",((H245-F245)/F245)*J245)</f>
        <v/>
      </c>
      <c r="M245" s="20">
        <f>SUM(N(K245),N(L245))</f>
        <v/>
      </c>
      <c r="N245" s="20">
        <f>N244+M245</f>
        <v/>
      </c>
    </row>
    <row r="246">
      <c r="A246" s="12" t="n"/>
      <c r="E246" s="20" t="n"/>
      <c r="F246" s="20" t="n"/>
      <c r="G246" s="20" t="n"/>
      <c r="H246" s="20" t="n"/>
      <c r="I246" s="20" t="n"/>
      <c r="J246" s="20" t="n"/>
      <c r="K246" s="20">
        <f>IF(OR(E246="",G246="",I246=""),"",((G246-E246)/E246)*I246)</f>
        <v/>
      </c>
      <c r="L246" s="20">
        <f>IF(OR(F246="",H246="",J246=""),"",((H246-F246)/F246)*J246)</f>
        <v/>
      </c>
      <c r="M246" s="20">
        <f>SUM(N(K246),N(L246))</f>
        <v/>
      </c>
      <c r="N246" s="20">
        <f>N245+M246</f>
        <v/>
      </c>
    </row>
    <row r="247">
      <c r="A247" s="12" t="n"/>
      <c r="E247" s="20" t="n"/>
      <c r="F247" s="20" t="n"/>
      <c r="G247" s="20" t="n"/>
      <c r="H247" s="20" t="n"/>
      <c r="I247" s="20" t="n"/>
      <c r="J247" s="20" t="n"/>
      <c r="K247" s="20">
        <f>IF(OR(E247="",G247="",I247=""),"",((G247-E247)/E247)*I247)</f>
        <v/>
      </c>
      <c r="L247" s="20">
        <f>IF(OR(F247="",H247="",J247=""),"",((H247-F247)/F247)*J247)</f>
        <v/>
      </c>
      <c r="M247" s="20">
        <f>SUM(N(K247),N(L247))</f>
        <v/>
      </c>
      <c r="N247" s="20">
        <f>N246+M247</f>
        <v/>
      </c>
    </row>
    <row r="248">
      <c r="A248" s="12" t="n"/>
      <c r="E248" s="20" t="n"/>
      <c r="F248" s="20" t="n"/>
      <c r="G248" s="20" t="n"/>
      <c r="H248" s="20" t="n"/>
      <c r="I248" s="20" t="n"/>
      <c r="J248" s="20" t="n"/>
      <c r="K248" s="20">
        <f>IF(OR(E248="",G248="",I248=""),"",((G248-E248)/E248)*I248)</f>
        <v/>
      </c>
      <c r="L248" s="20">
        <f>IF(OR(F248="",H248="",J248=""),"",((H248-F248)/F248)*J248)</f>
        <v/>
      </c>
      <c r="M248" s="20">
        <f>SUM(N(K248),N(L248))</f>
        <v/>
      </c>
      <c r="N248" s="20">
        <f>N247+M248</f>
        <v/>
      </c>
    </row>
    <row r="249">
      <c r="A249" s="12" t="n"/>
      <c r="E249" s="20" t="n"/>
      <c r="F249" s="20" t="n"/>
      <c r="G249" s="20" t="n"/>
      <c r="H249" s="20" t="n"/>
      <c r="I249" s="20" t="n"/>
      <c r="J249" s="20" t="n"/>
      <c r="K249" s="20">
        <f>IF(OR(E249="",G249="",I249=""),"",((G249-E249)/E249)*I249)</f>
        <v/>
      </c>
      <c r="L249" s="20">
        <f>IF(OR(F249="",H249="",J249=""),"",((H249-F249)/F249)*J249)</f>
        <v/>
      </c>
      <c r="M249" s="20">
        <f>SUM(N(K249),N(L249))</f>
        <v/>
      </c>
      <c r="N249" s="20">
        <f>N248+M249</f>
        <v/>
      </c>
    </row>
    <row r="250">
      <c r="A250" s="12" t="n"/>
      <c r="E250" s="20" t="n"/>
      <c r="F250" s="20" t="n"/>
      <c r="G250" s="20" t="n"/>
      <c r="H250" s="20" t="n"/>
      <c r="I250" s="20" t="n"/>
      <c r="J250" s="20" t="n"/>
      <c r="K250" s="20">
        <f>IF(OR(E250="",G250="",I250=""),"",((G250-E250)/E250)*I250)</f>
        <v/>
      </c>
      <c r="L250" s="20">
        <f>IF(OR(F250="",H250="",J250=""),"",((H250-F250)/F250)*J250)</f>
        <v/>
      </c>
      <c r="M250" s="20">
        <f>SUM(N(K250),N(L250))</f>
        <v/>
      </c>
      <c r="N250" s="20">
        <f>N249+M250</f>
        <v/>
      </c>
    </row>
    <row r="251">
      <c r="A251" s="12" t="n"/>
      <c r="E251" s="20" t="n"/>
      <c r="F251" s="20" t="n"/>
      <c r="G251" s="20" t="n"/>
      <c r="H251" s="20" t="n"/>
      <c r="I251" s="20" t="n"/>
      <c r="J251" s="20" t="n"/>
      <c r="K251" s="20">
        <f>IF(OR(E251="",G251="",I251=""),"",((G251-E251)/E251)*I251)</f>
        <v/>
      </c>
      <c r="L251" s="20">
        <f>IF(OR(F251="",H251="",J251=""),"",((H251-F251)/F251)*J251)</f>
        <v/>
      </c>
      <c r="M251" s="20">
        <f>SUM(N(K251),N(L251))</f>
        <v/>
      </c>
      <c r="N251" s="20">
        <f>N250+M251</f>
        <v/>
      </c>
    </row>
    <row r="252">
      <c r="A252" s="12" t="n"/>
      <c r="E252" s="20" t="n"/>
      <c r="F252" s="20" t="n"/>
      <c r="G252" s="20" t="n"/>
      <c r="H252" s="20" t="n"/>
      <c r="I252" s="20" t="n"/>
      <c r="J252" s="20" t="n"/>
      <c r="K252" s="20">
        <f>IF(OR(E252="",G252="",I252=""),"",((G252-E252)/E252)*I252)</f>
        <v/>
      </c>
      <c r="L252" s="20">
        <f>IF(OR(F252="",H252="",J252=""),"",((H252-F252)/F252)*J252)</f>
        <v/>
      </c>
      <c r="M252" s="20">
        <f>SUM(N(K252),N(L252))</f>
        <v/>
      </c>
      <c r="N252" s="20">
        <f>N251+M252</f>
        <v/>
      </c>
    </row>
    <row r="253">
      <c r="A253" s="12" t="n"/>
      <c r="E253" s="20" t="n"/>
      <c r="F253" s="20" t="n"/>
      <c r="G253" s="20" t="n"/>
      <c r="H253" s="20" t="n"/>
      <c r="I253" s="20" t="n"/>
      <c r="J253" s="20" t="n"/>
      <c r="K253" s="20">
        <f>IF(OR(E253="",G253="",I253=""),"",((G253-E253)/E253)*I253)</f>
        <v/>
      </c>
      <c r="L253" s="20">
        <f>IF(OR(F253="",H253="",J253=""),"",((H253-F253)/F253)*J253)</f>
        <v/>
      </c>
      <c r="M253" s="20">
        <f>SUM(N(K253),N(L253))</f>
        <v/>
      </c>
      <c r="N253" s="20">
        <f>N252+M253</f>
        <v/>
      </c>
    </row>
    <row r="254">
      <c r="A254" s="12" t="n"/>
      <c r="E254" s="20" t="n"/>
      <c r="F254" s="20" t="n"/>
      <c r="G254" s="20" t="n"/>
      <c r="H254" s="20" t="n"/>
      <c r="I254" s="20" t="n"/>
      <c r="J254" s="20" t="n"/>
      <c r="K254" s="20">
        <f>IF(OR(E254="",G254="",I254=""),"",((G254-E254)/E254)*I254)</f>
        <v/>
      </c>
      <c r="L254" s="20">
        <f>IF(OR(F254="",H254="",J254=""),"",((H254-F254)/F254)*J254)</f>
        <v/>
      </c>
      <c r="M254" s="20">
        <f>SUM(N(K254),N(L254))</f>
        <v/>
      </c>
      <c r="N254" s="20">
        <f>N253+M254</f>
        <v/>
      </c>
    </row>
    <row r="255">
      <c r="A255" s="12" t="n"/>
      <c r="E255" s="20" t="n"/>
      <c r="F255" s="20" t="n"/>
      <c r="G255" s="20" t="n"/>
      <c r="H255" s="20" t="n"/>
      <c r="I255" s="20" t="n"/>
      <c r="J255" s="20" t="n"/>
      <c r="K255" s="20">
        <f>IF(OR(E255="",G255="",I255=""),"",((G255-E255)/E255)*I255)</f>
        <v/>
      </c>
      <c r="L255" s="20">
        <f>IF(OR(F255="",H255="",J255=""),"",((H255-F255)/F255)*J255)</f>
        <v/>
      </c>
      <c r="M255" s="20">
        <f>SUM(N(K255),N(L255))</f>
        <v/>
      </c>
      <c r="N255" s="20">
        <f>N254+M255</f>
        <v/>
      </c>
    </row>
    <row r="256">
      <c r="A256" s="12" t="n"/>
      <c r="E256" s="20" t="n"/>
      <c r="F256" s="20" t="n"/>
      <c r="G256" s="20" t="n"/>
      <c r="H256" s="20" t="n"/>
      <c r="I256" s="20" t="n"/>
      <c r="J256" s="20" t="n"/>
      <c r="K256" s="20">
        <f>IF(OR(E256="",G256="",I256=""),"",((G256-E256)/E256)*I256)</f>
        <v/>
      </c>
      <c r="L256" s="20">
        <f>IF(OR(F256="",H256="",J256=""),"",((H256-F256)/F256)*J256)</f>
        <v/>
      </c>
      <c r="M256" s="20">
        <f>SUM(N(K256),N(L256))</f>
        <v/>
      </c>
      <c r="N256" s="20">
        <f>N255+M256</f>
        <v/>
      </c>
    </row>
    <row r="257">
      <c r="A257" s="12" t="n"/>
      <c r="E257" s="20" t="n"/>
      <c r="F257" s="20" t="n"/>
      <c r="G257" s="20" t="n"/>
      <c r="H257" s="20" t="n"/>
      <c r="I257" s="20" t="n"/>
      <c r="J257" s="20" t="n"/>
      <c r="K257" s="20">
        <f>IF(OR(E257="",G257="",I257=""),"",((G257-E257)/E257)*I257)</f>
        <v/>
      </c>
      <c r="L257" s="20">
        <f>IF(OR(F257="",H257="",J257=""),"",((H257-F257)/F257)*J257)</f>
        <v/>
      </c>
      <c r="M257" s="20">
        <f>SUM(N(K257),N(L257))</f>
        <v/>
      </c>
      <c r="N257" s="20">
        <f>N256+M257</f>
        <v/>
      </c>
    </row>
    <row r="258">
      <c r="A258" s="12" t="n"/>
      <c r="E258" s="20" t="n"/>
      <c r="F258" s="20" t="n"/>
      <c r="G258" s="20" t="n"/>
      <c r="H258" s="20" t="n"/>
      <c r="I258" s="20" t="n"/>
      <c r="J258" s="20" t="n"/>
      <c r="K258" s="20">
        <f>IF(OR(E258="",G258="",I258=""),"",((G258-E258)/E258)*I258)</f>
        <v/>
      </c>
      <c r="L258" s="20">
        <f>IF(OR(F258="",H258="",J258=""),"",((H258-F258)/F258)*J258)</f>
        <v/>
      </c>
      <c r="M258" s="20">
        <f>SUM(N(K258),N(L258))</f>
        <v/>
      </c>
      <c r="N258" s="20">
        <f>N257+M258</f>
        <v/>
      </c>
    </row>
    <row r="259">
      <c r="A259" s="12" t="n"/>
      <c r="E259" s="20" t="n"/>
      <c r="F259" s="20" t="n"/>
      <c r="G259" s="20" t="n"/>
      <c r="H259" s="20" t="n"/>
      <c r="I259" s="20" t="n"/>
      <c r="J259" s="20" t="n"/>
      <c r="K259" s="20">
        <f>IF(OR(E259="",G259="",I259=""),"",((G259-E259)/E259)*I259)</f>
        <v/>
      </c>
      <c r="L259" s="20">
        <f>IF(OR(F259="",H259="",J259=""),"",((H259-F259)/F259)*J259)</f>
        <v/>
      </c>
      <c r="M259" s="20">
        <f>SUM(N(K259),N(L259))</f>
        <v/>
      </c>
      <c r="N259" s="20">
        <f>N258+M259</f>
        <v/>
      </c>
    </row>
    <row r="260">
      <c r="A260" s="12" t="n"/>
      <c r="E260" s="20" t="n"/>
      <c r="F260" s="20" t="n"/>
      <c r="G260" s="20" t="n"/>
      <c r="H260" s="20" t="n"/>
      <c r="I260" s="20" t="n"/>
      <c r="J260" s="20" t="n"/>
      <c r="K260" s="20">
        <f>IF(OR(E260="",G260="",I260=""),"",((G260-E260)/E260)*I260)</f>
        <v/>
      </c>
      <c r="L260" s="20">
        <f>IF(OR(F260="",H260="",J260=""),"",((H260-F260)/F260)*J260)</f>
        <v/>
      </c>
      <c r="M260" s="20">
        <f>SUM(N(K260),N(L260))</f>
        <v/>
      </c>
      <c r="N260" s="20">
        <f>N259+M260</f>
        <v/>
      </c>
    </row>
    <row r="261">
      <c r="A261" s="12" t="n"/>
      <c r="E261" s="20" t="n"/>
      <c r="F261" s="20" t="n"/>
      <c r="G261" s="20" t="n"/>
      <c r="H261" s="20" t="n"/>
      <c r="I261" s="20" t="n"/>
      <c r="J261" s="20" t="n"/>
      <c r="K261" s="20">
        <f>IF(OR(E261="",G261="",I261=""),"",((G261-E261)/E261)*I261)</f>
        <v/>
      </c>
      <c r="L261" s="20">
        <f>IF(OR(F261="",H261="",J261=""),"",((H261-F261)/F261)*J261)</f>
        <v/>
      </c>
      <c r="M261" s="20">
        <f>SUM(N(K261),N(L261))</f>
        <v/>
      </c>
      <c r="N261" s="20">
        <f>N260+M261</f>
        <v/>
      </c>
    </row>
    <row r="262">
      <c r="A262" s="12" t="n"/>
      <c r="E262" s="20" t="n"/>
      <c r="F262" s="20" t="n"/>
      <c r="G262" s="20" t="n"/>
      <c r="H262" s="20" t="n"/>
      <c r="I262" s="20" t="n"/>
      <c r="J262" s="20" t="n"/>
      <c r="K262" s="20">
        <f>IF(OR(E262="",G262="",I262=""),"",((G262-E262)/E262)*I262)</f>
        <v/>
      </c>
      <c r="L262" s="20">
        <f>IF(OR(F262="",H262="",J262=""),"",((H262-F262)/F262)*J262)</f>
        <v/>
      </c>
      <c r="M262" s="20">
        <f>SUM(N(K262),N(L262))</f>
        <v/>
      </c>
      <c r="N262" s="20">
        <f>N261+M262</f>
        <v/>
      </c>
    </row>
    <row r="263">
      <c r="A263" s="12" t="n"/>
      <c r="E263" s="20" t="n"/>
      <c r="F263" s="20" t="n"/>
      <c r="G263" s="20" t="n"/>
      <c r="H263" s="20" t="n"/>
      <c r="I263" s="20" t="n"/>
      <c r="J263" s="20" t="n"/>
      <c r="K263" s="20">
        <f>IF(OR(E263="",G263="",I263=""),"",((G263-E263)/E263)*I263)</f>
        <v/>
      </c>
      <c r="L263" s="20">
        <f>IF(OR(F263="",H263="",J263=""),"",((H263-F263)/F263)*J263)</f>
        <v/>
      </c>
      <c r="M263" s="20">
        <f>SUM(N(K263),N(L263))</f>
        <v/>
      </c>
      <c r="N263" s="20">
        <f>N262+M263</f>
        <v/>
      </c>
    </row>
    <row r="264">
      <c r="A264" s="12" t="n"/>
      <c r="E264" s="20" t="n"/>
      <c r="F264" s="20" t="n"/>
      <c r="G264" s="20" t="n"/>
      <c r="H264" s="20" t="n"/>
      <c r="I264" s="20" t="n"/>
      <c r="J264" s="20" t="n"/>
      <c r="K264" s="20">
        <f>IF(OR(E264="",G264="",I264=""),"",((G264-E264)/E264)*I264)</f>
        <v/>
      </c>
      <c r="L264" s="20">
        <f>IF(OR(F264="",H264="",J264=""),"",((H264-F264)/F264)*J264)</f>
        <v/>
      </c>
      <c r="M264" s="20">
        <f>SUM(N(K264),N(L264))</f>
        <v/>
      </c>
      <c r="N264" s="20">
        <f>N263+M264</f>
        <v/>
      </c>
    </row>
    <row r="265">
      <c r="A265" s="12" t="n"/>
      <c r="E265" s="20" t="n"/>
      <c r="F265" s="20" t="n"/>
      <c r="G265" s="20" t="n"/>
      <c r="H265" s="20" t="n"/>
      <c r="I265" s="20" t="n"/>
      <c r="J265" s="20" t="n"/>
      <c r="K265" s="20">
        <f>IF(OR(E265="",G265="",I265=""),"",((G265-E265)/E265)*I265)</f>
        <v/>
      </c>
      <c r="L265" s="20">
        <f>IF(OR(F265="",H265="",J265=""),"",((H265-F265)/F265)*J265)</f>
        <v/>
      </c>
      <c r="M265" s="20">
        <f>SUM(N(K265),N(L265))</f>
        <v/>
      </c>
      <c r="N265" s="20">
        <f>N264+M265</f>
        <v/>
      </c>
    </row>
    <row r="266">
      <c r="A266" s="12" t="n"/>
      <c r="E266" s="20" t="n"/>
      <c r="F266" s="20" t="n"/>
      <c r="G266" s="20" t="n"/>
      <c r="H266" s="20" t="n"/>
      <c r="I266" s="20" t="n"/>
      <c r="J266" s="20" t="n"/>
      <c r="K266" s="20">
        <f>IF(OR(E266="",G266="",I266=""),"",((G266-E266)/E266)*I266)</f>
        <v/>
      </c>
      <c r="L266" s="20">
        <f>IF(OR(F266="",H266="",J266=""),"",((H266-F266)/F266)*J266)</f>
        <v/>
      </c>
      <c r="M266" s="20">
        <f>SUM(N(K266),N(L266))</f>
        <v/>
      </c>
      <c r="N266" s="20">
        <f>N265+M266</f>
        <v/>
      </c>
    </row>
    <row r="267">
      <c r="A267" s="12" t="n"/>
      <c r="E267" s="20" t="n"/>
      <c r="F267" s="20" t="n"/>
      <c r="G267" s="20" t="n"/>
      <c r="H267" s="20" t="n"/>
      <c r="I267" s="20" t="n"/>
      <c r="J267" s="20" t="n"/>
      <c r="K267" s="20">
        <f>IF(OR(E267="",G267="",I267=""),"",((G267-E267)/E267)*I267)</f>
        <v/>
      </c>
      <c r="L267" s="20">
        <f>IF(OR(F267="",H267="",J267=""),"",((H267-F267)/F267)*J267)</f>
        <v/>
      </c>
      <c r="M267" s="20">
        <f>SUM(N(K267),N(L267))</f>
        <v/>
      </c>
      <c r="N267" s="20">
        <f>N266+M267</f>
        <v/>
      </c>
    </row>
    <row r="268">
      <c r="A268" s="12" t="n"/>
      <c r="E268" s="20" t="n"/>
      <c r="F268" s="20" t="n"/>
      <c r="G268" s="20" t="n"/>
      <c r="H268" s="20" t="n"/>
      <c r="I268" s="20" t="n"/>
      <c r="J268" s="20" t="n"/>
      <c r="K268" s="20">
        <f>IF(OR(E268="",G268="",I268=""),"",((G268-E268)/E268)*I268)</f>
        <v/>
      </c>
      <c r="L268" s="20">
        <f>IF(OR(F268="",H268="",J268=""),"",((H268-F268)/F268)*J268)</f>
        <v/>
      </c>
      <c r="M268" s="20">
        <f>SUM(N(K268),N(L268))</f>
        <v/>
      </c>
      <c r="N268" s="20">
        <f>N267+M268</f>
        <v/>
      </c>
    </row>
    <row r="269">
      <c r="A269" s="12" t="n"/>
      <c r="E269" s="20" t="n"/>
      <c r="F269" s="20" t="n"/>
      <c r="G269" s="20" t="n"/>
      <c r="H269" s="20" t="n"/>
      <c r="I269" s="20" t="n"/>
      <c r="J269" s="20" t="n"/>
      <c r="K269" s="20">
        <f>IF(OR(E269="",G269="",I269=""),"",((G269-E269)/E269)*I269)</f>
        <v/>
      </c>
      <c r="L269" s="20">
        <f>IF(OR(F269="",H269="",J269=""),"",((H269-F269)/F269)*J269)</f>
        <v/>
      </c>
      <c r="M269" s="20">
        <f>SUM(N(K269),N(L269))</f>
        <v/>
      </c>
      <c r="N269" s="20">
        <f>N268+M269</f>
        <v/>
      </c>
    </row>
    <row r="270">
      <c r="A270" s="12" t="n"/>
      <c r="E270" s="20" t="n"/>
      <c r="F270" s="20" t="n"/>
      <c r="G270" s="20" t="n"/>
      <c r="H270" s="20" t="n"/>
      <c r="I270" s="20" t="n"/>
      <c r="J270" s="20" t="n"/>
      <c r="K270" s="20">
        <f>IF(OR(E270="",G270="",I270=""),"",((G270-E270)/E270)*I270)</f>
        <v/>
      </c>
      <c r="L270" s="20">
        <f>IF(OR(F270="",H270="",J270=""),"",((H270-F270)/F270)*J270)</f>
        <v/>
      </c>
      <c r="M270" s="20">
        <f>SUM(N(K270),N(L270))</f>
        <v/>
      </c>
      <c r="N270" s="20">
        <f>N269+M270</f>
        <v/>
      </c>
    </row>
    <row r="271">
      <c r="A271" s="12" t="n"/>
      <c r="E271" s="20" t="n"/>
      <c r="F271" s="20" t="n"/>
      <c r="G271" s="20" t="n"/>
      <c r="H271" s="20" t="n"/>
      <c r="I271" s="20" t="n"/>
      <c r="J271" s="20" t="n"/>
      <c r="K271" s="20">
        <f>IF(OR(E271="",G271="",I271=""),"",((G271-E271)/E271)*I271)</f>
        <v/>
      </c>
      <c r="L271" s="20">
        <f>IF(OR(F271="",H271="",J271=""),"",((H271-F271)/F271)*J271)</f>
        <v/>
      </c>
      <c r="M271" s="20">
        <f>SUM(N(K271),N(L271))</f>
        <v/>
      </c>
      <c r="N271" s="20">
        <f>N270+M271</f>
        <v/>
      </c>
    </row>
    <row r="272">
      <c r="A272" s="12" t="n"/>
      <c r="E272" s="20" t="n"/>
      <c r="F272" s="20" t="n"/>
      <c r="G272" s="20" t="n"/>
      <c r="H272" s="20" t="n"/>
      <c r="I272" s="20" t="n"/>
      <c r="J272" s="20" t="n"/>
      <c r="K272" s="20">
        <f>IF(OR(E272="",G272="",I272=""),"",((G272-E272)/E272)*I272)</f>
        <v/>
      </c>
      <c r="L272" s="20">
        <f>IF(OR(F272="",H272="",J272=""),"",((H272-F272)/F272)*J272)</f>
        <v/>
      </c>
      <c r="M272" s="20">
        <f>SUM(N(K272),N(L272))</f>
        <v/>
      </c>
      <c r="N272" s="20">
        <f>N271+M272</f>
        <v/>
      </c>
    </row>
    <row r="273">
      <c r="A273" s="12" t="n"/>
      <c r="E273" s="20" t="n"/>
      <c r="F273" s="20" t="n"/>
      <c r="G273" s="20" t="n"/>
      <c r="H273" s="20" t="n"/>
      <c r="I273" s="20" t="n"/>
      <c r="J273" s="20" t="n"/>
      <c r="K273" s="20">
        <f>IF(OR(E273="",G273="",I273=""),"",((G273-E273)/E273)*I273)</f>
        <v/>
      </c>
      <c r="L273" s="20">
        <f>IF(OR(F273="",H273="",J273=""),"",((H273-F273)/F273)*J273)</f>
        <v/>
      </c>
      <c r="M273" s="20">
        <f>SUM(N(K273),N(L273))</f>
        <v/>
      </c>
      <c r="N273" s="20">
        <f>N272+M273</f>
        <v/>
      </c>
    </row>
    <row r="274">
      <c r="A274" s="12" t="n"/>
      <c r="E274" s="20" t="n"/>
      <c r="F274" s="20" t="n"/>
      <c r="G274" s="20" t="n"/>
      <c r="H274" s="20" t="n"/>
      <c r="I274" s="20" t="n"/>
      <c r="J274" s="20" t="n"/>
      <c r="K274" s="20">
        <f>IF(OR(E274="",G274="",I274=""),"",((G274-E274)/E274)*I274)</f>
        <v/>
      </c>
      <c r="L274" s="20">
        <f>IF(OR(F274="",H274="",J274=""),"",((H274-F274)/F274)*J274)</f>
        <v/>
      </c>
      <c r="M274" s="20">
        <f>SUM(N(K274),N(L274))</f>
        <v/>
      </c>
      <c r="N274" s="20">
        <f>N273+M274</f>
        <v/>
      </c>
    </row>
    <row r="275">
      <c r="A275" s="12" t="n"/>
      <c r="E275" s="20" t="n"/>
      <c r="F275" s="20" t="n"/>
      <c r="G275" s="20" t="n"/>
      <c r="H275" s="20" t="n"/>
      <c r="I275" s="20" t="n"/>
      <c r="J275" s="20" t="n"/>
      <c r="K275" s="20">
        <f>IF(OR(E275="",G275="",I275=""),"",((G275-E275)/E275)*I275)</f>
        <v/>
      </c>
      <c r="L275" s="20">
        <f>IF(OR(F275="",H275="",J275=""),"",((H275-F275)/F275)*J275)</f>
        <v/>
      </c>
      <c r="M275" s="20">
        <f>SUM(N(K275),N(L275))</f>
        <v/>
      </c>
      <c r="N275" s="20">
        <f>N274+M275</f>
        <v/>
      </c>
    </row>
    <row r="276">
      <c r="A276" s="12" t="n"/>
      <c r="E276" s="20" t="n"/>
      <c r="F276" s="20" t="n"/>
      <c r="G276" s="20" t="n"/>
      <c r="H276" s="20" t="n"/>
      <c r="I276" s="20" t="n"/>
      <c r="J276" s="20" t="n"/>
      <c r="K276" s="20">
        <f>IF(OR(E276="",G276="",I276=""),"",((G276-E276)/E276)*I276)</f>
        <v/>
      </c>
      <c r="L276" s="20">
        <f>IF(OR(F276="",H276="",J276=""),"",((H276-F276)/F276)*J276)</f>
        <v/>
      </c>
      <c r="M276" s="20">
        <f>SUM(N(K276),N(L276))</f>
        <v/>
      </c>
      <c r="N276" s="20">
        <f>N275+M276</f>
        <v/>
      </c>
    </row>
    <row r="277">
      <c r="A277" s="12" t="n"/>
      <c r="E277" s="20" t="n"/>
      <c r="F277" s="20" t="n"/>
      <c r="G277" s="20" t="n"/>
      <c r="H277" s="20" t="n"/>
      <c r="I277" s="20" t="n"/>
      <c r="J277" s="20" t="n"/>
      <c r="K277" s="20">
        <f>IF(OR(E277="",G277="",I277=""),"",((G277-E277)/E277)*I277)</f>
        <v/>
      </c>
      <c r="L277" s="20">
        <f>IF(OR(F277="",H277="",J277=""),"",((H277-F277)/F277)*J277)</f>
        <v/>
      </c>
      <c r="M277" s="20">
        <f>SUM(N(K277),N(L277))</f>
        <v/>
      </c>
      <c r="N277" s="20">
        <f>N276+M277</f>
        <v/>
      </c>
    </row>
    <row r="278">
      <c r="A278" s="12" t="n"/>
      <c r="E278" s="20" t="n"/>
      <c r="F278" s="20" t="n"/>
      <c r="G278" s="20" t="n"/>
      <c r="H278" s="20" t="n"/>
      <c r="I278" s="20" t="n"/>
      <c r="J278" s="20" t="n"/>
      <c r="K278" s="20">
        <f>IF(OR(E278="",G278="",I278=""),"",((G278-E278)/E278)*I278)</f>
        <v/>
      </c>
      <c r="L278" s="20">
        <f>IF(OR(F278="",H278="",J278=""),"",((H278-F278)/F278)*J278)</f>
        <v/>
      </c>
      <c r="M278" s="20">
        <f>SUM(N(K278),N(L278))</f>
        <v/>
      </c>
      <c r="N278" s="20">
        <f>N277+M278</f>
        <v/>
      </c>
    </row>
    <row r="279">
      <c r="A279" s="12" t="n"/>
      <c r="E279" s="20" t="n"/>
      <c r="F279" s="20" t="n"/>
      <c r="G279" s="20" t="n"/>
      <c r="H279" s="20" t="n"/>
      <c r="I279" s="20" t="n"/>
      <c r="J279" s="20" t="n"/>
      <c r="K279" s="20">
        <f>IF(OR(E279="",G279="",I279=""),"",((G279-E279)/E279)*I279)</f>
        <v/>
      </c>
      <c r="L279" s="20">
        <f>IF(OR(F279="",H279="",J279=""),"",((H279-F279)/F279)*J279)</f>
        <v/>
      </c>
      <c r="M279" s="20">
        <f>SUM(N(K279),N(L279))</f>
        <v/>
      </c>
      <c r="N279" s="20">
        <f>N278+M279</f>
        <v/>
      </c>
    </row>
    <row r="280">
      <c r="A280" s="12" t="n"/>
      <c r="E280" s="20" t="n"/>
      <c r="F280" s="20" t="n"/>
      <c r="G280" s="20" t="n"/>
      <c r="H280" s="20" t="n"/>
      <c r="I280" s="20" t="n"/>
      <c r="J280" s="20" t="n"/>
      <c r="K280" s="20">
        <f>IF(OR(E280="",G280="",I280=""),"",((G280-E280)/E280)*I280)</f>
        <v/>
      </c>
      <c r="L280" s="20">
        <f>IF(OR(F280="",H280="",J280=""),"",((H280-F280)/F280)*J280)</f>
        <v/>
      </c>
      <c r="M280" s="20">
        <f>SUM(N(K280),N(L280))</f>
        <v/>
      </c>
      <c r="N280" s="20">
        <f>N279+M280</f>
        <v/>
      </c>
    </row>
    <row r="281">
      <c r="A281" s="12" t="n"/>
      <c r="E281" s="20" t="n"/>
      <c r="F281" s="20" t="n"/>
      <c r="G281" s="20" t="n"/>
      <c r="H281" s="20" t="n"/>
      <c r="I281" s="20" t="n"/>
      <c r="J281" s="20" t="n"/>
      <c r="K281" s="20">
        <f>IF(OR(E281="",G281="",I281=""),"",((G281-E281)/E281)*I281)</f>
        <v/>
      </c>
      <c r="L281" s="20">
        <f>IF(OR(F281="",H281="",J281=""),"",((H281-F281)/F281)*J281)</f>
        <v/>
      </c>
      <c r="M281" s="20">
        <f>SUM(N(K281),N(L281))</f>
        <v/>
      </c>
      <c r="N281" s="20">
        <f>N280+M281</f>
        <v/>
      </c>
    </row>
    <row r="282">
      <c r="A282" s="12" t="n"/>
      <c r="E282" s="20" t="n"/>
      <c r="F282" s="20" t="n"/>
      <c r="G282" s="20" t="n"/>
      <c r="H282" s="20" t="n"/>
      <c r="I282" s="20" t="n"/>
      <c r="J282" s="20" t="n"/>
      <c r="K282" s="20">
        <f>IF(OR(E282="",G282="",I282=""),"",((G282-E282)/E282)*I282)</f>
        <v/>
      </c>
      <c r="L282" s="20">
        <f>IF(OR(F282="",H282="",J282=""),"",((H282-F282)/F282)*J282)</f>
        <v/>
      </c>
      <c r="M282" s="20">
        <f>SUM(N(K282),N(L282))</f>
        <v/>
      </c>
      <c r="N282" s="20">
        <f>N281+M282</f>
        <v/>
      </c>
    </row>
    <row r="283">
      <c r="A283" s="12" t="n"/>
      <c r="E283" s="20" t="n"/>
      <c r="F283" s="20" t="n"/>
      <c r="G283" s="20" t="n"/>
      <c r="H283" s="20" t="n"/>
      <c r="I283" s="20" t="n"/>
      <c r="J283" s="20" t="n"/>
      <c r="K283" s="20">
        <f>IF(OR(E283="",G283="",I283=""),"",((G283-E283)/E283)*I283)</f>
        <v/>
      </c>
      <c r="L283" s="20">
        <f>IF(OR(F283="",H283="",J283=""),"",((H283-F283)/F283)*J283)</f>
        <v/>
      </c>
      <c r="M283" s="20">
        <f>SUM(N(K283),N(L283))</f>
        <v/>
      </c>
      <c r="N283" s="20">
        <f>N282+M283</f>
        <v/>
      </c>
    </row>
    <row r="284">
      <c r="A284" s="12" t="n"/>
      <c r="E284" s="20" t="n"/>
      <c r="F284" s="20" t="n"/>
      <c r="G284" s="20" t="n"/>
      <c r="H284" s="20" t="n"/>
      <c r="I284" s="20" t="n"/>
      <c r="J284" s="20" t="n"/>
      <c r="K284" s="20">
        <f>IF(OR(E284="",G284="",I284=""),"",((G284-E284)/E284)*I284)</f>
        <v/>
      </c>
      <c r="L284" s="20">
        <f>IF(OR(F284="",H284="",J284=""),"",((H284-F284)/F284)*J284)</f>
        <v/>
      </c>
      <c r="M284" s="20">
        <f>SUM(N(K284),N(L284))</f>
        <v/>
      </c>
      <c r="N284" s="20">
        <f>N283+M284</f>
        <v/>
      </c>
    </row>
    <row r="285">
      <c r="A285" s="12" t="n"/>
      <c r="E285" s="20" t="n"/>
      <c r="F285" s="20" t="n"/>
      <c r="G285" s="20" t="n"/>
      <c r="H285" s="20" t="n"/>
      <c r="I285" s="20" t="n"/>
      <c r="J285" s="20" t="n"/>
      <c r="K285" s="20">
        <f>IF(OR(E285="",G285="",I285=""),"",((G285-E285)/E285)*I285)</f>
        <v/>
      </c>
      <c r="L285" s="20">
        <f>IF(OR(F285="",H285="",J285=""),"",((H285-F285)/F285)*J285)</f>
        <v/>
      </c>
      <c r="M285" s="20">
        <f>SUM(N(K285),N(L285))</f>
        <v/>
      </c>
      <c r="N285" s="20">
        <f>N284+M285</f>
        <v/>
      </c>
    </row>
    <row r="286">
      <c r="A286" s="12" t="n"/>
      <c r="E286" s="20" t="n"/>
      <c r="F286" s="20" t="n"/>
      <c r="G286" s="20" t="n"/>
      <c r="H286" s="20" t="n"/>
      <c r="I286" s="20" t="n"/>
      <c r="J286" s="20" t="n"/>
      <c r="K286" s="20">
        <f>IF(OR(E286="",G286="",I286=""),"",((G286-E286)/E286)*I286)</f>
        <v/>
      </c>
      <c r="L286" s="20">
        <f>IF(OR(F286="",H286="",J286=""),"",((H286-F286)/F286)*J286)</f>
        <v/>
      </c>
      <c r="M286" s="20">
        <f>SUM(N(K286),N(L286))</f>
        <v/>
      </c>
      <c r="N286" s="20">
        <f>N285+M286</f>
        <v/>
      </c>
    </row>
    <row r="287">
      <c r="A287" s="12" t="n"/>
      <c r="E287" s="20" t="n"/>
      <c r="F287" s="20" t="n"/>
      <c r="G287" s="20" t="n"/>
      <c r="H287" s="20" t="n"/>
      <c r="I287" s="20" t="n"/>
      <c r="J287" s="20" t="n"/>
      <c r="K287" s="20">
        <f>IF(OR(E287="",G287="",I287=""),"",((G287-E287)/E287)*I287)</f>
        <v/>
      </c>
      <c r="L287" s="20">
        <f>IF(OR(F287="",H287="",J287=""),"",((H287-F287)/F287)*J287)</f>
        <v/>
      </c>
      <c r="M287" s="20">
        <f>SUM(N(K287),N(L287))</f>
        <v/>
      </c>
      <c r="N287" s="20">
        <f>N286+M287</f>
        <v/>
      </c>
    </row>
    <row r="288">
      <c r="A288" s="12" t="n"/>
      <c r="E288" s="20" t="n"/>
      <c r="F288" s="20" t="n"/>
      <c r="G288" s="20" t="n"/>
      <c r="H288" s="20" t="n"/>
      <c r="I288" s="20" t="n"/>
      <c r="J288" s="20" t="n"/>
      <c r="K288" s="20">
        <f>IF(OR(E288="",G288="",I288=""),"",((G288-E288)/E288)*I288)</f>
        <v/>
      </c>
      <c r="L288" s="20">
        <f>IF(OR(F288="",H288="",J288=""),"",((H288-F288)/F288)*J288)</f>
        <v/>
      </c>
      <c r="M288" s="20">
        <f>SUM(N(K288),N(L288))</f>
        <v/>
      </c>
      <c r="N288" s="20">
        <f>N287+M288</f>
        <v/>
      </c>
    </row>
    <row r="289">
      <c r="A289" s="12" t="n"/>
      <c r="E289" s="20" t="n"/>
      <c r="F289" s="20" t="n"/>
      <c r="G289" s="20" t="n"/>
      <c r="H289" s="20" t="n"/>
      <c r="I289" s="20" t="n"/>
      <c r="J289" s="20" t="n"/>
      <c r="K289" s="20">
        <f>IF(OR(E289="",G289="",I289=""),"",((G289-E289)/E289)*I289)</f>
        <v/>
      </c>
      <c r="L289" s="20">
        <f>IF(OR(F289="",H289="",J289=""),"",((H289-F289)/F289)*J289)</f>
        <v/>
      </c>
      <c r="M289" s="20">
        <f>SUM(N(K289),N(L289))</f>
        <v/>
      </c>
      <c r="N289" s="20">
        <f>N288+M289</f>
        <v/>
      </c>
    </row>
    <row r="290">
      <c r="A290" s="12" t="n"/>
      <c r="E290" s="20" t="n"/>
      <c r="F290" s="20" t="n"/>
      <c r="G290" s="20" t="n"/>
      <c r="H290" s="20" t="n"/>
      <c r="I290" s="20" t="n"/>
      <c r="J290" s="20" t="n"/>
      <c r="K290" s="20">
        <f>IF(OR(E290="",G290="",I290=""),"",((G290-E290)/E290)*I290)</f>
        <v/>
      </c>
      <c r="L290" s="20">
        <f>IF(OR(F290="",H290="",J290=""),"",((H290-F290)/F290)*J290)</f>
        <v/>
      </c>
      <c r="M290" s="20">
        <f>SUM(N(K290),N(L290))</f>
        <v/>
      </c>
      <c r="N290" s="20">
        <f>N289+M290</f>
        <v/>
      </c>
    </row>
    <row r="291">
      <c r="A291" s="12" t="n"/>
      <c r="E291" s="20" t="n"/>
      <c r="F291" s="20" t="n"/>
      <c r="G291" s="20" t="n"/>
      <c r="H291" s="20" t="n"/>
      <c r="I291" s="20" t="n"/>
      <c r="J291" s="20" t="n"/>
      <c r="K291" s="20">
        <f>IF(OR(E291="",G291="",I291=""),"",((G291-E291)/E291)*I291)</f>
        <v/>
      </c>
      <c r="L291" s="20">
        <f>IF(OR(F291="",H291="",J291=""),"",((H291-F291)/F291)*J291)</f>
        <v/>
      </c>
      <c r="M291" s="20">
        <f>SUM(N(K291),N(L291))</f>
        <v/>
      </c>
      <c r="N291" s="20">
        <f>N290+M291</f>
        <v/>
      </c>
    </row>
    <row r="292">
      <c r="A292" s="12" t="n"/>
      <c r="E292" s="20" t="n"/>
      <c r="F292" s="20" t="n"/>
      <c r="G292" s="20" t="n"/>
      <c r="H292" s="20" t="n"/>
      <c r="I292" s="20" t="n"/>
      <c r="J292" s="20" t="n"/>
      <c r="K292" s="20">
        <f>IF(OR(E292="",G292="",I292=""),"",((G292-E292)/E292)*I292)</f>
        <v/>
      </c>
      <c r="L292" s="20">
        <f>IF(OR(F292="",H292="",J292=""),"",((H292-F292)/F292)*J292)</f>
        <v/>
      </c>
      <c r="M292" s="20">
        <f>SUM(N(K292),N(L292))</f>
        <v/>
      </c>
      <c r="N292" s="20">
        <f>N291+M292</f>
        <v/>
      </c>
    </row>
    <row r="293">
      <c r="A293" s="12" t="n"/>
      <c r="E293" s="20" t="n"/>
      <c r="F293" s="20" t="n"/>
      <c r="G293" s="20" t="n"/>
      <c r="H293" s="20" t="n"/>
      <c r="I293" s="20" t="n"/>
      <c r="J293" s="20" t="n"/>
      <c r="K293" s="20">
        <f>IF(OR(E293="",G293="",I293=""),"",((G293-E293)/E293)*I293)</f>
        <v/>
      </c>
      <c r="L293" s="20">
        <f>IF(OR(F293="",H293="",J293=""),"",((H293-F293)/F293)*J293)</f>
        <v/>
      </c>
      <c r="M293" s="20">
        <f>SUM(N(K293),N(L293))</f>
        <v/>
      </c>
      <c r="N293" s="20">
        <f>N292+M293</f>
        <v/>
      </c>
    </row>
    <row r="294">
      <c r="A294" s="12" t="n"/>
      <c r="E294" s="20" t="n"/>
      <c r="F294" s="20" t="n"/>
      <c r="G294" s="20" t="n"/>
      <c r="H294" s="20" t="n"/>
      <c r="I294" s="20" t="n"/>
      <c r="J294" s="20" t="n"/>
      <c r="K294" s="20">
        <f>IF(OR(E294="",G294="",I294=""),"",((G294-E294)/E294)*I294)</f>
        <v/>
      </c>
      <c r="L294" s="20">
        <f>IF(OR(F294="",H294="",J294=""),"",((H294-F294)/F294)*J294)</f>
        <v/>
      </c>
      <c r="M294" s="20">
        <f>SUM(N(K294),N(L294))</f>
        <v/>
      </c>
      <c r="N294" s="20">
        <f>N293+M294</f>
        <v/>
      </c>
    </row>
    <row r="295">
      <c r="A295" s="12" t="n"/>
      <c r="E295" s="20" t="n"/>
      <c r="F295" s="20" t="n"/>
      <c r="G295" s="20" t="n"/>
      <c r="H295" s="20" t="n"/>
      <c r="I295" s="20" t="n"/>
      <c r="J295" s="20" t="n"/>
      <c r="K295" s="20">
        <f>IF(OR(E295="",G295="",I295=""),"",((G295-E295)/E295)*I295)</f>
        <v/>
      </c>
      <c r="L295" s="20">
        <f>IF(OR(F295="",H295="",J295=""),"",((H295-F295)/F295)*J295)</f>
        <v/>
      </c>
      <c r="M295" s="20">
        <f>SUM(N(K295),N(L295))</f>
        <v/>
      </c>
      <c r="N295" s="20">
        <f>N294+M295</f>
        <v/>
      </c>
    </row>
    <row r="296">
      <c r="A296" s="12" t="n"/>
      <c r="E296" s="20" t="n"/>
      <c r="F296" s="20" t="n"/>
      <c r="G296" s="20" t="n"/>
      <c r="H296" s="20" t="n"/>
      <c r="I296" s="20" t="n"/>
      <c r="J296" s="20" t="n"/>
      <c r="K296" s="20">
        <f>IF(OR(E296="",G296="",I296=""),"",((G296-E296)/E296)*I296)</f>
        <v/>
      </c>
      <c r="L296" s="20">
        <f>IF(OR(F296="",H296="",J296=""),"",((H296-F296)/F296)*J296)</f>
        <v/>
      </c>
      <c r="M296" s="20">
        <f>SUM(N(K296),N(L296))</f>
        <v/>
      </c>
      <c r="N296" s="20">
        <f>N295+M296</f>
        <v/>
      </c>
    </row>
    <row r="297">
      <c r="A297" s="12" t="n"/>
      <c r="E297" s="20" t="n"/>
      <c r="F297" s="20" t="n"/>
      <c r="G297" s="20" t="n"/>
      <c r="H297" s="20" t="n"/>
      <c r="I297" s="20" t="n"/>
      <c r="J297" s="20" t="n"/>
      <c r="K297" s="20">
        <f>IF(OR(E297="",G297="",I297=""),"",((G297-E297)/E297)*I297)</f>
        <v/>
      </c>
      <c r="L297" s="20">
        <f>IF(OR(F297="",H297="",J297=""),"",((H297-F297)/F297)*J297)</f>
        <v/>
      </c>
      <c r="M297" s="20">
        <f>SUM(N(K297),N(L297))</f>
        <v/>
      </c>
      <c r="N297" s="20">
        <f>N296+M297</f>
        <v/>
      </c>
    </row>
    <row r="298">
      <c r="A298" s="12" t="n"/>
      <c r="E298" s="20" t="n"/>
      <c r="F298" s="20" t="n"/>
      <c r="G298" s="20" t="n"/>
      <c r="H298" s="20" t="n"/>
      <c r="I298" s="20" t="n"/>
      <c r="J298" s="20" t="n"/>
      <c r="K298" s="20">
        <f>IF(OR(E298="",G298="",I298=""),"",((G298-E298)/E298)*I298)</f>
        <v/>
      </c>
      <c r="L298" s="20">
        <f>IF(OR(F298="",H298="",J298=""),"",((H298-F298)/F298)*J298)</f>
        <v/>
      </c>
      <c r="M298" s="20">
        <f>SUM(N(K298),N(L298))</f>
        <v/>
      </c>
      <c r="N298" s="20">
        <f>N297+M298</f>
        <v/>
      </c>
    </row>
    <row r="299">
      <c r="A299" s="12" t="n"/>
      <c r="E299" s="20" t="n"/>
      <c r="F299" s="20" t="n"/>
      <c r="G299" s="20" t="n"/>
      <c r="H299" s="20" t="n"/>
      <c r="I299" s="20" t="n"/>
      <c r="J299" s="20" t="n"/>
      <c r="K299" s="20">
        <f>IF(OR(E299="",G299="",I299=""),"",((G299-E299)/E299)*I299)</f>
        <v/>
      </c>
      <c r="L299" s="20">
        <f>IF(OR(F299="",H299="",J299=""),"",((H299-F299)/F299)*J299)</f>
        <v/>
      </c>
      <c r="M299" s="20">
        <f>SUM(N(K299),N(L299))</f>
        <v/>
      </c>
      <c r="N299" s="20">
        <f>N298+M299</f>
        <v/>
      </c>
    </row>
    <row r="300">
      <c r="A300" s="12" t="n"/>
      <c r="E300" s="20" t="n"/>
      <c r="F300" s="20" t="n"/>
      <c r="G300" s="20" t="n"/>
      <c r="H300" s="20" t="n"/>
      <c r="I300" s="20" t="n"/>
      <c r="J300" s="20" t="n"/>
      <c r="K300" s="20">
        <f>IF(OR(E300="",G300="",I300=""),"",((G300-E300)/E300)*I300)</f>
        <v/>
      </c>
      <c r="L300" s="20">
        <f>IF(OR(F300="",H300="",J300=""),"",((H300-F300)/F300)*J300)</f>
        <v/>
      </c>
      <c r="M300" s="20">
        <f>SUM(N(K300),N(L300))</f>
        <v/>
      </c>
      <c r="N300" s="20">
        <f>N299+M300</f>
        <v/>
      </c>
    </row>
    <row r="301">
      <c r="A301" s="12" t="n"/>
      <c r="E301" s="20" t="n"/>
      <c r="F301" s="20" t="n"/>
      <c r="G301" s="20" t="n"/>
      <c r="H301" s="20" t="n"/>
      <c r="I301" s="20" t="n"/>
      <c r="J301" s="20" t="n"/>
      <c r="K301" s="20">
        <f>IF(OR(E301="",G301="",I301=""),"",((G301-E301)/E301)*I301)</f>
        <v/>
      </c>
      <c r="L301" s="20">
        <f>IF(OR(F301="",H301="",J301=""),"",((H301-F301)/F301)*J301)</f>
        <v/>
      </c>
      <c r="M301" s="20">
        <f>SUM(N(K301),N(L301))</f>
        <v/>
      </c>
      <c r="N301" s="20">
        <f>N300+M301</f>
        <v/>
      </c>
    </row>
    <row r="302">
      <c r="A302" s="12" t="n"/>
      <c r="E302" s="20" t="n"/>
      <c r="F302" s="20" t="n"/>
      <c r="G302" s="20" t="n"/>
      <c r="H302" s="20" t="n"/>
      <c r="I302" s="20" t="n"/>
      <c r="J302" s="20" t="n"/>
      <c r="K302" s="20">
        <f>IF(OR(E302="",G302="",I302=""),"",((G302-E302)/E302)*I302)</f>
        <v/>
      </c>
      <c r="L302" s="20">
        <f>IF(OR(F302="",H302="",J302=""),"",((H302-F302)/F302)*J302)</f>
        <v/>
      </c>
      <c r="M302" s="20">
        <f>SUM(N(K302),N(L302))</f>
        <v/>
      </c>
      <c r="N302" s="20">
        <f>N301+M302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2026-03-15T22:40:37Z</dcterms:modified>
</cp:coreProperties>
</file>