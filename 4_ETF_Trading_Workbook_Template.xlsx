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0"/>
  <workbookPr/>
  <xr:revisionPtr revIDLastSave="0" documentId="11_7BED02723F892B647050DEAFB67AD96218006FF2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Instructions" sheetId="1" r:id="rId1"/>
    <sheet name="Daily_Data" sheetId="2" r:id="rId2"/>
    <sheet name="Signal" sheetId="3" r:id="rId3"/>
    <sheet name="Trades" sheetId="4" r:id="rId4"/>
    <sheet name="Stats" sheetId="5" r:id="rId5"/>
    <sheet name="Scoreboard" sheetId="6" r:id="rId6"/>
  </sheets>
  <calcPr calcId="191028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01" i="6" l="1"/>
  <c r="H301" i="6"/>
  <c r="G301" i="6"/>
  <c r="F300" i="6"/>
  <c r="H300" i="6"/>
  <c r="G300" i="6"/>
  <c r="F299" i="6"/>
  <c r="H299" i="6"/>
  <c r="G299" i="6"/>
  <c r="F298" i="6"/>
  <c r="H298" i="6"/>
  <c r="G298" i="6"/>
  <c r="F297" i="6"/>
  <c r="H297" i="6"/>
  <c r="G297" i="6"/>
  <c r="F296" i="6"/>
  <c r="H296" i="6"/>
  <c r="G296" i="6"/>
  <c r="F295" i="6"/>
  <c r="H295" i="6"/>
  <c r="G295" i="6"/>
  <c r="F294" i="6"/>
  <c r="H294" i="6"/>
  <c r="G294" i="6"/>
  <c r="F293" i="6"/>
  <c r="H293" i="6"/>
  <c r="G293" i="6"/>
  <c r="F292" i="6"/>
  <c r="H292" i="6"/>
  <c r="G292" i="6"/>
  <c r="F291" i="6"/>
  <c r="H291" i="6"/>
  <c r="G291" i="6"/>
  <c r="F290" i="6"/>
  <c r="H290" i="6"/>
  <c r="G290" i="6"/>
  <c r="F289" i="6"/>
  <c r="H289" i="6"/>
  <c r="G289" i="6"/>
  <c r="F288" i="6"/>
  <c r="H288" i="6"/>
  <c r="G288" i="6"/>
  <c r="F287" i="6"/>
  <c r="H287" i="6"/>
  <c r="G287" i="6"/>
  <c r="F286" i="6"/>
  <c r="H286" i="6"/>
  <c r="G286" i="6"/>
  <c r="F285" i="6"/>
  <c r="H285" i="6"/>
  <c r="G285" i="6"/>
  <c r="F284" i="6"/>
  <c r="H284" i="6"/>
  <c r="G284" i="6"/>
  <c r="F283" i="6"/>
  <c r="H283" i="6"/>
  <c r="G283" i="6"/>
  <c r="F282" i="6"/>
  <c r="H282" i="6"/>
  <c r="G282" i="6"/>
  <c r="F281" i="6"/>
  <c r="H281" i="6"/>
  <c r="G281" i="6"/>
  <c r="F280" i="6"/>
  <c r="H280" i="6"/>
  <c r="G280" i="6"/>
  <c r="F279" i="6"/>
  <c r="H279" i="6"/>
  <c r="G279" i="6"/>
  <c r="F278" i="6"/>
  <c r="H278" i="6"/>
  <c r="G278" i="6"/>
  <c r="F277" i="6"/>
  <c r="H277" i="6"/>
  <c r="G277" i="6"/>
  <c r="F276" i="6"/>
  <c r="H276" i="6"/>
  <c r="G276" i="6"/>
  <c r="F275" i="6"/>
  <c r="H275" i="6"/>
  <c r="G275" i="6"/>
  <c r="F274" i="6"/>
  <c r="H274" i="6"/>
  <c r="G274" i="6"/>
  <c r="F273" i="6"/>
  <c r="H273" i="6"/>
  <c r="G273" i="6"/>
  <c r="F272" i="6"/>
  <c r="H272" i="6"/>
  <c r="G272" i="6"/>
  <c r="F271" i="6"/>
  <c r="H271" i="6"/>
  <c r="G271" i="6"/>
  <c r="F270" i="6"/>
  <c r="H270" i="6"/>
  <c r="G270" i="6"/>
  <c r="F269" i="6"/>
  <c r="H269" i="6"/>
  <c r="G269" i="6"/>
  <c r="F268" i="6"/>
  <c r="H268" i="6"/>
  <c r="G268" i="6"/>
  <c r="F267" i="6"/>
  <c r="H267" i="6"/>
  <c r="G267" i="6"/>
  <c r="F266" i="6"/>
  <c r="H266" i="6"/>
  <c r="G266" i="6"/>
  <c r="F265" i="6"/>
  <c r="H265" i="6"/>
  <c r="G265" i="6"/>
  <c r="F264" i="6"/>
  <c r="H264" i="6"/>
  <c r="G264" i="6"/>
  <c r="F263" i="6"/>
  <c r="H263" i="6"/>
  <c r="G263" i="6"/>
  <c r="F262" i="6"/>
  <c r="H262" i="6"/>
  <c r="G262" i="6"/>
  <c r="F261" i="6"/>
  <c r="H261" i="6"/>
  <c r="G261" i="6"/>
  <c r="F260" i="6"/>
  <c r="H260" i="6"/>
  <c r="G260" i="6"/>
  <c r="F259" i="6"/>
  <c r="H259" i="6"/>
  <c r="G259" i="6"/>
  <c r="F258" i="6"/>
  <c r="H258" i="6"/>
  <c r="G258" i="6"/>
  <c r="F257" i="6"/>
  <c r="H257" i="6"/>
  <c r="G257" i="6"/>
  <c r="F256" i="6"/>
  <c r="H256" i="6"/>
  <c r="G256" i="6"/>
  <c r="F255" i="6"/>
  <c r="H255" i="6"/>
  <c r="G255" i="6"/>
  <c r="F254" i="6"/>
  <c r="H254" i="6"/>
  <c r="G254" i="6"/>
  <c r="F253" i="6"/>
  <c r="H253" i="6"/>
  <c r="G253" i="6"/>
  <c r="F252" i="6"/>
  <c r="H252" i="6"/>
  <c r="G252" i="6"/>
  <c r="F251" i="6"/>
  <c r="H251" i="6"/>
  <c r="G251" i="6"/>
  <c r="F250" i="6"/>
  <c r="H250" i="6"/>
  <c r="G250" i="6"/>
  <c r="F249" i="6"/>
  <c r="H249" i="6"/>
  <c r="G249" i="6"/>
  <c r="F248" i="6"/>
  <c r="H248" i="6"/>
  <c r="G248" i="6"/>
  <c r="F247" i="6"/>
  <c r="H247" i="6"/>
  <c r="G247" i="6"/>
  <c r="F246" i="6"/>
  <c r="H246" i="6"/>
  <c r="G246" i="6"/>
  <c r="F245" i="6"/>
  <c r="H245" i="6"/>
  <c r="G245" i="6"/>
  <c r="F244" i="6"/>
  <c r="H244" i="6"/>
  <c r="G244" i="6"/>
  <c r="F243" i="6"/>
  <c r="H243" i="6"/>
  <c r="G243" i="6"/>
  <c r="F242" i="6"/>
  <c r="H242" i="6"/>
  <c r="G242" i="6"/>
  <c r="F241" i="6"/>
  <c r="H241" i="6"/>
  <c r="G241" i="6"/>
  <c r="F240" i="6"/>
  <c r="H240" i="6"/>
  <c r="G240" i="6"/>
  <c r="F239" i="6"/>
  <c r="H239" i="6"/>
  <c r="G239" i="6"/>
  <c r="F238" i="6"/>
  <c r="H238" i="6"/>
  <c r="G238" i="6"/>
  <c r="F237" i="6"/>
  <c r="H237" i="6"/>
  <c r="G237" i="6"/>
  <c r="F236" i="6"/>
  <c r="H236" i="6"/>
  <c r="G236" i="6"/>
  <c r="F235" i="6"/>
  <c r="H235" i="6"/>
  <c r="G235" i="6"/>
  <c r="F234" i="6"/>
  <c r="H234" i="6"/>
  <c r="G234" i="6"/>
  <c r="F233" i="6"/>
  <c r="H233" i="6"/>
  <c r="G233" i="6"/>
  <c r="F232" i="6"/>
  <c r="H232" i="6"/>
  <c r="G232" i="6"/>
  <c r="F231" i="6"/>
  <c r="H231" i="6"/>
  <c r="G231" i="6"/>
  <c r="F230" i="6"/>
  <c r="H230" i="6"/>
  <c r="G230" i="6"/>
  <c r="F229" i="6"/>
  <c r="H229" i="6"/>
  <c r="G229" i="6"/>
  <c r="F228" i="6"/>
  <c r="H228" i="6"/>
  <c r="G228" i="6"/>
  <c r="F227" i="6"/>
  <c r="H227" i="6"/>
  <c r="G227" i="6"/>
  <c r="F226" i="6"/>
  <c r="H226" i="6"/>
  <c r="G226" i="6"/>
  <c r="F225" i="6"/>
  <c r="H225" i="6"/>
  <c r="G225" i="6"/>
  <c r="F224" i="6"/>
  <c r="H224" i="6"/>
  <c r="G224" i="6"/>
  <c r="F223" i="6"/>
  <c r="H223" i="6"/>
  <c r="G223" i="6"/>
  <c r="F222" i="6"/>
  <c r="H222" i="6"/>
  <c r="G222" i="6"/>
  <c r="F221" i="6"/>
  <c r="H221" i="6"/>
  <c r="G221" i="6"/>
  <c r="F220" i="6"/>
  <c r="H220" i="6"/>
  <c r="G220" i="6"/>
  <c r="F219" i="6"/>
  <c r="H219" i="6"/>
  <c r="G219" i="6"/>
  <c r="F218" i="6"/>
  <c r="H218" i="6"/>
  <c r="G218" i="6"/>
  <c r="F217" i="6"/>
  <c r="H217" i="6"/>
  <c r="G217" i="6"/>
  <c r="F216" i="6"/>
  <c r="H216" i="6"/>
  <c r="G216" i="6"/>
  <c r="F215" i="6"/>
  <c r="H215" i="6"/>
  <c r="G215" i="6"/>
  <c r="F214" i="6"/>
  <c r="H214" i="6"/>
  <c r="G214" i="6"/>
  <c r="F213" i="6"/>
  <c r="H213" i="6"/>
  <c r="G213" i="6"/>
  <c r="F212" i="6"/>
  <c r="H212" i="6"/>
  <c r="G212" i="6"/>
  <c r="F211" i="6"/>
  <c r="H211" i="6"/>
  <c r="G211" i="6"/>
  <c r="F210" i="6"/>
  <c r="H210" i="6"/>
  <c r="G210" i="6"/>
  <c r="F209" i="6"/>
  <c r="H209" i="6"/>
  <c r="G209" i="6"/>
  <c r="F208" i="6"/>
  <c r="H208" i="6"/>
  <c r="G208" i="6"/>
  <c r="F207" i="6"/>
  <c r="H207" i="6"/>
  <c r="G207" i="6"/>
  <c r="F206" i="6"/>
  <c r="H206" i="6"/>
  <c r="G206" i="6"/>
  <c r="F205" i="6"/>
  <c r="H205" i="6"/>
  <c r="G205" i="6"/>
  <c r="F204" i="6"/>
  <c r="H204" i="6"/>
  <c r="G204" i="6"/>
  <c r="F203" i="6"/>
  <c r="H203" i="6"/>
  <c r="G203" i="6"/>
  <c r="F202" i="6"/>
  <c r="H202" i="6"/>
  <c r="G202" i="6"/>
  <c r="F201" i="6"/>
  <c r="H201" i="6"/>
  <c r="G201" i="6"/>
  <c r="F200" i="6"/>
  <c r="H200" i="6"/>
  <c r="G200" i="6"/>
  <c r="F199" i="6"/>
  <c r="H199" i="6"/>
  <c r="G199" i="6"/>
  <c r="F198" i="6"/>
  <c r="H198" i="6"/>
  <c r="G198" i="6"/>
  <c r="F197" i="6"/>
  <c r="H197" i="6"/>
  <c r="G197" i="6"/>
  <c r="F196" i="6"/>
  <c r="H196" i="6"/>
  <c r="G196" i="6"/>
  <c r="F195" i="6"/>
  <c r="H195" i="6"/>
  <c r="G195" i="6"/>
  <c r="F194" i="6"/>
  <c r="H194" i="6"/>
  <c r="G194" i="6"/>
  <c r="F193" i="6"/>
  <c r="H193" i="6"/>
  <c r="G193" i="6"/>
  <c r="F192" i="6"/>
  <c r="H192" i="6"/>
  <c r="G192" i="6"/>
  <c r="F191" i="6"/>
  <c r="H191" i="6"/>
  <c r="G191" i="6"/>
  <c r="F190" i="6"/>
  <c r="H190" i="6"/>
  <c r="G190" i="6"/>
  <c r="F189" i="6"/>
  <c r="H189" i="6"/>
  <c r="G189" i="6"/>
  <c r="F188" i="6"/>
  <c r="H188" i="6"/>
  <c r="G188" i="6"/>
  <c r="F187" i="6"/>
  <c r="H187" i="6"/>
  <c r="G187" i="6"/>
  <c r="F186" i="6"/>
  <c r="H186" i="6"/>
  <c r="G186" i="6"/>
  <c r="F185" i="6"/>
  <c r="H185" i="6"/>
  <c r="G185" i="6"/>
  <c r="F184" i="6"/>
  <c r="H184" i="6"/>
  <c r="G184" i="6"/>
  <c r="F183" i="6"/>
  <c r="H183" i="6"/>
  <c r="G183" i="6"/>
  <c r="F182" i="6"/>
  <c r="H182" i="6"/>
  <c r="G182" i="6"/>
  <c r="F181" i="6"/>
  <c r="H181" i="6"/>
  <c r="G181" i="6"/>
  <c r="F180" i="6"/>
  <c r="H180" i="6"/>
  <c r="G180" i="6"/>
  <c r="F179" i="6"/>
  <c r="H179" i="6"/>
  <c r="G179" i="6"/>
  <c r="F178" i="6"/>
  <c r="H178" i="6"/>
  <c r="G178" i="6"/>
  <c r="F177" i="6"/>
  <c r="H177" i="6"/>
  <c r="G177" i="6"/>
  <c r="F176" i="6"/>
  <c r="H176" i="6"/>
  <c r="G176" i="6"/>
  <c r="F175" i="6"/>
  <c r="H175" i="6"/>
  <c r="G175" i="6"/>
  <c r="F174" i="6"/>
  <c r="H174" i="6"/>
  <c r="G174" i="6"/>
  <c r="F173" i="6"/>
  <c r="H173" i="6"/>
  <c r="G173" i="6"/>
  <c r="F172" i="6"/>
  <c r="H172" i="6"/>
  <c r="G172" i="6"/>
  <c r="F171" i="6"/>
  <c r="H171" i="6"/>
  <c r="G171" i="6"/>
  <c r="F170" i="6"/>
  <c r="H170" i="6"/>
  <c r="G170" i="6"/>
  <c r="F169" i="6"/>
  <c r="H169" i="6"/>
  <c r="G169" i="6"/>
  <c r="F168" i="6"/>
  <c r="H168" i="6"/>
  <c r="G168" i="6"/>
  <c r="F167" i="6"/>
  <c r="H167" i="6"/>
  <c r="G167" i="6"/>
  <c r="F166" i="6"/>
  <c r="H166" i="6"/>
  <c r="G166" i="6"/>
  <c r="F165" i="6"/>
  <c r="H165" i="6"/>
  <c r="G165" i="6"/>
  <c r="F164" i="6"/>
  <c r="H164" i="6"/>
  <c r="G164" i="6"/>
  <c r="F163" i="6"/>
  <c r="H163" i="6"/>
  <c r="G163" i="6"/>
  <c r="F162" i="6"/>
  <c r="H162" i="6"/>
  <c r="G162" i="6"/>
  <c r="F161" i="6"/>
  <c r="H161" i="6"/>
  <c r="G161" i="6"/>
  <c r="F160" i="6"/>
  <c r="H160" i="6"/>
  <c r="G160" i="6"/>
  <c r="F159" i="6"/>
  <c r="H159" i="6"/>
  <c r="G159" i="6"/>
  <c r="F158" i="6"/>
  <c r="H158" i="6"/>
  <c r="G158" i="6"/>
  <c r="F157" i="6"/>
  <c r="H157" i="6"/>
  <c r="G157" i="6"/>
  <c r="F156" i="6"/>
  <c r="H156" i="6"/>
  <c r="G156" i="6"/>
  <c r="F155" i="6"/>
  <c r="H155" i="6"/>
  <c r="G155" i="6"/>
  <c r="F154" i="6"/>
  <c r="H154" i="6"/>
  <c r="G154" i="6"/>
  <c r="F153" i="6"/>
  <c r="H153" i="6"/>
  <c r="G153" i="6"/>
  <c r="F152" i="6"/>
  <c r="H152" i="6"/>
  <c r="G152" i="6"/>
  <c r="F151" i="6"/>
  <c r="H151" i="6"/>
  <c r="G151" i="6"/>
  <c r="F150" i="6"/>
  <c r="H150" i="6"/>
  <c r="G150" i="6"/>
  <c r="F149" i="6"/>
  <c r="H149" i="6"/>
  <c r="G149" i="6"/>
  <c r="F148" i="6"/>
  <c r="H148" i="6"/>
  <c r="G148" i="6"/>
  <c r="F147" i="6"/>
  <c r="H147" i="6"/>
  <c r="G147" i="6"/>
  <c r="F146" i="6"/>
  <c r="H146" i="6"/>
  <c r="G146" i="6"/>
  <c r="F145" i="6"/>
  <c r="H145" i="6"/>
  <c r="G145" i="6"/>
  <c r="F144" i="6"/>
  <c r="H144" i="6"/>
  <c r="G144" i="6"/>
  <c r="F143" i="6"/>
  <c r="H143" i="6"/>
  <c r="G143" i="6"/>
  <c r="F142" i="6"/>
  <c r="H142" i="6"/>
  <c r="G142" i="6"/>
  <c r="F141" i="6"/>
  <c r="H141" i="6"/>
  <c r="G141" i="6"/>
  <c r="F140" i="6"/>
  <c r="H140" i="6"/>
  <c r="G140" i="6"/>
  <c r="F139" i="6"/>
  <c r="H139" i="6"/>
  <c r="G139" i="6"/>
  <c r="F138" i="6"/>
  <c r="H138" i="6"/>
  <c r="G138" i="6"/>
  <c r="F137" i="6"/>
  <c r="H137" i="6"/>
  <c r="G137" i="6"/>
  <c r="F136" i="6"/>
  <c r="H136" i="6"/>
  <c r="G136" i="6"/>
  <c r="F135" i="6"/>
  <c r="H135" i="6"/>
  <c r="G135" i="6"/>
  <c r="F134" i="6"/>
  <c r="H134" i="6"/>
  <c r="G134" i="6"/>
  <c r="F133" i="6"/>
  <c r="H133" i="6"/>
  <c r="G133" i="6"/>
  <c r="F132" i="6"/>
  <c r="H132" i="6"/>
  <c r="G132" i="6"/>
  <c r="F131" i="6"/>
  <c r="H131" i="6"/>
  <c r="G131" i="6"/>
  <c r="F130" i="6"/>
  <c r="H130" i="6"/>
  <c r="G130" i="6"/>
  <c r="F129" i="6"/>
  <c r="H129" i="6"/>
  <c r="G129" i="6"/>
  <c r="F128" i="6"/>
  <c r="H128" i="6"/>
  <c r="G128" i="6"/>
  <c r="F127" i="6"/>
  <c r="H127" i="6"/>
  <c r="G127" i="6"/>
  <c r="F126" i="6"/>
  <c r="H126" i="6"/>
  <c r="G126" i="6"/>
  <c r="F125" i="6"/>
  <c r="H125" i="6"/>
  <c r="G125" i="6"/>
  <c r="F124" i="6"/>
  <c r="H124" i="6"/>
  <c r="G124" i="6"/>
  <c r="F123" i="6"/>
  <c r="H123" i="6"/>
  <c r="G123" i="6"/>
  <c r="F122" i="6"/>
  <c r="H122" i="6"/>
  <c r="G122" i="6"/>
  <c r="F121" i="6"/>
  <c r="H121" i="6"/>
  <c r="G121" i="6"/>
  <c r="F120" i="6"/>
  <c r="H120" i="6"/>
  <c r="G120" i="6"/>
  <c r="F119" i="6"/>
  <c r="H119" i="6"/>
  <c r="G119" i="6"/>
  <c r="F118" i="6"/>
  <c r="H118" i="6"/>
  <c r="G118" i="6"/>
  <c r="F117" i="6"/>
  <c r="H117" i="6"/>
  <c r="G117" i="6"/>
  <c r="F116" i="6"/>
  <c r="H116" i="6"/>
  <c r="G116" i="6"/>
  <c r="F115" i="6"/>
  <c r="H115" i="6"/>
  <c r="G115" i="6"/>
  <c r="F114" i="6"/>
  <c r="H114" i="6"/>
  <c r="G114" i="6"/>
  <c r="F113" i="6"/>
  <c r="H113" i="6"/>
  <c r="G113" i="6"/>
  <c r="F112" i="6"/>
  <c r="H112" i="6"/>
  <c r="G112" i="6"/>
  <c r="F111" i="6"/>
  <c r="H111" i="6"/>
  <c r="G111" i="6"/>
  <c r="F110" i="6"/>
  <c r="H110" i="6"/>
  <c r="G110" i="6"/>
  <c r="F109" i="6"/>
  <c r="H109" i="6"/>
  <c r="G109" i="6"/>
  <c r="F108" i="6"/>
  <c r="H108" i="6"/>
  <c r="G108" i="6"/>
  <c r="F107" i="6"/>
  <c r="H107" i="6"/>
  <c r="G107" i="6"/>
  <c r="F106" i="6"/>
  <c r="H106" i="6"/>
  <c r="G106" i="6"/>
  <c r="F105" i="6"/>
  <c r="H105" i="6"/>
  <c r="G105" i="6"/>
  <c r="F104" i="6"/>
  <c r="H104" i="6"/>
  <c r="G104" i="6"/>
  <c r="F103" i="6"/>
  <c r="H103" i="6"/>
  <c r="G103" i="6"/>
  <c r="F102" i="6"/>
  <c r="H102" i="6"/>
  <c r="G102" i="6"/>
  <c r="F101" i="6"/>
  <c r="H101" i="6"/>
  <c r="G101" i="6"/>
  <c r="F100" i="6"/>
  <c r="H100" i="6"/>
  <c r="G100" i="6"/>
  <c r="F99" i="6"/>
  <c r="H99" i="6"/>
  <c r="G99" i="6"/>
  <c r="F98" i="6"/>
  <c r="H98" i="6"/>
  <c r="G98" i="6"/>
  <c r="F97" i="6"/>
  <c r="H97" i="6"/>
  <c r="G97" i="6"/>
  <c r="F96" i="6"/>
  <c r="H96" i="6"/>
  <c r="G96" i="6"/>
  <c r="F95" i="6"/>
  <c r="H95" i="6"/>
  <c r="G95" i="6"/>
  <c r="F94" i="6"/>
  <c r="H94" i="6"/>
  <c r="G94" i="6"/>
  <c r="F93" i="6"/>
  <c r="H93" i="6"/>
  <c r="G93" i="6"/>
  <c r="F92" i="6"/>
  <c r="H92" i="6"/>
  <c r="G92" i="6"/>
  <c r="F91" i="6"/>
  <c r="H91" i="6"/>
  <c r="G91" i="6"/>
  <c r="F90" i="6"/>
  <c r="H90" i="6"/>
  <c r="G90" i="6"/>
  <c r="F89" i="6"/>
  <c r="H89" i="6"/>
  <c r="G89" i="6"/>
  <c r="F88" i="6"/>
  <c r="H88" i="6"/>
  <c r="G88" i="6"/>
  <c r="F87" i="6"/>
  <c r="H87" i="6"/>
  <c r="G87" i="6"/>
  <c r="F86" i="6"/>
  <c r="H86" i="6"/>
  <c r="G86" i="6"/>
  <c r="F85" i="6"/>
  <c r="H85" i="6"/>
  <c r="G85" i="6"/>
  <c r="F84" i="6"/>
  <c r="H84" i="6"/>
  <c r="G84" i="6"/>
  <c r="F83" i="6"/>
  <c r="H83" i="6"/>
  <c r="G83" i="6"/>
  <c r="F82" i="6"/>
  <c r="H82" i="6"/>
  <c r="G82" i="6"/>
  <c r="F81" i="6"/>
  <c r="H81" i="6"/>
  <c r="G81" i="6"/>
  <c r="F80" i="6"/>
  <c r="H80" i="6"/>
  <c r="G80" i="6"/>
  <c r="F79" i="6"/>
  <c r="H79" i="6"/>
  <c r="G79" i="6"/>
  <c r="F78" i="6"/>
  <c r="H78" i="6"/>
  <c r="G78" i="6"/>
  <c r="F77" i="6"/>
  <c r="H77" i="6"/>
  <c r="G77" i="6"/>
  <c r="F76" i="6"/>
  <c r="H76" i="6"/>
  <c r="G76" i="6"/>
  <c r="F75" i="6"/>
  <c r="H75" i="6"/>
  <c r="G75" i="6"/>
  <c r="F74" i="6"/>
  <c r="H74" i="6"/>
  <c r="G74" i="6"/>
  <c r="F73" i="6"/>
  <c r="H73" i="6"/>
  <c r="G73" i="6"/>
  <c r="F72" i="6"/>
  <c r="H72" i="6"/>
  <c r="G72" i="6"/>
  <c r="F71" i="6"/>
  <c r="H71" i="6"/>
  <c r="G71" i="6"/>
  <c r="F70" i="6"/>
  <c r="H70" i="6"/>
  <c r="G70" i="6"/>
  <c r="F69" i="6"/>
  <c r="H69" i="6"/>
  <c r="G69" i="6"/>
  <c r="F68" i="6"/>
  <c r="H68" i="6"/>
  <c r="G68" i="6"/>
  <c r="F67" i="6"/>
  <c r="H67" i="6"/>
  <c r="G67" i="6"/>
  <c r="F66" i="6"/>
  <c r="H66" i="6"/>
  <c r="G66" i="6"/>
  <c r="F65" i="6"/>
  <c r="H65" i="6"/>
  <c r="G65" i="6"/>
  <c r="F64" i="6"/>
  <c r="H64" i="6"/>
  <c r="G64" i="6"/>
  <c r="F63" i="6"/>
  <c r="H63" i="6"/>
  <c r="G63" i="6"/>
  <c r="F62" i="6"/>
  <c r="H62" i="6"/>
  <c r="G62" i="6"/>
  <c r="F61" i="6"/>
  <c r="H61" i="6"/>
  <c r="G61" i="6"/>
  <c r="F60" i="6"/>
  <c r="H60" i="6"/>
  <c r="G60" i="6"/>
  <c r="F59" i="6"/>
  <c r="H59" i="6"/>
  <c r="G59" i="6"/>
  <c r="F58" i="6"/>
  <c r="H58" i="6"/>
  <c r="G58" i="6"/>
  <c r="F57" i="6"/>
  <c r="H57" i="6"/>
  <c r="G57" i="6"/>
  <c r="F56" i="6"/>
  <c r="H56" i="6"/>
  <c r="G56" i="6"/>
  <c r="F55" i="6"/>
  <c r="H55" i="6"/>
  <c r="G55" i="6"/>
  <c r="F54" i="6"/>
  <c r="H54" i="6"/>
  <c r="G54" i="6"/>
  <c r="F53" i="6"/>
  <c r="H53" i="6"/>
  <c r="G53" i="6"/>
  <c r="F52" i="6"/>
  <c r="H52" i="6"/>
  <c r="G52" i="6"/>
  <c r="F51" i="6"/>
  <c r="H51" i="6"/>
  <c r="G51" i="6"/>
  <c r="F50" i="6"/>
  <c r="H50" i="6"/>
  <c r="G50" i="6"/>
  <c r="F49" i="6"/>
  <c r="H49" i="6"/>
  <c r="G49" i="6"/>
  <c r="F48" i="6"/>
  <c r="H48" i="6"/>
  <c r="G48" i="6"/>
  <c r="F47" i="6"/>
  <c r="H47" i="6"/>
  <c r="G47" i="6"/>
  <c r="F46" i="6"/>
  <c r="H46" i="6"/>
  <c r="G46" i="6"/>
  <c r="F45" i="6"/>
  <c r="H45" i="6"/>
  <c r="G45" i="6"/>
  <c r="F44" i="6"/>
  <c r="H44" i="6"/>
  <c r="G44" i="6"/>
  <c r="F43" i="6"/>
  <c r="H43" i="6"/>
  <c r="G43" i="6"/>
  <c r="F42" i="6"/>
  <c r="H42" i="6"/>
  <c r="G42" i="6"/>
  <c r="F41" i="6"/>
  <c r="H41" i="6"/>
  <c r="G41" i="6"/>
  <c r="F40" i="6"/>
  <c r="H40" i="6"/>
  <c r="G40" i="6"/>
  <c r="F39" i="6"/>
  <c r="H39" i="6"/>
  <c r="G39" i="6"/>
  <c r="F38" i="6"/>
  <c r="H38" i="6"/>
  <c r="G38" i="6"/>
  <c r="F37" i="6"/>
  <c r="H37" i="6"/>
  <c r="G37" i="6"/>
  <c r="F36" i="6"/>
  <c r="H36" i="6"/>
  <c r="G36" i="6"/>
  <c r="F35" i="6"/>
  <c r="H35" i="6"/>
  <c r="G35" i="6"/>
  <c r="F34" i="6"/>
  <c r="H34" i="6"/>
  <c r="G34" i="6"/>
  <c r="F33" i="6"/>
  <c r="H33" i="6"/>
  <c r="G33" i="6"/>
  <c r="F32" i="6"/>
  <c r="H32" i="6"/>
  <c r="G32" i="6"/>
  <c r="F31" i="6"/>
  <c r="H31" i="6"/>
  <c r="G31" i="6"/>
  <c r="F30" i="6"/>
  <c r="H30" i="6"/>
  <c r="G30" i="6"/>
  <c r="F29" i="6"/>
  <c r="H29" i="6"/>
  <c r="G29" i="6"/>
  <c r="F28" i="6"/>
  <c r="H28" i="6"/>
  <c r="G28" i="6"/>
  <c r="F27" i="6"/>
  <c r="H27" i="6"/>
  <c r="G27" i="6"/>
  <c r="F26" i="6"/>
  <c r="H26" i="6"/>
  <c r="G26" i="6"/>
  <c r="F25" i="6"/>
  <c r="H25" i="6"/>
  <c r="G25" i="6"/>
  <c r="F24" i="6"/>
  <c r="H24" i="6"/>
  <c r="G24" i="6"/>
  <c r="F23" i="6"/>
  <c r="H23" i="6"/>
  <c r="G23" i="6"/>
  <c r="F22" i="6"/>
  <c r="H22" i="6"/>
  <c r="G22" i="6"/>
  <c r="F21" i="6"/>
  <c r="H21" i="6"/>
  <c r="G21" i="6"/>
  <c r="F20" i="6"/>
  <c r="H20" i="6"/>
  <c r="G20" i="6"/>
  <c r="F19" i="6"/>
  <c r="H19" i="6"/>
  <c r="G19" i="6"/>
  <c r="F18" i="6"/>
  <c r="H18" i="6"/>
  <c r="G18" i="6"/>
  <c r="F17" i="6"/>
  <c r="H17" i="6"/>
  <c r="G17" i="6"/>
  <c r="F16" i="6"/>
  <c r="H16" i="6"/>
  <c r="G16" i="6"/>
  <c r="F15" i="6"/>
  <c r="H15" i="6"/>
  <c r="G15" i="6"/>
  <c r="F14" i="6"/>
  <c r="H14" i="6"/>
  <c r="G14" i="6"/>
  <c r="F13" i="6"/>
  <c r="H13" i="6"/>
  <c r="G13" i="6"/>
  <c r="F12" i="6"/>
  <c r="H12" i="6"/>
  <c r="G12" i="6"/>
  <c r="F11" i="6"/>
  <c r="H11" i="6"/>
  <c r="G11" i="6"/>
  <c r="F10" i="6"/>
  <c r="H10" i="6"/>
  <c r="G10" i="6"/>
  <c r="F9" i="6"/>
  <c r="H9" i="6"/>
  <c r="G9" i="6"/>
  <c r="F8" i="6"/>
  <c r="H8" i="6"/>
  <c r="G8" i="6"/>
  <c r="F7" i="6"/>
  <c r="H7" i="6"/>
  <c r="G7" i="6"/>
  <c r="F6" i="6"/>
  <c r="H6" i="6"/>
  <c r="G6" i="6"/>
  <c r="F5" i="6"/>
  <c r="H5" i="6"/>
  <c r="G5" i="6"/>
  <c r="F4" i="6"/>
  <c r="H4" i="6"/>
  <c r="G4" i="6"/>
  <c r="F3" i="6"/>
  <c r="H3" i="6"/>
  <c r="G3" i="6"/>
  <c r="F2" i="6"/>
  <c r="H2" i="6"/>
  <c r="G2" i="6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B9" i="5"/>
  <c r="B3" i="5"/>
  <c r="B10" i="5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B8" i="5"/>
  <c r="B7" i="5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B4" i="5"/>
  <c r="B6" i="5"/>
  <c r="B5" i="5"/>
  <c r="AF256" i="2"/>
  <c r="AG256" i="2"/>
  <c r="AH256" i="2"/>
  <c r="AJ256" i="2"/>
  <c r="AJ253" i="2"/>
  <c r="AL256" i="2"/>
  <c r="AJ251" i="2"/>
  <c r="AM256" i="2"/>
  <c r="AN256" i="2"/>
  <c r="AO256" i="2"/>
  <c r="AP256" i="2"/>
  <c r="AR256" i="2"/>
  <c r="AF257" i="2"/>
  <c r="AG257" i="2"/>
  <c r="AH257" i="2"/>
  <c r="AJ257" i="2"/>
  <c r="AJ254" i="2"/>
  <c r="AL257" i="2"/>
  <c r="AJ252" i="2"/>
  <c r="AM257" i="2"/>
  <c r="AN257" i="2"/>
  <c r="AO257" i="2"/>
  <c r="AP257" i="2"/>
  <c r="AR257" i="2"/>
  <c r="AF258" i="2"/>
  <c r="AG258" i="2"/>
  <c r="AH258" i="2"/>
  <c r="AJ258" i="2"/>
  <c r="AJ255" i="2"/>
  <c r="AL258" i="2"/>
  <c r="AM258" i="2"/>
  <c r="AN258" i="2"/>
  <c r="AO258" i="2"/>
  <c r="AP258" i="2"/>
  <c r="AR258" i="2"/>
  <c r="AF259" i="2"/>
  <c r="AG259" i="2"/>
  <c r="AH259" i="2"/>
  <c r="AJ259" i="2"/>
  <c r="AL259" i="2"/>
  <c r="AM259" i="2"/>
  <c r="AN259" i="2"/>
  <c r="AO259" i="2"/>
  <c r="AP259" i="2"/>
  <c r="AR259" i="2"/>
  <c r="AF5" i="2"/>
  <c r="AG5" i="2"/>
  <c r="AH5" i="2"/>
  <c r="AL5" i="2"/>
  <c r="AM5" i="2"/>
  <c r="AN5" i="2"/>
  <c r="AO5" i="2"/>
  <c r="AP5" i="2"/>
  <c r="AR5" i="2"/>
  <c r="AF6" i="2"/>
  <c r="AG6" i="2"/>
  <c r="AH6" i="2"/>
  <c r="AL6" i="2"/>
  <c r="AM6" i="2"/>
  <c r="AN6" i="2"/>
  <c r="AO6" i="2"/>
  <c r="AP6" i="2"/>
  <c r="AR6" i="2"/>
  <c r="AF7" i="2"/>
  <c r="AG7" i="2"/>
  <c r="AH7" i="2"/>
  <c r="AJ7" i="2"/>
  <c r="AL7" i="2"/>
  <c r="AM7" i="2"/>
  <c r="AN7" i="2"/>
  <c r="AO7" i="2"/>
  <c r="AP7" i="2"/>
  <c r="AR7" i="2"/>
  <c r="AF8" i="2"/>
  <c r="AG8" i="2"/>
  <c r="AH8" i="2"/>
  <c r="AJ8" i="2"/>
  <c r="AJ5" i="2"/>
  <c r="AL8" i="2"/>
  <c r="AM8" i="2"/>
  <c r="AN8" i="2"/>
  <c r="AO8" i="2"/>
  <c r="AP8" i="2"/>
  <c r="AR8" i="2"/>
  <c r="AF9" i="2"/>
  <c r="AG9" i="2"/>
  <c r="AH9" i="2"/>
  <c r="AJ9" i="2"/>
  <c r="AJ6" i="2"/>
  <c r="AL9" i="2"/>
  <c r="AM9" i="2"/>
  <c r="AN9" i="2"/>
  <c r="AO9" i="2"/>
  <c r="AP9" i="2"/>
  <c r="AR9" i="2"/>
  <c r="AF10" i="2"/>
  <c r="AG10" i="2"/>
  <c r="AH10" i="2"/>
  <c r="AJ10" i="2"/>
  <c r="AL10" i="2"/>
  <c r="AM10" i="2"/>
  <c r="AN10" i="2"/>
  <c r="AO10" i="2"/>
  <c r="AP10" i="2"/>
  <c r="AR10" i="2"/>
  <c r="AF11" i="2"/>
  <c r="AG11" i="2"/>
  <c r="AH11" i="2"/>
  <c r="AJ11" i="2"/>
  <c r="AL11" i="2"/>
  <c r="AM11" i="2"/>
  <c r="AN11" i="2"/>
  <c r="AO11" i="2"/>
  <c r="AP11" i="2"/>
  <c r="AR11" i="2"/>
  <c r="AF12" i="2"/>
  <c r="AG12" i="2"/>
  <c r="AH12" i="2"/>
  <c r="AJ12" i="2"/>
  <c r="AL12" i="2"/>
  <c r="AM12" i="2"/>
  <c r="AN12" i="2"/>
  <c r="AO12" i="2"/>
  <c r="AP12" i="2"/>
  <c r="AR12" i="2"/>
  <c r="AF13" i="2"/>
  <c r="AG13" i="2"/>
  <c r="AH13" i="2"/>
  <c r="AJ13" i="2"/>
  <c r="AL13" i="2"/>
  <c r="AM13" i="2"/>
  <c r="AN13" i="2"/>
  <c r="AO13" i="2"/>
  <c r="AP13" i="2"/>
  <c r="AR13" i="2"/>
  <c r="AF14" i="2"/>
  <c r="AG14" i="2"/>
  <c r="AH14" i="2"/>
  <c r="AJ14" i="2"/>
  <c r="AL14" i="2"/>
  <c r="AM14" i="2"/>
  <c r="AN14" i="2"/>
  <c r="AO14" i="2"/>
  <c r="AP14" i="2"/>
  <c r="AR14" i="2"/>
  <c r="AF15" i="2"/>
  <c r="AG15" i="2"/>
  <c r="AH15" i="2"/>
  <c r="AJ15" i="2"/>
  <c r="AL15" i="2"/>
  <c r="AM15" i="2"/>
  <c r="AN15" i="2"/>
  <c r="AO15" i="2"/>
  <c r="AP15" i="2"/>
  <c r="AR15" i="2"/>
  <c r="AF16" i="2"/>
  <c r="AG16" i="2"/>
  <c r="AH16" i="2"/>
  <c r="AJ16" i="2"/>
  <c r="AL16" i="2"/>
  <c r="AM16" i="2"/>
  <c r="AN16" i="2"/>
  <c r="AO16" i="2"/>
  <c r="AP16" i="2"/>
  <c r="AR16" i="2"/>
  <c r="AF17" i="2"/>
  <c r="AG17" i="2"/>
  <c r="AH17" i="2"/>
  <c r="AJ17" i="2"/>
  <c r="AL17" i="2"/>
  <c r="AM17" i="2"/>
  <c r="AN17" i="2"/>
  <c r="AO17" i="2"/>
  <c r="AP17" i="2"/>
  <c r="AR17" i="2"/>
  <c r="AF18" i="2"/>
  <c r="AG18" i="2"/>
  <c r="AH18" i="2"/>
  <c r="AJ18" i="2"/>
  <c r="AL18" i="2"/>
  <c r="AM18" i="2"/>
  <c r="AN18" i="2"/>
  <c r="AO18" i="2"/>
  <c r="AP18" i="2"/>
  <c r="AR18" i="2"/>
  <c r="AF19" i="2"/>
  <c r="AG19" i="2"/>
  <c r="AH19" i="2"/>
  <c r="AJ19" i="2"/>
  <c r="AL19" i="2"/>
  <c r="AM19" i="2"/>
  <c r="AN19" i="2"/>
  <c r="AO19" i="2"/>
  <c r="AP19" i="2"/>
  <c r="AR19" i="2"/>
  <c r="AF20" i="2"/>
  <c r="AG20" i="2"/>
  <c r="AH20" i="2"/>
  <c r="AJ20" i="2"/>
  <c r="AL20" i="2"/>
  <c r="AM20" i="2"/>
  <c r="AN20" i="2"/>
  <c r="AO20" i="2"/>
  <c r="AP20" i="2"/>
  <c r="AR20" i="2"/>
  <c r="AF21" i="2"/>
  <c r="AG21" i="2"/>
  <c r="AH21" i="2"/>
  <c r="AJ21" i="2"/>
  <c r="AL21" i="2"/>
  <c r="AM21" i="2"/>
  <c r="AN21" i="2"/>
  <c r="AO21" i="2"/>
  <c r="AP21" i="2"/>
  <c r="AR21" i="2"/>
  <c r="AF22" i="2"/>
  <c r="AG22" i="2"/>
  <c r="AH22" i="2"/>
  <c r="AJ22" i="2"/>
  <c r="AL22" i="2"/>
  <c r="AM22" i="2"/>
  <c r="AN22" i="2"/>
  <c r="AO22" i="2"/>
  <c r="AP22" i="2"/>
  <c r="AR22" i="2"/>
  <c r="AF23" i="2"/>
  <c r="AG23" i="2"/>
  <c r="AH23" i="2"/>
  <c r="AJ23" i="2"/>
  <c r="AL23" i="2"/>
  <c r="AM23" i="2"/>
  <c r="AN23" i="2"/>
  <c r="AO23" i="2"/>
  <c r="AP23" i="2"/>
  <c r="AR23" i="2"/>
  <c r="AF24" i="2"/>
  <c r="AG24" i="2"/>
  <c r="AH24" i="2"/>
  <c r="AJ24" i="2"/>
  <c r="AL24" i="2"/>
  <c r="AM24" i="2"/>
  <c r="AN24" i="2"/>
  <c r="AO24" i="2"/>
  <c r="AP24" i="2"/>
  <c r="AR24" i="2"/>
  <c r="AF25" i="2"/>
  <c r="AG25" i="2"/>
  <c r="AH25" i="2"/>
  <c r="AJ25" i="2"/>
  <c r="AL25" i="2"/>
  <c r="AM25" i="2"/>
  <c r="AN25" i="2"/>
  <c r="AO25" i="2"/>
  <c r="AP25" i="2"/>
  <c r="AR25" i="2"/>
  <c r="AF26" i="2"/>
  <c r="AG26" i="2"/>
  <c r="AH26" i="2"/>
  <c r="AJ26" i="2"/>
  <c r="AL26" i="2"/>
  <c r="AM26" i="2"/>
  <c r="AN26" i="2"/>
  <c r="AO26" i="2"/>
  <c r="AP26" i="2"/>
  <c r="AR26" i="2"/>
  <c r="AF27" i="2"/>
  <c r="AG27" i="2"/>
  <c r="AH27" i="2"/>
  <c r="AJ27" i="2"/>
  <c r="AL27" i="2"/>
  <c r="AM27" i="2"/>
  <c r="AN27" i="2"/>
  <c r="AO27" i="2"/>
  <c r="AP27" i="2"/>
  <c r="AR27" i="2"/>
  <c r="AF28" i="2"/>
  <c r="AG28" i="2"/>
  <c r="AH28" i="2"/>
  <c r="AJ28" i="2"/>
  <c r="AL28" i="2"/>
  <c r="AM28" i="2"/>
  <c r="AN28" i="2"/>
  <c r="AO28" i="2"/>
  <c r="AP28" i="2"/>
  <c r="AR28" i="2"/>
  <c r="AF29" i="2"/>
  <c r="AG29" i="2"/>
  <c r="AH29" i="2"/>
  <c r="AJ29" i="2"/>
  <c r="AL29" i="2"/>
  <c r="AM29" i="2"/>
  <c r="AN29" i="2"/>
  <c r="AO29" i="2"/>
  <c r="AP29" i="2"/>
  <c r="AR29" i="2"/>
  <c r="AF30" i="2"/>
  <c r="AG30" i="2"/>
  <c r="AH30" i="2"/>
  <c r="AJ30" i="2"/>
  <c r="AL30" i="2"/>
  <c r="AM30" i="2"/>
  <c r="AN30" i="2"/>
  <c r="AO30" i="2"/>
  <c r="AP30" i="2"/>
  <c r="AR30" i="2"/>
  <c r="AF31" i="2"/>
  <c r="AG31" i="2"/>
  <c r="AH31" i="2"/>
  <c r="AJ31" i="2"/>
  <c r="AL31" i="2"/>
  <c r="AM31" i="2"/>
  <c r="AN31" i="2"/>
  <c r="AO31" i="2"/>
  <c r="AP31" i="2"/>
  <c r="AR31" i="2"/>
  <c r="AF32" i="2"/>
  <c r="AG32" i="2"/>
  <c r="AH32" i="2"/>
  <c r="AJ32" i="2"/>
  <c r="AL32" i="2"/>
  <c r="AM32" i="2"/>
  <c r="AN32" i="2"/>
  <c r="AO32" i="2"/>
  <c r="AP32" i="2"/>
  <c r="AR32" i="2"/>
  <c r="AF33" i="2"/>
  <c r="AG33" i="2"/>
  <c r="AH33" i="2"/>
  <c r="AJ33" i="2"/>
  <c r="AL33" i="2"/>
  <c r="AM33" i="2"/>
  <c r="AN33" i="2"/>
  <c r="AO33" i="2"/>
  <c r="AP33" i="2"/>
  <c r="AR33" i="2"/>
  <c r="AF34" i="2"/>
  <c r="AG34" i="2"/>
  <c r="AH34" i="2"/>
  <c r="AJ34" i="2"/>
  <c r="AL34" i="2"/>
  <c r="AM34" i="2"/>
  <c r="AN34" i="2"/>
  <c r="AO34" i="2"/>
  <c r="AP34" i="2"/>
  <c r="AR34" i="2"/>
  <c r="AF35" i="2"/>
  <c r="AG35" i="2"/>
  <c r="AH35" i="2"/>
  <c r="AJ35" i="2"/>
  <c r="AL35" i="2"/>
  <c r="AM35" i="2"/>
  <c r="AN35" i="2"/>
  <c r="AO35" i="2"/>
  <c r="AP35" i="2"/>
  <c r="AR35" i="2"/>
  <c r="AF36" i="2"/>
  <c r="AG36" i="2"/>
  <c r="AH36" i="2"/>
  <c r="AJ36" i="2"/>
  <c r="AL36" i="2"/>
  <c r="AM36" i="2"/>
  <c r="AN36" i="2"/>
  <c r="AO36" i="2"/>
  <c r="AP36" i="2"/>
  <c r="AR36" i="2"/>
  <c r="AF37" i="2"/>
  <c r="AG37" i="2"/>
  <c r="AH37" i="2"/>
  <c r="AJ37" i="2"/>
  <c r="AL37" i="2"/>
  <c r="AM37" i="2"/>
  <c r="AN37" i="2"/>
  <c r="AO37" i="2"/>
  <c r="AP37" i="2"/>
  <c r="AR37" i="2"/>
  <c r="AF38" i="2"/>
  <c r="AG38" i="2"/>
  <c r="AH38" i="2"/>
  <c r="AJ38" i="2"/>
  <c r="AL38" i="2"/>
  <c r="AM38" i="2"/>
  <c r="AN38" i="2"/>
  <c r="AO38" i="2"/>
  <c r="AP38" i="2"/>
  <c r="AR38" i="2"/>
  <c r="AF39" i="2"/>
  <c r="AG39" i="2"/>
  <c r="AH39" i="2"/>
  <c r="AJ39" i="2"/>
  <c r="AL39" i="2"/>
  <c r="AM39" i="2"/>
  <c r="AN39" i="2"/>
  <c r="AO39" i="2"/>
  <c r="AP39" i="2"/>
  <c r="AR39" i="2"/>
  <c r="AF40" i="2"/>
  <c r="AG40" i="2"/>
  <c r="AH40" i="2"/>
  <c r="AJ40" i="2"/>
  <c r="AL40" i="2"/>
  <c r="AM40" i="2"/>
  <c r="AN40" i="2"/>
  <c r="AO40" i="2"/>
  <c r="AP40" i="2"/>
  <c r="AR40" i="2"/>
  <c r="AF41" i="2"/>
  <c r="AG41" i="2"/>
  <c r="AH41" i="2"/>
  <c r="AJ41" i="2"/>
  <c r="AL41" i="2"/>
  <c r="AM41" i="2"/>
  <c r="AN41" i="2"/>
  <c r="AO41" i="2"/>
  <c r="AP41" i="2"/>
  <c r="AR41" i="2"/>
  <c r="AF42" i="2"/>
  <c r="AG42" i="2"/>
  <c r="AH42" i="2"/>
  <c r="AJ42" i="2"/>
  <c r="AL42" i="2"/>
  <c r="AM42" i="2"/>
  <c r="AN42" i="2"/>
  <c r="AO42" i="2"/>
  <c r="AP42" i="2"/>
  <c r="AR42" i="2"/>
  <c r="AF43" i="2"/>
  <c r="AG43" i="2"/>
  <c r="AH43" i="2"/>
  <c r="AJ43" i="2"/>
  <c r="AL43" i="2"/>
  <c r="AM43" i="2"/>
  <c r="AN43" i="2"/>
  <c r="AO43" i="2"/>
  <c r="AP43" i="2"/>
  <c r="AR43" i="2"/>
  <c r="AF44" i="2"/>
  <c r="AG44" i="2"/>
  <c r="AH44" i="2"/>
  <c r="AJ44" i="2"/>
  <c r="AL44" i="2"/>
  <c r="AM44" i="2"/>
  <c r="AN44" i="2"/>
  <c r="AO44" i="2"/>
  <c r="AP44" i="2"/>
  <c r="AR44" i="2"/>
  <c r="AF45" i="2"/>
  <c r="AG45" i="2"/>
  <c r="AH45" i="2"/>
  <c r="AJ45" i="2"/>
  <c r="AL45" i="2"/>
  <c r="AM45" i="2"/>
  <c r="AN45" i="2"/>
  <c r="AO45" i="2"/>
  <c r="AP45" i="2"/>
  <c r="AR45" i="2"/>
  <c r="AF46" i="2"/>
  <c r="AG46" i="2"/>
  <c r="AH46" i="2"/>
  <c r="AJ46" i="2"/>
  <c r="AL46" i="2"/>
  <c r="AM46" i="2"/>
  <c r="AN46" i="2"/>
  <c r="AO46" i="2"/>
  <c r="AP46" i="2"/>
  <c r="AR46" i="2"/>
  <c r="AF47" i="2"/>
  <c r="AG47" i="2"/>
  <c r="AH47" i="2"/>
  <c r="AJ47" i="2"/>
  <c r="AL47" i="2"/>
  <c r="AM47" i="2"/>
  <c r="AN47" i="2"/>
  <c r="AO47" i="2"/>
  <c r="AP47" i="2"/>
  <c r="AR47" i="2"/>
  <c r="AF48" i="2"/>
  <c r="AG48" i="2"/>
  <c r="AH48" i="2"/>
  <c r="AJ48" i="2"/>
  <c r="AL48" i="2"/>
  <c r="AM48" i="2"/>
  <c r="AN48" i="2"/>
  <c r="AO48" i="2"/>
  <c r="AP48" i="2"/>
  <c r="AR48" i="2"/>
  <c r="AF49" i="2"/>
  <c r="AG49" i="2"/>
  <c r="AH49" i="2"/>
  <c r="AJ49" i="2"/>
  <c r="AL49" i="2"/>
  <c r="AM49" i="2"/>
  <c r="AN49" i="2"/>
  <c r="AO49" i="2"/>
  <c r="AP49" i="2"/>
  <c r="AR49" i="2"/>
  <c r="AF50" i="2"/>
  <c r="AG50" i="2"/>
  <c r="AH50" i="2"/>
  <c r="AJ50" i="2"/>
  <c r="AL50" i="2"/>
  <c r="AM50" i="2"/>
  <c r="AN50" i="2"/>
  <c r="AO50" i="2"/>
  <c r="AP50" i="2"/>
  <c r="AR50" i="2"/>
  <c r="AF51" i="2"/>
  <c r="AG51" i="2"/>
  <c r="AH51" i="2"/>
  <c r="AJ51" i="2"/>
  <c r="AL51" i="2"/>
  <c r="AM51" i="2"/>
  <c r="AN51" i="2"/>
  <c r="AO51" i="2"/>
  <c r="AP51" i="2"/>
  <c r="AR51" i="2"/>
  <c r="AF52" i="2"/>
  <c r="AG52" i="2"/>
  <c r="AH52" i="2"/>
  <c r="AJ52" i="2"/>
  <c r="AL52" i="2"/>
  <c r="AM52" i="2"/>
  <c r="AN52" i="2"/>
  <c r="AO52" i="2"/>
  <c r="AP52" i="2"/>
  <c r="AR52" i="2"/>
  <c r="AF53" i="2"/>
  <c r="AG53" i="2"/>
  <c r="AH53" i="2"/>
  <c r="AJ53" i="2"/>
  <c r="AL53" i="2"/>
  <c r="AM53" i="2"/>
  <c r="AN53" i="2"/>
  <c r="AO53" i="2"/>
  <c r="AP53" i="2"/>
  <c r="AR53" i="2"/>
  <c r="AF54" i="2"/>
  <c r="AG54" i="2"/>
  <c r="AH54" i="2"/>
  <c r="AJ54" i="2"/>
  <c r="AL54" i="2"/>
  <c r="AM54" i="2"/>
  <c r="AN54" i="2"/>
  <c r="AO54" i="2"/>
  <c r="AP54" i="2"/>
  <c r="AR54" i="2"/>
  <c r="AF55" i="2"/>
  <c r="AG55" i="2"/>
  <c r="AH55" i="2"/>
  <c r="AJ55" i="2"/>
  <c r="AL55" i="2"/>
  <c r="AM55" i="2"/>
  <c r="AN55" i="2"/>
  <c r="AO55" i="2"/>
  <c r="AP55" i="2"/>
  <c r="AR55" i="2"/>
  <c r="AF56" i="2"/>
  <c r="AG56" i="2"/>
  <c r="AH56" i="2"/>
  <c r="AJ56" i="2"/>
  <c r="AL56" i="2"/>
  <c r="AM56" i="2"/>
  <c r="AN56" i="2"/>
  <c r="AO56" i="2"/>
  <c r="AP56" i="2"/>
  <c r="AR56" i="2"/>
  <c r="AF57" i="2"/>
  <c r="AG57" i="2"/>
  <c r="AH57" i="2"/>
  <c r="AJ57" i="2"/>
  <c r="AL57" i="2"/>
  <c r="AM57" i="2"/>
  <c r="AN57" i="2"/>
  <c r="AO57" i="2"/>
  <c r="AP57" i="2"/>
  <c r="AR57" i="2"/>
  <c r="AF58" i="2"/>
  <c r="AG58" i="2"/>
  <c r="AH58" i="2"/>
  <c r="AJ58" i="2"/>
  <c r="AL58" i="2"/>
  <c r="AM58" i="2"/>
  <c r="AN58" i="2"/>
  <c r="AO58" i="2"/>
  <c r="AP58" i="2"/>
  <c r="AR58" i="2"/>
  <c r="AF59" i="2"/>
  <c r="AG59" i="2"/>
  <c r="AH59" i="2"/>
  <c r="AJ59" i="2"/>
  <c r="AL59" i="2"/>
  <c r="AM59" i="2"/>
  <c r="AN59" i="2"/>
  <c r="AO59" i="2"/>
  <c r="AP59" i="2"/>
  <c r="AR59" i="2"/>
  <c r="AF60" i="2"/>
  <c r="AG60" i="2"/>
  <c r="AH60" i="2"/>
  <c r="AJ60" i="2"/>
  <c r="AL60" i="2"/>
  <c r="AM60" i="2"/>
  <c r="AN60" i="2"/>
  <c r="AO60" i="2"/>
  <c r="AP60" i="2"/>
  <c r="AR60" i="2"/>
  <c r="AF61" i="2"/>
  <c r="AG61" i="2"/>
  <c r="AH61" i="2"/>
  <c r="AJ61" i="2"/>
  <c r="AL61" i="2"/>
  <c r="AM61" i="2"/>
  <c r="AN61" i="2"/>
  <c r="AO61" i="2"/>
  <c r="AP61" i="2"/>
  <c r="AR61" i="2"/>
  <c r="AF62" i="2"/>
  <c r="AG62" i="2"/>
  <c r="AH62" i="2"/>
  <c r="AJ62" i="2"/>
  <c r="AL62" i="2"/>
  <c r="AM62" i="2"/>
  <c r="AN62" i="2"/>
  <c r="AO62" i="2"/>
  <c r="AP62" i="2"/>
  <c r="AR62" i="2"/>
  <c r="AF63" i="2"/>
  <c r="AG63" i="2"/>
  <c r="AH63" i="2"/>
  <c r="AJ63" i="2"/>
  <c r="AL63" i="2"/>
  <c r="AM63" i="2"/>
  <c r="AN63" i="2"/>
  <c r="AO63" i="2"/>
  <c r="AP63" i="2"/>
  <c r="AR63" i="2"/>
  <c r="AF64" i="2"/>
  <c r="AG64" i="2"/>
  <c r="AH64" i="2"/>
  <c r="AJ64" i="2"/>
  <c r="AL64" i="2"/>
  <c r="AM64" i="2"/>
  <c r="AN64" i="2"/>
  <c r="AO64" i="2"/>
  <c r="AP64" i="2"/>
  <c r="AR64" i="2"/>
  <c r="AF65" i="2"/>
  <c r="AG65" i="2"/>
  <c r="AH65" i="2"/>
  <c r="AJ65" i="2"/>
  <c r="AL65" i="2"/>
  <c r="AM65" i="2"/>
  <c r="AN65" i="2"/>
  <c r="AO65" i="2"/>
  <c r="AP65" i="2"/>
  <c r="AR65" i="2"/>
  <c r="AF66" i="2"/>
  <c r="AG66" i="2"/>
  <c r="AH66" i="2"/>
  <c r="AJ66" i="2"/>
  <c r="AL66" i="2"/>
  <c r="AM66" i="2"/>
  <c r="AN66" i="2"/>
  <c r="AO66" i="2"/>
  <c r="AP66" i="2"/>
  <c r="AR66" i="2"/>
  <c r="AF67" i="2"/>
  <c r="AG67" i="2"/>
  <c r="AH67" i="2"/>
  <c r="AJ67" i="2"/>
  <c r="AL67" i="2"/>
  <c r="AM67" i="2"/>
  <c r="AN67" i="2"/>
  <c r="AO67" i="2"/>
  <c r="AP67" i="2"/>
  <c r="AR67" i="2"/>
  <c r="AF68" i="2"/>
  <c r="AG68" i="2"/>
  <c r="AH68" i="2"/>
  <c r="AJ68" i="2"/>
  <c r="AL68" i="2"/>
  <c r="AM68" i="2"/>
  <c r="AN68" i="2"/>
  <c r="AO68" i="2"/>
  <c r="AP68" i="2"/>
  <c r="AR68" i="2"/>
  <c r="AF69" i="2"/>
  <c r="AG69" i="2"/>
  <c r="AH69" i="2"/>
  <c r="AJ69" i="2"/>
  <c r="AL69" i="2"/>
  <c r="AM69" i="2"/>
  <c r="AN69" i="2"/>
  <c r="AO69" i="2"/>
  <c r="AP69" i="2"/>
  <c r="AR69" i="2"/>
  <c r="AF70" i="2"/>
  <c r="AG70" i="2"/>
  <c r="AH70" i="2"/>
  <c r="AJ70" i="2"/>
  <c r="AL70" i="2"/>
  <c r="AM70" i="2"/>
  <c r="AN70" i="2"/>
  <c r="AO70" i="2"/>
  <c r="AP70" i="2"/>
  <c r="AR70" i="2"/>
  <c r="AF71" i="2"/>
  <c r="AG71" i="2"/>
  <c r="AH71" i="2"/>
  <c r="AJ71" i="2"/>
  <c r="AL71" i="2"/>
  <c r="AM71" i="2"/>
  <c r="AN71" i="2"/>
  <c r="AO71" i="2"/>
  <c r="AP71" i="2"/>
  <c r="AR71" i="2"/>
  <c r="AF72" i="2"/>
  <c r="AG72" i="2"/>
  <c r="AH72" i="2"/>
  <c r="AJ72" i="2"/>
  <c r="AL72" i="2"/>
  <c r="AM72" i="2"/>
  <c r="AN72" i="2"/>
  <c r="AO72" i="2"/>
  <c r="AP72" i="2"/>
  <c r="AR72" i="2"/>
  <c r="AF73" i="2"/>
  <c r="AG73" i="2"/>
  <c r="AH73" i="2"/>
  <c r="AJ73" i="2"/>
  <c r="AL73" i="2"/>
  <c r="AM73" i="2"/>
  <c r="AN73" i="2"/>
  <c r="AO73" i="2"/>
  <c r="AP73" i="2"/>
  <c r="AR73" i="2"/>
  <c r="AF74" i="2"/>
  <c r="AG74" i="2"/>
  <c r="AH74" i="2"/>
  <c r="AJ74" i="2"/>
  <c r="AL74" i="2"/>
  <c r="AM74" i="2"/>
  <c r="AN74" i="2"/>
  <c r="AO74" i="2"/>
  <c r="AP74" i="2"/>
  <c r="AR74" i="2"/>
  <c r="AF75" i="2"/>
  <c r="AG75" i="2"/>
  <c r="AH75" i="2"/>
  <c r="AJ75" i="2"/>
  <c r="AL75" i="2"/>
  <c r="AM75" i="2"/>
  <c r="AN75" i="2"/>
  <c r="AO75" i="2"/>
  <c r="AP75" i="2"/>
  <c r="AR75" i="2"/>
  <c r="AF76" i="2"/>
  <c r="AG76" i="2"/>
  <c r="AH76" i="2"/>
  <c r="AJ76" i="2"/>
  <c r="AL76" i="2"/>
  <c r="AM76" i="2"/>
  <c r="AN76" i="2"/>
  <c r="AO76" i="2"/>
  <c r="AP76" i="2"/>
  <c r="AR76" i="2"/>
  <c r="AF77" i="2"/>
  <c r="AG77" i="2"/>
  <c r="AH77" i="2"/>
  <c r="AJ77" i="2"/>
  <c r="AL77" i="2"/>
  <c r="AM77" i="2"/>
  <c r="AN77" i="2"/>
  <c r="AO77" i="2"/>
  <c r="AP77" i="2"/>
  <c r="AR77" i="2"/>
  <c r="AF78" i="2"/>
  <c r="AG78" i="2"/>
  <c r="AH78" i="2"/>
  <c r="AJ78" i="2"/>
  <c r="AL78" i="2"/>
  <c r="AM78" i="2"/>
  <c r="AN78" i="2"/>
  <c r="AO78" i="2"/>
  <c r="AP78" i="2"/>
  <c r="AR78" i="2"/>
  <c r="AF79" i="2"/>
  <c r="AG79" i="2"/>
  <c r="AH79" i="2"/>
  <c r="AJ79" i="2"/>
  <c r="AL79" i="2"/>
  <c r="AM79" i="2"/>
  <c r="AN79" i="2"/>
  <c r="AO79" i="2"/>
  <c r="AP79" i="2"/>
  <c r="AR79" i="2"/>
  <c r="AF80" i="2"/>
  <c r="AG80" i="2"/>
  <c r="AH80" i="2"/>
  <c r="AJ80" i="2"/>
  <c r="AL80" i="2"/>
  <c r="AM80" i="2"/>
  <c r="AN80" i="2"/>
  <c r="AO80" i="2"/>
  <c r="AP80" i="2"/>
  <c r="AR80" i="2"/>
  <c r="AF81" i="2"/>
  <c r="AG81" i="2"/>
  <c r="AH81" i="2"/>
  <c r="AJ81" i="2"/>
  <c r="AL81" i="2"/>
  <c r="AM81" i="2"/>
  <c r="AN81" i="2"/>
  <c r="AO81" i="2"/>
  <c r="AP81" i="2"/>
  <c r="AR81" i="2"/>
  <c r="AF82" i="2"/>
  <c r="AG82" i="2"/>
  <c r="AH82" i="2"/>
  <c r="AJ82" i="2"/>
  <c r="AL82" i="2"/>
  <c r="AM82" i="2"/>
  <c r="AN82" i="2"/>
  <c r="AO82" i="2"/>
  <c r="AP82" i="2"/>
  <c r="AR82" i="2"/>
  <c r="AF83" i="2"/>
  <c r="AG83" i="2"/>
  <c r="AH83" i="2"/>
  <c r="AJ83" i="2"/>
  <c r="AL83" i="2"/>
  <c r="AM83" i="2"/>
  <c r="AN83" i="2"/>
  <c r="AO83" i="2"/>
  <c r="AP83" i="2"/>
  <c r="AR83" i="2"/>
  <c r="AF84" i="2"/>
  <c r="AG84" i="2"/>
  <c r="AH84" i="2"/>
  <c r="AJ84" i="2"/>
  <c r="AL84" i="2"/>
  <c r="AM84" i="2"/>
  <c r="AN84" i="2"/>
  <c r="AO84" i="2"/>
  <c r="AP84" i="2"/>
  <c r="AR84" i="2"/>
  <c r="AF85" i="2"/>
  <c r="AG85" i="2"/>
  <c r="AH85" i="2"/>
  <c r="AJ85" i="2"/>
  <c r="AL85" i="2"/>
  <c r="AM85" i="2"/>
  <c r="AN85" i="2"/>
  <c r="AO85" i="2"/>
  <c r="AP85" i="2"/>
  <c r="AR85" i="2"/>
  <c r="AF86" i="2"/>
  <c r="AG86" i="2"/>
  <c r="AH86" i="2"/>
  <c r="AJ86" i="2"/>
  <c r="AL86" i="2"/>
  <c r="AM86" i="2"/>
  <c r="AN86" i="2"/>
  <c r="AO86" i="2"/>
  <c r="AP86" i="2"/>
  <c r="AR86" i="2"/>
  <c r="AF87" i="2"/>
  <c r="AG87" i="2"/>
  <c r="AH87" i="2"/>
  <c r="AJ87" i="2"/>
  <c r="AL87" i="2"/>
  <c r="AM87" i="2"/>
  <c r="AN87" i="2"/>
  <c r="AO87" i="2"/>
  <c r="AP87" i="2"/>
  <c r="AR87" i="2"/>
  <c r="AF88" i="2"/>
  <c r="AG88" i="2"/>
  <c r="AH88" i="2"/>
  <c r="AJ88" i="2"/>
  <c r="AL88" i="2"/>
  <c r="AM88" i="2"/>
  <c r="AN88" i="2"/>
  <c r="AO88" i="2"/>
  <c r="AP88" i="2"/>
  <c r="AR88" i="2"/>
  <c r="AF89" i="2"/>
  <c r="AG89" i="2"/>
  <c r="AH89" i="2"/>
  <c r="AJ89" i="2"/>
  <c r="AL89" i="2"/>
  <c r="AM89" i="2"/>
  <c r="AN89" i="2"/>
  <c r="AO89" i="2"/>
  <c r="AP89" i="2"/>
  <c r="AR89" i="2"/>
  <c r="AF90" i="2"/>
  <c r="AG90" i="2"/>
  <c r="AH90" i="2"/>
  <c r="AJ90" i="2"/>
  <c r="AL90" i="2"/>
  <c r="AM90" i="2"/>
  <c r="AN90" i="2"/>
  <c r="AO90" i="2"/>
  <c r="AP90" i="2"/>
  <c r="AR90" i="2"/>
  <c r="AF91" i="2"/>
  <c r="AG91" i="2"/>
  <c r="AH91" i="2"/>
  <c r="AJ91" i="2"/>
  <c r="AL91" i="2"/>
  <c r="AM91" i="2"/>
  <c r="AN91" i="2"/>
  <c r="AO91" i="2"/>
  <c r="AP91" i="2"/>
  <c r="AR91" i="2"/>
  <c r="AF92" i="2"/>
  <c r="AG92" i="2"/>
  <c r="AH92" i="2"/>
  <c r="AJ92" i="2"/>
  <c r="AL92" i="2"/>
  <c r="AM92" i="2"/>
  <c r="AN92" i="2"/>
  <c r="AO92" i="2"/>
  <c r="AP92" i="2"/>
  <c r="AR92" i="2"/>
  <c r="AF93" i="2"/>
  <c r="AG93" i="2"/>
  <c r="AH93" i="2"/>
  <c r="AJ93" i="2"/>
  <c r="AL93" i="2"/>
  <c r="AM93" i="2"/>
  <c r="AN93" i="2"/>
  <c r="AO93" i="2"/>
  <c r="AP93" i="2"/>
  <c r="AR93" i="2"/>
  <c r="AF94" i="2"/>
  <c r="AG94" i="2"/>
  <c r="AH94" i="2"/>
  <c r="AJ94" i="2"/>
  <c r="AL94" i="2"/>
  <c r="AM94" i="2"/>
  <c r="AN94" i="2"/>
  <c r="AO94" i="2"/>
  <c r="AP94" i="2"/>
  <c r="AR94" i="2"/>
  <c r="AF95" i="2"/>
  <c r="AG95" i="2"/>
  <c r="AH95" i="2"/>
  <c r="AJ95" i="2"/>
  <c r="AL95" i="2"/>
  <c r="AM95" i="2"/>
  <c r="AN95" i="2"/>
  <c r="AO95" i="2"/>
  <c r="AP95" i="2"/>
  <c r="AR95" i="2"/>
  <c r="AF96" i="2"/>
  <c r="AG96" i="2"/>
  <c r="AH96" i="2"/>
  <c r="AJ96" i="2"/>
  <c r="AL96" i="2"/>
  <c r="AM96" i="2"/>
  <c r="AN96" i="2"/>
  <c r="AO96" i="2"/>
  <c r="AP96" i="2"/>
  <c r="AR96" i="2"/>
  <c r="AF97" i="2"/>
  <c r="AG97" i="2"/>
  <c r="AH97" i="2"/>
  <c r="AJ97" i="2"/>
  <c r="AL97" i="2"/>
  <c r="AM97" i="2"/>
  <c r="AN97" i="2"/>
  <c r="AO97" i="2"/>
  <c r="AP97" i="2"/>
  <c r="AR97" i="2"/>
  <c r="AF98" i="2"/>
  <c r="AG98" i="2"/>
  <c r="AH98" i="2"/>
  <c r="AJ98" i="2"/>
  <c r="AL98" i="2"/>
  <c r="AM98" i="2"/>
  <c r="AN98" i="2"/>
  <c r="AO98" i="2"/>
  <c r="AP98" i="2"/>
  <c r="AR98" i="2"/>
  <c r="AF99" i="2"/>
  <c r="AG99" i="2"/>
  <c r="AH99" i="2"/>
  <c r="AJ99" i="2"/>
  <c r="AL99" i="2"/>
  <c r="AM99" i="2"/>
  <c r="AN99" i="2"/>
  <c r="AO99" i="2"/>
  <c r="AP99" i="2"/>
  <c r="AR99" i="2"/>
  <c r="AF100" i="2"/>
  <c r="AG100" i="2"/>
  <c r="AH100" i="2"/>
  <c r="AJ100" i="2"/>
  <c r="AL100" i="2"/>
  <c r="AM100" i="2"/>
  <c r="AN100" i="2"/>
  <c r="AO100" i="2"/>
  <c r="AP100" i="2"/>
  <c r="AR100" i="2"/>
  <c r="AF101" i="2"/>
  <c r="AG101" i="2"/>
  <c r="AH101" i="2"/>
  <c r="AJ101" i="2"/>
  <c r="AL101" i="2"/>
  <c r="AM101" i="2"/>
  <c r="AN101" i="2"/>
  <c r="AO101" i="2"/>
  <c r="AP101" i="2"/>
  <c r="AR101" i="2"/>
  <c r="AF102" i="2"/>
  <c r="AG102" i="2"/>
  <c r="AH102" i="2"/>
  <c r="AJ102" i="2"/>
  <c r="AL102" i="2"/>
  <c r="AM102" i="2"/>
  <c r="AN102" i="2"/>
  <c r="AO102" i="2"/>
  <c r="AP102" i="2"/>
  <c r="AR102" i="2"/>
  <c r="AF103" i="2"/>
  <c r="AG103" i="2"/>
  <c r="AH103" i="2"/>
  <c r="AJ103" i="2"/>
  <c r="AL103" i="2"/>
  <c r="AM103" i="2"/>
  <c r="AN103" i="2"/>
  <c r="AO103" i="2"/>
  <c r="AP103" i="2"/>
  <c r="AR103" i="2"/>
  <c r="AF104" i="2"/>
  <c r="AG104" i="2"/>
  <c r="AH104" i="2"/>
  <c r="AJ104" i="2"/>
  <c r="AL104" i="2"/>
  <c r="AM104" i="2"/>
  <c r="AN104" i="2"/>
  <c r="AO104" i="2"/>
  <c r="AP104" i="2"/>
  <c r="AR104" i="2"/>
  <c r="AF105" i="2"/>
  <c r="AG105" i="2"/>
  <c r="AH105" i="2"/>
  <c r="AJ105" i="2"/>
  <c r="AL105" i="2"/>
  <c r="AM105" i="2"/>
  <c r="AN105" i="2"/>
  <c r="AO105" i="2"/>
  <c r="AP105" i="2"/>
  <c r="AR105" i="2"/>
  <c r="AF106" i="2"/>
  <c r="AG106" i="2"/>
  <c r="AH106" i="2"/>
  <c r="AJ106" i="2"/>
  <c r="AL106" i="2"/>
  <c r="AM106" i="2"/>
  <c r="AN106" i="2"/>
  <c r="AO106" i="2"/>
  <c r="AP106" i="2"/>
  <c r="AR106" i="2"/>
  <c r="AF107" i="2"/>
  <c r="AG107" i="2"/>
  <c r="AH107" i="2"/>
  <c r="AJ107" i="2"/>
  <c r="AL107" i="2"/>
  <c r="AM107" i="2"/>
  <c r="AN107" i="2"/>
  <c r="AO107" i="2"/>
  <c r="AP107" i="2"/>
  <c r="AR107" i="2"/>
  <c r="AF108" i="2"/>
  <c r="AG108" i="2"/>
  <c r="AH108" i="2"/>
  <c r="AJ108" i="2"/>
  <c r="AL108" i="2"/>
  <c r="AM108" i="2"/>
  <c r="AN108" i="2"/>
  <c r="AO108" i="2"/>
  <c r="AP108" i="2"/>
  <c r="AR108" i="2"/>
  <c r="AF109" i="2"/>
  <c r="AG109" i="2"/>
  <c r="AH109" i="2"/>
  <c r="AJ109" i="2"/>
  <c r="AL109" i="2"/>
  <c r="AM109" i="2"/>
  <c r="AN109" i="2"/>
  <c r="AO109" i="2"/>
  <c r="AP109" i="2"/>
  <c r="AR109" i="2"/>
  <c r="AF110" i="2"/>
  <c r="AG110" i="2"/>
  <c r="AH110" i="2"/>
  <c r="AJ110" i="2"/>
  <c r="AL110" i="2"/>
  <c r="AM110" i="2"/>
  <c r="AN110" i="2"/>
  <c r="AO110" i="2"/>
  <c r="AP110" i="2"/>
  <c r="AR110" i="2"/>
  <c r="AF111" i="2"/>
  <c r="AG111" i="2"/>
  <c r="AH111" i="2"/>
  <c r="AJ111" i="2"/>
  <c r="AL111" i="2"/>
  <c r="AM111" i="2"/>
  <c r="AN111" i="2"/>
  <c r="AO111" i="2"/>
  <c r="AP111" i="2"/>
  <c r="AR111" i="2"/>
  <c r="AF112" i="2"/>
  <c r="AG112" i="2"/>
  <c r="AH112" i="2"/>
  <c r="AJ112" i="2"/>
  <c r="AL112" i="2"/>
  <c r="AM112" i="2"/>
  <c r="AN112" i="2"/>
  <c r="AO112" i="2"/>
  <c r="AP112" i="2"/>
  <c r="AR112" i="2"/>
  <c r="AF113" i="2"/>
  <c r="AG113" i="2"/>
  <c r="AH113" i="2"/>
  <c r="AJ113" i="2"/>
  <c r="AL113" i="2"/>
  <c r="AM113" i="2"/>
  <c r="AN113" i="2"/>
  <c r="AO113" i="2"/>
  <c r="AP113" i="2"/>
  <c r="AR113" i="2"/>
  <c r="AF114" i="2"/>
  <c r="AG114" i="2"/>
  <c r="AH114" i="2"/>
  <c r="AJ114" i="2"/>
  <c r="AL114" i="2"/>
  <c r="AM114" i="2"/>
  <c r="AN114" i="2"/>
  <c r="AO114" i="2"/>
  <c r="AP114" i="2"/>
  <c r="AR114" i="2"/>
  <c r="AF115" i="2"/>
  <c r="AG115" i="2"/>
  <c r="AH115" i="2"/>
  <c r="AJ115" i="2"/>
  <c r="AL115" i="2"/>
  <c r="AM115" i="2"/>
  <c r="AN115" i="2"/>
  <c r="AO115" i="2"/>
  <c r="AP115" i="2"/>
  <c r="AR115" i="2"/>
  <c r="AF116" i="2"/>
  <c r="AG116" i="2"/>
  <c r="AH116" i="2"/>
  <c r="AJ116" i="2"/>
  <c r="AL116" i="2"/>
  <c r="AM116" i="2"/>
  <c r="AN116" i="2"/>
  <c r="AO116" i="2"/>
  <c r="AP116" i="2"/>
  <c r="AR116" i="2"/>
  <c r="AF117" i="2"/>
  <c r="AG117" i="2"/>
  <c r="AH117" i="2"/>
  <c r="AJ117" i="2"/>
  <c r="AL117" i="2"/>
  <c r="AM117" i="2"/>
  <c r="AN117" i="2"/>
  <c r="AO117" i="2"/>
  <c r="AP117" i="2"/>
  <c r="AR117" i="2"/>
  <c r="AF118" i="2"/>
  <c r="AG118" i="2"/>
  <c r="AH118" i="2"/>
  <c r="AJ118" i="2"/>
  <c r="AL118" i="2"/>
  <c r="AM118" i="2"/>
  <c r="AN118" i="2"/>
  <c r="AO118" i="2"/>
  <c r="AP118" i="2"/>
  <c r="AR118" i="2"/>
  <c r="AF119" i="2"/>
  <c r="AG119" i="2"/>
  <c r="AH119" i="2"/>
  <c r="AJ119" i="2"/>
  <c r="AL119" i="2"/>
  <c r="AM119" i="2"/>
  <c r="AN119" i="2"/>
  <c r="AO119" i="2"/>
  <c r="AP119" i="2"/>
  <c r="AR119" i="2"/>
  <c r="AF120" i="2"/>
  <c r="AG120" i="2"/>
  <c r="AH120" i="2"/>
  <c r="AJ120" i="2"/>
  <c r="AL120" i="2"/>
  <c r="AM120" i="2"/>
  <c r="AN120" i="2"/>
  <c r="AO120" i="2"/>
  <c r="AP120" i="2"/>
  <c r="AR120" i="2"/>
  <c r="AF121" i="2"/>
  <c r="AG121" i="2"/>
  <c r="AH121" i="2"/>
  <c r="AJ121" i="2"/>
  <c r="AL121" i="2"/>
  <c r="AM121" i="2"/>
  <c r="AN121" i="2"/>
  <c r="AO121" i="2"/>
  <c r="AP121" i="2"/>
  <c r="AR121" i="2"/>
  <c r="AF122" i="2"/>
  <c r="AG122" i="2"/>
  <c r="AH122" i="2"/>
  <c r="AJ122" i="2"/>
  <c r="AL122" i="2"/>
  <c r="AM122" i="2"/>
  <c r="AN122" i="2"/>
  <c r="AO122" i="2"/>
  <c r="AP122" i="2"/>
  <c r="AR122" i="2"/>
  <c r="AF123" i="2"/>
  <c r="AG123" i="2"/>
  <c r="AH123" i="2"/>
  <c r="AJ123" i="2"/>
  <c r="AL123" i="2"/>
  <c r="AM123" i="2"/>
  <c r="AN123" i="2"/>
  <c r="AO123" i="2"/>
  <c r="AP123" i="2"/>
  <c r="AR123" i="2"/>
  <c r="AF124" i="2"/>
  <c r="AG124" i="2"/>
  <c r="AH124" i="2"/>
  <c r="AJ124" i="2"/>
  <c r="AL124" i="2"/>
  <c r="AM124" i="2"/>
  <c r="AN124" i="2"/>
  <c r="AO124" i="2"/>
  <c r="AP124" i="2"/>
  <c r="AR124" i="2"/>
  <c r="AF125" i="2"/>
  <c r="AG125" i="2"/>
  <c r="AH125" i="2"/>
  <c r="AJ125" i="2"/>
  <c r="AL125" i="2"/>
  <c r="AM125" i="2"/>
  <c r="AN125" i="2"/>
  <c r="AO125" i="2"/>
  <c r="AP125" i="2"/>
  <c r="AR125" i="2"/>
  <c r="AF126" i="2"/>
  <c r="AG126" i="2"/>
  <c r="AH126" i="2"/>
  <c r="AJ126" i="2"/>
  <c r="AL126" i="2"/>
  <c r="AM126" i="2"/>
  <c r="AN126" i="2"/>
  <c r="AO126" i="2"/>
  <c r="AP126" i="2"/>
  <c r="AR126" i="2"/>
  <c r="AF127" i="2"/>
  <c r="AG127" i="2"/>
  <c r="AH127" i="2"/>
  <c r="AJ127" i="2"/>
  <c r="AL127" i="2"/>
  <c r="AM127" i="2"/>
  <c r="AN127" i="2"/>
  <c r="AO127" i="2"/>
  <c r="AP127" i="2"/>
  <c r="AR127" i="2"/>
  <c r="AF128" i="2"/>
  <c r="AG128" i="2"/>
  <c r="AH128" i="2"/>
  <c r="AJ128" i="2"/>
  <c r="AL128" i="2"/>
  <c r="AM128" i="2"/>
  <c r="AN128" i="2"/>
  <c r="AO128" i="2"/>
  <c r="AP128" i="2"/>
  <c r="AR128" i="2"/>
  <c r="AF129" i="2"/>
  <c r="AG129" i="2"/>
  <c r="AH129" i="2"/>
  <c r="AJ129" i="2"/>
  <c r="AL129" i="2"/>
  <c r="AM129" i="2"/>
  <c r="AN129" i="2"/>
  <c r="AO129" i="2"/>
  <c r="AP129" i="2"/>
  <c r="AR129" i="2"/>
  <c r="AF130" i="2"/>
  <c r="AG130" i="2"/>
  <c r="AH130" i="2"/>
  <c r="AJ130" i="2"/>
  <c r="AL130" i="2"/>
  <c r="AM130" i="2"/>
  <c r="AN130" i="2"/>
  <c r="AO130" i="2"/>
  <c r="AP130" i="2"/>
  <c r="AR130" i="2"/>
  <c r="AF131" i="2"/>
  <c r="AG131" i="2"/>
  <c r="AH131" i="2"/>
  <c r="AJ131" i="2"/>
  <c r="AL131" i="2"/>
  <c r="AM131" i="2"/>
  <c r="AN131" i="2"/>
  <c r="AO131" i="2"/>
  <c r="AP131" i="2"/>
  <c r="AR131" i="2"/>
  <c r="AF132" i="2"/>
  <c r="AG132" i="2"/>
  <c r="AH132" i="2"/>
  <c r="AJ132" i="2"/>
  <c r="AL132" i="2"/>
  <c r="AM132" i="2"/>
  <c r="AN132" i="2"/>
  <c r="AO132" i="2"/>
  <c r="AP132" i="2"/>
  <c r="AR132" i="2"/>
  <c r="AF133" i="2"/>
  <c r="AG133" i="2"/>
  <c r="AH133" i="2"/>
  <c r="AJ133" i="2"/>
  <c r="AL133" i="2"/>
  <c r="AM133" i="2"/>
  <c r="AN133" i="2"/>
  <c r="AO133" i="2"/>
  <c r="AP133" i="2"/>
  <c r="AR133" i="2"/>
  <c r="AF134" i="2"/>
  <c r="AG134" i="2"/>
  <c r="AH134" i="2"/>
  <c r="AJ134" i="2"/>
  <c r="AL134" i="2"/>
  <c r="AM134" i="2"/>
  <c r="AN134" i="2"/>
  <c r="AO134" i="2"/>
  <c r="AP134" i="2"/>
  <c r="AR134" i="2"/>
  <c r="AF135" i="2"/>
  <c r="AG135" i="2"/>
  <c r="AH135" i="2"/>
  <c r="AJ135" i="2"/>
  <c r="AL135" i="2"/>
  <c r="AM135" i="2"/>
  <c r="AN135" i="2"/>
  <c r="AO135" i="2"/>
  <c r="AP135" i="2"/>
  <c r="AR135" i="2"/>
  <c r="AF136" i="2"/>
  <c r="AG136" i="2"/>
  <c r="AH136" i="2"/>
  <c r="AJ136" i="2"/>
  <c r="AL136" i="2"/>
  <c r="AM136" i="2"/>
  <c r="AN136" i="2"/>
  <c r="AO136" i="2"/>
  <c r="AP136" i="2"/>
  <c r="AR136" i="2"/>
  <c r="AF137" i="2"/>
  <c r="AG137" i="2"/>
  <c r="AH137" i="2"/>
  <c r="AJ137" i="2"/>
  <c r="AL137" i="2"/>
  <c r="AM137" i="2"/>
  <c r="AN137" i="2"/>
  <c r="AO137" i="2"/>
  <c r="AP137" i="2"/>
  <c r="AR137" i="2"/>
  <c r="AF138" i="2"/>
  <c r="AG138" i="2"/>
  <c r="AH138" i="2"/>
  <c r="AJ138" i="2"/>
  <c r="AL138" i="2"/>
  <c r="AM138" i="2"/>
  <c r="AN138" i="2"/>
  <c r="AO138" i="2"/>
  <c r="AP138" i="2"/>
  <c r="AR138" i="2"/>
  <c r="AF139" i="2"/>
  <c r="AG139" i="2"/>
  <c r="AH139" i="2"/>
  <c r="AJ139" i="2"/>
  <c r="AL139" i="2"/>
  <c r="AM139" i="2"/>
  <c r="AN139" i="2"/>
  <c r="AO139" i="2"/>
  <c r="AP139" i="2"/>
  <c r="AR139" i="2"/>
  <c r="AF140" i="2"/>
  <c r="AG140" i="2"/>
  <c r="AH140" i="2"/>
  <c r="AJ140" i="2"/>
  <c r="AL140" i="2"/>
  <c r="AM140" i="2"/>
  <c r="AN140" i="2"/>
  <c r="AO140" i="2"/>
  <c r="AP140" i="2"/>
  <c r="AR140" i="2"/>
  <c r="AF141" i="2"/>
  <c r="AG141" i="2"/>
  <c r="AH141" i="2"/>
  <c r="AJ141" i="2"/>
  <c r="AL141" i="2"/>
  <c r="AM141" i="2"/>
  <c r="AN141" i="2"/>
  <c r="AO141" i="2"/>
  <c r="AP141" i="2"/>
  <c r="AR141" i="2"/>
  <c r="AF142" i="2"/>
  <c r="AG142" i="2"/>
  <c r="AH142" i="2"/>
  <c r="AJ142" i="2"/>
  <c r="AL142" i="2"/>
  <c r="AM142" i="2"/>
  <c r="AN142" i="2"/>
  <c r="AO142" i="2"/>
  <c r="AP142" i="2"/>
  <c r="AR142" i="2"/>
  <c r="AF143" i="2"/>
  <c r="AG143" i="2"/>
  <c r="AH143" i="2"/>
  <c r="AJ143" i="2"/>
  <c r="AL143" i="2"/>
  <c r="AM143" i="2"/>
  <c r="AN143" i="2"/>
  <c r="AO143" i="2"/>
  <c r="AP143" i="2"/>
  <c r="AR143" i="2"/>
  <c r="AF144" i="2"/>
  <c r="AG144" i="2"/>
  <c r="AH144" i="2"/>
  <c r="AJ144" i="2"/>
  <c r="AL144" i="2"/>
  <c r="AM144" i="2"/>
  <c r="AN144" i="2"/>
  <c r="AO144" i="2"/>
  <c r="AP144" i="2"/>
  <c r="AR144" i="2"/>
  <c r="AF145" i="2"/>
  <c r="AG145" i="2"/>
  <c r="AH145" i="2"/>
  <c r="AJ145" i="2"/>
  <c r="AL145" i="2"/>
  <c r="AM145" i="2"/>
  <c r="AN145" i="2"/>
  <c r="AO145" i="2"/>
  <c r="AP145" i="2"/>
  <c r="AR145" i="2"/>
  <c r="AF146" i="2"/>
  <c r="AG146" i="2"/>
  <c r="AH146" i="2"/>
  <c r="AJ146" i="2"/>
  <c r="AL146" i="2"/>
  <c r="AM146" i="2"/>
  <c r="AN146" i="2"/>
  <c r="AO146" i="2"/>
  <c r="AP146" i="2"/>
  <c r="AR146" i="2"/>
  <c r="AF147" i="2"/>
  <c r="AG147" i="2"/>
  <c r="AH147" i="2"/>
  <c r="AJ147" i="2"/>
  <c r="AL147" i="2"/>
  <c r="AM147" i="2"/>
  <c r="AN147" i="2"/>
  <c r="AO147" i="2"/>
  <c r="AP147" i="2"/>
  <c r="AR147" i="2"/>
  <c r="AF148" i="2"/>
  <c r="AG148" i="2"/>
  <c r="AH148" i="2"/>
  <c r="AJ148" i="2"/>
  <c r="AL148" i="2"/>
  <c r="AM148" i="2"/>
  <c r="AN148" i="2"/>
  <c r="AO148" i="2"/>
  <c r="AP148" i="2"/>
  <c r="AR148" i="2"/>
  <c r="AF149" i="2"/>
  <c r="AG149" i="2"/>
  <c r="AH149" i="2"/>
  <c r="AJ149" i="2"/>
  <c r="AL149" i="2"/>
  <c r="AM149" i="2"/>
  <c r="AN149" i="2"/>
  <c r="AO149" i="2"/>
  <c r="AP149" i="2"/>
  <c r="AR149" i="2"/>
  <c r="AF150" i="2"/>
  <c r="AG150" i="2"/>
  <c r="AH150" i="2"/>
  <c r="AJ150" i="2"/>
  <c r="AL150" i="2"/>
  <c r="AM150" i="2"/>
  <c r="AN150" i="2"/>
  <c r="AO150" i="2"/>
  <c r="AP150" i="2"/>
  <c r="AR150" i="2"/>
  <c r="AF151" i="2"/>
  <c r="AG151" i="2"/>
  <c r="AH151" i="2"/>
  <c r="AJ151" i="2"/>
  <c r="AL151" i="2"/>
  <c r="AM151" i="2"/>
  <c r="AN151" i="2"/>
  <c r="AO151" i="2"/>
  <c r="AP151" i="2"/>
  <c r="AR151" i="2"/>
  <c r="AF152" i="2"/>
  <c r="AG152" i="2"/>
  <c r="AH152" i="2"/>
  <c r="AJ152" i="2"/>
  <c r="AL152" i="2"/>
  <c r="AM152" i="2"/>
  <c r="AN152" i="2"/>
  <c r="AO152" i="2"/>
  <c r="AP152" i="2"/>
  <c r="AR152" i="2"/>
  <c r="AF153" i="2"/>
  <c r="AG153" i="2"/>
  <c r="AH153" i="2"/>
  <c r="AJ153" i="2"/>
  <c r="AL153" i="2"/>
  <c r="AM153" i="2"/>
  <c r="AN153" i="2"/>
  <c r="AO153" i="2"/>
  <c r="AP153" i="2"/>
  <c r="AR153" i="2"/>
  <c r="AF154" i="2"/>
  <c r="AG154" i="2"/>
  <c r="AH154" i="2"/>
  <c r="AJ154" i="2"/>
  <c r="AL154" i="2"/>
  <c r="AM154" i="2"/>
  <c r="AN154" i="2"/>
  <c r="AO154" i="2"/>
  <c r="AP154" i="2"/>
  <c r="AR154" i="2"/>
  <c r="AF155" i="2"/>
  <c r="AG155" i="2"/>
  <c r="AH155" i="2"/>
  <c r="AJ155" i="2"/>
  <c r="AL155" i="2"/>
  <c r="AM155" i="2"/>
  <c r="AN155" i="2"/>
  <c r="AO155" i="2"/>
  <c r="AP155" i="2"/>
  <c r="AR155" i="2"/>
  <c r="AF156" i="2"/>
  <c r="AG156" i="2"/>
  <c r="AH156" i="2"/>
  <c r="AJ156" i="2"/>
  <c r="AL156" i="2"/>
  <c r="AM156" i="2"/>
  <c r="AN156" i="2"/>
  <c r="AO156" i="2"/>
  <c r="AP156" i="2"/>
  <c r="AR156" i="2"/>
  <c r="AF157" i="2"/>
  <c r="AG157" i="2"/>
  <c r="AH157" i="2"/>
  <c r="AJ157" i="2"/>
  <c r="AL157" i="2"/>
  <c r="AM157" i="2"/>
  <c r="AN157" i="2"/>
  <c r="AO157" i="2"/>
  <c r="AP157" i="2"/>
  <c r="AR157" i="2"/>
  <c r="AF158" i="2"/>
  <c r="AG158" i="2"/>
  <c r="AH158" i="2"/>
  <c r="AJ158" i="2"/>
  <c r="AL158" i="2"/>
  <c r="AM158" i="2"/>
  <c r="AN158" i="2"/>
  <c r="AO158" i="2"/>
  <c r="AP158" i="2"/>
  <c r="AR158" i="2"/>
  <c r="AF159" i="2"/>
  <c r="AG159" i="2"/>
  <c r="AH159" i="2"/>
  <c r="AJ159" i="2"/>
  <c r="AL159" i="2"/>
  <c r="AM159" i="2"/>
  <c r="AN159" i="2"/>
  <c r="AO159" i="2"/>
  <c r="AP159" i="2"/>
  <c r="AR159" i="2"/>
  <c r="AF160" i="2"/>
  <c r="AG160" i="2"/>
  <c r="AH160" i="2"/>
  <c r="AJ160" i="2"/>
  <c r="AL160" i="2"/>
  <c r="AM160" i="2"/>
  <c r="AN160" i="2"/>
  <c r="AO160" i="2"/>
  <c r="AP160" i="2"/>
  <c r="AR160" i="2"/>
  <c r="AF161" i="2"/>
  <c r="AG161" i="2"/>
  <c r="AH161" i="2"/>
  <c r="AJ161" i="2"/>
  <c r="AL161" i="2"/>
  <c r="AM161" i="2"/>
  <c r="AN161" i="2"/>
  <c r="AO161" i="2"/>
  <c r="AP161" i="2"/>
  <c r="AR161" i="2"/>
  <c r="AF162" i="2"/>
  <c r="AG162" i="2"/>
  <c r="AH162" i="2"/>
  <c r="AJ162" i="2"/>
  <c r="AL162" i="2"/>
  <c r="AM162" i="2"/>
  <c r="AN162" i="2"/>
  <c r="AO162" i="2"/>
  <c r="AP162" i="2"/>
  <c r="AR162" i="2"/>
  <c r="AF163" i="2"/>
  <c r="AG163" i="2"/>
  <c r="AH163" i="2"/>
  <c r="AJ163" i="2"/>
  <c r="AL163" i="2"/>
  <c r="AM163" i="2"/>
  <c r="AN163" i="2"/>
  <c r="AO163" i="2"/>
  <c r="AP163" i="2"/>
  <c r="AR163" i="2"/>
  <c r="AF164" i="2"/>
  <c r="AG164" i="2"/>
  <c r="AH164" i="2"/>
  <c r="AJ164" i="2"/>
  <c r="AL164" i="2"/>
  <c r="AM164" i="2"/>
  <c r="AN164" i="2"/>
  <c r="AO164" i="2"/>
  <c r="AP164" i="2"/>
  <c r="AR164" i="2"/>
  <c r="AF165" i="2"/>
  <c r="AG165" i="2"/>
  <c r="AH165" i="2"/>
  <c r="AJ165" i="2"/>
  <c r="AL165" i="2"/>
  <c r="AM165" i="2"/>
  <c r="AN165" i="2"/>
  <c r="AO165" i="2"/>
  <c r="AP165" i="2"/>
  <c r="AR165" i="2"/>
  <c r="AF166" i="2"/>
  <c r="AG166" i="2"/>
  <c r="AH166" i="2"/>
  <c r="AJ166" i="2"/>
  <c r="AL166" i="2"/>
  <c r="AM166" i="2"/>
  <c r="AN166" i="2"/>
  <c r="AO166" i="2"/>
  <c r="AP166" i="2"/>
  <c r="AR166" i="2"/>
  <c r="AF167" i="2"/>
  <c r="AG167" i="2"/>
  <c r="AH167" i="2"/>
  <c r="AJ167" i="2"/>
  <c r="AL167" i="2"/>
  <c r="AM167" i="2"/>
  <c r="AN167" i="2"/>
  <c r="AO167" i="2"/>
  <c r="AP167" i="2"/>
  <c r="AR167" i="2"/>
  <c r="AF168" i="2"/>
  <c r="AG168" i="2"/>
  <c r="AH168" i="2"/>
  <c r="AJ168" i="2"/>
  <c r="AL168" i="2"/>
  <c r="AM168" i="2"/>
  <c r="AN168" i="2"/>
  <c r="AO168" i="2"/>
  <c r="AP168" i="2"/>
  <c r="AR168" i="2"/>
  <c r="AF169" i="2"/>
  <c r="AG169" i="2"/>
  <c r="AH169" i="2"/>
  <c r="AJ169" i="2"/>
  <c r="AL169" i="2"/>
  <c r="AM169" i="2"/>
  <c r="AN169" i="2"/>
  <c r="AO169" i="2"/>
  <c r="AP169" i="2"/>
  <c r="AR169" i="2"/>
  <c r="AF170" i="2"/>
  <c r="AG170" i="2"/>
  <c r="AH170" i="2"/>
  <c r="AJ170" i="2"/>
  <c r="AL170" i="2"/>
  <c r="AM170" i="2"/>
  <c r="AN170" i="2"/>
  <c r="AO170" i="2"/>
  <c r="AP170" i="2"/>
  <c r="AR170" i="2"/>
  <c r="AF171" i="2"/>
  <c r="AG171" i="2"/>
  <c r="AH171" i="2"/>
  <c r="AJ171" i="2"/>
  <c r="AL171" i="2"/>
  <c r="AM171" i="2"/>
  <c r="AN171" i="2"/>
  <c r="AO171" i="2"/>
  <c r="AP171" i="2"/>
  <c r="AR171" i="2"/>
  <c r="AF172" i="2"/>
  <c r="AG172" i="2"/>
  <c r="AH172" i="2"/>
  <c r="AJ172" i="2"/>
  <c r="AL172" i="2"/>
  <c r="AM172" i="2"/>
  <c r="AN172" i="2"/>
  <c r="AO172" i="2"/>
  <c r="AP172" i="2"/>
  <c r="AR172" i="2"/>
  <c r="AF173" i="2"/>
  <c r="AG173" i="2"/>
  <c r="AH173" i="2"/>
  <c r="AJ173" i="2"/>
  <c r="AL173" i="2"/>
  <c r="AM173" i="2"/>
  <c r="AN173" i="2"/>
  <c r="AO173" i="2"/>
  <c r="AP173" i="2"/>
  <c r="AR173" i="2"/>
  <c r="AF174" i="2"/>
  <c r="AG174" i="2"/>
  <c r="AH174" i="2"/>
  <c r="AJ174" i="2"/>
  <c r="AL174" i="2"/>
  <c r="AM174" i="2"/>
  <c r="AN174" i="2"/>
  <c r="AO174" i="2"/>
  <c r="AP174" i="2"/>
  <c r="AR174" i="2"/>
  <c r="AF175" i="2"/>
  <c r="AG175" i="2"/>
  <c r="AH175" i="2"/>
  <c r="AJ175" i="2"/>
  <c r="AL175" i="2"/>
  <c r="AM175" i="2"/>
  <c r="AN175" i="2"/>
  <c r="AO175" i="2"/>
  <c r="AP175" i="2"/>
  <c r="AR175" i="2"/>
  <c r="AF176" i="2"/>
  <c r="AG176" i="2"/>
  <c r="AH176" i="2"/>
  <c r="AJ176" i="2"/>
  <c r="AL176" i="2"/>
  <c r="AM176" i="2"/>
  <c r="AN176" i="2"/>
  <c r="AO176" i="2"/>
  <c r="AP176" i="2"/>
  <c r="AR176" i="2"/>
  <c r="AF177" i="2"/>
  <c r="AG177" i="2"/>
  <c r="AH177" i="2"/>
  <c r="AJ177" i="2"/>
  <c r="AL177" i="2"/>
  <c r="AM177" i="2"/>
  <c r="AN177" i="2"/>
  <c r="AO177" i="2"/>
  <c r="AP177" i="2"/>
  <c r="AR177" i="2"/>
  <c r="AF178" i="2"/>
  <c r="AG178" i="2"/>
  <c r="AH178" i="2"/>
  <c r="AJ178" i="2"/>
  <c r="AL178" i="2"/>
  <c r="AM178" i="2"/>
  <c r="AN178" i="2"/>
  <c r="AO178" i="2"/>
  <c r="AP178" i="2"/>
  <c r="AR178" i="2"/>
  <c r="AF179" i="2"/>
  <c r="AG179" i="2"/>
  <c r="AH179" i="2"/>
  <c r="AJ179" i="2"/>
  <c r="AL179" i="2"/>
  <c r="AM179" i="2"/>
  <c r="AN179" i="2"/>
  <c r="AO179" i="2"/>
  <c r="AP179" i="2"/>
  <c r="AR179" i="2"/>
  <c r="AF180" i="2"/>
  <c r="AG180" i="2"/>
  <c r="AH180" i="2"/>
  <c r="AJ180" i="2"/>
  <c r="AL180" i="2"/>
  <c r="AM180" i="2"/>
  <c r="AN180" i="2"/>
  <c r="AO180" i="2"/>
  <c r="AP180" i="2"/>
  <c r="AR180" i="2"/>
  <c r="AF181" i="2"/>
  <c r="AG181" i="2"/>
  <c r="AH181" i="2"/>
  <c r="AJ181" i="2"/>
  <c r="AL181" i="2"/>
  <c r="AM181" i="2"/>
  <c r="AN181" i="2"/>
  <c r="AO181" i="2"/>
  <c r="AP181" i="2"/>
  <c r="AR181" i="2"/>
  <c r="AF182" i="2"/>
  <c r="AG182" i="2"/>
  <c r="AH182" i="2"/>
  <c r="AJ182" i="2"/>
  <c r="AL182" i="2"/>
  <c r="AM182" i="2"/>
  <c r="AN182" i="2"/>
  <c r="AO182" i="2"/>
  <c r="AP182" i="2"/>
  <c r="AR182" i="2"/>
  <c r="AF183" i="2"/>
  <c r="AG183" i="2"/>
  <c r="AH183" i="2"/>
  <c r="AJ183" i="2"/>
  <c r="AL183" i="2"/>
  <c r="AM183" i="2"/>
  <c r="AN183" i="2"/>
  <c r="AO183" i="2"/>
  <c r="AP183" i="2"/>
  <c r="AR183" i="2"/>
  <c r="AF184" i="2"/>
  <c r="AG184" i="2"/>
  <c r="AH184" i="2"/>
  <c r="AJ184" i="2"/>
  <c r="AL184" i="2"/>
  <c r="AM184" i="2"/>
  <c r="AN184" i="2"/>
  <c r="AO184" i="2"/>
  <c r="AP184" i="2"/>
  <c r="AR184" i="2"/>
  <c r="AF185" i="2"/>
  <c r="AG185" i="2"/>
  <c r="AH185" i="2"/>
  <c r="AJ185" i="2"/>
  <c r="AL185" i="2"/>
  <c r="AM185" i="2"/>
  <c r="AN185" i="2"/>
  <c r="AO185" i="2"/>
  <c r="AP185" i="2"/>
  <c r="AR185" i="2"/>
  <c r="AF186" i="2"/>
  <c r="AG186" i="2"/>
  <c r="AH186" i="2"/>
  <c r="AJ186" i="2"/>
  <c r="AL186" i="2"/>
  <c r="AM186" i="2"/>
  <c r="AN186" i="2"/>
  <c r="AO186" i="2"/>
  <c r="AP186" i="2"/>
  <c r="AR186" i="2"/>
  <c r="AF187" i="2"/>
  <c r="AG187" i="2"/>
  <c r="AH187" i="2"/>
  <c r="AJ187" i="2"/>
  <c r="AL187" i="2"/>
  <c r="AM187" i="2"/>
  <c r="AN187" i="2"/>
  <c r="AO187" i="2"/>
  <c r="AP187" i="2"/>
  <c r="AR187" i="2"/>
  <c r="AF188" i="2"/>
  <c r="AG188" i="2"/>
  <c r="AH188" i="2"/>
  <c r="AJ188" i="2"/>
  <c r="AL188" i="2"/>
  <c r="AM188" i="2"/>
  <c r="AN188" i="2"/>
  <c r="AO188" i="2"/>
  <c r="AP188" i="2"/>
  <c r="AR188" i="2"/>
  <c r="AF189" i="2"/>
  <c r="AG189" i="2"/>
  <c r="AH189" i="2"/>
  <c r="AJ189" i="2"/>
  <c r="AL189" i="2"/>
  <c r="AM189" i="2"/>
  <c r="AN189" i="2"/>
  <c r="AO189" i="2"/>
  <c r="AP189" i="2"/>
  <c r="AR189" i="2"/>
  <c r="AF190" i="2"/>
  <c r="AG190" i="2"/>
  <c r="AH190" i="2"/>
  <c r="AJ190" i="2"/>
  <c r="AL190" i="2"/>
  <c r="AM190" i="2"/>
  <c r="AN190" i="2"/>
  <c r="AO190" i="2"/>
  <c r="AP190" i="2"/>
  <c r="AR190" i="2"/>
  <c r="AF191" i="2"/>
  <c r="AG191" i="2"/>
  <c r="AH191" i="2"/>
  <c r="AJ191" i="2"/>
  <c r="AL191" i="2"/>
  <c r="AM191" i="2"/>
  <c r="AN191" i="2"/>
  <c r="AO191" i="2"/>
  <c r="AP191" i="2"/>
  <c r="AR191" i="2"/>
  <c r="AF192" i="2"/>
  <c r="AG192" i="2"/>
  <c r="AH192" i="2"/>
  <c r="AJ192" i="2"/>
  <c r="AL192" i="2"/>
  <c r="AM192" i="2"/>
  <c r="AN192" i="2"/>
  <c r="AO192" i="2"/>
  <c r="AP192" i="2"/>
  <c r="AR192" i="2"/>
  <c r="AF193" i="2"/>
  <c r="AG193" i="2"/>
  <c r="AH193" i="2"/>
  <c r="AJ193" i="2"/>
  <c r="AL193" i="2"/>
  <c r="AM193" i="2"/>
  <c r="AN193" i="2"/>
  <c r="AO193" i="2"/>
  <c r="AP193" i="2"/>
  <c r="AR193" i="2"/>
  <c r="AF194" i="2"/>
  <c r="AG194" i="2"/>
  <c r="AH194" i="2"/>
  <c r="AJ194" i="2"/>
  <c r="AL194" i="2"/>
  <c r="AM194" i="2"/>
  <c r="AN194" i="2"/>
  <c r="AO194" i="2"/>
  <c r="AP194" i="2"/>
  <c r="AR194" i="2"/>
  <c r="AF195" i="2"/>
  <c r="AG195" i="2"/>
  <c r="AH195" i="2"/>
  <c r="AJ195" i="2"/>
  <c r="AL195" i="2"/>
  <c r="AM195" i="2"/>
  <c r="AN195" i="2"/>
  <c r="AO195" i="2"/>
  <c r="AP195" i="2"/>
  <c r="AR195" i="2"/>
  <c r="AF196" i="2"/>
  <c r="AG196" i="2"/>
  <c r="AH196" i="2"/>
  <c r="AJ196" i="2"/>
  <c r="AL196" i="2"/>
  <c r="AM196" i="2"/>
  <c r="AN196" i="2"/>
  <c r="AO196" i="2"/>
  <c r="AP196" i="2"/>
  <c r="AR196" i="2"/>
  <c r="AF197" i="2"/>
  <c r="AG197" i="2"/>
  <c r="AH197" i="2"/>
  <c r="AJ197" i="2"/>
  <c r="AL197" i="2"/>
  <c r="AM197" i="2"/>
  <c r="AN197" i="2"/>
  <c r="AO197" i="2"/>
  <c r="AP197" i="2"/>
  <c r="AR197" i="2"/>
  <c r="AF198" i="2"/>
  <c r="AG198" i="2"/>
  <c r="AH198" i="2"/>
  <c r="AJ198" i="2"/>
  <c r="AL198" i="2"/>
  <c r="AM198" i="2"/>
  <c r="AN198" i="2"/>
  <c r="AO198" i="2"/>
  <c r="AP198" i="2"/>
  <c r="AR198" i="2"/>
  <c r="AF199" i="2"/>
  <c r="AG199" i="2"/>
  <c r="AH199" i="2"/>
  <c r="AJ199" i="2"/>
  <c r="AL199" i="2"/>
  <c r="AM199" i="2"/>
  <c r="AN199" i="2"/>
  <c r="AO199" i="2"/>
  <c r="AP199" i="2"/>
  <c r="AR199" i="2"/>
  <c r="AF200" i="2"/>
  <c r="AG200" i="2"/>
  <c r="AH200" i="2"/>
  <c r="AJ200" i="2"/>
  <c r="AL200" i="2"/>
  <c r="AM200" i="2"/>
  <c r="AN200" i="2"/>
  <c r="AO200" i="2"/>
  <c r="AP200" i="2"/>
  <c r="AR200" i="2"/>
  <c r="AF201" i="2"/>
  <c r="AG201" i="2"/>
  <c r="AH201" i="2"/>
  <c r="AJ201" i="2"/>
  <c r="AL201" i="2"/>
  <c r="AM201" i="2"/>
  <c r="AN201" i="2"/>
  <c r="AO201" i="2"/>
  <c r="AP201" i="2"/>
  <c r="AR201" i="2"/>
  <c r="AF202" i="2"/>
  <c r="AG202" i="2"/>
  <c r="AH202" i="2"/>
  <c r="AJ202" i="2"/>
  <c r="AL202" i="2"/>
  <c r="AM202" i="2"/>
  <c r="AN202" i="2"/>
  <c r="AO202" i="2"/>
  <c r="AP202" i="2"/>
  <c r="AR202" i="2"/>
  <c r="AF203" i="2"/>
  <c r="AG203" i="2"/>
  <c r="AH203" i="2"/>
  <c r="AJ203" i="2"/>
  <c r="AL203" i="2"/>
  <c r="AM203" i="2"/>
  <c r="AN203" i="2"/>
  <c r="AO203" i="2"/>
  <c r="AP203" i="2"/>
  <c r="AR203" i="2"/>
  <c r="AF204" i="2"/>
  <c r="AG204" i="2"/>
  <c r="AH204" i="2"/>
  <c r="AJ204" i="2"/>
  <c r="AL204" i="2"/>
  <c r="AM204" i="2"/>
  <c r="AN204" i="2"/>
  <c r="AO204" i="2"/>
  <c r="AP204" i="2"/>
  <c r="AR204" i="2"/>
  <c r="AF205" i="2"/>
  <c r="AG205" i="2"/>
  <c r="AH205" i="2"/>
  <c r="AJ205" i="2"/>
  <c r="AL205" i="2"/>
  <c r="AM205" i="2"/>
  <c r="AN205" i="2"/>
  <c r="AO205" i="2"/>
  <c r="AP205" i="2"/>
  <c r="AR205" i="2"/>
  <c r="AF206" i="2"/>
  <c r="AG206" i="2"/>
  <c r="AH206" i="2"/>
  <c r="AJ206" i="2"/>
  <c r="AL206" i="2"/>
  <c r="AM206" i="2"/>
  <c r="AN206" i="2"/>
  <c r="AO206" i="2"/>
  <c r="AP206" i="2"/>
  <c r="AR206" i="2"/>
  <c r="AF207" i="2"/>
  <c r="AG207" i="2"/>
  <c r="AH207" i="2"/>
  <c r="AJ207" i="2"/>
  <c r="AL207" i="2"/>
  <c r="AM207" i="2"/>
  <c r="AN207" i="2"/>
  <c r="AO207" i="2"/>
  <c r="AP207" i="2"/>
  <c r="AR207" i="2"/>
  <c r="AF208" i="2"/>
  <c r="AG208" i="2"/>
  <c r="AH208" i="2"/>
  <c r="AJ208" i="2"/>
  <c r="AL208" i="2"/>
  <c r="AM208" i="2"/>
  <c r="AN208" i="2"/>
  <c r="AO208" i="2"/>
  <c r="AP208" i="2"/>
  <c r="AR208" i="2"/>
  <c r="AF209" i="2"/>
  <c r="AG209" i="2"/>
  <c r="AH209" i="2"/>
  <c r="AJ209" i="2"/>
  <c r="AL209" i="2"/>
  <c r="AM209" i="2"/>
  <c r="AN209" i="2"/>
  <c r="AO209" i="2"/>
  <c r="AP209" i="2"/>
  <c r="AR209" i="2"/>
  <c r="AF210" i="2"/>
  <c r="AG210" i="2"/>
  <c r="AH210" i="2"/>
  <c r="AJ210" i="2"/>
  <c r="AL210" i="2"/>
  <c r="AM210" i="2"/>
  <c r="AN210" i="2"/>
  <c r="AO210" i="2"/>
  <c r="AP210" i="2"/>
  <c r="AR210" i="2"/>
  <c r="AF211" i="2"/>
  <c r="AG211" i="2"/>
  <c r="AH211" i="2"/>
  <c r="AJ211" i="2"/>
  <c r="AL211" i="2"/>
  <c r="AM211" i="2"/>
  <c r="AN211" i="2"/>
  <c r="AO211" i="2"/>
  <c r="AP211" i="2"/>
  <c r="AR211" i="2"/>
  <c r="AF212" i="2"/>
  <c r="AG212" i="2"/>
  <c r="AH212" i="2"/>
  <c r="AJ212" i="2"/>
  <c r="AL212" i="2"/>
  <c r="AM212" i="2"/>
  <c r="AN212" i="2"/>
  <c r="AO212" i="2"/>
  <c r="AP212" i="2"/>
  <c r="AR212" i="2"/>
  <c r="AF213" i="2"/>
  <c r="AG213" i="2"/>
  <c r="AH213" i="2"/>
  <c r="AJ213" i="2"/>
  <c r="AL213" i="2"/>
  <c r="AM213" i="2"/>
  <c r="AN213" i="2"/>
  <c r="AO213" i="2"/>
  <c r="AP213" i="2"/>
  <c r="AR213" i="2"/>
  <c r="AF214" i="2"/>
  <c r="AG214" i="2"/>
  <c r="AH214" i="2"/>
  <c r="AJ214" i="2"/>
  <c r="AL214" i="2"/>
  <c r="AM214" i="2"/>
  <c r="AN214" i="2"/>
  <c r="AO214" i="2"/>
  <c r="AP214" i="2"/>
  <c r="AR214" i="2"/>
  <c r="AF215" i="2"/>
  <c r="AG215" i="2"/>
  <c r="AH215" i="2"/>
  <c r="AJ215" i="2"/>
  <c r="AL215" i="2"/>
  <c r="AM215" i="2"/>
  <c r="AN215" i="2"/>
  <c r="AO215" i="2"/>
  <c r="AP215" i="2"/>
  <c r="AR215" i="2"/>
  <c r="AF216" i="2"/>
  <c r="AG216" i="2"/>
  <c r="AH216" i="2"/>
  <c r="AJ216" i="2"/>
  <c r="AL216" i="2"/>
  <c r="AM216" i="2"/>
  <c r="AN216" i="2"/>
  <c r="AO216" i="2"/>
  <c r="AP216" i="2"/>
  <c r="AR216" i="2"/>
  <c r="AF217" i="2"/>
  <c r="AG217" i="2"/>
  <c r="AH217" i="2"/>
  <c r="AJ217" i="2"/>
  <c r="AL217" i="2"/>
  <c r="AM217" i="2"/>
  <c r="AN217" i="2"/>
  <c r="AO217" i="2"/>
  <c r="AP217" i="2"/>
  <c r="AR217" i="2"/>
  <c r="AF218" i="2"/>
  <c r="AG218" i="2"/>
  <c r="AH218" i="2"/>
  <c r="AJ218" i="2"/>
  <c r="AL218" i="2"/>
  <c r="AM218" i="2"/>
  <c r="AN218" i="2"/>
  <c r="AO218" i="2"/>
  <c r="AP218" i="2"/>
  <c r="AR218" i="2"/>
  <c r="AF219" i="2"/>
  <c r="AG219" i="2"/>
  <c r="AH219" i="2"/>
  <c r="AJ219" i="2"/>
  <c r="AL219" i="2"/>
  <c r="AM219" i="2"/>
  <c r="AN219" i="2"/>
  <c r="AO219" i="2"/>
  <c r="AP219" i="2"/>
  <c r="AR219" i="2"/>
  <c r="AF220" i="2"/>
  <c r="AG220" i="2"/>
  <c r="AH220" i="2"/>
  <c r="AJ220" i="2"/>
  <c r="AL220" i="2"/>
  <c r="AM220" i="2"/>
  <c r="AN220" i="2"/>
  <c r="AO220" i="2"/>
  <c r="AP220" i="2"/>
  <c r="AR220" i="2"/>
  <c r="AF221" i="2"/>
  <c r="AG221" i="2"/>
  <c r="AH221" i="2"/>
  <c r="AJ221" i="2"/>
  <c r="AL221" i="2"/>
  <c r="AM221" i="2"/>
  <c r="AN221" i="2"/>
  <c r="AO221" i="2"/>
  <c r="AP221" i="2"/>
  <c r="AR221" i="2"/>
  <c r="AF222" i="2"/>
  <c r="AG222" i="2"/>
  <c r="AH222" i="2"/>
  <c r="AJ222" i="2"/>
  <c r="AL222" i="2"/>
  <c r="AM222" i="2"/>
  <c r="AN222" i="2"/>
  <c r="AO222" i="2"/>
  <c r="AP222" i="2"/>
  <c r="AR222" i="2"/>
  <c r="AF223" i="2"/>
  <c r="AG223" i="2"/>
  <c r="AH223" i="2"/>
  <c r="AJ223" i="2"/>
  <c r="AL223" i="2"/>
  <c r="AM223" i="2"/>
  <c r="AN223" i="2"/>
  <c r="AO223" i="2"/>
  <c r="AP223" i="2"/>
  <c r="AR223" i="2"/>
  <c r="AF224" i="2"/>
  <c r="AG224" i="2"/>
  <c r="AH224" i="2"/>
  <c r="AJ224" i="2"/>
  <c r="AL224" i="2"/>
  <c r="AM224" i="2"/>
  <c r="AN224" i="2"/>
  <c r="AO224" i="2"/>
  <c r="AP224" i="2"/>
  <c r="AR224" i="2"/>
  <c r="AF225" i="2"/>
  <c r="AG225" i="2"/>
  <c r="AH225" i="2"/>
  <c r="AJ225" i="2"/>
  <c r="AL225" i="2"/>
  <c r="AM225" i="2"/>
  <c r="AN225" i="2"/>
  <c r="AO225" i="2"/>
  <c r="AP225" i="2"/>
  <c r="AR225" i="2"/>
  <c r="AF226" i="2"/>
  <c r="AG226" i="2"/>
  <c r="AH226" i="2"/>
  <c r="AJ226" i="2"/>
  <c r="AL226" i="2"/>
  <c r="AM226" i="2"/>
  <c r="AN226" i="2"/>
  <c r="AO226" i="2"/>
  <c r="AP226" i="2"/>
  <c r="AR226" i="2"/>
  <c r="AF227" i="2"/>
  <c r="AG227" i="2"/>
  <c r="AH227" i="2"/>
  <c r="AJ227" i="2"/>
  <c r="AL227" i="2"/>
  <c r="AM227" i="2"/>
  <c r="AN227" i="2"/>
  <c r="AO227" i="2"/>
  <c r="AP227" i="2"/>
  <c r="AR227" i="2"/>
  <c r="AF228" i="2"/>
  <c r="AG228" i="2"/>
  <c r="AH228" i="2"/>
  <c r="AJ228" i="2"/>
  <c r="AL228" i="2"/>
  <c r="AM228" i="2"/>
  <c r="AN228" i="2"/>
  <c r="AO228" i="2"/>
  <c r="AP228" i="2"/>
  <c r="AR228" i="2"/>
  <c r="AF229" i="2"/>
  <c r="AG229" i="2"/>
  <c r="AH229" i="2"/>
  <c r="AJ229" i="2"/>
  <c r="AL229" i="2"/>
  <c r="AM229" i="2"/>
  <c r="AN229" i="2"/>
  <c r="AO229" i="2"/>
  <c r="AP229" i="2"/>
  <c r="AR229" i="2"/>
  <c r="AF230" i="2"/>
  <c r="AG230" i="2"/>
  <c r="AH230" i="2"/>
  <c r="AJ230" i="2"/>
  <c r="AL230" i="2"/>
  <c r="AM230" i="2"/>
  <c r="AN230" i="2"/>
  <c r="AO230" i="2"/>
  <c r="AP230" i="2"/>
  <c r="AR230" i="2"/>
  <c r="AF231" i="2"/>
  <c r="AG231" i="2"/>
  <c r="AH231" i="2"/>
  <c r="AJ231" i="2"/>
  <c r="AL231" i="2"/>
  <c r="AM231" i="2"/>
  <c r="AN231" i="2"/>
  <c r="AO231" i="2"/>
  <c r="AP231" i="2"/>
  <c r="AR231" i="2"/>
  <c r="AF232" i="2"/>
  <c r="AG232" i="2"/>
  <c r="AH232" i="2"/>
  <c r="AJ232" i="2"/>
  <c r="AL232" i="2"/>
  <c r="AM232" i="2"/>
  <c r="AN232" i="2"/>
  <c r="AO232" i="2"/>
  <c r="AP232" i="2"/>
  <c r="AR232" i="2"/>
  <c r="AF233" i="2"/>
  <c r="AG233" i="2"/>
  <c r="AH233" i="2"/>
  <c r="AJ233" i="2"/>
  <c r="AL233" i="2"/>
  <c r="AM233" i="2"/>
  <c r="AN233" i="2"/>
  <c r="AO233" i="2"/>
  <c r="AP233" i="2"/>
  <c r="AR233" i="2"/>
  <c r="AF234" i="2"/>
  <c r="AG234" i="2"/>
  <c r="AH234" i="2"/>
  <c r="AJ234" i="2"/>
  <c r="AL234" i="2"/>
  <c r="AM234" i="2"/>
  <c r="AN234" i="2"/>
  <c r="AO234" i="2"/>
  <c r="AP234" i="2"/>
  <c r="AR234" i="2"/>
  <c r="AF235" i="2"/>
  <c r="AG235" i="2"/>
  <c r="AH235" i="2"/>
  <c r="AJ235" i="2"/>
  <c r="AL235" i="2"/>
  <c r="AM235" i="2"/>
  <c r="AN235" i="2"/>
  <c r="AO235" i="2"/>
  <c r="AP235" i="2"/>
  <c r="AR235" i="2"/>
  <c r="AF236" i="2"/>
  <c r="AG236" i="2"/>
  <c r="AH236" i="2"/>
  <c r="AJ236" i="2"/>
  <c r="AL236" i="2"/>
  <c r="AM236" i="2"/>
  <c r="AN236" i="2"/>
  <c r="AO236" i="2"/>
  <c r="AP236" i="2"/>
  <c r="AR236" i="2"/>
  <c r="AF237" i="2"/>
  <c r="AG237" i="2"/>
  <c r="AH237" i="2"/>
  <c r="AJ237" i="2"/>
  <c r="AL237" i="2"/>
  <c r="AM237" i="2"/>
  <c r="AN237" i="2"/>
  <c r="AO237" i="2"/>
  <c r="AP237" i="2"/>
  <c r="AR237" i="2"/>
  <c r="AF238" i="2"/>
  <c r="AG238" i="2"/>
  <c r="AH238" i="2"/>
  <c r="AJ238" i="2"/>
  <c r="AL238" i="2"/>
  <c r="AM238" i="2"/>
  <c r="AN238" i="2"/>
  <c r="AO238" i="2"/>
  <c r="AP238" i="2"/>
  <c r="AR238" i="2"/>
  <c r="AF239" i="2"/>
  <c r="AG239" i="2"/>
  <c r="AH239" i="2"/>
  <c r="AJ239" i="2"/>
  <c r="AL239" i="2"/>
  <c r="AM239" i="2"/>
  <c r="AN239" i="2"/>
  <c r="AO239" i="2"/>
  <c r="AP239" i="2"/>
  <c r="AR239" i="2"/>
  <c r="AF240" i="2"/>
  <c r="AG240" i="2"/>
  <c r="AH240" i="2"/>
  <c r="AJ240" i="2"/>
  <c r="AL240" i="2"/>
  <c r="AM240" i="2"/>
  <c r="AN240" i="2"/>
  <c r="AO240" i="2"/>
  <c r="AP240" i="2"/>
  <c r="AR240" i="2"/>
  <c r="AF241" i="2"/>
  <c r="AG241" i="2"/>
  <c r="AH241" i="2"/>
  <c r="AJ241" i="2"/>
  <c r="AL241" i="2"/>
  <c r="AM241" i="2"/>
  <c r="AN241" i="2"/>
  <c r="AO241" i="2"/>
  <c r="AP241" i="2"/>
  <c r="AR241" i="2"/>
  <c r="AF242" i="2"/>
  <c r="AG242" i="2"/>
  <c r="AH242" i="2"/>
  <c r="AJ242" i="2"/>
  <c r="AL242" i="2"/>
  <c r="AM242" i="2"/>
  <c r="AN242" i="2"/>
  <c r="AO242" i="2"/>
  <c r="AP242" i="2"/>
  <c r="AR242" i="2"/>
  <c r="AF243" i="2"/>
  <c r="AG243" i="2"/>
  <c r="AH243" i="2"/>
  <c r="AJ243" i="2"/>
  <c r="AL243" i="2"/>
  <c r="AM243" i="2"/>
  <c r="AN243" i="2"/>
  <c r="AO243" i="2"/>
  <c r="AP243" i="2"/>
  <c r="AR243" i="2"/>
  <c r="AF244" i="2"/>
  <c r="AG244" i="2"/>
  <c r="AH244" i="2"/>
  <c r="AJ244" i="2"/>
  <c r="AL244" i="2"/>
  <c r="AM244" i="2"/>
  <c r="AN244" i="2"/>
  <c r="AO244" i="2"/>
  <c r="AP244" i="2"/>
  <c r="AR244" i="2"/>
  <c r="AF245" i="2"/>
  <c r="AG245" i="2"/>
  <c r="AH245" i="2"/>
  <c r="AJ245" i="2"/>
  <c r="AL245" i="2"/>
  <c r="AM245" i="2"/>
  <c r="AN245" i="2"/>
  <c r="AO245" i="2"/>
  <c r="AP245" i="2"/>
  <c r="AR245" i="2"/>
  <c r="AF246" i="2"/>
  <c r="AG246" i="2"/>
  <c r="AH246" i="2"/>
  <c r="AJ246" i="2"/>
  <c r="AL246" i="2"/>
  <c r="AM246" i="2"/>
  <c r="AN246" i="2"/>
  <c r="AO246" i="2"/>
  <c r="AP246" i="2"/>
  <c r="AR246" i="2"/>
  <c r="AF247" i="2"/>
  <c r="AG247" i="2"/>
  <c r="AH247" i="2"/>
  <c r="AJ247" i="2"/>
  <c r="AL247" i="2"/>
  <c r="AM247" i="2"/>
  <c r="AN247" i="2"/>
  <c r="AO247" i="2"/>
  <c r="AP247" i="2"/>
  <c r="AR247" i="2"/>
  <c r="AF248" i="2"/>
  <c r="AG248" i="2"/>
  <c r="AH248" i="2"/>
  <c r="AJ248" i="2"/>
  <c r="AL248" i="2"/>
  <c r="AM248" i="2"/>
  <c r="AN248" i="2"/>
  <c r="AO248" i="2"/>
  <c r="AP248" i="2"/>
  <c r="AR248" i="2"/>
  <c r="AF249" i="2"/>
  <c r="AG249" i="2"/>
  <c r="AH249" i="2"/>
  <c r="AJ249" i="2"/>
  <c r="AL249" i="2"/>
  <c r="AM249" i="2"/>
  <c r="AN249" i="2"/>
  <c r="AO249" i="2"/>
  <c r="AP249" i="2"/>
  <c r="AR249" i="2"/>
  <c r="AF250" i="2"/>
  <c r="AG250" i="2"/>
  <c r="AH250" i="2"/>
  <c r="AJ250" i="2"/>
  <c r="AL250" i="2"/>
  <c r="AM250" i="2"/>
  <c r="AN250" i="2"/>
  <c r="AO250" i="2"/>
  <c r="AP250" i="2"/>
  <c r="AR250" i="2"/>
  <c r="AF251" i="2"/>
  <c r="AG251" i="2"/>
  <c r="AH251" i="2"/>
  <c r="AL251" i="2"/>
  <c r="AM251" i="2"/>
  <c r="AN251" i="2"/>
  <c r="AO251" i="2"/>
  <c r="AP251" i="2"/>
  <c r="AR251" i="2"/>
  <c r="AF252" i="2"/>
  <c r="AG252" i="2"/>
  <c r="AH252" i="2"/>
  <c r="AL252" i="2"/>
  <c r="AM252" i="2"/>
  <c r="AN252" i="2"/>
  <c r="AO252" i="2"/>
  <c r="AP252" i="2"/>
  <c r="AR252" i="2"/>
  <c r="AF253" i="2"/>
  <c r="AG253" i="2"/>
  <c r="AH253" i="2"/>
  <c r="AL253" i="2"/>
  <c r="AM253" i="2"/>
  <c r="AN253" i="2"/>
  <c r="AO253" i="2"/>
  <c r="AP253" i="2"/>
  <c r="AR253" i="2"/>
  <c r="AF254" i="2"/>
  <c r="AG254" i="2"/>
  <c r="AH254" i="2"/>
  <c r="AL254" i="2"/>
  <c r="AM254" i="2"/>
  <c r="AN254" i="2"/>
  <c r="AO254" i="2"/>
  <c r="AP254" i="2"/>
  <c r="AR254" i="2"/>
  <c r="AF255" i="2"/>
  <c r="AG255" i="2"/>
  <c r="AH255" i="2"/>
  <c r="AL255" i="2"/>
  <c r="AM255" i="2"/>
  <c r="AN255" i="2"/>
  <c r="AO255" i="2"/>
  <c r="AP255" i="2"/>
  <c r="AR255" i="2"/>
  <c r="AF260" i="2"/>
  <c r="AG260" i="2"/>
  <c r="AH260" i="2"/>
  <c r="AJ260" i="2"/>
  <c r="AL260" i="2"/>
  <c r="AM260" i="2"/>
  <c r="AN260" i="2"/>
  <c r="AO260" i="2"/>
  <c r="AP260" i="2"/>
  <c r="AR260" i="2"/>
  <c r="AF261" i="2"/>
  <c r="AG261" i="2"/>
  <c r="AH261" i="2"/>
  <c r="AJ261" i="2"/>
  <c r="AL261" i="2"/>
  <c r="AM261" i="2"/>
  <c r="AN261" i="2"/>
  <c r="AO261" i="2"/>
  <c r="AP261" i="2"/>
  <c r="AR261" i="2"/>
  <c r="AF262" i="2"/>
  <c r="AG262" i="2"/>
  <c r="AH262" i="2"/>
  <c r="AJ262" i="2"/>
  <c r="AL262" i="2"/>
  <c r="AM262" i="2"/>
  <c r="AN262" i="2"/>
  <c r="AO262" i="2"/>
  <c r="AP262" i="2"/>
  <c r="AR262" i="2"/>
  <c r="AF263" i="2"/>
  <c r="AG263" i="2"/>
  <c r="AH263" i="2"/>
  <c r="AJ263" i="2"/>
  <c r="AL263" i="2"/>
  <c r="AM263" i="2"/>
  <c r="AN263" i="2"/>
  <c r="AO263" i="2"/>
  <c r="AP263" i="2"/>
  <c r="AR263" i="2"/>
  <c r="AF264" i="2"/>
  <c r="AG264" i="2"/>
  <c r="AH264" i="2"/>
  <c r="AJ264" i="2"/>
  <c r="AL264" i="2"/>
  <c r="AM264" i="2"/>
  <c r="AN264" i="2"/>
  <c r="AO264" i="2"/>
  <c r="AP264" i="2"/>
  <c r="AR264" i="2"/>
  <c r="AF265" i="2"/>
  <c r="AG265" i="2"/>
  <c r="AH265" i="2"/>
  <c r="AJ265" i="2"/>
  <c r="AL265" i="2"/>
  <c r="AM265" i="2"/>
  <c r="AN265" i="2"/>
  <c r="AO265" i="2"/>
  <c r="AP265" i="2"/>
  <c r="AR265" i="2"/>
  <c r="AF266" i="2"/>
  <c r="AG266" i="2"/>
  <c r="AH266" i="2"/>
  <c r="AJ266" i="2"/>
  <c r="AL266" i="2"/>
  <c r="AM266" i="2"/>
  <c r="AN266" i="2"/>
  <c r="AO266" i="2"/>
  <c r="AP266" i="2"/>
  <c r="AR266" i="2"/>
  <c r="AF267" i="2"/>
  <c r="AG267" i="2"/>
  <c r="AH267" i="2"/>
  <c r="AJ267" i="2"/>
  <c r="AL267" i="2"/>
  <c r="AM267" i="2"/>
  <c r="AN267" i="2"/>
  <c r="AO267" i="2"/>
  <c r="AP267" i="2"/>
  <c r="AR267" i="2"/>
  <c r="AF268" i="2"/>
  <c r="AG268" i="2"/>
  <c r="AH268" i="2"/>
  <c r="AJ268" i="2"/>
  <c r="AL268" i="2"/>
  <c r="AM268" i="2"/>
  <c r="AN268" i="2"/>
  <c r="AO268" i="2"/>
  <c r="AP268" i="2"/>
  <c r="AR268" i="2"/>
  <c r="AF269" i="2"/>
  <c r="AG269" i="2"/>
  <c r="AH269" i="2"/>
  <c r="AJ269" i="2"/>
  <c r="AL269" i="2"/>
  <c r="AM269" i="2"/>
  <c r="AN269" i="2"/>
  <c r="AO269" i="2"/>
  <c r="AP269" i="2"/>
  <c r="AR269" i="2"/>
  <c r="AF270" i="2"/>
  <c r="AG270" i="2"/>
  <c r="AH270" i="2"/>
  <c r="AJ270" i="2"/>
  <c r="AL270" i="2"/>
  <c r="AM270" i="2"/>
  <c r="AN270" i="2"/>
  <c r="AO270" i="2"/>
  <c r="AP270" i="2"/>
  <c r="AR270" i="2"/>
  <c r="AF271" i="2"/>
  <c r="AG271" i="2"/>
  <c r="AH271" i="2"/>
  <c r="AJ271" i="2"/>
  <c r="AL271" i="2"/>
  <c r="AM271" i="2"/>
  <c r="AN271" i="2"/>
  <c r="AO271" i="2"/>
  <c r="AP271" i="2"/>
  <c r="AR271" i="2"/>
  <c r="AF272" i="2"/>
  <c r="AG272" i="2"/>
  <c r="AH272" i="2"/>
  <c r="AJ272" i="2"/>
  <c r="AL272" i="2"/>
  <c r="AM272" i="2"/>
  <c r="AN272" i="2"/>
  <c r="AO272" i="2"/>
  <c r="AP272" i="2"/>
  <c r="AR272" i="2"/>
  <c r="AF273" i="2"/>
  <c r="AG273" i="2"/>
  <c r="AH273" i="2"/>
  <c r="AJ273" i="2"/>
  <c r="AL273" i="2"/>
  <c r="AM273" i="2"/>
  <c r="AN273" i="2"/>
  <c r="AO273" i="2"/>
  <c r="AP273" i="2"/>
  <c r="AR273" i="2"/>
  <c r="AF274" i="2"/>
  <c r="AG274" i="2"/>
  <c r="AH274" i="2"/>
  <c r="AJ274" i="2"/>
  <c r="AL274" i="2"/>
  <c r="AM274" i="2"/>
  <c r="AN274" i="2"/>
  <c r="AO274" i="2"/>
  <c r="AP274" i="2"/>
  <c r="AR274" i="2"/>
  <c r="AF275" i="2"/>
  <c r="AG275" i="2"/>
  <c r="AH275" i="2"/>
  <c r="AJ275" i="2"/>
  <c r="AL275" i="2"/>
  <c r="AM275" i="2"/>
  <c r="AN275" i="2"/>
  <c r="AO275" i="2"/>
  <c r="AP275" i="2"/>
  <c r="AR275" i="2"/>
  <c r="AF276" i="2"/>
  <c r="AG276" i="2"/>
  <c r="AH276" i="2"/>
  <c r="AJ276" i="2"/>
  <c r="AL276" i="2"/>
  <c r="AM276" i="2"/>
  <c r="AN276" i="2"/>
  <c r="AO276" i="2"/>
  <c r="AP276" i="2"/>
  <c r="AR276" i="2"/>
  <c r="AF277" i="2"/>
  <c r="AG277" i="2"/>
  <c r="AH277" i="2"/>
  <c r="AJ277" i="2"/>
  <c r="AL277" i="2"/>
  <c r="AM277" i="2"/>
  <c r="AN277" i="2"/>
  <c r="AO277" i="2"/>
  <c r="AP277" i="2"/>
  <c r="AR277" i="2"/>
  <c r="AF278" i="2"/>
  <c r="AG278" i="2"/>
  <c r="AH278" i="2"/>
  <c r="AJ278" i="2"/>
  <c r="AL278" i="2"/>
  <c r="AM278" i="2"/>
  <c r="AN278" i="2"/>
  <c r="AO278" i="2"/>
  <c r="AP278" i="2"/>
  <c r="AR278" i="2"/>
  <c r="AF279" i="2"/>
  <c r="AG279" i="2"/>
  <c r="AH279" i="2"/>
  <c r="AJ279" i="2"/>
  <c r="AL279" i="2"/>
  <c r="AM279" i="2"/>
  <c r="AN279" i="2"/>
  <c r="AO279" i="2"/>
  <c r="AP279" i="2"/>
  <c r="AR279" i="2"/>
  <c r="AF280" i="2"/>
  <c r="AG280" i="2"/>
  <c r="AH280" i="2"/>
  <c r="AJ280" i="2"/>
  <c r="AL280" i="2"/>
  <c r="AM280" i="2"/>
  <c r="AN280" i="2"/>
  <c r="AO280" i="2"/>
  <c r="AP280" i="2"/>
  <c r="AR280" i="2"/>
  <c r="AF281" i="2"/>
  <c r="AG281" i="2"/>
  <c r="AH281" i="2"/>
  <c r="AJ281" i="2"/>
  <c r="AL281" i="2"/>
  <c r="AM281" i="2"/>
  <c r="AN281" i="2"/>
  <c r="AO281" i="2"/>
  <c r="AP281" i="2"/>
  <c r="AR281" i="2"/>
  <c r="AF282" i="2"/>
  <c r="AG282" i="2"/>
  <c r="AH282" i="2"/>
  <c r="AJ282" i="2"/>
  <c r="AL282" i="2"/>
  <c r="AM282" i="2"/>
  <c r="AN282" i="2"/>
  <c r="AO282" i="2"/>
  <c r="AP282" i="2"/>
  <c r="AR282" i="2"/>
  <c r="AF283" i="2"/>
  <c r="AG283" i="2"/>
  <c r="AH283" i="2"/>
  <c r="AJ283" i="2"/>
  <c r="AL283" i="2"/>
  <c r="AM283" i="2"/>
  <c r="AN283" i="2"/>
  <c r="AO283" i="2"/>
  <c r="AP283" i="2"/>
  <c r="AR283" i="2"/>
  <c r="AF284" i="2"/>
  <c r="AG284" i="2"/>
  <c r="AH284" i="2"/>
  <c r="AJ284" i="2"/>
  <c r="AL284" i="2"/>
  <c r="AM284" i="2"/>
  <c r="AN284" i="2"/>
  <c r="AO284" i="2"/>
  <c r="AP284" i="2"/>
  <c r="AR284" i="2"/>
  <c r="AF285" i="2"/>
  <c r="AG285" i="2"/>
  <c r="AH285" i="2"/>
  <c r="AJ285" i="2"/>
  <c r="AL285" i="2"/>
  <c r="AM285" i="2"/>
  <c r="AN285" i="2"/>
  <c r="AO285" i="2"/>
  <c r="AP285" i="2"/>
  <c r="AR285" i="2"/>
  <c r="AF286" i="2"/>
  <c r="AG286" i="2"/>
  <c r="AH286" i="2"/>
  <c r="AJ286" i="2"/>
  <c r="AL286" i="2"/>
  <c r="AM286" i="2"/>
  <c r="AN286" i="2"/>
  <c r="AO286" i="2"/>
  <c r="AP286" i="2"/>
  <c r="AR286" i="2"/>
  <c r="AF287" i="2"/>
  <c r="AG287" i="2"/>
  <c r="AH287" i="2"/>
  <c r="AJ287" i="2"/>
  <c r="AL287" i="2"/>
  <c r="AM287" i="2"/>
  <c r="AN287" i="2"/>
  <c r="AO287" i="2"/>
  <c r="AP287" i="2"/>
  <c r="AR287" i="2"/>
  <c r="AF288" i="2"/>
  <c r="AG288" i="2"/>
  <c r="AH288" i="2"/>
  <c r="AJ288" i="2"/>
  <c r="AL288" i="2"/>
  <c r="AM288" i="2"/>
  <c r="AN288" i="2"/>
  <c r="AO288" i="2"/>
  <c r="AP288" i="2"/>
  <c r="AR288" i="2"/>
  <c r="AF289" i="2"/>
  <c r="AG289" i="2"/>
  <c r="AH289" i="2"/>
  <c r="AJ289" i="2"/>
  <c r="AL289" i="2"/>
  <c r="AM289" i="2"/>
  <c r="AN289" i="2"/>
  <c r="AO289" i="2"/>
  <c r="AP289" i="2"/>
  <c r="AR289" i="2"/>
  <c r="AF290" i="2"/>
  <c r="AG290" i="2"/>
  <c r="AH290" i="2"/>
  <c r="AJ290" i="2"/>
  <c r="AL290" i="2"/>
  <c r="AM290" i="2"/>
  <c r="AN290" i="2"/>
  <c r="AO290" i="2"/>
  <c r="AP290" i="2"/>
  <c r="AR290" i="2"/>
  <c r="AF291" i="2"/>
  <c r="AG291" i="2"/>
  <c r="AH291" i="2"/>
  <c r="AJ291" i="2"/>
  <c r="AL291" i="2"/>
  <c r="AM291" i="2"/>
  <c r="AN291" i="2"/>
  <c r="AO291" i="2"/>
  <c r="AP291" i="2"/>
  <c r="AR291" i="2"/>
  <c r="AF292" i="2"/>
  <c r="AG292" i="2"/>
  <c r="AH292" i="2"/>
  <c r="AJ292" i="2"/>
  <c r="AL292" i="2"/>
  <c r="AM292" i="2"/>
  <c r="AN292" i="2"/>
  <c r="AO292" i="2"/>
  <c r="AP292" i="2"/>
  <c r="AR292" i="2"/>
  <c r="AF293" i="2"/>
  <c r="AG293" i="2"/>
  <c r="AH293" i="2"/>
  <c r="AJ293" i="2"/>
  <c r="AL293" i="2"/>
  <c r="AM293" i="2"/>
  <c r="AN293" i="2"/>
  <c r="AO293" i="2"/>
  <c r="AP293" i="2"/>
  <c r="AR293" i="2"/>
  <c r="AF294" i="2"/>
  <c r="AG294" i="2"/>
  <c r="AH294" i="2"/>
  <c r="AJ294" i="2"/>
  <c r="AL294" i="2"/>
  <c r="AM294" i="2"/>
  <c r="AN294" i="2"/>
  <c r="AO294" i="2"/>
  <c r="AP294" i="2"/>
  <c r="AR294" i="2"/>
  <c r="AF295" i="2"/>
  <c r="AG295" i="2"/>
  <c r="AH295" i="2"/>
  <c r="AJ295" i="2"/>
  <c r="AL295" i="2"/>
  <c r="AM295" i="2"/>
  <c r="AN295" i="2"/>
  <c r="AO295" i="2"/>
  <c r="AP295" i="2"/>
  <c r="AR295" i="2"/>
  <c r="AF296" i="2"/>
  <c r="AG296" i="2"/>
  <c r="AH296" i="2"/>
  <c r="AJ296" i="2"/>
  <c r="AL296" i="2"/>
  <c r="AM296" i="2"/>
  <c r="AN296" i="2"/>
  <c r="AO296" i="2"/>
  <c r="AP296" i="2"/>
  <c r="AR296" i="2"/>
  <c r="AF297" i="2"/>
  <c r="AG297" i="2"/>
  <c r="AH297" i="2"/>
  <c r="AJ297" i="2"/>
  <c r="AL297" i="2"/>
  <c r="AM297" i="2"/>
  <c r="AN297" i="2"/>
  <c r="AO297" i="2"/>
  <c r="AP297" i="2"/>
  <c r="AR297" i="2"/>
  <c r="AF298" i="2"/>
  <c r="AG298" i="2"/>
  <c r="AH298" i="2"/>
  <c r="AJ298" i="2"/>
  <c r="AL298" i="2"/>
  <c r="AM298" i="2"/>
  <c r="AN298" i="2"/>
  <c r="AO298" i="2"/>
  <c r="AP298" i="2"/>
  <c r="AR298" i="2"/>
  <c r="AF299" i="2"/>
  <c r="AG299" i="2"/>
  <c r="AH299" i="2"/>
  <c r="AJ299" i="2"/>
  <c r="AL299" i="2"/>
  <c r="AM299" i="2"/>
  <c r="AN299" i="2"/>
  <c r="AO299" i="2"/>
  <c r="AP299" i="2"/>
  <c r="AR299" i="2"/>
  <c r="AF300" i="2"/>
  <c r="AG300" i="2"/>
  <c r="AH300" i="2"/>
  <c r="AJ300" i="2"/>
  <c r="AL300" i="2"/>
  <c r="AM300" i="2"/>
  <c r="AN300" i="2"/>
  <c r="AO300" i="2"/>
  <c r="AP300" i="2"/>
  <c r="AR300" i="2"/>
  <c r="AF301" i="2"/>
  <c r="AG301" i="2"/>
  <c r="AH301" i="2"/>
  <c r="AJ301" i="2"/>
  <c r="AL301" i="2"/>
  <c r="AM301" i="2"/>
  <c r="AN301" i="2"/>
  <c r="AO301" i="2"/>
  <c r="AP301" i="2"/>
  <c r="AR301" i="2"/>
  <c r="AF302" i="2"/>
  <c r="AG302" i="2"/>
  <c r="AH302" i="2"/>
  <c r="AJ302" i="2"/>
  <c r="AL302" i="2"/>
  <c r="AM302" i="2"/>
  <c r="AN302" i="2"/>
  <c r="AO302" i="2"/>
  <c r="AP302" i="2"/>
  <c r="AR302" i="2"/>
  <c r="AF303" i="2"/>
  <c r="AG303" i="2"/>
  <c r="AH303" i="2"/>
  <c r="AJ303" i="2"/>
  <c r="AL303" i="2"/>
  <c r="AM303" i="2"/>
  <c r="AN303" i="2"/>
  <c r="AO303" i="2"/>
  <c r="AP303" i="2"/>
  <c r="AR303" i="2"/>
  <c r="AF304" i="2"/>
  <c r="AG304" i="2"/>
  <c r="AH304" i="2"/>
  <c r="AJ304" i="2"/>
  <c r="AL304" i="2"/>
  <c r="AM304" i="2"/>
  <c r="AN304" i="2"/>
  <c r="AO304" i="2"/>
  <c r="AP304" i="2"/>
  <c r="AR304" i="2"/>
  <c r="AF305" i="2"/>
  <c r="AG305" i="2"/>
  <c r="AH305" i="2"/>
  <c r="AJ305" i="2"/>
  <c r="AL305" i="2"/>
  <c r="AM305" i="2"/>
  <c r="AN305" i="2"/>
  <c r="AO305" i="2"/>
  <c r="AP305" i="2"/>
  <c r="AR305" i="2"/>
  <c r="AF306" i="2"/>
  <c r="AG306" i="2"/>
  <c r="AH306" i="2"/>
  <c r="AJ306" i="2"/>
  <c r="AL306" i="2"/>
  <c r="AM306" i="2"/>
  <c r="AN306" i="2"/>
  <c r="AO306" i="2"/>
  <c r="AP306" i="2"/>
  <c r="AR306" i="2"/>
  <c r="AF307" i="2"/>
  <c r="AG307" i="2"/>
  <c r="AH307" i="2"/>
  <c r="AJ307" i="2"/>
  <c r="AL307" i="2"/>
  <c r="AM307" i="2"/>
  <c r="AN307" i="2"/>
  <c r="AO307" i="2"/>
  <c r="AP307" i="2"/>
  <c r="AR307" i="2"/>
  <c r="AF308" i="2"/>
  <c r="AG308" i="2"/>
  <c r="AH308" i="2"/>
  <c r="AJ308" i="2"/>
  <c r="AL308" i="2"/>
  <c r="AM308" i="2"/>
  <c r="AN308" i="2"/>
  <c r="AO308" i="2"/>
  <c r="AP308" i="2"/>
  <c r="AR308" i="2"/>
  <c r="AF309" i="2"/>
  <c r="AG309" i="2"/>
  <c r="AH309" i="2"/>
  <c r="AJ309" i="2"/>
  <c r="AL309" i="2"/>
  <c r="AM309" i="2"/>
  <c r="AN309" i="2"/>
  <c r="AO309" i="2"/>
  <c r="AP309" i="2"/>
  <c r="AR309" i="2"/>
  <c r="AF310" i="2"/>
  <c r="AG310" i="2"/>
  <c r="AH310" i="2"/>
  <c r="AJ310" i="2"/>
  <c r="AL310" i="2"/>
  <c r="AM310" i="2"/>
  <c r="AN310" i="2"/>
  <c r="AO310" i="2"/>
  <c r="AP310" i="2"/>
  <c r="AR310" i="2"/>
  <c r="AF311" i="2"/>
  <c r="AG311" i="2"/>
  <c r="AH311" i="2"/>
  <c r="AJ311" i="2"/>
  <c r="AL311" i="2"/>
  <c r="AM311" i="2"/>
  <c r="AN311" i="2"/>
  <c r="AO311" i="2"/>
  <c r="AP311" i="2"/>
  <c r="AR311" i="2"/>
  <c r="AF312" i="2"/>
  <c r="AG312" i="2"/>
  <c r="AH312" i="2"/>
  <c r="AJ312" i="2"/>
  <c r="AL312" i="2"/>
  <c r="AM312" i="2"/>
  <c r="AN312" i="2"/>
  <c r="AO312" i="2"/>
  <c r="AP312" i="2"/>
  <c r="AR312" i="2"/>
  <c r="AF313" i="2"/>
  <c r="AG313" i="2"/>
  <c r="AH313" i="2"/>
  <c r="AJ313" i="2"/>
  <c r="AL313" i="2"/>
  <c r="AM313" i="2"/>
  <c r="AN313" i="2"/>
  <c r="AO313" i="2"/>
  <c r="AP313" i="2"/>
  <c r="AR313" i="2"/>
  <c r="AF314" i="2"/>
  <c r="AG314" i="2"/>
  <c r="AH314" i="2"/>
  <c r="AJ314" i="2"/>
  <c r="AL314" i="2"/>
  <c r="AM314" i="2"/>
  <c r="AN314" i="2"/>
  <c r="AO314" i="2"/>
  <c r="AP314" i="2"/>
  <c r="AR314" i="2"/>
  <c r="AF315" i="2"/>
  <c r="AG315" i="2"/>
  <c r="AH315" i="2"/>
  <c r="AJ315" i="2"/>
  <c r="AL315" i="2"/>
  <c r="AM315" i="2"/>
  <c r="AN315" i="2"/>
  <c r="AO315" i="2"/>
  <c r="AP315" i="2"/>
  <c r="AR315" i="2"/>
  <c r="AF316" i="2"/>
  <c r="AG316" i="2"/>
  <c r="AH316" i="2"/>
  <c r="AJ316" i="2"/>
  <c r="AL316" i="2"/>
  <c r="AM316" i="2"/>
  <c r="AN316" i="2"/>
  <c r="AO316" i="2"/>
  <c r="AP316" i="2"/>
  <c r="AR316" i="2"/>
  <c r="AF317" i="2"/>
  <c r="AG317" i="2"/>
  <c r="AH317" i="2"/>
  <c r="AJ317" i="2"/>
  <c r="AL317" i="2"/>
  <c r="AM317" i="2"/>
  <c r="AN317" i="2"/>
  <c r="AO317" i="2"/>
  <c r="AP317" i="2"/>
  <c r="AR317" i="2"/>
  <c r="AF318" i="2"/>
  <c r="AG318" i="2"/>
  <c r="AH318" i="2"/>
  <c r="AJ318" i="2"/>
  <c r="AL318" i="2"/>
  <c r="AM318" i="2"/>
  <c r="AN318" i="2"/>
  <c r="AO318" i="2"/>
  <c r="AP318" i="2"/>
  <c r="AR318" i="2"/>
  <c r="AF319" i="2"/>
  <c r="AG319" i="2"/>
  <c r="AH319" i="2"/>
  <c r="AJ319" i="2"/>
  <c r="AL319" i="2"/>
  <c r="AM319" i="2"/>
  <c r="AN319" i="2"/>
  <c r="AO319" i="2"/>
  <c r="AP319" i="2"/>
  <c r="AR319" i="2"/>
  <c r="AF320" i="2"/>
  <c r="AG320" i="2"/>
  <c r="AH320" i="2"/>
  <c r="AJ320" i="2"/>
  <c r="AL320" i="2"/>
  <c r="AM320" i="2"/>
  <c r="AN320" i="2"/>
  <c r="AO320" i="2"/>
  <c r="AP320" i="2"/>
  <c r="AR320" i="2"/>
  <c r="AF321" i="2"/>
  <c r="AG321" i="2"/>
  <c r="AH321" i="2"/>
  <c r="AJ321" i="2"/>
  <c r="AL321" i="2"/>
  <c r="AM321" i="2"/>
  <c r="AN321" i="2"/>
  <c r="AO321" i="2"/>
  <c r="AP321" i="2"/>
  <c r="AR321" i="2"/>
  <c r="AF322" i="2"/>
  <c r="AG322" i="2"/>
  <c r="AH322" i="2"/>
  <c r="AJ322" i="2"/>
  <c r="AL322" i="2"/>
  <c r="AM322" i="2"/>
  <c r="AN322" i="2"/>
  <c r="AO322" i="2"/>
  <c r="AP322" i="2"/>
  <c r="AR322" i="2"/>
  <c r="AF323" i="2"/>
  <c r="AG323" i="2"/>
  <c r="AH323" i="2"/>
  <c r="AJ323" i="2"/>
  <c r="AL323" i="2"/>
  <c r="AM323" i="2"/>
  <c r="AN323" i="2"/>
  <c r="AO323" i="2"/>
  <c r="AP323" i="2"/>
  <c r="AR323" i="2"/>
  <c r="AF324" i="2"/>
  <c r="AG324" i="2"/>
  <c r="AH324" i="2"/>
  <c r="AJ324" i="2"/>
  <c r="AL324" i="2"/>
  <c r="AM324" i="2"/>
  <c r="AN324" i="2"/>
  <c r="AO324" i="2"/>
  <c r="AP324" i="2"/>
  <c r="AR324" i="2"/>
  <c r="AF325" i="2"/>
  <c r="AG325" i="2"/>
  <c r="AH325" i="2"/>
  <c r="AJ325" i="2"/>
  <c r="AL325" i="2"/>
  <c r="AM325" i="2"/>
  <c r="AN325" i="2"/>
  <c r="AO325" i="2"/>
  <c r="AP325" i="2"/>
  <c r="AR325" i="2"/>
  <c r="AF326" i="2"/>
  <c r="AG326" i="2"/>
  <c r="AH326" i="2"/>
  <c r="AJ326" i="2"/>
  <c r="AL326" i="2"/>
  <c r="AM326" i="2"/>
  <c r="AN326" i="2"/>
  <c r="AO326" i="2"/>
  <c r="AP326" i="2"/>
  <c r="AR326" i="2"/>
  <c r="AF327" i="2"/>
  <c r="AG327" i="2"/>
  <c r="AH327" i="2"/>
  <c r="AJ327" i="2"/>
  <c r="AL327" i="2"/>
  <c r="AM327" i="2"/>
  <c r="AN327" i="2"/>
  <c r="AO327" i="2"/>
  <c r="AP327" i="2"/>
  <c r="AR327" i="2"/>
  <c r="AF328" i="2"/>
  <c r="AG328" i="2"/>
  <c r="AH328" i="2"/>
  <c r="AJ328" i="2"/>
  <c r="AL328" i="2"/>
  <c r="AM328" i="2"/>
  <c r="AN328" i="2"/>
  <c r="AO328" i="2"/>
  <c r="AP328" i="2"/>
  <c r="AR328" i="2"/>
  <c r="AF329" i="2"/>
  <c r="AG329" i="2"/>
  <c r="AH329" i="2"/>
  <c r="AJ329" i="2"/>
  <c r="AL329" i="2"/>
  <c r="AM329" i="2"/>
  <c r="AN329" i="2"/>
  <c r="AO329" i="2"/>
  <c r="AP329" i="2"/>
  <c r="AR329" i="2"/>
  <c r="AF330" i="2"/>
  <c r="AG330" i="2"/>
  <c r="AH330" i="2"/>
  <c r="AJ330" i="2"/>
  <c r="AL330" i="2"/>
  <c r="AM330" i="2"/>
  <c r="AN330" i="2"/>
  <c r="AO330" i="2"/>
  <c r="AP330" i="2"/>
  <c r="AR330" i="2"/>
  <c r="AF331" i="2"/>
  <c r="AG331" i="2"/>
  <c r="AH331" i="2"/>
  <c r="AJ331" i="2"/>
  <c r="AL331" i="2"/>
  <c r="AM331" i="2"/>
  <c r="AN331" i="2"/>
  <c r="AO331" i="2"/>
  <c r="AP331" i="2"/>
  <c r="AR331" i="2"/>
  <c r="AF332" i="2"/>
  <c r="AG332" i="2"/>
  <c r="AH332" i="2"/>
  <c r="AJ332" i="2"/>
  <c r="AL332" i="2"/>
  <c r="AM332" i="2"/>
  <c r="AN332" i="2"/>
  <c r="AO332" i="2"/>
  <c r="AP332" i="2"/>
  <c r="AR332" i="2"/>
  <c r="AF333" i="2"/>
  <c r="AG333" i="2"/>
  <c r="AH333" i="2"/>
  <c r="AJ333" i="2"/>
  <c r="AL333" i="2"/>
  <c r="AM333" i="2"/>
  <c r="AN333" i="2"/>
  <c r="AO333" i="2"/>
  <c r="AP333" i="2"/>
  <c r="AR333" i="2"/>
  <c r="AF334" i="2"/>
  <c r="AG334" i="2"/>
  <c r="AH334" i="2"/>
  <c r="AJ334" i="2"/>
  <c r="AL334" i="2"/>
  <c r="AM334" i="2"/>
  <c r="AN334" i="2"/>
  <c r="AO334" i="2"/>
  <c r="AP334" i="2"/>
  <c r="AR334" i="2"/>
  <c r="AF335" i="2"/>
  <c r="AG335" i="2"/>
  <c r="AH335" i="2"/>
  <c r="AJ335" i="2"/>
  <c r="AL335" i="2"/>
  <c r="AM335" i="2"/>
  <c r="AN335" i="2"/>
  <c r="AO335" i="2"/>
  <c r="AP335" i="2"/>
  <c r="AR335" i="2"/>
  <c r="AF336" i="2"/>
  <c r="AG336" i="2"/>
  <c r="AH336" i="2"/>
  <c r="AJ336" i="2"/>
  <c r="AL336" i="2"/>
  <c r="AM336" i="2"/>
  <c r="AN336" i="2"/>
  <c r="AO336" i="2"/>
  <c r="AP336" i="2"/>
  <c r="AR336" i="2"/>
  <c r="AF337" i="2"/>
  <c r="AG337" i="2"/>
  <c r="AH337" i="2"/>
  <c r="AJ337" i="2"/>
  <c r="AL337" i="2"/>
  <c r="AM337" i="2"/>
  <c r="AN337" i="2"/>
  <c r="AO337" i="2"/>
  <c r="AP337" i="2"/>
  <c r="AR337" i="2"/>
  <c r="AF338" i="2"/>
  <c r="AG338" i="2"/>
  <c r="AH338" i="2"/>
  <c r="AJ338" i="2"/>
  <c r="AL338" i="2"/>
  <c r="AM338" i="2"/>
  <c r="AN338" i="2"/>
  <c r="AO338" i="2"/>
  <c r="AP338" i="2"/>
  <c r="AR338" i="2"/>
  <c r="AF339" i="2"/>
  <c r="AG339" i="2"/>
  <c r="AH339" i="2"/>
  <c r="AJ339" i="2"/>
  <c r="AL339" i="2"/>
  <c r="AM339" i="2"/>
  <c r="AN339" i="2"/>
  <c r="AO339" i="2"/>
  <c r="AP339" i="2"/>
  <c r="AR339" i="2"/>
  <c r="AF340" i="2"/>
  <c r="AG340" i="2"/>
  <c r="AH340" i="2"/>
  <c r="AJ340" i="2"/>
  <c r="AL340" i="2"/>
  <c r="AM340" i="2"/>
  <c r="AN340" i="2"/>
  <c r="AO340" i="2"/>
  <c r="AP340" i="2"/>
  <c r="AR340" i="2"/>
  <c r="AF341" i="2"/>
  <c r="AG341" i="2"/>
  <c r="AH341" i="2"/>
  <c r="AJ341" i="2"/>
  <c r="AL341" i="2"/>
  <c r="AM341" i="2"/>
  <c r="AN341" i="2"/>
  <c r="AO341" i="2"/>
  <c r="AP341" i="2"/>
  <c r="AR341" i="2"/>
  <c r="AF342" i="2"/>
  <c r="AG342" i="2"/>
  <c r="AH342" i="2"/>
  <c r="AJ342" i="2"/>
  <c r="AL342" i="2"/>
  <c r="AM342" i="2"/>
  <c r="AN342" i="2"/>
  <c r="AO342" i="2"/>
  <c r="AP342" i="2"/>
  <c r="AR342" i="2"/>
  <c r="AF343" i="2"/>
  <c r="AG343" i="2"/>
  <c r="AH343" i="2"/>
  <c r="AJ343" i="2"/>
  <c r="AL343" i="2"/>
  <c r="AM343" i="2"/>
  <c r="AN343" i="2"/>
  <c r="AO343" i="2"/>
  <c r="AP343" i="2"/>
  <c r="AR343" i="2"/>
  <c r="AF344" i="2"/>
  <c r="AG344" i="2"/>
  <c r="AH344" i="2"/>
  <c r="AJ344" i="2"/>
  <c r="AL344" i="2"/>
  <c r="AM344" i="2"/>
  <c r="AN344" i="2"/>
  <c r="AO344" i="2"/>
  <c r="AP344" i="2"/>
  <c r="AR344" i="2"/>
  <c r="AF345" i="2"/>
  <c r="AG345" i="2"/>
  <c r="AH345" i="2"/>
  <c r="AJ345" i="2"/>
  <c r="AL345" i="2"/>
  <c r="AM345" i="2"/>
  <c r="AN345" i="2"/>
  <c r="AO345" i="2"/>
  <c r="AP345" i="2"/>
  <c r="AR345" i="2"/>
  <c r="AF346" i="2"/>
  <c r="AG346" i="2"/>
  <c r="AH346" i="2"/>
  <c r="AJ346" i="2"/>
  <c r="AL346" i="2"/>
  <c r="AM346" i="2"/>
  <c r="AN346" i="2"/>
  <c r="AO346" i="2"/>
  <c r="AP346" i="2"/>
  <c r="AR346" i="2"/>
  <c r="AF347" i="2"/>
  <c r="AG347" i="2"/>
  <c r="AH347" i="2"/>
  <c r="AJ347" i="2"/>
  <c r="AL347" i="2"/>
  <c r="AM347" i="2"/>
  <c r="AN347" i="2"/>
  <c r="AO347" i="2"/>
  <c r="AP347" i="2"/>
  <c r="AR347" i="2"/>
  <c r="AF348" i="2"/>
  <c r="AG348" i="2"/>
  <c r="AH348" i="2"/>
  <c r="AJ348" i="2"/>
  <c r="AL348" i="2"/>
  <c r="AM348" i="2"/>
  <c r="AN348" i="2"/>
  <c r="AO348" i="2"/>
  <c r="AP348" i="2"/>
  <c r="AR348" i="2"/>
  <c r="AF349" i="2"/>
  <c r="AG349" i="2"/>
  <c r="AH349" i="2"/>
  <c r="AJ349" i="2"/>
  <c r="AL349" i="2"/>
  <c r="AM349" i="2"/>
  <c r="AN349" i="2"/>
  <c r="AO349" i="2"/>
  <c r="AP349" i="2"/>
  <c r="AR349" i="2"/>
  <c r="AF350" i="2"/>
  <c r="AG350" i="2"/>
  <c r="AH350" i="2"/>
  <c r="AJ350" i="2"/>
  <c r="AL350" i="2"/>
  <c r="AM350" i="2"/>
  <c r="AN350" i="2"/>
  <c r="AO350" i="2"/>
  <c r="AP350" i="2"/>
  <c r="AR350" i="2"/>
  <c r="AF351" i="2"/>
  <c r="AG351" i="2"/>
  <c r="AH351" i="2"/>
  <c r="AJ351" i="2"/>
  <c r="AL351" i="2"/>
  <c r="AM351" i="2"/>
  <c r="AN351" i="2"/>
  <c r="AO351" i="2"/>
  <c r="AP351" i="2"/>
  <c r="AR351" i="2"/>
  <c r="AF352" i="2"/>
  <c r="AG352" i="2"/>
  <c r="AH352" i="2"/>
  <c r="AJ352" i="2"/>
  <c r="AL352" i="2"/>
  <c r="AM352" i="2"/>
  <c r="AN352" i="2"/>
  <c r="AO352" i="2"/>
  <c r="AP352" i="2"/>
  <c r="AR352" i="2"/>
  <c r="AF353" i="2"/>
  <c r="AG353" i="2"/>
  <c r="AH353" i="2"/>
  <c r="AJ353" i="2"/>
  <c r="AL353" i="2"/>
  <c r="AM353" i="2"/>
  <c r="AN353" i="2"/>
  <c r="AO353" i="2"/>
  <c r="AP353" i="2"/>
  <c r="AR353" i="2"/>
  <c r="AF354" i="2"/>
  <c r="AG354" i="2"/>
  <c r="AH354" i="2"/>
  <c r="AJ354" i="2"/>
  <c r="AL354" i="2"/>
  <c r="AM354" i="2"/>
  <c r="AN354" i="2"/>
  <c r="AO354" i="2"/>
  <c r="AP354" i="2"/>
  <c r="AR354" i="2"/>
  <c r="AF355" i="2"/>
  <c r="AG355" i="2"/>
  <c r="AH355" i="2"/>
  <c r="AJ355" i="2"/>
  <c r="AL355" i="2"/>
  <c r="AM355" i="2"/>
  <c r="AN355" i="2"/>
  <c r="AO355" i="2"/>
  <c r="AP355" i="2"/>
  <c r="AR355" i="2"/>
  <c r="AF356" i="2"/>
  <c r="AG356" i="2"/>
  <c r="AH356" i="2"/>
  <c r="AJ356" i="2"/>
  <c r="AL356" i="2"/>
  <c r="AM356" i="2"/>
  <c r="AN356" i="2"/>
  <c r="AO356" i="2"/>
  <c r="AP356" i="2"/>
  <c r="AR356" i="2"/>
  <c r="AF357" i="2"/>
  <c r="AG357" i="2"/>
  <c r="AH357" i="2"/>
  <c r="AJ357" i="2"/>
  <c r="AL357" i="2"/>
  <c r="AM357" i="2"/>
  <c r="AN357" i="2"/>
  <c r="AO357" i="2"/>
  <c r="AP357" i="2"/>
  <c r="AR357" i="2"/>
  <c r="AF358" i="2"/>
  <c r="AG358" i="2"/>
  <c r="AH358" i="2"/>
  <c r="AJ358" i="2"/>
  <c r="AL358" i="2"/>
  <c r="AM358" i="2"/>
  <c r="AN358" i="2"/>
  <c r="AO358" i="2"/>
  <c r="AP358" i="2"/>
  <c r="AR358" i="2"/>
  <c r="AF359" i="2"/>
  <c r="AG359" i="2"/>
  <c r="AH359" i="2"/>
  <c r="AJ359" i="2"/>
  <c r="AL359" i="2"/>
  <c r="AM359" i="2"/>
  <c r="AN359" i="2"/>
  <c r="AO359" i="2"/>
  <c r="AP359" i="2"/>
  <c r="AR359" i="2"/>
  <c r="AF360" i="2"/>
  <c r="AG360" i="2"/>
  <c r="AH360" i="2"/>
  <c r="AJ360" i="2"/>
  <c r="AL360" i="2"/>
  <c r="AM360" i="2"/>
  <c r="AN360" i="2"/>
  <c r="AO360" i="2"/>
  <c r="AP360" i="2"/>
  <c r="AR360" i="2"/>
  <c r="AF361" i="2"/>
  <c r="AG361" i="2"/>
  <c r="AH361" i="2"/>
  <c r="AJ361" i="2"/>
  <c r="AL361" i="2"/>
  <c r="AM361" i="2"/>
  <c r="AN361" i="2"/>
  <c r="AO361" i="2"/>
  <c r="AP361" i="2"/>
  <c r="AR361" i="2"/>
  <c r="AF362" i="2"/>
  <c r="AG362" i="2"/>
  <c r="AH362" i="2"/>
  <c r="AJ362" i="2"/>
  <c r="AL362" i="2"/>
  <c r="AM362" i="2"/>
  <c r="AN362" i="2"/>
  <c r="AO362" i="2"/>
  <c r="AP362" i="2"/>
  <c r="AR362" i="2"/>
  <c r="AF363" i="2"/>
  <c r="AG363" i="2"/>
  <c r="AH363" i="2"/>
  <c r="AJ363" i="2"/>
  <c r="AL363" i="2"/>
  <c r="AM363" i="2"/>
  <c r="AN363" i="2"/>
  <c r="AO363" i="2"/>
  <c r="AP363" i="2"/>
  <c r="AR363" i="2"/>
  <c r="AF364" i="2"/>
  <c r="AG364" i="2"/>
  <c r="AH364" i="2"/>
  <c r="AJ364" i="2"/>
  <c r="AL364" i="2"/>
  <c r="AM364" i="2"/>
  <c r="AN364" i="2"/>
  <c r="AO364" i="2"/>
  <c r="AP364" i="2"/>
  <c r="AR364" i="2"/>
  <c r="AF365" i="2"/>
  <c r="AG365" i="2"/>
  <c r="AH365" i="2"/>
  <c r="AJ365" i="2"/>
  <c r="AL365" i="2"/>
  <c r="AM365" i="2"/>
  <c r="AN365" i="2"/>
  <c r="AO365" i="2"/>
  <c r="AP365" i="2"/>
  <c r="AR365" i="2"/>
  <c r="AF366" i="2"/>
  <c r="AG366" i="2"/>
  <c r="AH366" i="2"/>
  <c r="AJ366" i="2"/>
  <c r="AL366" i="2"/>
  <c r="AM366" i="2"/>
  <c r="AN366" i="2"/>
  <c r="AO366" i="2"/>
  <c r="AP366" i="2"/>
  <c r="AR366" i="2"/>
  <c r="AF367" i="2"/>
  <c r="AG367" i="2"/>
  <c r="AH367" i="2"/>
  <c r="AJ367" i="2"/>
  <c r="AL367" i="2"/>
  <c r="AM367" i="2"/>
  <c r="AN367" i="2"/>
  <c r="AO367" i="2"/>
  <c r="AP367" i="2"/>
  <c r="AR367" i="2"/>
  <c r="AF368" i="2"/>
  <c r="AG368" i="2"/>
  <c r="AH368" i="2"/>
  <c r="AJ368" i="2"/>
  <c r="AL368" i="2"/>
  <c r="AM368" i="2"/>
  <c r="AN368" i="2"/>
  <c r="AO368" i="2"/>
  <c r="AP368" i="2"/>
  <c r="AR368" i="2"/>
  <c r="AF369" i="2"/>
  <c r="AG369" i="2"/>
  <c r="AH369" i="2"/>
  <c r="AJ369" i="2"/>
  <c r="AL369" i="2"/>
  <c r="AM369" i="2"/>
  <c r="AN369" i="2"/>
  <c r="AO369" i="2"/>
  <c r="AP369" i="2"/>
  <c r="AR369" i="2"/>
  <c r="AF370" i="2"/>
  <c r="AG370" i="2"/>
  <c r="AH370" i="2"/>
  <c r="AJ370" i="2"/>
  <c r="AL370" i="2"/>
  <c r="AM370" i="2"/>
  <c r="AN370" i="2"/>
  <c r="AO370" i="2"/>
  <c r="AP370" i="2"/>
  <c r="AR370" i="2"/>
  <c r="AF371" i="2"/>
  <c r="AG371" i="2"/>
  <c r="AH371" i="2"/>
  <c r="AJ371" i="2"/>
  <c r="AL371" i="2"/>
  <c r="AM371" i="2"/>
  <c r="AN371" i="2"/>
  <c r="AO371" i="2"/>
  <c r="AP371" i="2"/>
  <c r="AR371" i="2"/>
  <c r="AF372" i="2"/>
  <c r="AG372" i="2"/>
  <c r="AH372" i="2"/>
  <c r="AJ372" i="2"/>
  <c r="AL372" i="2"/>
  <c r="AM372" i="2"/>
  <c r="AN372" i="2"/>
  <c r="AO372" i="2"/>
  <c r="AP372" i="2"/>
  <c r="AR372" i="2"/>
  <c r="AF373" i="2"/>
  <c r="AG373" i="2"/>
  <c r="AH373" i="2"/>
  <c r="AJ373" i="2"/>
  <c r="AL373" i="2"/>
  <c r="AM373" i="2"/>
  <c r="AN373" i="2"/>
  <c r="AO373" i="2"/>
  <c r="AP373" i="2"/>
  <c r="AR373" i="2"/>
  <c r="AF374" i="2"/>
  <c r="AG374" i="2"/>
  <c r="AH374" i="2"/>
  <c r="AJ374" i="2"/>
  <c r="AL374" i="2"/>
  <c r="AM374" i="2"/>
  <c r="AN374" i="2"/>
  <c r="AO374" i="2"/>
  <c r="AP374" i="2"/>
  <c r="AR374" i="2"/>
  <c r="AF375" i="2"/>
  <c r="AG375" i="2"/>
  <c r="AH375" i="2"/>
  <c r="AJ375" i="2"/>
  <c r="AL375" i="2"/>
  <c r="AM375" i="2"/>
  <c r="AN375" i="2"/>
  <c r="AO375" i="2"/>
  <c r="AP375" i="2"/>
  <c r="AR375" i="2"/>
  <c r="AF376" i="2"/>
  <c r="AG376" i="2"/>
  <c r="AH376" i="2"/>
  <c r="AJ376" i="2"/>
  <c r="AL376" i="2"/>
  <c r="AM376" i="2"/>
  <c r="AN376" i="2"/>
  <c r="AO376" i="2"/>
  <c r="AP376" i="2"/>
  <c r="AR376" i="2"/>
  <c r="AF377" i="2"/>
  <c r="AG377" i="2"/>
  <c r="AH377" i="2"/>
  <c r="AJ377" i="2"/>
  <c r="AL377" i="2"/>
  <c r="AM377" i="2"/>
  <c r="AN377" i="2"/>
  <c r="AO377" i="2"/>
  <c r="AP377" i="2"/>
  <c r="AR377" i="2"/>
  <c r="AF378" i="2"/>
  <c r="AG378" i="2"/>
  <c r="AH378" i="2"/>
  <c r="AJ378" i="2"/>
  <c r="AL378" i="2"/>
  <c r="AM378" i="2"/>
  <c r="AN378" i="2"/>
  <c r="AO378" i="2"/>
  <c r="AP378" i="2"/>
  <c r="AR378" i="2"/>
  <c r="AF379" i="2"/>
  <c r="AG379" i="2"/>
  <c r="AH379" i="2"/>
  <c r="AJ379" i="2"/>
  <c r="AL379" i="2"/>
  <c r="AM379" i="2"/>
  <c r="AN379" i="2"/>
  <c r="AO379" i="2"/>
  <c r="AP379" i="2"/>
  <c r="AR379" i="2"/>
  <c r="AF380" i="2"/>
  <c r="AG380" i="2"/>
  <c r="AH380" i="2"/>
  <c r="AJ380" i="2"/>
  <c r="AL380" i="2"/>
  <c r="AM380" i="2"/>
  <c r="AN380" i="2"/>
  <c r="AO380" i="2"/>
  <c r="AP380" i="2"/>
  <c r="AR380" i="2"/>
  <c r="AF381" i="2"/>
  <c r="AG381" i="2"/>
  <c r="AH381" i="2"/>
  <c r="AJ381" i="2"/>
  <c r="AL381" i="2"/>
  <c r="AM381" i="2"/>
  <c r="AN381" i="2"/>
  <c r="AO381" i="2"/>
  <c r="AP381" i="2"/>
  <c r="AR381" i="2"/>
  <c r="AF382" i="2"/>
  <c r="AG382" i="2"/>
  <c r="AH382" i="2"/>
  <c r="AJ382" i="2"/>
  <c r="AL382" i="2"/>
  <c r="AM382" i="2"/>
  <c r="AN382" i="2"/>
  <c r="AO382" i="2"/>
  <c r="AP382" i="2"/>
  <c r="AR382" i="2"/>
  <c r="AF383" i="2"/>
  <c r="AG383" i="2"/>
  <c r="AH383" i="2"/>
  <c r="AJ383" i="2"/>
  <c r="AL383" i="2"/>
  <c r="AM383" i="2"/>
  <c r="AN383" i="2"/>
  <c r="AO383" i="2"/>
  <c r="AP383" i="2"/>
  <c r="AR383" i="2"/>
  <c r="AF384" i="2"/>
  <c r="AG384" i="2"/>
  <c r="AH384" i="2"/>
  <c r="AJ384" i="2"/>
  <c r="AL384" i="2"/>
  <c r="AM384" i="2"/>
  <c r="AN384" i="2"/>
  <c r="AO384" i="2"/>
  <c r="AP384" i="2"/>
  <c r="AR384" i="2"/>
  <c r="AF385" i="2"/>
  <c r="AG385" i="2"/>
  <c r="AH385" i="2"/>
  <c r="AJ385" i="2"/>
  <c r="AL385" i="2"/>
  <c r="AM385" i="2"/>
  <c r="AN385" i="2"/>
  <c r="AO385" i="2"/>
  <c r="AP385" i="2"/>
  <c r="AR385" i="2"/>
  <c r="AF386" i="2"/>
  <c r="AG386" i="2"/>
  <c r="AH386" i="2"/>
  <c r="AJ386" i="2"/>
  <c r="AL386" i="2"/>
  <c r="AM386" i="2"/>
  <c r="AN386" i="2"/>
  <c r="AO386" i="2"/>
  <c r="AP386" i="2"/>
  <c r="AR386" i="2"/>
  <c r="AF387" i="2"/>
  <c r="AG387" i="2"/>
  <c r="AH387" i="2"/>
  <c r="AJ387" i="2"/>
  <c r="AL387" i="2"/>
  <c r="AM387" i="2"/>
  <c r="AN387" i="2"/>
  <c r="AO387" i="2"/>
  <c r="AP387" i="2"/>
  <c r="AR387" i="2"/>
  <c r="AF388" i="2"/>
  <c r="AG388" i="2"/>
  <c r="AH388" i="2"/>
  <c r="AJ388" i="2"/>
  <c r="AL388" i="2"/>
  <c r="AM388" i="2"/>
  <c r="AN388" i="2"/>
  <c r="AO388" i="2"/>
  <c r="AP388" i="2"/>
  <c r="AR388" i="2"/>
  <c r="AF389" i="2"/>
  <c r="AG389" i="2"/>
  <c r="AH389" i="2"/>
  <c r="AJ389" i="2"/>
  <c r="AL389" i="2"/>
  <c r="AM389" i="2"/>
  <c r="AN389" i="2"/>
  <c r="AO389" i="2"/>
  <c r="AP389" i="2"/>
  <c r="AR389" i="2"/>
  <c r="AF390" i="2"/>
  <c r="AG390" i="2"/>
  <c r="AH390" i="2"/>
  <c r="AJ390" i="2"/>
  <c r="AL390" i="2"/>
  <c r="AM390" i="2"/>
  <c r="AN390" i="2"/>
  <c r="AO390" i="2"/>
  <c r="AP390" i="2"/>
  <c r="AR390" i="2"/>
  <c r="AF391" i="2"/>
  <c r="AG391" i="2"/>
  <c r="AH391" i="2"/>
  <c r="AJ391" i="2"/>
  <c r="AL391" i="2"/>
  <c r="AM391" i="2"/>
  <c r="AN391" i="2"/>
  <c r="AO391" i="2"/>
  <c r="AP391" i="2"/>
  <c r="AR391" i="2"/>
  <c r="AF392" i="2"/>
  <c r="AG392" i="2"/>
  <c r="AH392" i="2"/>
  <c r="AJ392" i="2"/>
  <c r="AL392" i="2"/>
  <c r="AM392" i="2"/>
  <c r="AN392" i="2"/>
  <c r="AO392" i="2"/>
  <c r="AP392" i="2"/>
  <c r="AR392" i="2"/>
  <c r="AF393" i="2"/>
  <c r="AG393" i="2"/>
  <c r="AH393" i="2"/>
  <c r="AJ393" i="2"/>
  <c r="AL393" i="2"/>
  <c r="AM393" i="2"/>
  <c r="AN393" i="2"/>
  <c r="AO393" i="2"/>
  <c r="AP393" i="2"/>
  <c r="AR393" i="2"/>
  <c r="AF394" i="2"/>
  <c r="AG394" i="2"/>
  <c r="AH394" i="2"/>
  <c r="AJ394" i="2"/>
  <c r="AL394" i="2"/>
  <c r="AM394" i="2"/>
  <c r="AN394" i="2"/>
  <c r="AO394" i="2"/>
  <c r="AP394" i="2"/>
  <c r="AR394" i="2"/>
  <c r="AF395" i="2"/>
  <c r="AG395" i="2"/>
  <c r="AH395" i="2"/>
  <c r="AJ395" i="2"/>
  <c r="AL395" i="2"/>
  <c r="AM395" i="2"/>
  <c r="AN395" i="2"/>
  <c r="AO395" i="2"/>
  <c r="AP395" i="2"/>
  <c r="AR395" i="2"/>
  <c r="AF396" i="2"/>
  <c r="AG396" i="2"/>
  <c r="AH396" i="2"/>
  <c r="AJ396" i="2"/>
  <c r="AL396" i="2"/>
  <c r="AM396" i="2"/>
  <c r="AN396" i="2"/>
  <c r="AO396" i="2"/>
  <c r="AP396" i="2"/>
  <c r="AR396" i="2"/>
  <c r="AF397" i="2"/>
  <c r="AG397" i="2"/>
  <c r="AH397" i="2"/>
  <c r="AJ397" i="2"/>
  <c r="AL397" i="2"/>
  <c r="AM397" i="2"/>
  <c r="AN397" i="2"/>
  <c r="AO397" i="2"/>
  <c r="AP397" i="2"/>
  <c r="AR397" i="2"/>
  <c r="AF398" i="2"/>
  <c r="AG398" i="2"/>
  <c r="AH398" i="2"/>
  <c r="AJ398" i="2"/>
  <c r="AL398" i="2"/>
  <c r="AM398" i="2"/>
  <c r="AN398" i="2"/>
  <c r="AO398" i="2"/>
  <c r="AP398" i="2"/>
  <c r="AR398" i="2"/>
  <c r="AF399" i="2"/>
  <c r="AG399" i="2"/>
  <c r="AH399" i="2"/>
  <c r="AJ399" i="2"/>
  <c r="AL399" i="2"/>
  <c r="AM399" i="2"/>
  <c r="AN399" i="2"/>
  <c r="AO399" i="2"/>
  <c r="AP399" i="2"/>
  <c r="AR399" i="2"/>
  <c r="AF400" i="2"/>
  <c r="AG400" i="2"/>
  <c r="AH400" i="2"/>
  <c r="AJ400" i="2"/>
  <c r="AL400" i="2"/>
  <c r="AM400" i="2"/>
  <c r="AN400" i="2"/>
  <c r="AO400" i="2"/>
  <c r="AP400" i="2"/>
  <c r="AR400" i="2"/>
  <c r="B19" i="3"/>
  <c r="AQ256" i="2"/>
  <c r="AU256" i="2"/>
  <c r="AQ384" i="2"/>
  <c r="AU384" i="2"/>
  <c r="AQ400" i="2"/>
  <c r="AU400" i="2"/>
  <c r="B20" i="3"/>
  <c r="AV256" i="2"/>
  <c r="AV384" i="2"/>
  <c r="AV400" i="2"/>
  <c r="B21" i="3"/>
  <c r="AW256" i="2"/>
  <c r="AW384" i="2"/>
  <c r="AW400" i="2"/>
  <c r="B22" i="3"/>
  <c r="B23" i="3"/>
  <c r="B4" i="3"/>
  <c r="B6" i="3"/>
  <c r="B9" i="3"/>
  <c r="B11" i="3"/>
  <c r="Q256" i="2"/>
  <c r="Q257" i="2"/>
  <c r="Q258" i="2"/>
  <c r="Q259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Q159" i="2"/>
  <c r="Q160" i="2"/>
  <c r="Q161" i="2"/>
  <c r="Q162" i="2"/>
  <c r="Q163" i="2"/>
  <c r="Q164" i="2"/>
  <c r="Q165" i="2"/>
  <c r="Q166" i="2"/>
  <c r="Q167" i="2"/>
  <c r="Q168" i="2"/>
  <c r="Q169" i="2"/>
  <c r="Q170" i="2"/>
  <c r="Q171" i="2"/>
  <c r="Q172" i="2"/>
  <c r="Q173" i="2"/>
  <c r="Q174" i="2"/>
  <c r="Q175" i="2"/>
  <c r="Q176" i="2"/>
  <c r="Q177" i="2"/>
  <c r="Q178" i="2"/>
  <c r="Q179" i="2"/>
  <c r="Q180" i="2"/>
  <c r="Q181" i="2"/>
  <c r="Q182" i="2"/>
  <c r="Q183" i="2"/>
  <c r="Q184" i="2"/>
  <c r="Q185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214" i="2"/>
  <c r="Q215" i="2"/>
  <c r="Q216" i="2"/>
  <c r="Q217" i="2"/>
  <c r="Q218" i="2"/>
  <c r="Q219" i="2"/>
  <c r="Q220" i="2"/>
  <c r="Q221" i="2"/>
  <c r="Q222" i="2"/>
  <c r="Q223" i="2"/>
  <c r="Q224" i="2"/>
  <c r="Q225" i="2"/>
  <c r="Q226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Q242" i="2"/>
  <c r="Q243" i="2"/>
  <c r="Q244" i="2"/>
  <c r="Q245" i="2"/>
  <c r="Q246" i="2"/>
  <c r="Q247" i="2"/>
  <c r="Q248" i="2"/>
  <c r="Q249" i="2"/>
  <c r="Q250" i="2"/>
  <c r="Q251" i="2"/>
  <c r="Q252" i="2"/>
  <c r="Q253" i="2"/>
  <c r="Q254" i="2"/>
  <c r="Q255" i="2"/>
  <c r="Q260" i="2"/>
  <c r="Q261" i="2"/>
  <c r="Q262" i="2"/>
  <c r="Q263" i="2"/>
  <c r="Q264" i="2"/>
  <c r="Q265" i="2"/>
  <c r="Q266" i="2"/>
  <c r="Q267" i="2"/>
  <c r="Q268" i="2"/>
  <c r="Q269" i="2"/>
  <c r="Q270" i="2"/>
  <c r="Q271" i="2"/>
  <c r="Q272" i="2"/>
  <c r="Q273" i="2"/>
  <c r="Q274" i="2"/>
  <c r="Q275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303" i="2"/>
  <c r="Q304" i="2"/>
  <c r="Q305" i="2"/>
  <c r="Q306" i="2"/>
  <c r="Q307" i="2"/>
  <c r="Q308" i="2"/>
  <c r="Q309" i="2"/>
  <c r="Q310" i="2"/>
  <c r="Q311" i="2"/>
  <c r="Q312" i="2"/>
  <c r="Q313" i="2"/>
  <c r="Q314" i="2"/>
  <c r="Q315" i="2"/>
  <c r="Q316" i="2"/>
  <c r="Q317" i="2"/>
  <c r="Q318" i="2"/>
  <c r="Q319" i="2"/>
  <c r="Q320" i="2"/>
  <c r="Q321" i="2"/>
  <c r="Q322" i="2"/>
  <c r="Q323" i="2"/>
  <c r="Q324" i="2"/>
  <c r="Q325" i="2"/>
  <c r="Q326" i="2"/>
  <c r="Q327" i="2"/>
  <c r="Q328" i="2"/>
  <c r="Q329" i="2"/>
  <c r="Q330" i="2"/>
  <c r="Q331" i="2"/>
  <c r="Q332" i="2"/>
  <c r="Q333" i="2"/>
  <c r="Q334" i="2"/>
  <c r="Q335" i="2"/>
  <c r="Q336" i="2"/>
  <c r="Q337" i="2"/>
  <c r="Q338" i="2"/>
  <c r="Q339" i="2"/>
  <c r="Q340" i="2"/>
  <c r="Q341" i="2"/>
  <c r="Q342" i="2"/>
  <c r="Q343" i="2"/>
  <c r="Q344" i="2"/>
  <c r="Q345" i="2"/>
  <c r="Q346" i="2"/>
  <c r="Q347" i="2"/>
  <c r="Q348" i="2"/>
  <c r="Q349" i="2"/>
  <c r="Q350" i="2"/>
  <c r="Q351" i="2"/>
  <c r="Q352" i="2"/>
  <c r="Q353" i="2"/>
  <c r="Q354" i="2"/>
  <c r="Q355" i="2"/>
  <c r="Q356" i="2"/>
  <c r="Q357" i="2"/>
  <c r="Q358" i="2"/>
  <c r="Q359" i="2"/>
  <c r="Q360" i="2"/>
  <c r="Q361" i="2"/>
  <c r="Q362" i="2"/>
  <c r="Q363" i="2"/>
  <c r="Q364" i="2"/>
  <c r="Q365" i="2"/>
  <c r="Q366" i="2"/>
  <c r="Q367" i="2"/>
  <c r="Q368" i="2"/>
  <c r="Q369" i="2"/>
  <c r="Q370" i="2"/>
  <c r="Q371" i="2"/>
  <c r="Q372" i="2"/>
  <c r="Q373" i="2"/>
  <c r="Q374" i="2"/>
  <c r="Q375" i="2"/>
  <c r="Q376" i="2"/>
  <c r="Q377" i="2"/>
  <c r="Q378" i="2"/>
  <c r="Q379" i="2"/>
  <c r="Q380" i="2"/>
  <c r="Q381" i="2"/>
  <c r="Q382" i="2"/>
  <c r="Q383" i="2"/>
  <c r="Q384" i="2"/>
  <c r="Q385" i="2"/>
  <c r="Q386" i="2"/>
  <c r="Q387" i="2"/>
  <c r="Q388" i="2"/>
  <c r="Q389" i="2"/>
  <c r="Q390" i="2"/>
  <c r="Q391" i="2"/>
  <c r="Q392" i="2"/>
  <c r="Q393" i="2"/>
  <c r="Q394" i="2"/>
  <c r="Q395" i="2"/>
  <c r="Q396" i="2"/>
  <c r="Q397" i="2"/>
  <c r="Q398" i="2"/>
  <c r="Q399" i="2"/>
  <c r="Q400" i="2"/>
  <c r="B14" i="3"/>
  <c r="U256" i="2"/>
  <c r="U257" i="2"/>
  <c r="U258" i="2"/>
  <c r="U259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93" i="2"/>
  <c r="U94" i="2"/>
  <c r="U95" i="2"/>
  <c r="U96" i="2"/>
  <c r="U97" i="2"/>
  <c r="U98" i="2"/>
  <c r="U99" i="2"/>
  <c r="U100" i="2"/>
  <c r="U101" i="2"/>
  <c r="U102" i="2"/>
  <c r="U103" i="2"/>
  <c r="U104" i="2"/>
  <c r="U105" i="2"/>
  <c r="U106" i="2"/>
  <c r="U107" i="2"/>
  <c r="U108" i="2"/>
  <c r="U109" i="2"/>
  <c r="U110" i="2"/>
  <c r="U111" i="2"/>
  <c r="U112" i="2"/>
  <c r="U113" i="2"/>
  <c r="U114" i="2"/>
  <c r="U115" i="2"/>
  <c r="U116" i="2"/>
  <c r="U117" i="2"/>
  <c r="U118" i="2"/>
  <c r="U119" i="2"/>
  <c r="U120" i="2"/>
  <c r="U121" i="2"/>
  <c r="U122" i="2"/>
  <c r="U123" i="2"/>
  <c r="U124" i="2"/>
  <c r="U125" i="2"/>
  <c r="U126" i="2"/>
  <c r="U127" i="2"/>
  <c r="U128" i="2"/>
  <c r="U129" i="2"/>
  <c r="U130" i="2"/>
  <c r="U131" i="2"/>
  <c r="U132" i="2"/>
  <c r="U133" i="2"/>
  <c r="U134" i="2"/>
  <c r="U135" i="2"/>
  <c r="U136" i="2"/>
  <c r="U137" i="2"/>
  <c r="U138" i="2"/>
  <c r="U139" i="2"/>
  <c r="U140" i="2"/>
  <c r="U141" i="2"/>
  <c r="U142" i="2"/>
  <c r="U143" i="2"/>
  <c r="U144" i="2"/>
  <c r="U145" i="2"/>
  <c r="U146" i="2"/>
  <c r="U147" i="2"/>
  <c r="U148" i="2"/>
  <c r="U149" i="2"/>
  <c r="U150" i="2"/>
  <c r="U151" i="2"/>
  <c r="U152" i="2"/>
  <c r="U153" i="2"/>
  <c r="U154" i="2"/>
  <c r="U155" i="2"/>
  <c r="U156" i="2"/>
  <c r="U157" i="2"/>
  <c r="U158" i="2"/>
  <c r="U159" i="2"/>
  <c r="U160" i="2"/>
  <c r="U161" i="2"/>
  <c r="U162" i="2"/>
  <c r="U163" i="2"/>
  <c r="U164" i="2"/>
  <c r="U165" i="2"/>
  <c r="U166" i="2"/>
  <c r="U167" i="2"/>
  <c r="U168" i="2"/>
  <c r="U169" i="2"/>
  <c r="U170" i="2"/>
  <c r="U171" i="2"/>
  <c r="U172" i="2"/>
  <c r="U173" i="2"/>
  <c r="U174" i="2"/>
  <c r="U175" i="2"/>
  <c r="U176" i="2"/>
  <c r="U177" i="2"/>
  <c r="U178" i="2"/>
  <c r="U179" i="2"/>
  <c r="U180" i="2"/>
  <c r="U181" i="2"/>
  <c r="U182" i="2"/>
  <c r="U183" i="2"/>
  <c r="U184" i="2"/>
  <c r="U185" i="2"/>
  <c r="U186" i="2"/>
  <c r="U187" i="2"/>
  <c r="U188" i="2"/>
  <c r="U189" i="2"/>
  <c r="U190" i="2"/>
  <c r="U191" i="2"/>
  <c r="U192" i="2"/>
  <c r="U193" i="2"/>
  <c r="U194" i="2"/>
  <c r="U195" i="2"/>
  <c r="U196" i="2"/>
  <c r="U197" i="2"/>
  <c r="U198" i="2"/>
  <c r="U199" i="2"/>
  <c r="U200" i="2"/>
  <c r="U201" i="2"/>
  <c r="U202" i="2"/>
  <c r="U203" i="2"/>
  <c r="U204" i="2"/>
  <c r="U205" i="2"/>
  <c r="U206" i="2"/>
  <c r="U207" i="2"/>
  <c r="U208" i="2"/>
  <c r="U209" i="2"/>
  <c r="U210" i="2"/>
  <c r="U211" i="2"/>
  <c r="U212" i="2"/>
  <c r="U213" i="2"/>
  <c r="U214" i="2"/>
  <c r="U215" i="2"/>
  <c r="U216" i="2"/>
  <c r="U217" i="2"/>
  <c r="U218" i="2"/>
  <c r="U219" i="2"/>
  <c r="U220" i="2"/>
  <c r="U221" i="2"/>
  <c r="U222" i="2"/>
  <c r="U223" i="2"/>
  <c r="U224" i="2"/>
  <c r="U225" i="2"/>
  <c r="U226" i="2"/>
  <c r="U227" i="2"/>
  <c r="U228" i="2"/>
  <c r="U229" i="2"/>
  <c r="U230" i="2"/>
  <c r="U231" i="2"/>
  <c r="U232" i="2"/>
  <c r="U233" i="2"/>
  <c r="U234" i="2"/>
  <c r="U235" i="2"/>
  <c r="U236" i="2"/>
  <c r="U237" i="2"/>
  <c r="U238" i="2"/>
  <c r="U239" i="2"/>
  <c r="U240" i="2"/>
  <c r="U241" i="2"/>
  <c r="U242" i="2"/>
  <c r="U243" i="2"/>
  <c r="U244" i="2"/>
  <c r="U245" i="2"/>
  <c r="U246" i="2"/>
  <c r="U247" i="2"/>
  <c r="U248" i="2"/>
  <c r="U249" i="2"/>
  <c r="U250" i="2"/>
  <c r="U251" i="2"/>
  <c r="U252" i="2"/>
  <c r="U253" i="2"/>
  <c r="U254" i="2"/>
  <c r="U255" i="2"/>
  <c r="U260" i="2"/>
  <c r="U261" i="2"/>
  <c r="U262" i="2"/>
  <c r="U263" i="2"/>
  <c r="U264" i="2"/>
  <c r="U265" i="2"/>
  <c r="U266" i="2"/>
  <c r="U267" i="2"/>
  <c r="U268" i="2"/>
  <c r="U269" i="2"/>
  <c r="U270" i="2"/>
  <c r="U271" i="2"/>
  <c r="U272" i="2"/>
  <c r="U273" i="2"/>
  <c r="U274" i="2"/>
  <c r="U275" i="2"/>
  <c r="U276" i="2"/>
  <c r="U277" i="2"/>
  <c r="U278" i="2"/>
  <c r="U279" i="2"/>
  <c r="U280" i="2"/>
  <c r="U281" i="2"/>
  <c r="U282" i="2"/>
  <c r="U283" i="2"/>
  <c r="U284" i="2"/>
  <c r="U285" i="2"/>
  <c r="U286" i="2"/>
  <c r="U287" i="2"/>
  <c r="U288" i="2"/>
  <c r="U289" i="2"/>
  <c r="U290" i="2"/>
  <c r="U291" i="2"/>
  <c r="U292" i="2"/>
  <c r="U293" i="2"/>
  <c r="U294" i="2"/>
  <c r="U295" i="2"/>
  <c r="U296" i="2"/>
  <c r="U297" i="2"/>
  <c r="U298" i="2"/>
  <c r="U299" i="2"/>
  <c r="U300" i="2"/>
  <c r="U301" i="2"/>
  <c r="U302" i="2"/>
  <c r="U303" i="2"/>
  <c r="U304" i="2"/>
  <c r="U305" i="2"/>
  <c r="U306" i="2"/>
  <c r="U307" i="2"/>
  <c r="U308" i="2"/>
  <c r="U309" i="2"/>
  <c r="U310" i="2"/>
  <c r="U311" i="2"/>
  <c r="U312" i="2"/>
  <c r="U313" i="2"/>
  <c r="U314" i="2"/>
  <c r="U315" i="2"/>
  <c r="U316" i="2"/>
  <c r="U317" i="2"/>
  <c r="U318" i="2"/>
  <c r="U319" i="2"/>
  <c r="U320" i="2"/>
  <c r="U321" i="2"/>
  <c r="U322" i="2"/>
  <c r="U323" i="2"/>
  <c r="U324" i="2"/>
  <c r="U325" i="2"/>
  <c r="U326" i="2"/>
  <c r="U327" i="2"/>
  <c r="U328" i="2"/>
  <c r="U329" i="2"/>
  <c r="U330" i="2"/>
  <c r="U331" i="2"/>
  <c r="U332" i="2"/>
  <c r="U333" i="2"/>
  <c r="U334" i="2"/>
  <c r="U335" i="2"/>
  <c r="U336" i="2"/>
  <c r="U337" i="2"/>
  <c r="U338" i="2"/>
  <c r="U339" i="2"/>
  <c r="U340" i="2"/>
  <c r="U341" i="2"/>
  <c r="U342" i="2"/>
  <c r="U343" i="2"/>
  <c r="U344" i="2"/>
  <c r="U345" i="2"/>
  <c r="U346" i="2"/>
  <c r="U347" i="2"/>
  <c r="U348" i="2"/>
  <c r="U349" i="2"/>
  <c r="U350" i="2"/>
  <c r="U351" i="2"/>
  <c r="U352" i="2"/>
  <c r="U353" i="2"/>
  <c r="U354" i="2"/>
  <c r="U355" i="2"/>
  <c r="U356" i="2"/>
  <c r="U357" i="2"/>
  <c r="U358" i="2"/>
  <c r="U359" i="2"/>
  <c r="U360" i="2"/>
  <c r="U361" i="2"/>
  <c r="U362" i="2"/>
  <c r="U363" i="2"/>
  <c r="U364" i="2"/>
  <c r="U365" i="2"/>
  <c r="U366" i="2"/>
  <c r="U367" i="2"/>
  <c r="U368" i="2"/>
  <c r="U369" i="2"/>
  <c r="U370" i="2"/>
  <c r="U371" i="2"/>
  <c r="U372" i="2"/>
  <c r="U373" i="2"/>
  <c r="U374" i="2"/>
  <c r="U375" i="2"/>
  <c r="U376" i="2"/>
  <c r="U377" i="2"/>
  <c r="U378" i="2"/>
  <c r="U379" i="2"/>
  <c r="U380" i="2"/>
  <c r="U381" i="2"/>
  <c r="U382" i="2"/>
  <c r="U383" i="2"/>
  <c r="U384" i="2"/>
  <c r="U385" i="2"/>
  <c r="U386" i="2"/>
  <c r="U387" i="2"/>
  <c r="U388" i="2"/>
  <c r="U389" i="2"/>
  <c r="U390" i="2"/>
  <c r="U391" i="2"/>
  <c r="U392" i="2"/>
  <c r="U393" i="2"/>
  <c r="U394" i="2"/>
  <c r="U395" i="2"/>
  <c r="U396" i="2"/>
  <c r="U397" i="2"/>
  <c r="U398" i="2"/>
  <c r="U399" i="2"/>
  <c r="U400" i="2"/>
  <c r="B16" i="3"/>
  <c r="B24" i="3"/>
  <c r="B26" i="3"/>
  <c r="B27" i="3"/>
  <c r="B29" i="3"/>
  <c r="B5" i="3"/>
  <c r="B7" i="3"/>
  <c r="R256" i="2"/>
  <c r="R257" i="2"/>
  <c r="R258" i="2"/>
  <c r="R259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B10" i="3"/>
  <c r="B12" i="3"/>
  <c r="S256" i="2"/>
  <c r="S257" i="2"/>
  <c r="S258" i="2"/>
  <c r="S259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19" i="2"/>
  <c r="S120" i="2"/>
  <c r="S121" i="2"/>
  <c r="S122" i="2"/>
  <c r="S123" i="2"/>
  <c r="S124" i="2"/>
  <c r="S125" i="2"/>
  <c r="S126" i="2"/>
  <c r="S127" i="2"/>
  <c r="S128" i="2"/>
  <c r="S129" i="2"/>
  <c r="S130" i="2"/>
  <c r="S131" i="2"/>
  <c r="S132" i="2"/>
  <c r="S133" i="2"/>
  <c r="S134" i="2"/>
  <c r="S135" i="2"/>
  <c r="S136" i="2"/>
  <c r="S137" i="2"/>
  <c r="S138" i="2"/>
  <c r="S139" i="2"/>
  <c r="S140" i="2"/>
  <c r="S141" i="2"/>
  <c r="S142" i="2"/>
  <c r="S143" i="2"/>
  <c r="S144" i="2"/>
  <c r="S145" i="2"/>
  <c r="S146" i="2"/>
  <c r="S147" i="2"/>
  <c r="S148" i="2"/>
  <c r="S149" i="2"/>
  <c r="S150" i="2"/>
  <c r="S151" i="2"/>
  <c r="S152" i="2"/>
  <c r="S153" i="2"/>
  <c r="S154" i="2"/>
  <c r="S155" i="2"/>
  <c r="S156" i="2"/>
  <c r="S157" i="2"/>
  <c r="S158" i="2"/>
  <c r="S159" i="2"/>
  <c r="S160" i="2"/>
  <c r="S161" i="2"/>
  <c r="S162" i="2"/>
  <c r="S163" i="2"/>
  <c r="S164" i="2"/>
  <c r="S165" i="2"/>
  <c r="S166" i="2"/>
  <c r="S167" i="2"/>
  <c r="S168" i="2"/>
  <c r="S169" i="2"/>
  <c r="S170" i="2"/>
  <c r="S171" i="2"/>
  <c r="S172" i="2"/>
  <c r="S173" i="2"/>
  <c r="S174" i="2"/>
  <c r="S175" i="2"/>
  <c r="S176" i="2"/>
  <c r="S177" i="2"/>
  <c r="S178" i="2"/>
  <c r="S179" i="2"/>
  <c r="S180" i="2"/>
  <c r="S181" i="2"/>
  <c r="S182" i="2"/>
  <c r="S183" i="2"/>
  <c r="S184" i="2"/>
  <c r="S185" i="2"/>
  <c r="S186" i="2"/>
  <c r="S187" i="2"/>
  <c r="S188" i="2"/>
  <c r="S189" i="2"/>
  <c r="S190" i="2"/>
  <c r="S191" i="2"/>
  <c r="S192" i="2"/>
  <c r="S193" i="2"/>
  <c r="S194" i="2"/>
  <c r="S195" i="2"/>
  <c r="S196" i="2"/>
  <c r="S197" i="2"/>
  <c r="S198" i="2"/>
  <c r="S199" i="2"/>
  <c r="S200" i="2"/>
  <c r="S201" i="2"/>
  <c r="S202" i="2"/>
  <c r="S203" i="2"/>
  <c r="S204" i="2"/>
  <c r="S205" i="2"/>
  <c r="S206" i="2"/>
  <c r="S207" i="2"/>
  <c r="S208" i="2"/>
  <c r="S209" i="2"/>
  <c r="S210" i="2"/>
  <c r="S211" i="2"/>
  <c r="S212" i="2"/>
  <c r="S213" i="2"/>
  <c r="S214" i="2"/>
  <c r="S215" i="2"/>
  <c r="S216" i="2"/>
  <c r="S217" i="2"/>
  <c r="S218" i="2"/>
  <c r="S219" i="2"/>
  <c r="S220" i="2"/>
  <c r="S221" i="2"/>
  <c r="S222" i="2"/>
  <c r="S223" i="2"/>
  <c r="S224" i="2"/>
  <c r="S225" i="2"/>
  <c r="S226" i="2"/>
  <c r="S227" i="2"/>
  <c r="S228" i="2"/>
  <c r="S229" i="2"/>
  <c r="S230" i="2"/>
  <c r="S231" i="2"/>
  <c r="S232" i="2"/>
  <c r="S233" i="2"/>
  <c r="S234" i="2"/>
  <c r="S235" i="2"/>
  <c r="S236" i="2"/>
  <c r="S237" i="2"/>
  <c r="S238" i="2"/>
  <c r="S239" i="2"/>
  <c r="S240" i="2"/>
  <c r="S241" i="2"/>
  <c r="S242" i="2"/>
  <c r="S243" i="2"/>
  <c r="S244" i="2"/>
  <c r="S245" i="2"/>
  <c r="S246" i="2"/>
  <c r="S247" i="2"/>
  <c r="S248" i="2"/>
  <c r="S249" i="2"/>
  <c r="S250" i="2"/>
  <c r="S251" i="2"/>
  <c r="S252" i="2"/>
  <c r="S253" i="2"/>
  <c r="S254" i="2"/>
  <c r="S255" i="2"/>
  <c r="S260" i="2"/>
  <c r="S261" i="2"/>
  <c r="S262" i="2"/>
  <c r="S263" i="2"/>
  <c r="S264" i="2"/>
  <c r="S265" i="2"/>
  <c r="S266" i="2"/>
  <c r="S267" i="2"/>
  <c r="S268" i="2"/>
  <c r="S269" i="2"/>
  <c r="S270" i="2"/>
  <c r="S271" i="2"/>
  <c r="S272" i="2"/>
  <c r="S273" i="2"/>
  <c r="S274" i="2"/>
  <c r="S275" i="2"/>
  <c r="S276" i="2"/>
  <c r="S277" i="2"/>
  <c r="S278" i="2"/>
  <c r="S279" i="2"/>
  <c r="S280" i="2"/>
  <c r="S281" i="2"/>
  <c r="S282" i="2"/>
  <c r="S283" i="2"/>
  <c r="S284" i="2"/>
  <c r="S285" i="2"/>
  <c r="S286" i="2"/>
  <c r="S287" i="2"/>
  <c r="S288" i="2"/>
  <c r="S289" i="2"/>
  <c r="S290" i="2"/>
  <c r="S291" i="2"/>
  <c r="S292" i="2"/>
  <c r="S293" i="2"/>
  <c r="S294" i="2"/>
  <c r="S295" i="2"/>
  <c r="S296" i="2"/>
  <c r="S297" i="2"/>
  <c r="S298" i="2"/>
  <c r="S299" i="2"/>
  <c r="S300" i="2"/>
  <c r="S301" i="2"/>
  <c r="S302" i="2"/>
  <c r="S303" i="2"/>
  <c r="S304" i="2"/>
  <c r="S305" i="2"/>
  <c r="S306" i="2"/>
  <c r="S307" i="2"/>
  <c r="S308" i="2"/>
  <c r="S309" i="2"/>
  <c r="S310" i="2"/>
  <c r="S311" i="2"/>
  <c r="S312" i="2"/>
  <c r="S313" i="2"/>
  <c r="S314" i="2"/>
  <c r="S315" i="2"/>
  <c r="S316" i="2"/>
  <c r="S317" i="2"/>
  <c r="S318" i="2"/>
  <c r="S319" i="2"/>
  <c r="S320" i="2"/>
  <c r="S321" i="2"/>
  <c r="S322" i="2"/>
  <c r="S323" i="2"/>
  <c r="S324" i="2"/>
  <c r="S325" i="2"/>
  <c r="S326" i="2"/>
  <c r="S327" i="2"/>
  <c r="S328" i="2"/>
  <c r="S329" i="2"/>
  <c r="S330" i="2"/>
  <c r="S331" i="2"/>
  <c r="S332" i="2"/>
  <c r="S333" i="2"/>
  <c r="S334" i="2"/>
  <c r="S335" i="2"/>
  <c r="S336" i="2"/>
  <c r="S337" i="2"/>
  <c r="S338" i="2"/>
  <c r="S339" i="2"/>
  <c r="S340" i="2"/>
  <c r="S341" i="2"/>
  <c r="S342" i="2"/>
  <c r="S343" i="2"/>
  <c r="S344" i="2"/>
  <c r="S345" i="2"/>
  <c r="S346" i="2"/>
  <c r="S347" i="2"/>
  <c r="S348" i="2"/>
  <c r="S349" i="2"/>
  <c r="S350" i="2"/>
  <c r="S351" i="2"/>
  <c r="S352" i="2"/>
  <c r="S353" i="2"/>
  <c r="S354" i="2"/>
  <c r="S355" i="2"/>
  <c r="S356" i="2"/>
  <c r="S357" i="2"/>
  <c r="S358" i="2"/>
  <c r="S359" i="2"/>
  <c r="S360" i="2"/>
  <c r="S361" i="2"/>
  <c r="S362" i="2"/>
  <c r="S363" i="2"/>
  <c r="S364" i="2"/>
  <c r="S365" i="2"/>
  <c r="S366" i="2"/>
  <c r="S367" i="2"/>
  <c r="S368" i="2"/>
  <c r="S369" i="2"/>
  <c r="S370" i="2"/>
  <c r="S371" i="2"/>
  <c r="S372" i="2"/>
  <c r="S373" i="2"/>
  <c r="S374" i="2"/>
  <c r="S375" i="2"/>
  <c r="S376" i="2"/>
  <c r="S377" i="2"/>
  <c r="S378" i="2"/>
  <c r="S379" i="2"/>
  <c r="S380" i="2"/>
  <c r="S381" i="2"/>
  <c r="S382" i="2"/>
  <c r="S383" i="2"/>
  <c r="S384" i="2"/>
  <c r="S385" i="2"/>
  <c r="S386" i="2"/>
  <c r="S387" i="2"/>
  <c r="S388" i="2"/>
  <c r="S389" i="2"/>
  <c r="S390" i="2"/>
  <c r="S391" i="2"/>
  <c r="S392" i="2"/>
  <c r="S393" i="2"/>
  <c r="S394" i="2"/>
  <c r="S395" i="2"/>
  <c r="S396" i="2"/>
  <c r="S397" i="2"/>
  <c r="S398" i="2"/>
  <c r="S399" i="2"/>
  <c r="S400" i="2"/>
  <c r="B15" i="3"/>
  <c r="M256" i="2"/>
  <c r="M255" i="2"/>
  <c r="N256" i="2"/>
  <c r="M251" i="2"/>
  <c r="M250" i="2"/>
  <c r="N251" i="2"/>
  <c r="W256" i="2"/>
  <c r="M257" i="2"/>
  <c r="N257" i="2"/>
  <c r="M252" i="2"/>
  <c r="N252" i="2"/>
  <c r="W257" i="2"/>
  <c r="M258" i="2"/>
  <c r="N258" i="2"/>
  <c r="M253" i="2"/>
  <c r="N253" i="2"/>
  <c r="W258" i="2"/>
  <c r="M259" i="2"/>
  <c r="N259" i="2"/>
  <c r="M254" i="2"/>
  <c r="N254" i="2"/>
  <c r="W259" i="2"/>
  <c r="W4" i="2"/>
  <c r="W5" i="2"/>
  <c r="W6" i="2"/>
  <c r="W7" i="2"/>
  <c r="W8" i="2"/>
  <c r="M9" i="2"/>
  <c r="M8" i="2"/>
  <c r="N9" i="2"/>
  <c r="M4" i="2"/>
  <c r="N4" i="2"/>
  <c r="W9" i="2"/>
  <c r="M10" i="2"/>
  <c r="N10" i="2"/>
  <c r="M5" i="2"/>
  <c r="N5" i="2"/>
  <c r="W10" i="2"/>
  <c r="M11" i="2"/>
  <c r="N11" i="2"/>
  <c r="M6" i="2"/>
  <c r="N6" i="2"/>
  <c r="W11" i="2"/>
  <c r="M12" i="2"/>
  <c r="N12" i="2"/>
  <c r="M7" i="2"/>
  <c r="N7" i="2"/>
  <c r="W12" i="2"/>
  <c r="M13" i="2"/>
  <c r="N13" i="2"/>
  <c r="N8" i="2"/>
  <c r="W13" i="2"/>
  <c r="M14" i="2"/>
  <c r="N14" i="2"/>
  <c r="W14" i="2"/>
  <c r="M15" i="2"/>
  <c r="N15" i="2"/>
  <c r="W15" i="2"/>
  <c r="M16" i="2"/>
  <c r="N16" i="2"/>
  <c r="W16" i="2"/>
  <c r="M17" i="2"/>
  <c r="N17" i="2"/>
  <c r="W17" i="2"/>
  <c r="M18" i="2"/>
  <c r="N18" i="2"/>
  <c r="W18" i="2"/>
  <c r="M19" i="2"/>
  <c r="N19" i="2"/>
  <c r="W19" i="2"/>
  <c r="M20" i="2"/>
  <c r="N20" i="2"/>
  <c r="W20" i="2"/>
  <c r="M21" i="2"/>
  <c r="N21" i="2"/>
  <c r="W21" i="2"/>
  <c r="M22" i="2"/>
  <c r="N22" i="2"/>
  <c r="W22" i="2"/>
  <c r="M23" i="2"/>
  <c r="N23" i="2"/>
  <c r="W23" i="2"/>
  <c r="M24" i="2"/>
  <c r="N24" i="2"/>
  <c r="W24" i="2"/>
  <c r="M25" i="2"/>
  <c r="N25" i="2"/>
  <c r="W25" i="2"/>
  <c r="M26" i="2"/>
  <c r="N26" i="2"/>
  <c r="W26" i="2"/>
  <c r="M27" i="2"/>
  <c r="N27" i="2"/>
  <c r="W27" i="2"/>
  <c r="M28" i="2"/>
  <c r="N28" i="2"/>
  <c r="W28" i="2"/>
  <c r="M29" i="2"/>
  <c r="N29" i="2"/>
  <c r="W29" i="2"/>
  <c r="M30" i="2"/>
  <c r="N30" i="2"/>
  <c r="W30" i="2"/>
  <c r="M31" i="2"/>
  <c r="N31" i="2"/>
  <c r="W31" i="2"/>
  <c r="M32" i="2"/>
  <c r="N32" i="2"/>
  <c r="W32" i="2"/>
  <c r="M33" i="2"/>
  <c r="N33" i="2"/>
  <c r="W33" i="2"/>
  <c r="M34" i="2"/>
  <c r="N34" i="2"/>
  <c r="W34" i="2"/>
  <c r="M35" i="2"/>
  <c r="N35" i="2"/>
  <c r="W35" i="2"/>
  <c r="M36" i="2"/>
  <c r="N36" i="2"/>
  <c r="W36" i="2"/>
  <c r="M37" i="2"/>
  <c r="N37" i="2"/>
  <c r="W37" i="2"/>
  <c r="M38" i="2"/>
  <c r="N38" i="2"/>
  <c r="W38" i="2"/>
  <c r="M39" i="2"/>
  <c r="N39" i="2"/>
  <c r="W39" i="2"/>
  <c r="M40" i="2"/>
  <c r="N40" i="2"/>
  <c r="W40" i="2"/>
  <c r="M41" i="2"/>
  <c r="N41" i="2"/>
  <c r="W41" i="2"/>
  <c r="M42" i="2"/>
  <c r="N42" i="2"/>
  <c r="W42" i="2"/>
  <c r="M43" i="2"/>
  <c r="N43" i="2"/>
  <c r="W43" i="2"/>
  <c r="M44" i="2"/>
  <c r="N44" i="2"/>
  <c r="W44" i="2"/>
  <c r="M45" i="2"/>
  <c r="N45" i="2"/>
  <c r="W45" i="2"/>
  <c r="M46" i="2"/>
  <c r="N46" i="2"/>
  <c r="W46" i="2"/>
  <c r="M47" i="2"/>
  <c r="N47" i="2"/>
  <c r="W47" i="2"/>
  <c r="M48" i="2"/>
  <c r="N48" i="2"/>
  <c r="W48" i="2"/>
  <c r="M49" i="2"/>
  <c r="N49" i="2"/>
  <c r="W49" i="2"/>
  <c r="M50" i="2"/>
  <c r="N50" i="2"/>
  <c r="W50" i="2"/>
  <c r="M51" i="2"/>
  <c r="N51" i="2"/>
  <c r="W51" i="2"/>
  <c r="M52" i="2"/>
  <c r="N52" i="2"/>
  <c r="W52" i="2"/>
  <c r="M53" i="2"/>
  <c r="N53" i="2"/>
  <c r="W53" i="2"/>
  <c r="M54" i="2"/>
  <c r="N54" i="2"/>
  <c r="W54" i="2"/>
  <c r="M55" i="2"/>
  <c r="N55" i="2"/>
  <c r="W55" i="2"/>
  <c r="M56" i="2"/>
  <c r="N56" i="2"/>
  <c r="W56" i="2"/>
  <c r="M57" i="2"/>
  <c r="N57" i="2"/>
  <c r="W57" i="2"/>
  <c r="M58" i="2"/>
  <c r="N58" i="2"/>
  <c r="W58" i="2"/>
  <c r="M59" i="2"/>
  <c r="N59" i="2"/>
  <c r="W59" i="2"/>
  <c r="M60" i="2"/>
  <c r="N60" i="2"/>
  <c r="W60" i="2"/>
  <c r="M61" i="2"/>
  <c r="N61" i="2"/>
  <c r="W61" i="2"/>
  <c r="M62" i="2"/>
  <c r="N62" i="2"/>
  <c r="W62" i="2"/>
  <c r="M63" i="2"/>
  <c r="N63" i="2"/>
  <c r="W63" i="2"/>
  <c r="M64" i="2"/>
  <c r="N64" i="2"/>
  <c r="W64" i="2"/>
  <c r="M65" i="2"/>
  <c r="N65" i="2"/>
  <c r="W65" i="2"/>
  <c r="M66" i="2"/>
  <c r="N66" i="2"/>
  <c r="W66" i="2"/>
  <c r="M67" i="2"/>
  <c r="N67" i="2"/>
  <c r="W67" i="2"/>
  <c r="M68" i="2"/>
  <c r="N68" i="2"/>
  <c r="W68" i="2"/>
  <c r="M69" i="2"/>
  <c r="N69" i="2"/>
  <c r="W69" i="2"/>
  <c r="M70" i="2"/>
  <c r="N70" i="2"/>
  <c r="W70" i="2"/>
  <c r="M71" i="2"/>
  <c r="N71" i="2"/>
  <c r="W71" i="2"/>
  <c r="M72" i="2"/>
  <c r="N72" i="2"/>
  <c r="W72" i="2"/>
  <c r="M73" i="2"/>
  <c r="N73" i="2"/>
  <c r="W73" i="2"/>
  <c r="M74" i="2"/>
  <c r="N74" i="2"/>
  <c r="W74" i="2"/>
  <c r="M75" i="2"/>
  <c r="N75" i="2"/>
  <c r="W75" i="2"/>
  <c r="M76" i="2"/>
  <c r="N76" i="2"/>
  <c r="W76" i="2"/>
  <c r="M77" i="2"/>
  <c r="N77" i="2"/>
  <c r="W77" i="2"/>
  <c r="M78" i="2"/>
  <c r="N78" i="2"/>
  <c r="W78" i="2"/>
  <c r="M79" i="2"/>
  <c r="N79" i="2"/>
  <c r="W79" i="2"/>
  <c r="M80" i="2"/>
  <c r="N80" i="2"/>
  <c r="W80" i="2"/>
  <c r="M81" i="2"/>
  <c r="N81" i="2"/>
  <c r="W81" i="2"/>
  <c r="M82" i="2"/>
  <c r="N82" i="2"/>
  <c r="W82" i="2"/>
  <c r="M83" i="2"/>
  <c r="N83" i="2"/>
  <c r="W83" i="2"/>
  <c r="M84" i="2"/>
  <c r="N84" i="2"/>
  <c r="W84" i="2"/>
  <c r="M85" i="2"/>
  <c r="N85" i="2"/>
  <c r="W85" i="2"/>
  <c r="M86" i="2"/>
  <c r="N86" i="2"/>
  <c r="W86" i="2"/>
  <c r="M87" i="2"/>
  <c r="N87" i="2"/>
  <c r="W87" i="2"/>
  <c r="M88" i="2"/>
  <c r="N88" i="2"/>
  <c r="W88" i="2"/>
  <c r="M89" i="2"/>
  <c r="N89" i="2"/>
  <c r="W89" i="2"/>
  <c r="M90" i="2"/>
  <c r="N90" i="2"/>
  <c r="W90" i="2"/>
  <c r="M91" i="2"/>
  <c r="N91" i="2"/>
  <c r="W91" i="2"/>
  <c r="M92" i="2"/>
  <c r="N92" i="2"/>
  <c r="W92" i="2"/>
  <c r="M93" i="2"/>
  <c r="N93" i="2"/>
  <c r="W93" i="2"/>
  <c r="M94" i="2"/>
  <c r="N94" i="2"/>
  <c r="W94" i="2"/>
  <c r="M95" i="2"/>
  <c r="N95" i="2"/>
  <c r="W95" i="2"/>
  <c r="M96" i="2"/>
  <c r="N96" i="2"/>
  <c r="W96" i="2"/>
  <c r="M97" i="2"/>
  <c r="N97" i="2"/>
  <c r="W97" i="2"/>
  <c r="M98" i="2"/>
  <c r="N98" i="2"/>
  <c r="W98" i="2"/>
  <c r="M99" i="2"/>
  <c r="N99" i="2"/>
  <c r="W99" i="2"/>
  <c r="M100" i="2"/>
  <c r="N100" i="2"/>
  <c r="W100" i="2"/>
  <c r="M101" i="2"/>
  <c r="N101" i="2"/>
  <c r="W101" i="2"/>
  <c r="M102" i="2"/>
  <c r="N102" i="2"/>
  <c r="W102" i="2"/>
  <c r="M103" i="2"/>
  <c r="N103" i="2"/>
  <c r="W103" i="2"/>
  <c r="M104" i="2"/>
  <c r="N104" i="2"/>
  <c r="W104" i="2"/>
  <c r="M105" i="2"/>
  <c r="N105" i="2"/>
  <c r="W105" i="2"/>
  <c r="M106" i="2"/>
  <c r="N106" i="2"/>
  <c r="W106" i="2"/>
  <c r="M107" i="2"/>
  <c r="N107" i="2"/>
  <c r="W107" i="2"/>
  <c r="M108" i="2"/>
  <c r="N108" i="2"/>
  <c r="W108" i="2"/>
  <c r="M109" i="2"/>
  <c r="N109" i="2"/>
  <c r="W109" i="2"/>
  <c r="M110" i="2"/>
  <c r="N110" i="2"/>
  <c r="W110" i="2"/>
  <c r="M111" i="2"/>
  <c r="N111" i="2"/>
  <c r="W111" i="2"/>
  <c r="M112" i="2"/>
  <c r="N112" i="2"/>
  <c r="W112" i="2"/>
  <c r="M113" i="2"/>
  <c r="N113" i="2"/>
  <c r="W113" i="2"/>
  <c r="M114" i="2"/>
  <c r="N114" i="2"/>
  <c r="W114" i="2"/>
  <c r="M115" i="2"/>
  <c r="N115" i="2"/>
  <c r="W115" i="2"/>
  <c r="M116" i="2"/>
  <c r="N116" i="2"/>
  <c r="W116" i="2"/>
  <c r="M117" i="2"/>
  <c r="N117" i="2"/>
  <c r="W117" i="2"/>
  <c r="M118" i="2"/>
  <c r="N118" i="2"/>
  <c r="W118" i="2"/>
  <c r="M119" i="2"/>
  <c r="N119" i="2"/>
  <c r="W119" i="2"/>
  <c r="M120" i="2"/>
  <c r="N120" i="2"/>
  <c r="W120" i="2"/>
  <c r="M121" i="2"/>
  <c r="N121" i="2"/>
  <c r="W121" i="2"/>
  <c r="M122" i="2"/>
  <c r="N122" i="2"/>
  <c r="W122" i="2"/>
  <c r="M123" i="2"/>
  <c r="N123" i="2"/>
  <c r="W123" i="2"/>
  <c r="M124" i="2"/>
  <c r="N124" i="2"/>
  <c r="W124" i="2"/>
  <c r="M125" i="2"/>
  <c r="N125" i="2"/>
  <c r="W125" i="2"/>
  <c r="M126" i="2"/>
  <c r="N126" i="2"/>
  <c r="W126" i="2"/>
  <c r="M127" i="2"/>
  <c r="N127" i="2"/>
  <c r="W127" i="2"/>
  <c r="M128" i="2"/>
  <c r="N128" i="2"/>
  <c r="W128" i="2"/>
  <c r="M129" i="2"/>
  <c r="N129" i="2"/>
  <c r="W129" i="2"/>
  <c r="M130" i="2"/>
  <c r="N130" i="2"/>
  <c r="W130" i="2"/>
  <c r="M131" i="2"/>
  <c r="N131" i="2"/>
  <c r="W131" i="2"/>
  <c r="M132" i="2"/>
  <c r="N132" i="2"/>
  <c r="W132" i="2"/>
  <c r="M133" i="2"/>
  <c r="N133" i="2"/>
  <c r="W133" i="2"/>
  <c r="M134" i="2"/>
  <c r="N134" i="2"/>
  <c r="W134" i="2"/>
  <c r="M135" i="2"/>
  <c r="N135" i="2"/>
  <c r="W135" i="2"/>
  <c r="M136" i="2"/>
  <c r="N136" i="2"/>
  <c r="W136" i="2"/>
  <c r="M137" i="2"/>
  <c r="N137" i="2"/>
  <c r="W137" i="2"/>
  <c r="M138" i="2"/>
  <c r="N138" i="2"/>
  <c r="W138" i="2"/>
  <c r="M139" i="2"/>
  <c r="N139" i="2"/>
  <c r="W139" i="2"/>
  <c r="M140" i="2"/>
  <c r="N140" i="2"/>
  <c r="W140" i="2"/>
  <c r="M141" i="2"/>
  <c r="N141" i="2"/>
  <c r="W141" i="2"/>
  <c r="M142" i="2"/>
  <c r="N142" i="2"/>
  <c r="W142" i="2"/>
  <c r="M143" i="2"/>
  <c r="N143" i="2"/>
  <c r="W143" i="2"/>
  <c r="M144" i="2"/>
  <c r="N144" i="2"/>
  <c r="W144" i="2"/>
  <c r="M145" i="2"/>
  <c r="N145" i="2"/>
  <c r="W145" i="2"/>
  <c r="M146" i="2"/>
  <c r="N146" i="2"/>
  <c r="W146" i="2"/>
  <c r="M147" i="2"/>
  <c r="N147" i="2"/>
  <c r="W147" i="2"/>
  <c r="M148" i="2"/>
  <c r="N148" i="2"/>
  <c r="W148" i="2"/>
  <c r="M149" i="2"/>
  <c r="N149" i="2"/>
  <c r="W149" i="2"/>
  <c r="M150" i="2"/>
  <c r="N150" i="2"/>
  <c r="W150" i="2"/>
  <c r="M151" i="2"/>
  <c r="N151" i="2"/>
  <c r="W151" i="2"/>
  <c r="M152" i="2"/>
  <c r="N152" i="2"/>
  <c r="W152" i="2"/>
  <c r="M153" i="2"/>
  <c r="N153" i="2"/>
  <c r="W153" i="2"/>
  <c r="M154" i="2"/>
  <c r="N154" i="2"/>
  <c r="W154" i="2"/>
  <c r="M155" i="2"/>
  <c r="N155" i="2"/>
  <c r="W155" i="2"/>
  <c r="M156" i="2"/>
  <c r="N156" i="2"/>
  <c r="W156" i="2"/>
  <c r="M157" i="2"/>
  <c r="N157" i="2"/>
  <c r="W157" i="2"/>
  <c r="M158" i="2"/>
  <c r="N158" i="2"/>
  <c r="W158" i="2"/>
  <c r="M159" i="2"/>
  <c r="N159" i="2"/>
  <c r="W159" i="2"/>
  <c r="M160" i="2"/>
  <c r="N160" i="2"/>
  <c r="W160" i="2"/>
  <c r="M161" i="2"/>
  <c r="N161" i="2"/>
  <c r="W161" i="2"/>
  <c r="M162" i="2"/>
  <c r="N162" i="2"/>
  <c r="W162" i="2"/>
  <c r="M163" i="2"/>
  <c r="N163" i="2"/>
  <c r="W163" i="2"/>
  <c r="M164" i="2"/>
  <c r="N164" i="2"/>
  <c r="W164" i="2"/>
  <c r="M165" i="2"/>
  <c r="N165" i="2"/>
  <c r="W165" i="2"/>
  <c r="M166" i="2"/>
  <c r="N166" i="2"/>
  <c r="W166" i="2"/>
  <c r="M167" i="2"/>
  <c r="N167" i="2"/>
  <c r="W167" i="2"/>
  <c r="M168" i="2"/>
  <c r="N168" i="2"/>
  <c r="W168" i="2"/>
  <c r="M169" i="2"/>
  <c r="N169" i="2"/>
  <c r="W169" i="2"/>
  <c r="M170" i="2"/>
  <c r="N170" i="2"/>
  <c r="W170" i="2"/>
  <c r="M171" i="2"/>
  <c r="N171" i="2"/>
  <c r="W171" i="2"/>
  <c r="M172" i="2"/>
  <c r="N172" i="2"/>
  <c r="W172" i="2"/>
  <c r="M173" i="2"/>
  <c r="N173" i="2"/>
  <c r="W173" i="2"/>
  <c r="M174" i="2"/>
  <c r="N174" i="2"/>
  <c r="W174" i="2"/>
  <c r="M175" i="2"/>
  <c r="N175" i="2"/>
  <c r="W175" i="2"/>
  <c r="M176" i="2"/>
  <c r="N176" i="2"/>
  <c r="W176" i="2"/>
  <c r="M177" i="2"/>
  <c r="N177" i="2"/>
  <c r="W177" i="2"/>
  <c r="M178" i="2"/>
  <c r="N178" i="2"/>
  <c r="W178" i="2"/>
  <c r="M179" i="2"/>
  <c r="N179" i="2"/>
  <c r="W179" i="2"/>
  <c r="M180" i="2"/>
  <c r="N180" i="2"/>
  <c r="W180" i="2"/>
  <c r="M181" i="2"/>
  <c r="N181" i="2"/>
  <c r="W181" i="2"/>
  <c r="M182" i="2"/>
  <c r="N182" i="2"/>
  <c r="W182" i="2"/>
  <c r="M183" i="2"/>
  <c r="N183" i="2"/>
  <c r="W183" i="2"/>
  <c r="M184" i="2"/>
  <c r="N184" i="2"/>
  <c r="W184" i="2"/>
  <c r="M185" i="2"/>
  <c r="N185" i="2"/>
  <c r="W185" i="2"/>
  <c r="M186" i="2"/>
  <c r="N186" i="2"/>
  <c r="W186" i="2"/>
  <c r="M187" i="2"/>
  <c r="N187" i="2"/>
  <c r="W187" i="2"/>
  <c r="M188" i="2"/>
  <c r="N188" i="2"/>
  <c r="W188" i="2"/>
  <c r="M189" i="2"/>
  <c r="N189" i="2"/>
  <c r="W189" i="2"/>
  <c r="M190" i="2"/>
  <c r="N190" i="2"/>
  <c r="W190" i="2"/>
  <c r="M191" i="2"/>
  <c r="N191" i="2"/>
  <c r="W191" i="2"/>
  <c r="M192" i="2"/>
  <c r="N192" i="2"/>
  <c r="W192" i="2"/>
  <c r="M193" i="2"/>
  <c r="N193" i="2"/>
  <c r="W193" i="2"/>
  <c r="M194" i="2"/>
  <c r="N194" i="2"/>
  <c r="W194" i="2"/>
  <c r="M195" i="2"/>
  <c r="N195" i="2"/>
  <c r="W195" i="2"/>
  <c r="M196" i="2"/>
  <c r="N196" i="2"/>
  <c r="W196" i="2"/>
  <c r="M197" i="2"/>
  <c r="N197" i="2"/>
  <c r="W197" i="2"/>
  <c r="M198" i="2"/>
  <c r="N198" i="2"/>
  <c r="W198" i="2"/>
  <c r="M199" i="2"/>
  <c r="N199" i="2"/>
  <c r="W199" i="2"/>
  <c r="M200" i="2"/>
  <c r="N200" i="2"/>
  <c r="W200" i="2"/>
  <c r="M201" i="2"/>
  <c r="N201" i="2"/>
  <c r="W201" i="2"/>
  <c r="M202" i="2"/>
  <c r="N202" i="2"/>
  <c r="W202" i="2"/>
  <c r="M203" i="2"/>
  <c r="N203" i="2"/>
  <c r="W203" i="2"/>
  <c r="M204" i="2"/>
  <c r="N204" i="2"/>
  <c r="W204" i="2"/>
  <c r="M205" i="2"/>
  <c r="N205" i="2"/>
  <c r="W205" i="2"/>
  <c r="M206" i="2"/>
  <c r="N206" i="2"/>
  <c r="W206" i="2"/>
  <c r="M207" i="2"/>
  <c r="N207" i="2"/>
  <c r="W207" i="2"/>
  <c r="M208" i="2"/>
  <c r="N208" i="2"/>
  <c r="W208" i="2"/>
  <c r="M209" i="2"/>
  <c r="N209" i="2"/>
  <c r="W209" i="2"/>
  <c r="M210" i="2"/>
  <c r="N210" i="2"/>
  <c r="W210" i="2"/>
  <c r="M211" i="2"/>
  <c r="N211" i="2"/>
  <c r="W211" i="2"/>
  <c r="M212" i="2"/>
  <c r="N212" i="2"/>
  <c r="W212" i="2"/>
  <c r="M213" i="2"/>
  <c r="N213" i="2"/>
  <c r="W213" i="2"/>
  <c r="M214" i="2"/>
  <c r="N214" i="2"/>
  <c r="W214" i="2"/>
  <c r="M215" i="2"/>
  <c r="N215" i="2"/>
  <c r="W215" i="2"/>
  <c r="M216" i="2"/>
  <c r="N216" i="2"/>
  <c r="W216" i="2"/>
  <c r="M217" i="2"/>
  <c r="N217" i="2"/>
  <c r="W217" i="2"/>
  <c r="M218" i="2"/>
  <c r="N218" i="2"/>
  <c r="W218" i="2"/>
  <c r="M219" i="2"/>
  <c r="N219" i="2"/>
  <c r="W219" i="2"/>
  <c r="M220" i="2"/>
  <c r="N220" i="2"/>
  <c r="W220" i="2"/>
  <c r="M221" i="2"/>
  <c r="N221" i="2"/>
  <c r="W221" i="2"/>
  <c r="M222" i="2"/>
  <c r="N222" i="2"/>
  <c r="W222" i="2"/>
  <c r="M223" i="2"/>
  <c r="N223" i="2"/>
  <c r="W223" i="2"/>
  <c r="M224" i="2"/>
  <c r="N224" i="2"/>
  <c r="W224" i="2"/>
  <c r="M225" i="2"/>
  <c r="N225" i="2"/>
  <c r="W225" i="2"/>
  <c r="M226" i="2"/>
  <c r="N226" i="2"/>
  <c r="W226" i="2"/>
  <c r="M227" i="2"/>
  <c r="N227" i="2"/>
  <c r="W227" i="2"/>
  <c r="M228" i="2"/>
  <c r="N228" i="2"/>
  <c r="W228" i="2"/>
  <c r="M229" i="2"/>
  <c r="N229" i="2"/>
  <c r="W229" i="2"/>
  <c r="M230" i="2"/>
  <c r="N230" i="2"/>
  <c r="W230" i="2"/>
  <c r="M231" i="2"/>
  <c r="N231" i="2"/>
  <c r="W231" i="2"/>
  <c r="M232" i="2"/>
  <c r="N232" i="2"/>
  <c r="W232" i="2"/>
  <c r="M233" i="2"/>
  <c r="N233" i="2"/>
  <c r="W233" i="2"/>
  <c r="M234" i="2"/>
  <c r="N234" i="2"/>
  <c r="W234" i="2"/>
  <c r="M235" i="2"/>
  <c r="N235" i="2"/>
  <c r="W235" i="2"/>
  <c r="M236" i="2"/>
  <c r="N236" i="2"/>
  <c r="W236" i="2"/>
  <c r="M237" i="2"/>
  <c r="N237" i="2"/>
  <c r="W237" i="2"/>
  <c r="M238" i="2"/>
  <c r="N238" i="2"/>
  <c r="W238" i="2"/>
  <c r="M239" i="2"/>
  <c r="N239" i="2"/>
  <c r="W239" i="2"/>
  <c r="M240" i="2"/>
  <c r="N240" i="2"/>
  <c r="W240" i="2"/>
  <c r="M241" i="2"/>
  <c r="N241" i="2"/>
  <c r="W241" i="2"/>
  <c r="M242" i="2"/>
  <c r="N242" i="2"/>
  <c r="W242" i="2"/>
  <c r="M243" i="2"/>
  <c r="N243" i="2"/>
  <c r="W243" i="2"/>
  <c r="M244" i="2"/>
  <c r="N244" i="2"/>
  <c r="W244" i="2"/>
  <c r="M245" i="2"/>
  <c r="N245" i="2"/>
  <c r="W245" i="2"/>
  <c r="M246" i="2"/>
  <c r="N246" i="2"/>
  <c r="W246" i="2"/>
  <c r="M247" i="2"/>
  <c r="N247" i="2"/>
  <c r="W247" i="2"/>
  <c r="M248" i="2"/>
  <c r="N248" i="2"/>
  <c r="W248" i="2"/>
  <c r="M249" i="2"/>
  <c r="N249" i="2"/>
  <c r="W249" i="2"/>
  <c r="N250" i="2"/>
  <c r="W250" i="2"/>
  <c r="W251" i="2"/>
  <c r="W252" i="2"/>
  <c r="W253" i="2"/>
  <c r="W254" i="2"/>
  <c r="N255" i="2"/>
  <c r="W255" i="2"/>
  <c r="M260" i="2"/>
  <c r="N260" i="2"/>
  <c r="W260" i="2"/>
  <c r="M261" i="2"/>
  <c r="N261" i="2"/>
  <c r="W261" i="2"/>
  <c r="M262" i="2"/>
  <c r="N262" i="2"/>
  <c r="W262" i="2"/>
  <c r="M263" i="2"/>
  <c r="N263" i="2"/>
  <c r="W263" i="2"/>
  <c r="M264" i="2"/>
  <c r="N264" i="2"/>
  <c r="W264" i="2"/>
  <c r="M265" i="2"/>
  <c r="N265" i="2"/>
  <c r="W265" i="2"/>
  <c r="M266" i="2"/>
  <c r="N266" i="2"/>
  <c r="W266" i="2"/>
  <c r="M267" i="2"/>
  <c r="N267" i="2"/>
  <c r="W267" i="2"/>
  <c r="M268" i="2"/>
  <c r="N268" i="2"/>
  <c r="W268" i="2"/>
  <c r="M269" i="2"/>
  <c r="N269" i="2"/>
  <c r="W269" i="2"/>
  <c r="M270" i="2"/>
  <c r="N270" i="2"/>
  <c r="W270" i="2"/>
  <c r="M271" i="2"/>
  <c r="N271" i="2"/>
  <c r="W271" i="2"/>
  <c r="M272" i="2"/>
  <c r="N272" i="2"/>
  <c r="W272" i="2"/>
  <c r="M273" i="2"/>
  <c r="N273" i="2"/>
  <c r="W273" i="2"/>
  <c r="M274" i="2"/>
  <c r="N274" i="2"/>
  <c r="W274" i="2"/>
  <c r="M275" i="2"/>
  <c r="N275" i="2"/>
  <c r="W275" i="2"/>
  <c r="M276" i="2"/>
  <c r="N276" i="2"/>
  <c r="W276" i="2"/>
  <c r="M277" i="2"/>
  <c r="N277" i="2"/>
  <c r="W277" i="2"/>
  <c r="M278" i="2"/>
  <c r="N278" i="2"/>
  <c r="W278" i="2"/>
  <c r="M279" i="2"/>
  <c r="N279" i="2"/>
  <c r="W279" i="2"/>
  <c r="M280" i="2"/>
  <c r="N280" i="2"/>
  <c r="W280" i="2"/>
  <c r="M281" i="2"/>
  <c r="N281" i="2"/>
  <c r="W281" i="2"/>
  <c r="M282" i="2"/>
  <c r="N282" i="2"/>
  <c r="W282" i="2"/>
  <c r="M283" i="2"/>
  <c r="N283" i="2"/>
  <c r="W283" i="2"/>
  <c r="M284" i="2"/>
  <c r="N284" i="2"/>
  <c r="W284" i="2"/>
  <c r="M285" i="2"/>
  <c r="N285" i="2"/>
  <c r="W285" i="2"/>
  <c r="M286" i="2"/>
  <c r="N286" i="2"/>
  <c r="W286" i="2"/>
  <c r="M287" i="2"/>
  <c r="N287" i="2"/>
  <c r="W287" i="2"/>
  <c r="M288" i="2"/>
  <c r="N288" i="2"/>
  <c r="W288" i="2"/>
  <c r="M289" i="2"/>
  <c r="N289" i="2"/>
  <c r="W289" i="2"/>
  <c r="M290" i="2"/>
  <c r="N290" i="2"/>
  <c r="W290" i="2"/>
  <c r="M291" i="2"/>
  <c r="N291" i="2"/>
  <c r="W291" i="2"/>
  <c r="M292" i="2"/>
  <c r="N292" i="2"/>
  <c r="W292" i="2"/>
  <c r="M293" i="2"/>
  <c r="N293" i="2"/>
  <c r="W293" i="2"/>
  <c r="M294" i="2"/>
  <c r="N294" i="2"/>
  <c r="W294" i="2"/>
  <c r="M295" i="2"/>
  <c r="N295" i="2"/>
  <c r="W295" i="2"/>
  <c r="M296" i="2"/>
  <c r="N296" i="2"/>
  <c r="W296" i="2"/>
  <c r="M297" i="2"/>
  <c r="N297" i="2"/>
  <c r="W297" i="2"/>
  <c r="M298" i="2"/>
  <c r="N298" i="2"/>
  <c r="W298" i="2"/>
  <c r="M299" i="2"/>
  <c r="N299" i="2"/>
  <c r="W299" i="2"/>
  <c r="M300" i="2"/>
  <c r="N300" i="2"/>
  <c r="W300" i="2"/>
  <c r="M301" i="2"/>
  <c r="N301" i="2"/>
  <c r="W301" i="2"/>
  <c r="M302" i="2"/>
  <c r="N302" i="2"/>
  <c r="W302" i="2"/>
  <c r="M303" i="2"/>
  <c r="N303" i="2"/>
  <c r="W303" i="2"/>
  <c r="M304" i="2"/>
  <c r="N304" i="2"/>
  <c r="W304" i="2"/>
  <c r="M305" i="2"/>
  <c r="N305" i="2"/>
  <c r="W305" i="2"/>
  <c r="M306" i="2"/>
  <c r="N306" i="2"/>
  <c r="W306" i="2"/>
  <c r="M307" i="2"/>
  <c r="N307" i="2"/>
  <c r="W307" i="2"/>
  <c r="M308" i="2"/>
  <c r="N308" i="2"/>
  <c r="W308" i="2"/>
  <c r="M309" i="2"/>
  <c r="N309" i="2"/>
  <c r="W309" i="2"/>
  <c r="M310" i="2"/>
  <c r="N310" i="2"/>
  <c r="W310" i="2"/>
  <c r="M311" i="2"/>
  <c r="N311" i="2"/>
  <c r="W311" i="2"/>
  <c r="M312" i="2"/>
  <c r="N312" i="2"/>
  <c r="W312" i="2"/>
  <c r="M313" i="2"/>
  <c r="N313" i="2"/>
  <c r="W313" i="2"/>
  <c r="M314" i="2"/>
  <c r="N314" i="2"/>
  <c r="W314" i="2"/>
  <c r="M315" i="2"/>
  <c r="N315" i="2"/>
  <c r="W315" i="2"/>
  <c r="M316" i="2"/>
  <c r="N316" i="2"/>
  <c r="W316" i="2"/>
  <c r="M317" i="2"/>
  <c r="N317" i="2"/>
  <c r="W317" i="2"/>
  <c r="M318" i="2"/>
  <c r="N318" i="2"/>
  <c r="W318" i="2"/>
  <c r="M319" i="2"/>
  <c r="N319" i="2"/>
  <c r="W319" i="2"/>
  <c r="M320" i="2"/>
  <c r="N320" i="2"/>
  <c r="W320" i="2"/>
  <c r="M321" i="2"/>
  <c r="N321" i="2"/>
  <c r="W321" i="2"/>
  <c r="M322" i="2"/>
  <c r="N322" i="2"/>
  <c r="W322" i="2"/>
  <c r="M323" i="2"/>
  <c r="N323" i="2"/>
  <c r="W323" i="2"/>
  <c r="M324" i="2"/>
  <c r="N324" i="2"/>
  <c r="W324" i="2"/>
  <c r="M325" i="2"/>
  <c r="N325" i="2"/>
  <c r="W325" i="2"/>
  <c r="M326" i="2"/>
  <c r="N326" i="2"/>
  <c r="W326" i="2"/>
  <c r="M327" i="2"/>
  <c r="N327" i="2"/>
  <c r="W327" i="2"/>
  <c r="M328" i="2"/>
  <c r="N328" i="2"/>
  <c r="W328" i="2"/>
  <c r="M329" i="2"/>
  <c r="N329" i="2"/>
  <c r="W329" i="2"/>
  <c r="M330" i="2"/>
  <c r="N330" i="2"/>
  <c r="W330" i="2"/>
  <c r="M331" i="2"/>
  <c r="N331" i="2"/>
  <c r="W331" i="2"/>
  <c r="M332" i="2"/>
  <c r="N332" i="2"/>
  <c r="W332" i="2"/>
  <c r="M333" i="2"/>
  <c r="N333" i="2"/>
  <c r="W333" i="2"/>
  <c r="M334" i="2"/>
  <c r="N334" i="2"/>
  <c r="W334" i="2"/>
  <c r="M335" i="2"/>
  <c r="N335" i="2"/>
  <c r="W335" i="2"/>
  <c r="M336" i="2"/>
  <c r="N336" i="2"/>
  <c r="W336" i="2"/>
  <c r="M337" i="2"/>
  <c r="N337" i="2"/>
  <c r="W337" i="2"/>
  <c r="M338" i="2"/>
  <c r="N338" i="2"/>
  <c r="W338" i="2"/>
  <c r="M339" i="2"/>
  <c r="N339" i="2"/>
  <c r="W339" i="2"/>
  <c r="M340" i="2"/>
  <c r="N340" i="2"/>
  <c r="W340" i="2"/>
  <c r="M341" i="2"/>
  <c r="N341" i="2"/>
  <c r="W341" i="2"/>
  <c r="M342" i="2"/>
  <c r="N342" i="2"/>
  <c r="W342" i="2"/>
  <c r="M343" i="2"/>
  <c r="N343" i="2"/>
  <c r="W343" i="2"/>
  <c r="M344" i="2"/>
  <c r="N344" i="2"/>
  <c r="W344" i="2"/>
  <c r="M345" i="2"/>
  <c r="N345" i="2"/>
  <c r="W345" i="2"/>
  <c r="M346" i="2"/>
  <c r="N346" i="2"/>
  <c r="W346" i="2"/>
  <c r="M347" i="2"/>
  <c r="N347" i="2"/>
  <c r="W347" i="2"/>
  <c r="M348" i="2"/>
  <c r="N348" i="2"/>
  <c r="W348" i="2"/>
  <c r="M349" i="2"/>
  <c r="N349" i="2"/>
  <c r="W349" i="2"/>
  <c r="M350" i="2"/>
  <c r="N350" i="2"/>
  <c r="W350" i="2"/>
  <c r="M351" i="2"/>
  <c r="N351" i="2"/>
  <c r="W351" i="2"/>
  <c r="M352" i="2"/>
  <c r="N352" i="2"/>
  <c r="W352" i="2"/>
  <c r="M353" i="2"/>
  <c r="N353" i="2"/>
  <c r="W353" i="2"/>
  <c r="M354" i="2"/>
  <c r="N354" i="2"/>
  <c r="W354" i="2"/>
  <c r="M355" i="2"/>
  <c r="N355" i="2"/>
  <c r="W355" i="2"/>
  <c r="M356" i="2"/>
  <c r="N356" i="2"/>
  <c r="W356" i="2"/>
  <c r="M357" i="2"/>
  <c r="N357" i="2"/>
  <c r="W357" i="2"/>
  <c r="M358" i="2"/>
  <c r="N358" i="2"/>
  <c r="W358" i="2"/>
  <c r="M359" i="2"/>
  <c r="N359" i="2"/>
  <c r="W359" i="2"/>
  <c r="M360" i="2"/>
  <c r="N360" i="2"/>
  <c r="W360" i="2"/>
  <c r="M361" i="2"/>
  <c r="N361" i="2"/>
  <c r="W361" i="2"/>
  <c r="M362" i="2"/>
  <c r="N362" i="2"/>
  <c r="W362" i="2"/>
  <c r="M363" i="2"/>
  <c r="N363" i="2"/>
  <c r="W363" i="2"/>
  <c r="M364" i="2"/>
  <c r="N364" i="2"/>
  <c r="W364" i="2"/>
  <c r="M365" i="2"/>
  <c r="N365" i="2"/>
  <c r="W365" i="2"/>
  <c r="M366" i="2"/>
  <c r="N366" i="2"/>
  <c r="W366" i="2"/>
  <c r="M367" i="2"/>
  <c r="N367" i="2"/>
  <c r="W367" i="2"/>
  <c r="M368" i="2"/>
  <c r="N368" i="2"/>
  <c r="W368" i="2"/>
  <c r="M369" i="2"/>
  <c r="N369" i="2"/>
  <c r="W369" i="2"/>
  <c r="M370" i="2"/>
  <c r="N370" i="2"/>
  <c r="W370" i="2"/>
  <c r="M371" i="2"/>
  <c r="N371" i="2"/>
  <c r="W371" i="2"/>
  <c r="M372" i="2"/>
  <c r="N372" i="2"/>
  <c r="W372" i="2"/>
  <c r="M373" i="2"/>
  <c r="N373" i="2"/>
  <c r="W373" i="2"/>
  <c r="M374" i="2"/>
  <c r="N374" i="2"/>
  <c r="W374" i="2"/>
  <c r="M375" i="2"/>
  <c r="N375" i="2"/>
  <c r="W375" i="2"/>
  <c r="M376" i="2"/>
  <c r="N376" i="2"/>
  <c r="W376" i="2"/>
  <c r="M377" i="2"/>
  <c r="N377" i="2"/>
  <c r="W377" i="2"/>
  <c r="M378" i="2"/>
  <c r="N378" i="2"/>
  <c r="W378" i="2"/>
  <c r="M379" i="2"/>
  <c r="N379" i="2"/>
  <c r="W379" i="2"/>
  <c r="M380" i="2"/>
  <c r="N380" i="2"/>
  <c r="W380" i="2"/>
  <c r="M381" i="2"/>
  <c r="N381" i="2"/>
  <c r="W381" i="2"/>
  <c r="M382" i="2"/>
  <c r="N382" i="2"/>
  <c r="W382" i="2"/>
  <c r="M383" i="2"/>
  <c r="N383" i="2"/>
  <c r="W383" i="2"/>
  <c r="M384" i="2"/>
  <c r="N384" i="2"/>
  <c r="W384" i="2"/>
  <c r="M385" i="2"/>
  <c r="N385" i="2"/>
  <c r="W385" i="2"/>
  <c r="M386" i="2"/>
  <c r="N386" i="2"/>
  <c r="W386" i="2"/>
  <c r="M387" i="2"/>
  <c r="N387" i="2"/>
  <c r="W387" i="2"/>
  <c r="M388" i="2"/>
  <c r="N388" i="2"/>
  <c r="W388" i="2"/>
  <c r="M389" i="2"/>
  <c r="N389" i="2"/>
  <c r="W389" i="2"/>
  <c r="M390" i="2"/>
  <c r="N390" i="2"/>
  <c r="W390" i="2"/>
  <c r="M391" i="2"/>
  <c r="N391" i="2"/>
  <c r="W391" i="2"/>
  <c r="M392" i="2"/>
  <c r="N392" i="2"/>
  <c r="W392" i="2"/>
  <c r="M393" i="2"/>
  <c r="N393" i="2"/>
  <c r="W393" i="2"/>
  <c r="M394" i="2"/>
  <c r="N394" i="2"/>
  <c r="W394" i="2"/>
  <c r="M395" i="2"/>
  <c r="N395" i="2"/>
  <c r="W395" i="2"/>
  <c r="M396" i="2"/>
  <c r="N396" i="2"/>
  <c r="W396" i="2"/>
  <c r="M397" i="2"/>
  <c r="N397" i="2"/>
  <c r="W397" i="2"/>
  <c r="M398" i="2"/>
  <c r="N398" i="2"/>
  <c r="W398" i="2"/>
  <c r="M399" i="2"/>
  <c r="N399" i="2"/>
  <c r="W399" i="2"/>
  <c r="M400" i="2"/>
  <c r="N400" i="2"/>
  <c r="W400" i="2"/>
  <c r="B17" i="3"/>
  <c r="B25" i="3"/>
  <c r="B28" i="3"/>
  <c r="B18" i="3"/>
  <c r="B8" i="3"/>
  <c r="B3" i="3"/>
  <c r="AX400" i="2"/>
  <c r="AT400" i="2"/>
  <c r="AS400" i="2"/>
  <c r="AK400" i="2"/>
  <c r="AE400" i="2"/>
  <c r="AC400" i="2"/>
  <c r="V400" i="2"/>
  <c r="AB400" i="2"/>
  <c r="H400" i="2"/>
  <c r="O400" i="2"/>
  <c r="AA400" i="2"/>
  <c r="Z400" i="2"/>
  <c r="P400" i="2"/>
  <c r="T400" i="2"/>
  <c r="Y400" i="2"/>
  <c r="F400" i="2"/>
  <c r="X400" i="2"/>
  <c r="AQ399" i="2"/>
  <c r="AV399" i="2"/>
  <c r="AX399" i="2"/>
  <c r="AW399" i="2"/>
  <c r="AU399" i="2"/>
  <c r="AT399" i="2"/>
  <c r="AS399" i="2"/>
  <c r="AK399" i="2"/>
  <c r="AE399" i="2"/>
  <c r="AC399" i="2"/>
  <c r="V399" i="2"/>
  <c r="AB399" i="2"/>
  <c r="H399" i="2"/>
  <c r="O399" i="2"/>
  <c r="AA399" i="2"/>
  <c r="Z399" i="2"/>
  <c r="P399" i="2"/>
  <c r="T399" i="2"/>
  <c r="Y399" i="2"/>
  <c r="F399" i="2"/>
  <c r="X399" i="2"/>
  <c r="AQ398" i="2"/>
  <c r="AV398" i="2"/>
  <c r="AX398" i="2"/>
  <c r="AW398" i="2"/>
  <c r="AU398" i="2"/>
  <c r="AT398" i="2"/>
  <c r="AS398" i="2"/>
  <c r="AK398" i="2"/>
  <c r="AE398" i="2"/>
  <c r="AC398" i="2"/>
  <c r="V398" i="2"/>
  <c r="AB398" i="2"/>
  <c r="H398" i="2"/>
  <c r="O398" i="2"/>
  <c r="AA398" i="2"/>
  <c r="Z398" i="2"/>
  <c r="P398" i="2"/>
  <c r="T398" i="2"/>
  <c r="Y398" i="2"/>
  <c r="F398" i="2"/>
  <c r="X398" i="2"/>
  <c r="AQ397" i="2"/>
  <c r="AV397" i="2"/>
  <c r="AX397" i="2"/>
  <c r="AW397" i="2"/>
  <c r="AU397" i="2"/>
  <c r="AT397" i="2"/>
  <c r="AS397" i="2"/>
  <c r="AK397" i="2"/>
  <c r="AE397" i="2"/>
  <c r="AC397" i="2"/>
  <c r="V397" i="2"/>
  <c r="AB397" i="2"/>
  <c r="H397" i="2"/>
  <c r="O397" i="2"/>
  <c r="AA397" i="2"/>
  <c r="Z397" i="2"/>
  <c r="P397" i="2"/>
  <c r="T397" i="2"/>
  <c r="Y397" i="2"/>
  <c r="F397" i="2"/>
  <c r="X397" i="2"/>
  <c r="AQ396" i="2"/>
  <c r="AV396" i="2"/>
  <c r="AX396" i="2"/>
  <c r="AW396" i="2"/>
  <c r="AU396" i="2"/>
  <c r="AT396" i="2"/>
  <c r="AS396" i="2"/>
  <c r="AK396" i="2"/>
  <c r="AE396" i="2"/>
  <c r="AC396" i="2"/>
  <c r="V396" i="2"/>
  <c r="AB396" i="2"/>
  <c r="H396" i="2"/>
  <c r="O396" i="2"/>
  <c r="AA396" i="2"/>
  <c r="Z396" i="2"/>
  <c r="P396" i="2"/>
  <c r="T396" i="2"/>
  <c r="Y396" i="2"/>
  <c r="F396" i="2"/>
  <c r="X396" i="2"/>
  <c r="AQ395" i="2"/>
  <c r="AV395" i="2"/>
  <c r="AX395" i="2"/>
  <c r="AW395" i="2"/>
  <c r="AU395" i="2"/>
  <c r="AT395" i="2"/>
  <c r="AS395" i="2"/>
  <c r="AK395" i="2"/>
  <c r="AE395" i="2"/>
  <c r="AC395" i="2"/>
  <c r="V395" i="2"/>
  <c r="AB395" i="2"/>
  <c r="H395" i="2"/>
  <c r="O395" i="2"/>
  <c r="AA395" i="2"/>
  <c r="Z395" i="2"/>
  <c r="P395" i="2"/>
  <c r="T395" i="2"/>
  <c r="Y395" i="2"/>
  <c r="F395" i="2"/>
  <c r="X395" i="2"/>
  <c r="AQ394" i="2"/>
  <c r="AV394" i="2"/>
  <c r="AX394" i="2"/>
  <c r="AW394" i="2"/>
  <c r="AU394" i="2"/>
  <c r="AT394" i="2"/>
  <c r="AS394" i="2"/>
  <c r="AK394" i="2"/>
  <c r="AE394" i="2"/>
  <c r="AC394" i="2"/>
  <c r="V394" i="2"/>
  <c r="AB394" i="2"/>
  <c r="H394" i="2"/>
  <c r="O394" i="2"/>
  <c r="AA394" i="2"/>
  <c r="Z394" i="2"/>
  <c r="P394" i="2"/>
  <c r="T394" i="2"/>
  <c r="Y394" i="2"/>
  <c r="F394" i="2"/>
  <c r="X394" i="2"/>
  <c r="AQ393" i="2"/>
  <c r="AV393" i="2"/>
  <c r="AX393" i="2"/>
  <c r="AW393" i="2"/>
  <c r="AU393" i="2"/>
  <c r="AT393" i="2"/>
  <c r="AS393" i="2"/>
  <c r="AK393" i="2"/>
  <c r="AE393" i="2"/>
  <c r="AC393" i="2"/>
  <c r="V393" i="2"/>
  <c r="AB393" i="2"/>
  <c r="H393" i="2"/>
  <c r="O393" i="2"/>
  <c r="AA393" i="2"/>
  <c r="Z393" i="2"/>
  <c r="P393" i="2"/>
  <c r="T393" i="2"/>
  <c r="Y393" i="2"/>
  <c r="F393" i="2"/>
  <c r="X393" i="2"/>
  <c r="AQ392" i="2"/>
  <c r="AV392" i="2"/>
  <c r="AX392" i="2"/>
  <c r="AW392" i="2"/>
  <c r="AU392" i="2"/>
  <c r="AT392" i="2"/>
  <c r="AS392" i="2"/>
  <c r="AK392" i="2"/>
  <c r="AE392" i="2"/>
  <c r="AC392" i="2"/>
  <c r="V392" i="2"/>
  <c r="AB392" i="2"/>
  <c r="H392" i="2"/>
  <c r="O392" i="2"/>
  <c r="AA392" i="2"/>
  <c r="Z392" i="2"/>
  <c r="P392" i="2"/>
  <c r="T392" i="2"/>
  <c r="Y392" i="2"/>
  <c r="F392" i="2"/>
  <c r="X392" i="2"/>
  <c r="AQ391" i="2"/>
  <c r="AV391" i="2"/>
  <c r="AX391" i="2"/>
  <c r="AW391" i="2"/>
  <c r="AU391" i="2"/>
  <c r="AT391" i="2"/>
  <c r="AS391" i="2"/>
  <c r="AK391" i="2"/>
  <c r="AE391" i="2"/>
  <c r="AC391" i="2"/>
  <c r="V391" i="2"/>
  <c r="AB391" i="2"/>
  <c r="H391" i="2"/>
  <c r="O391" i="2"/>
  <c r="AA391" i="2"/>
  <c r="Z391" i="2"/>
  <c r="P391" i="2"/>
  <c r="T391" i="2"/>
  <c r="Y391" i="2"/>
  <c r="F391" i="2"/>
  <c r="X391" i="2"/>
  <c r="AQ390" i="2"/>
  <c r="AV390" i="2"/>
  <c r="AX390" i="2"/>
  <c r="AW390" i="2"/>
  <c r="AU390" i="2"/>
  <c r="AT390" i="2"/>
  <c r="AS390" i="2"/>
  <c r="AK390" i="2"/>
  <c r="AE390" i="2"/>
  <c r="AC390" i="2"/>
  <c r="V390" i="2"/>
  <c r="AB390" i="2"/>
  <c r="H390" i="2"/>
  <c r="O390" i="2"/>
  <c r="AA390" i="2"/>
  <c r="Z390" i="2"/>
  <c r="P390" i="2"/>
  <c r="T390" i="2"/>
  <c r="Y390" i="2"/>
  <c r="F390" i="2"/>
  <c r="X390" i="2"/>
  <c r="AQ389" i="2"/>
  <c r="AV389" i="2"/>
  <c r="AX389" i="2"/>
  <c r="AW389" i="2"/>
  <c r="AU389" i="2"/>
  <c r="AT389" i="2"/>
  <c r="AS389" i="2"/>
  <c r="AK389" i="2"/>
  <c r="AE389" i="2"/>
  <c r="AC389" i="2"/>
  <c r="V389" i="2"/>
  <c r="AB389" i="2"/>
  <c r="H389" i="2"/>
  <c r="O389" i="2"/>
  <c r="AA389" i="2"/>
  <c r="Z389" i="2"/>
  <c r="P389" i="2"/>
  <c r="T389" i="2"/>
  <c r="Y389" i="2"/>
  <c r="F389" i="2"/>
  <c r="X389" i="2"/>
  <c r="AQ388" i="2"/>
  <c r="AV388" i="2"/>
  <c r="AX388" i="2"/>
  <c r="AW388" i="2"/>
  <c r="AU388" i="2"/>
  <c r="AT388" i="2"/>
  <c r="AS388" i="2"/>
  <c r="AK388" i="2"/>
  <c r="AE388" i="2"/>
  <c r="AC388" i="2"/>
  <c r="V388" i="2"/>
  <c r="AB388" i="2"/>
  <c r="H388" i="2"/>
  <c r="O388" i="2"/>
  <c r="AA388" i="2"/>
  <c r="Z388" i="2"/>
  <c r="P388" i="2"/>
  <c r="T388" i="2"/>
  <c r="Y388" i="2"/>
  <c r="F388" i="2"/>
  <c r="X388" i="2"/>
  <c r="AQ387" i="2"/>
  <c r="AV387" i="2"/>
  <c r="AX387" i="2"/>
  <c r="AW387" i="2"/>
  <c r="AU387" i="2"/>
  <c r="AT387" i="2"/>
  <c r="AS387" i="2"/>
  <c r="AK387" i="2"/>
  <c r="AE387" i="2"/>
  <c r="AC387" i="2"/>
  <c r="V387" i="2"/>
  <c r="AB387" i="2"/>
  <c r="H387" i="2"/>
  <c r="O387" i="2"/>
  <c r="AA387" i="2"/>
  <c r="Z387" i="2"/>
  <c r="P387" i="2"/>
  <c r="T387" i="2"/>
  <c r="Y387" i="2"/>
  <c r="F387" i="2"/>
  <c r="X387" i="2"/>
  <c r="AQ386" i="2"/>
  <c r="AV386" i="2"/>
  <c r="AX386" i="2"/>
  <c r="AW386" i="2"/>
  <c r="AU386" i="2"/>
  <c r="AT386" i="2"/>
  <c r="AS386" i="2"/>
  <c r="AK386" i="2"/>
  <c r="AE386" i="2"/>
  <c r="AC386" i="2"/>
  <c r="V386" i="2"/>
  <c r="AB386" i="2"/>
  <c r="H386" i="2"/>
  <c r="O386" i="2"/>
  <c r="AA386" i="2"/>
  <c r="Z386" i="2"/>
  <c r="P386" i="2"/>
  <c r="T386" i="2"/>
  <c r="Y386" i="2"/>
  <c r="F386" i="2"/>
  <c r="X386" i="2"/>
  <c r="AQ385" i="2"/>
  <c r="AV385" i="2"/>
  <c r="AX385" i="2"/>
  <c r="AW385" i="2"/>
  <c r="AU385" i="2"/>
  <c r="AT385" i="2"/>
  <c r="AS385" i="2"/>
  <c r="AK385" i="2"/>
  <c r="AE385" i="2"/>
  <c r="AC385" i="2"/>
  <c r="V385" i="2"/>
  <c r="AB385" i="2"/>
  <c r="H385" i="2"/>
  <c r="O385" i="2"/>
  <c r="AA385" i="2"/>
  <c r="Z385" i="2"/>
  <c r="P385" i="2"/>
  <c r="T385" i="2"/>
  <c r="Y385" i="2"/>
  <c r="F385" i="2"/>
  <c r="X385" i="2"/>
  <c r="AX384" i="2"/>
  <c r="AT384" i="2"/>
  <c r="AS384" i="2"/>
  <c r="AK384" i="2"/>
  <c r="AE384" i="2"/>
  <c r="AC384" i="2"/>
  <c r="V384" i="2"/>
  <c r="AB384" i="2"/>
  <c r="H384" i="2"/>
  <c r="O384" i="2"/>
  <c r="AA384" i="2"/>
  <c r="Z384" i="2"/>
  <c r="P384" i="2"/>
  <c r="T384" i="2"/>
  <c r="Y384" i="2"/>
  <c r="F384" i="2"/>
  <c r="X384" i="2"/>
  <c r="AQ383" i="2"/>
  <c r="AV383" i="2"/>
  <c r="AX383" i="2"/>
  <c r="AW383" i="2"/>
  <c r="AU383" i="2"/>
  <c r="AT383" i="2"/>
  <c r="AS383" i="2"/>
  <c r="AK383" i="2"/>
  <c r="AE383" i="2"/>
  <c r="AC383" i="2"/>
  <c r="V383" i="2"/>
  <c r="AB383" i="2"/>
  <c r="H383" i="2"/>
  <c r="O383" i="2"/>
  <c r="AA383" i="2"/>
  <c r="Z383" i="2"/>
  <c r="P383" i="2"/>
  <c r="T383" i="2"/>
  <c r="Y383" i="2"/>
  <c r="F383" i="2"/>
  <c r="X383" i="2"/>
  <c r="AQ382" i="2"/>
  <c r="AV382" i="2"/>
  <c r="AX382" i="2"/>
  <c r="AW382" i="2"/>
  <c r="AU382" i="2"/>
  <c r="AT382" i="2"/>
  <c r="AS382" i="2"/>
  <c r="AK382" i="2"/>
  <c r="AE382" i="2"/>
  <c r="AC382" i="2"/>
  <c r="V382" i="2"/>
  <c r="AB382" i="2"/>
  <c r="H382" i="2"/>
  <c r="O382" i="2"/>
  <c r="AA382" i="2"/>
  <c r="Z382" i="2"/>
  <c r="P382" i="2"/>
  <c r="T382" i="2"/>
  <c r="Y382" i="2"/>
  <c r="F382" i="2"/>
  <c r="X382" i="2"/>
  <c r="AQ381" i="2"/>
  <c r="AV381" i="2"/>
  <c r="AX381" i="2"/>
  <c r="AW381" i="2"/>
  <c r="AU381" i="2"/>
  <c r="AT381" i="2"/>
  <c r="AS381" i="2"/>
  <c r="AK381" i="2"/>
  <c r="AE381" i="2"/>
  <c r="AC381" i="2"/>
  <c r="V381" i="2"/>
  <c r="AB381" i="2"/>
  <c r="H381" i="2"/>
  <c r="O381" i="2"/>
  <c r="AA381" i="2"/>
  <c r="Z381" i="2"/>
  <c r="P381" i="2"/>
  <c r="T381" i="2"/>
  <c r="Y381" i="2"/>
  <c r="F381" i="2"/>
  <c r="X381" i="2"/>
  <c r="AQ380" i="2"/>
  <c r="AV380" i="2"/>
  <c r="AX380" i="2"/>
  <c r="AW380" i="2"/>
  <c r="AU380" i="2"/>
  <c r="AT380" i="2"/>
  <c r="AS380" i="2"/>
  <c r="AK380" i="2"/>
  <c r="AE380" i="2"/>
  <c r="AC380" i="2"/>
  <c r="V380" i="2"/>
  <c r="AB380" i="2"/>
  <c r="H380" i="2"/>
  <c r="O380" i="2"/>
  <c r="AA380" i="2"/>
  <c r="Z380" i="2"/>
  <c r="P380" i="2"/>
  <c r="T380" i="2"/>
  <c r="Y380" i="2"/>
  <c r="F380" i="2"/>
  <c r="X380" i="2"/>
  <c r="AQ379" i="2"/>
  <c r="AV379" i="2"/>
  <c r="AX379" i="2"/>
  <c r="AW379" i="2"/>
  <c r="AU379" i="2"/>
  <c r="AT379" i="2"/>
  <c r="AS379" i="2"/>
  <c r="AK379" i="2"/>
  <c r="AE379" i="2"/>
  <c r="AC379" i="2"/>
  <c r="V379" i="2"/>
  <c r="AB379" i="2"/>
  <c r="H379" i="2"/>
  <c r="O379" i="2"/>
  <c r="AA379" i="2"/>
  <c r="Z379" i="2"/>
  <c r="P379" i="2"/>
  <c r="T379" i="2"/>
  <c r="Y379" i="2"/>
  <c r="F379" i="2"/>
  <c r="X379" i="2"/>
  <c r="AQ378" i="2"/>
  <c r="AV378" i="2"/>
  <c r="AX378" i="2"/>
  <c r="AW378" i="2"/>
  <c r="AU378" i="2"/>
  <c r="AT378" i="2"/>
  <c r="AS378" i="2"/>
  <c r="AK378" i="2"/>
  <c r="AE378" i="2"/>
  <c r="AC378" i="2"/>
  <c r="V378" i="2"/>
  <c r="AB378" i="2"/>
  <c r="H378" i="2"/>
  <c r="O378" i="2"/>
  <c r="AA378" i="2"/>
  <c r="Z378" i="2"/>
  <c r="P378" i="2"/>
  <c r="T378" i="2"/>
  <c r="Y378" i="2"/>
  <c r="F378" i="2"/>
  <c r="X378" i="2"/>
  <c r="AQ377" i="2"/>
  <c r="AV377" i="2"/>
  <c r="AX377" i="2"/>
  <c r="AW377" i="2"/>
  <c r="AU377" i="2"/>
  <c r="AT377" i="2"/>
  <c r="AS377" i="2"/>
  <c r="AK377" i="2"/>
  <c r="AE377" i="2"/>
  <c r="AC377" i="2"/>
  <c r="V377" i="2"/>
  <c r="AB377" i="2"/>
  <c r="H377" i="2"/>
  <c r="O377" i="2"/>
  <c r="AA377" i="2"/>
  <c r="Z377" i="2"/>
  <c r="P377" i="2"/>
  <c r="T377" i="2"/>
  <c r="Y377" i="2"/>
  <c r="F377" i="2"/>
  <c r="X377" i="2"/>
  <c r="AQ376" i="2"/>
  <c r="AV376" i="2"/>
  <c r="AX376" i="2"/>
  <c r="AW376" i="2"/>
  <c r="AU376" i="2"/>
  <c r="AT376" i="2"/>
  <c r="AS376" i="2"/>
  <c r="AK376" i="2"/>
  <c r="AE376" i="2"/>
  <c r="AC376" i="2"/>
  <c r="V376" i="2"/>
  <c r="AB376" i="2"/>
  <c r="H376" i="2"/>
  <c r="O376" i="2"/>
  <c r="AA376" i="2"/>
  <c r="Z376" i="2"/>
  <c r="P376" i="2"/>
  <c r="T376" i="2"/>
  <c r="Y376" i="2"/>
  <c r="F376" i="2"/>
  <c r="X376" i="2"/>
  <c r="AQ375" i="2"/>
  <c r="AV375" i="2"/>
  <c r="AX375" i="2"/>
  <c r="AW375" i="2"/>
  <c r="AU375" i="2"/>
  <c r="AT375" i="2"/>
  <c r="AS375" i="2"/>
  <c r="AK375" i="2"/>
  <c r="AE375" i="2"/>
  <c r="AC375" i="2"/>
  <c r="V375" i="2"/>
  <c r="AB375" i="2"/>
  <c r="H375" i="2"/>
  <c r="O375" i="2"/>
  <c r="AA375" i="2"/>
  <c r="Z375" i="2"/>
  <c r="P375" i="2"/>
  <c r="T375" i="2"/>
  <c r="Y375" i="2"/>
  <c r="F375" i="2"/>
  <c r="X375" i="2"/>
  <c r="AQ374" i="2"/>
  <c r="AV374" i="2"/>
  <c r="AX374" i="2"/>
  <c r="AW374" i="2"/>
  <c r="AU374" i="2"/>
  <c r="AT374" i="2"/>
  <c r="AS374" i="2"/>
  <c r="AK374" i="2"/>
  <c r="AE374" i="2"/>
  <c r="AC374" i="2"/>
  <c r="V374" i="2"/>
  <c r="AB374" i="2"/>
  <c r="H374" i="2"/>
  <c r="O374" i="2"/>
  <c r="AA374" i="2"/>
  <c r="Z374" i="2"/>
  <c r="P374" i="2"/>
  <c r="T374" i="2"/>
  <c r="Y374" i="2"/>
  <c r="F374" i="2"/>
  <c r="X374" i="2"/>
  <c r="AQ373" i="2"/>
  <c r="AV373" i="2"/>
  <c r="AX373" i="2"/>
  <c r="AW373" i="2"/>
  <c r="AU373" i="2"/>
  <c r="AT373" i="2"/>
  <c r="AS373" i="2"/>
  <c r="AK373" i="2"/>
  <c r="AE373" i="2"/>
  <c r="AC373" i="2"/>
  <c r="V373" i="2"/>
  <c r="AB373" i="2"/>
  <c r="H373" i="2"/>
  <c r="O373" i="2"/>
  <c r="AA373" i="2"/>
  <c r="Z373" i="2"/>
  <c r="P373" i="2"/>
  <c r="T373" i="2"/>
  <c r="Y373" i="2"/>
  <c r="F373" i="2"/>
  <c r="X373" i="2"/>
  <c r="AQ372" i="2"/>
  <c r="AV372" i="2"/>
  <c r="AX372" i="2"/>
  <c r="AW372" i="2"/>
  <c r="AU372" i="2"/>
  <c r="AT372" i="2"/>
  <c r="AS372" i="2"/>
  <c r="AK372" i="2"/>
  <c r="AE372" i="2"/>
  <c r="AC372" i="2"/>
  <c r="V372" i="2"/>
  <c r="AB372" i="2"/>
  <c r="H372" i="2"/>
  <c r="O372" i="2"/>
  <c r="AA372" i="2"/>
  <c r="Z372" i="2"/>
  <c r="P372" i="2"/>
  <c r="T372" i="2"/>
  <c r="Y372" i="2"/>
  <c r="F372" i="2"/>
  <c r="X372" i="2"/>
  <c r="AQ371" i="2"/>
  <c r="AV371" i="2"/>
  <c r="AX371" i="2"/>
  <c r="AW371" i="2"/>
  <c r="AU371" i="2"/>
  <c r="AT371" i="2"/>
  <c r="AS371" i="2"/>
  <c r="AK371" i="2"/>
  <c r="AE371" i="2"/>
  <c r="AC371" i="2"/>
  <c r="V371" i="2"/>
  <c r="AB371" i="2"/>
  <c r="H371" i="2"/>
  <c r="O371" i="2"/>
  <c r="AA371" i="2"/>
  <c r="Z371" i="2"/>
  <c r="P371" i="2"/>
  <c r="T371" i="2"/>
  <c r="Y371" i="2"/>
  <c r="F371" i="2"/>
  <c r="X371" i="2"/>
  <c r="AQ370" i="2"/>
  <c r="AV370" i="2"/>
  <c r="AX370" i="2"/>
  <c r="AW370" i="2"/>
  <c r="AU370" i="2"/>
  <c r="AT370" i="2"/>
  <c r="AS370" i="2"/>
  <c r="AK370" i="2"/>
  <c r="AE370" i="2"/>
  <c r="AC370" i="2"/>
  <c r="V370" i="2"/>
  <c r="AB370" i="2"/>
  <c r="H370" i="2"/>
  <c r="O370" i="2"/>
  <c r="AA370" i="2"/>
  <c r="Z370" i="2"/>
  <c r="P370" i="2"/>
  <c r="T370" i="2"/>
  <c r="Y370" i="2"/>
  <c r="F370" i="2"/>
  <c r="X370" i="2"/>
  <c r="AQ369" i="2"/>
  <c r="AV369" i="2"/>
  <c r="AX369" i="2"/>
  <c r="AW369" i="2"/>
  <c r="AU369" i="2"/>
  <c r="AT369" i="2"/>
  <c r="AS369" i="2"/>
  <c r="AK369" i="2"/>
  <c r="AE369" i="2"/>
  <c r="AC369" i="2"/>
  <c r="V369" i="2"/>
  <c r="AB369" i="2"/>
  <c r="H369" i="2"/>
  <c r="O369" i="2"/>
  <c r="AA369" i="2"/>
  <c r="Z369" i="2"/>
  <c r="P369" i="2"/>
  <c r="T369" i="2"/>
  <c r="Y369" i="2"/>
  <c r="F369" i="2"/>
  <c r="X369" i="2"/>
  <c r="AQ368" i="2"/>
  <c r="AV368" i="2"/>
  <c r="AX368" i="2"/>
  <c r="AW368" i="2"/>
  <c r="AU368" i="2"/>
  <c r="AT368" i="2"/>
  <c r="AS368" i="2"/>
  <c r="AK368" i="2"/>
  <c r="AE368" i="2"/>
  <c r="AC368" i="2"/>
  <c r="V368" i="2"/>
  <c r="AB368" i="2"/>
  <c r="H368" i="2"/>
  <c r="O368" i="2"/>
  <c r="AA368" i="2"/>
  <c r="Z368" i="2"/>
  <c r="P368" i="2"/>
  <c r="T368" i="2"/>
  <c r="Y368" i="2"/>
  <c r="F368" i="2"/>
  <c r="X368" i="2"/>
  <c r="AQ367" i="2"/>
  <c r="AV367" i="2"/>
  <c r="AX367" i="2"/>
  <c r="AW367" i="2"/>
  <c r="AU367" i="2"/>
  <c r="AT367" i="2"/>
  <c r="AS367" i="2"/>
  <c r="AK367" i="2"/>
  <c r="AE367" i="2"/>
  <c r="AC367" i="2"/>
  <c r="V367" i="2"/>
  <c r="AB367" i="2"/>
  <c r="H367" i="2"/>
  <c r="O367" i="2"/>
  <c r="AA367" i="2"/>
  <c r="Z367" i="2"/>
  <c r="P367" i="2"/>
  <c r="T367" i="2"/>
  <c r="Y367" i="2"/>
  <c r="F367" i="2"/>
  <c r="X367" i="2"/>
  <c r="AQ366" i="2"/>
  <c r="AV366" i="2"/>
  <c r="AX366" i="2"/>
  <c r="AW366" i="2"/>
  <c r="AU366" i="2"/>
  <c r="AT366" i="2"/>
  <c r="AS366" i="2"/>
  <c r="AK366" i="2"/>
  <c r="AE366" i="2"/>
  <c r="AC366" i="2"/>
  <c r="V366" i="2"/>
  <c r="AB366" i="2"/>
  <c r="H366" i="2"/>
  <c r="O366" i="2"/>
  <c r="AA366" i="2"/>
  <c r="Z366" i="2"/>
  <c r="P366" i="2"/>
  <c r="T366" i="2"/>
  <c r="Y366" i="2"/>
  <c r="F366" i="2"/>
  <c r="X366" i="2"/>
  <c r="AQ365" i="2"/>
  <c r="AV365" i="2"/>
  <c r="AX365" i="2"/>
  <c r="AW365" i="2"/>
  <c r="AU365" i="2"/>
  <c r="AT365" i="2"/>
  <c r="AS365" i="2"/>
  <c r="AK365" i="2"/>
  <c r="AE365" i="2"/>
  <c r="AC365" i="2"/>
  <c r="V365" i="2"/>
  <c r="AB365" i="2"/>
  <c r="H365" i="2"/>
  <c r="O365" i="2"/>
  <c r="AA365" i="2"/>
  <c r="Z365" i="2"/>
  <c r="P365" i="2"/>
  <c r="T365" i="2"/>
  <c r="Y365" i="2"/>
  <c r="F365" i="2"/>
  <c r="X365" i="2"/>
  <c r="AQ364" i="2"/>
  <c r="AV364" i="2"/>
  <c r="AX364" i="2"/>
  <c r="AW364" i="2"/>
  <c r="AU364" i="2"/>
  <c r="AT364" i="2"/>
  <c r="AS364" i="2"/>
  <c r="AK364" i="2"/>
  <c r="AE364" i="2"/>
  <c r="AC364" i="2"/>
  <c r="V364" i="2"/>
  <c r="AB364" i="2"/>
  <c r="H364" i="2"/>
  <c r="O364" i="2"/>
  <c r="AA364" i="2"/>
  <c r="Z364" i="2"/>
  <c r="P364" i="2"/>
  <c r="T364" i="2"/>
  <c r="Y364" i="2"/>
  <c r="F364" i="2"/>
  <c r="X364" i="2"/>
  <c r="AQ363" i="2"/>
  <c r="AV363" i="2"/>
  <c r="AX363" i="2"/>
  <c r="AW363" i="2"/>
  <c r="AU363" i="2"/>
  <c r="AT363" i="2"/>
  <c r="AS363" i="2"/>
  <c r="AK363" i="2"/>
  <c r="AE363" i="2"/>
  <c r="AC363" i="2"/>
  <c r="V363" i="2"/>
  <c r="AB363" i="2"/>
  <c r="H363" i="2"/>
  <c r="O363" i="2"/>
  <c r="AA363" i="2"/>
  <c r="Z363" i="2"/>
  <c r="P363" i="2"/>
  <c r="T363" i="2"/>
  <c r="Y363" i="2"/>
  <c r="F363" i="2"/>
  <c r="X363" i="2"/>
  <c r="AQ362" i="2"/>
  <c r="AV362" i="2"/>
  <c r="AX362" i="2"/>
  <c r="AW362" i="2"/>
  <c r="AU362" i="2"/>
  <c r="AT362" i="2"/>
  <c r="AS362" i="2"/>
  <c r="AK362" i="2"/>
  <c r="AE362" i="2"/>
  <c r="AC362" i="2"/>
  <c r="V362" i="2"/>
  <c r="AB362" i="2"/>
  <c r="H362" i="2"/>
  <c r="O362" i="2"/>
  <c r="AA362" i="2"/>
  <c r="Z362" i="2"/>
  <c r="P362" i="2"/>
  <c r="T362" i="2"/>
  <c r="Y362" i="2"/>
  <c r="F362" i="2"/>
  <c r="X362" i="2"/>
  <c r="AQ361" i="2"/>
  <c r="AV361" i="2"/>
  <c r="AX361" i="2"/>
  <c r="AW361" i="2"/>
  <c r="AU361" i="2"/>
  <c r="AT361" i="2"/>
  <c r="AS361" i="2"/>
  <c r="AK361" i="2"/>
  <c r="AE361" i="2"/>
  <c r="AC361" i="2"/>
  <c r="V361" i="2"/>
  <c r="AB361" i="2"/>
  <c r="H361" i="2"/>
  <c r="O361" i="2"/>
  <c r="AA361" i="2"/>
  <c r="Z361" i="2"/>
  <c r="P361" i="2"/>
  <c r="T361" i="2"/>
  <c r="Y361" i="2"/>
  <c r="F361" i="2"/>
  <c r="X361" i="2"/>
  <c r="AQ360" i="2"/>
  <c r="AV360" i="2"/>
  <c r="AX360" i="2"/>
  <c r="AW360" i="2"/>
  <c r="AU360" i="2"/>
  <c r="AT360" i="2"/>
  <c r="AS360" i="2"/>
  <c r="AK360" i="2"/>
  <c r="AE360" i="2"/>
  <c r="AC360" i="2"/>
  <c r="V360" i="2"/>
  <c r="AB360" i="2"/>
  <c r="H360" i="2"/>
  <c r="O360" i="2"/>
  <c r="AA360" i="2"/>
  <c r="Z360" i="2"/>
  <c r="P360" i="2"/>
  <c r="T360" i="2"/>
  <c r="Y360" i="2"/>
  <c r="F360" i="2"/>
  <c r="X360" i="2"/>
  <c r="AQ359" i="2"/>
  <c r="AV359" i="2"/>
  <c r="AX359" i="2"/>
  <c r="AW359" i="2"/>
  <c r="AU359" i="2"/>
  <c r="AT359" i="2"/>
  <c r="AS359" i="2"/>
  <c r="AK359" i="2"/>
  <c r="AE359" i="2"/>
  <c r="AC359" i="2"/>
  <c r="V359" i="2"/>
  <c r="AB359" i="2"/>
  <c r="H359" i="2"/>
  <c r="O359" i="2"/>
  <c r="AA359" i="2"/>
  <c r="Z359" i="2"/>
  <c r="P359" i="2"/>
  <c r="T359" i="2"/>
  <c r="Y359" i="2"/>
  <c r="F359" i="2"/>
  <c r="X359" i="2"/>
  <c r="AQ358" i="2"/>
  <c r="AV358" i="2"/>
  <c r="AX358" i="2"/>
  <c r="AW358" i="2"/>
  <c r="AU358" i="2"/>
  <c r="AT358" i="2"/>
  <c r="AS358" i="2"/>
  <c r="AK358" i="2"/>
  <c r="AE358" i="2"/>
  <c r="AC358" i="2"/>
  <c r="V358" i="2"/>
  <c r="AB358" i="2"/>
  <c r="H358" i="2"/>
  <c r="O358" i="2"/>
  <c r="AA358" i="2"/>
  <c r="Z358" i="2"/>
  <c r="P358" i="2"/>
  <c r="T358" i="2"/>
  <c r="Y358" i="2"/>
  <c r="F358" i="2"/>
  <c r="X358" i="2"/>
  <c r="AQ357" i="2"/>
  <c r="AV357" i="2"/>
  <c r="AX357" i="2"/>
  <c r="AW357" i="2"/>
  <c r="AU357" i="2"/>
  <c r="AT357" i="2"/>
  <c r="AS357" i="2"/>
  <c r="AK357" i="2"/>
  <c r="AE357" i="2"/>
  <c r="AC357" i="2"/>
  <c r="V357" i="2"/>
  <c r="AB357" i="2"/>
  <c r="H357" i="2"/>
  <c r="O357" i="2"/>
  <c r="AA357" i="2"/>
  <c r="Z357" i="2"/>
  <c r="P357" i="2"/>
  <c r="T357" i="2"/>
  <c r="Y357" i="2"/>
  <c r="F357" i="2"/>
  <c r="X357" i="2"/>
  <c r="AQ356" i="2"/>
  <c r="AV356" i="2"/>
  <c r="AX356" i="2"/>
  <c r="AW356" i="2"/>
  <c r="AU356" i="2"/>
  <c r="AT356" i="2"/>
  <c r="AS356" i="2"/>
  <c r="AK356" i="2"/>
  <c r="AE356" i="2"/>
  <c r="AC356" i="2"/>
  <c r="V356" i="2"/>
  <c r="AB356" i="2"/>
  <c r="H356" i="2"/>
  <c r="O356" i="2"/>
  <c r="AA356" i="2"/>
  <c r="Z356" i="2"/>
  <c r="P356" i="2"/>
  <c r="T356" i="2"/>
  <c r="Y356" i="2"/>
  <c r="F356" i="2"/>
  <c r="X356" i="2"/>
  <c r="AQ355" i="2"/>
  <c r="AV355" i="2"/>
  <c r="AX355" i="2"/>
  <c r="AW355" i="2"/>
  <c r="AU355" i="2"/>
  <c r="AT355" i="2"/>
  <c r="AS355" i="2"/>
  <c r="AK355" i="2"/>
  <c r="AE355" i="2"/>
  <c r="AC355" i="2"/>
  <c r="V355" i="2"/>
  <c r="AB355" i="2"/>
  <c r="H355" i="2"/>
  <c r="O355" i="2"/>
  <c r="AA355" i="2"/>
  <c r="Z355" i="2"/>
  <c r="P355" i="2"/>
  <c r="T355" i="2"/>
  <c r="Y355" i="2"/>
  <c r="F355" i="2"/>
  <c r="X355" i="2"/>
  <c r="AQ354" i="2"/>
  <c r="AV354" i="2"/>
  <c r="AX354" i="2"/>
  <c r="AW354" i="2"/>
  <c r="AU354" i="2"/>
  <c r="AT354" i="2"/>
  <c r="AS354" i="2"/>
  <c r="AK354" i="2"/>
  <c r="AE354" i="2"/>
  <c r="AC354" i="2"/>
  <c r="V354" i="2"/>
  <c r="AB354" i="2"/>
  <c r="H354" i="2"/>
  <c r="O354" i="2"/>
  <c r="AA354" i="2"/>
  <c r="Z354" i="2"/>
  <c r="P354" i="2"/>
  <c r="T354" i="2"/>
  <c r="Y354" i="2"/>
  <c r="F354" i="2"/>
  <c r="X354" i="2"/>
  <c r="AQ353" i="2"/>
  <c r="AV353" i="2"/>
  <c r="AX353" i="2"/>
  <c r="AW353" i="2"/>
  <c r="AU353" i="2"/>
  <c r="AT353" i="2"/>
  <c r="AS353" i="2"/>
  <c r="AK353" i="2"/>
  <c r="AE353" i="2"/>
  <c r="AC353" i="2"/>
  <c r="V353" i="2"/>
  <c r="AB353" i="2"/>
  <c r="H353" i="2"/>
  <c r="O353" i="2"/>
  <c r="AA353" i="2"/>
  <c r="Z353" i="2"/>
  <c r="P353" i="2"/>
  <c r="T353" i="2"/>
  <c r="Y353" i="2"/>
  <c r="F353" i="2"/>
  <c r="X353" i="2"/>
  <c r="AQ352" i="2"/>
  <c r="AV352" i="2"/>
  <c r="AX352" i="2"/>
  <c r="AW352" i="2"/>
  <c r="AU352" i="2"/>
  <c r="AT352" i="2"/>
  <c r="AS352" i="2"/>
  <c r="AK352" i="2"/>
  <c r="AE352" i="2"/>
  <c r="AC352" i="2"/>
  <c r="V352" i="2"/>
  <c r="AB352" i="2"/>
  <c r="H352" i="2"/>
  <c r="O352" i="2"/>
  <c r="AA352" i="2"/>
  <c r="Z352" i="2"/>
  <c r="P352" i="2"/>
  <c r="T352" i="2"/>
  <c r="Y352" i="2"/>
  <c r="F352" i="2"/>
  <c r="X352" i="2"/>
  <c r="AQ351" i="2"/>
  <c r="AV351" i="2"/>
  <c r="AX351" i="2"/>
  <c r="AW351" i="2"/>
  <c r="AU351" i="2"/>
  <c r="AT351" i="2"/>
  <c r="AS351" i="2"/>
  <c r="AK351" i="2"/>
  <c r="AE351" i="2"/>
  <c r="AC351" i="2"/>
  <c r="V351" i="2"/>
  <c r="AB351" i="2"/>
  <c r="H351" i="2"/>
  <c r="O351" i="2"/>
  <c r="AA351" i="2"/>
  <c r="Z351" i="2"/>
  <c r="P351" i="2"/>
  <c r="T351" i="2"/>
  <c r="Y351" i="2"/>
  <c r="F351" i="2"/>
  <c r="X351" i="2"/>
  <c r="AQ350" i="2"/>
  <c r="AV350" i="2"/>
  <c r="AX350" i="2"/>
  <c r="AW350" i="2"/>
  <c r="AU350" i="2"/>
  <c r="AT350" i="2"/>
  <c r="AS350" i="2"/>
  <c r="AK350" i="2"/>
  <c r="AE350" i="2"/>
  <c r="AC350" i="2"/>
  <c r="V350" i="2"/>
  <c r="AB350" i="2"/>
  <c r="H350" i="2"/>
  <c r="O350" i="2"/>
  <c r="AA350" i="2"/>
  <c r="Z350" i="2"/>
  <c r="P350" i="2"/>
  <c r="T350" i="2"/>
  <c r="Y350" i="2"/>
  <c r="F350" i="2"/>
  <c r="X350" i="2"/>
  <c r="AQ349" i="2"/>
  <c r="AV349" i="2"/>
  <c r="AX349" i="2"/>
  <c r="AW349" i="2"/>
  <c r="AU349" i="2"/>
  <c r="AT349" i="2"/>
  <c r="AS349" i="2"/>
  <c r="AK349" i="2"/>
  <c r="AE349" i="2"/>
  <c r="AC349" i="2"/>
  <c r="V349" i="2"/>
  <c r="AB349" i="2"/>
  <c r="H349" i="2"/>
  <c r="O349" i="2"/>
  <c r="AA349" i="2"/>
  <c r="Z349" i="2"/>
  <c r="P349" i="2"/>
  <c r="T349" i="2"/>
  <c r="Y349" i="2"/>
  <c r="F349" i="2"/>
  <c r="X349" i="2"/>
  <c r="AQ348" i="2"/>
  <c r="AV348" i="2"/>
  <c r="AX348" i="2"/>
  <c r="AW348" i="2"/>
  <c r="AU348" i="2"/>
  <c r="AT348" i="2"/>
  <c r="AS348" i="2"/>
  <c r="AK348" i="2"/>
  <c r="AE348" i="2"/>
  <c r="AC348" i="2"/>
  <c r="V348" i="2"/>
  <c r="AB348" i="2"/>
  <c r="H348" i="2"/>
  <c r="O348" i="2"/>
  <c r="AA348" i="2"/>
  <c r="Z348" i="2"/>
  <c r="P348" i="2"/>
  <c r="T348" i="2"/>
  <c r="Y348" i="2"/>
  <c r="F348" i="2"/>
  <c r="X348" i="2"/>
  <c r="AQ347" i="2"/>
  <c r="AV347" i="2"/>
  <c r="AX347" i="2"/>
  <c r="AW347" i="2"/>
  <c r="AU347" i="2"/>
  <c r="AT347" i="2"/>
  <c r="AS347" i="2"/>
  <c r="AK347" i="2"/>
  <c r="AE347" i="2"/>
  <c r="AC347" i="2"/>
  <c r="V347" i="2"/>
  <c r="AB347" i="2"/>
  <c r="H347" i="2"/>
  <c r="O347" i="2"/>
  <c r="AA347" i="2"/>
  <c r="Z347" i="2"/>
  <c r="P347" i="2"/>
  <c r="T347" i="2"/>
  <c r="Y347" i="2"/>
  <c r="F347" i="2"/>
  <c r="X347" i="2"/>
  <c r="AQ346" i="2"/>
  <c r="AV346" i="2"/>
  <c r="AX346" i="2"/>
  <c r="AW346" i="2"/>
  <c r="AU346" i="2"/>
  <c r="AT346" i="2"/>
  <c r="AS346" i="2"/>
  <c r="AK346" i="2"/>
  <c r="AE346" i="2"/>
  <c r="AC346" i="2"/>
  <c r="V346" i="2"/>
  <c r="AB346" i="2"/>
  <c r="H346" i="2"/>
  <c r="O346" i="2"/>
  <c r="AA346" i="2"/>
  <c r="Z346" i="2"/>
  <c r="P346" i="2"/>
  <c r="T346" i="2"/>
  <c r="Y346" i="2"/>
  <c r="F346" i="2"/>
  <c r="X346" i="2"/>
  <c r="AQ345" i="2"/>
  <c r="AV345" i="2"/>
  <c r="AX345" i="2"/>
  <c r="AW345" i="2"/>
  <c r="AU345" i="2"/>
  <c r="AT345" i="2"/>
  <c r="AS345" i="2"/>
  <c r="AK345" i="2"/>
  <c r="AE345" i="2"/>
  <c r="AC345" i="2"/>
  <c r="V345" i="2"/>
  <c r="AB345" i="2"/>
  <c r="H345" i="2"/>
  <c r="O345" i="2"/>
  <c r="AA345" i="2"/>
  <c r="Z345" i="2"/>
  <c r="P345" i="2"/>
  <c r="T345" i="2"/>
  <c r="Y345" i="2"/>
  <c r="F345" i="2"/>
  <c r="X345" i="2"/>
  <c r="AQ344" i="2"/>
  <c r="AV344" i="2"/>
  <c r="AX344" i="2"/>
  <c r="AW344" i="2"/>
  <c r="AU344" i="2"/>
  <c r="AT344" i="2"/>
  <c r="AS344" i="2"/>
  <c r="AK344" i="2"/>
  <c r="AE344" i="2"/>
  <c r="AC344" i="2"/>
  <c r="V344" i="2"/>
  <c r="AB344" i="2"/>
  <c r="H344" i="2"/>
  <c r="O344" i="2"/>
  <c r="AA344" i="2"/>
  <c r="Z344" i="2"/>
  <c r="P344" i="2"/>
  <c r="T344" i="2"/>
  <c r="Y344" i="2"/>
  <c r="F344" i="2"/>
  <c r="X344" i="2"/>
  <c r="AQ343" i="2"/>
  <c r="AV343" i="2"/>
  <c r="AX343" i="2"/>
  <c r="AW343" i="2"/>
  <c r="AU343" i="2"/>
  <c r="AT343" i="2"/>
  <c r="AS343" i="2"/>
  <c r="AK343" i="2"/>
  <c r="AE343" i="2"/>
  <c r="AC343" i="2"/>
  <c r="V343" i="2"/>
  <c r="AB343" i="2"/>
  <c r="H343" i="2"/>
  <c r="O343" i="2"/>
  <c r="AA343" i="2"/>
  <c r="Z343" i="2"/>
  <c r="P343" i="2"/>
  <c r="T343" i="2"/>
  <c r="Y343" i="2"/>
  <c r="F343" i="2"/>
  <c r="X343" i="2"/>
  <c r="AQ342" i="2"/>
  <c r="AV342" i="2"/>
  <c r="AX342" i="2"/>
  <c r="AW342" i="2"/>
  <c r="AU342" i="2"/>
  <c r="AT342" i="2"/>
  <c r="AS342" i="2"/>
  <c r="AK342" i="2"/>
  <c r="AE342" i="2"/>
  <c r="AC342" i="2"/>
  <c r="V342" i="2"/>
  <c r="AB342" i="2"/>
  <c r="H342" i="2"/>
  <c r="O342" i="2"/>
  <c r="AA342" i="2"/>
  <c r="Z342" i="2"/>
  <c r="P342" i="2"/>
  <c r="T342" i="2"/>
  <c r="Y342" i="2"/>
  <c r="F342" i="2"/>
  <c r="X342" i="2"/>
  <c r="AQ341" i="2"/>
  <c r="AV341" i="2"/>
  <c r="AX341" i="2"/>
  <c r="AW341" i="2"/>
  <c r="AU341" i="2"/>
  <c r="AT341" i="2"/>
  <c r="AS341" i="2"/>
  <c r="AK341" i="2"/>
  <c r="AE341" i="2"/>
  <c r="AC341" i="2"/>
  <c r="V341" i="2"/>
  <c r="AB341" i="2"/>
  <c r="H341" i="2"/>
  <c r="O341" i="2"/>
  <c r="AA341" i="2"/>
  <c r="Z341" i="2"/>
  <c r="P341" i="2"/>
  <c r="T341" i="2"/>
  <c r="Y341" i="2"/>
  <c r="F341" i="2"/>
  <c r="X341" i="2"/>
  <c r="AQ340" i="2"/>
  <c r="AV340" i="2"/>
  <c r="AX340" i="2"/>
  <c r="AW340" i="2"/>
  <c r="AU340" i="2"/>
  <c r="AT340" i="2"/>
  <c r="AS340" i="2"/>
  <c r="AK340" i="2"/>
  <c r="AE340" i="2"/>
  <c r="AC340" i="2"/>
  <c r="V340" i="2"/>
  <c r="AB340" i="2"/>
  <c r="H340" i="2"/>
  <c r="O340" i="2"/>
  <c r="AA340" i="2"/>
  <c r="Z340" i="2"/>
  <c r="P340" i="2"/>
  <c r="T340" i="2"/>
  <c r="Y340" i="2"/>
  <c r="F340" i="2"/>
  <c r="X340" i="2"/>
  <c r="AQ339" i="2"/>
  <c r="AV339" i="2"/>
  <c r="AX339" i="2"/>
  <c r="AW339" i="2"/>
  <c r="AU339" i="2"/>
  <c r="AT339" i="2"/>
  <c r="AS339" i="2"/>
  <c r="AK339" i="2"/>
  <c r="AE339" i="2"/>
  <c r="AC339" i="2"/>
  <c r="V339" i="2"/>
  <c r="AB339" i="2"/>
  <c r="H339" i="2"/>
  <c r="O339" i="2"/>
  <c r="AA339" i="2"/>
  <c r="Z339" i="2"/>
  <c r="P339" i="2"/>
  <c r="T339" i="2"/>
  <c r="Y339" i="2"/>
  <c r="F339" i="2"/>
  <c r="X339" i="2"/>
  <c r="AQ338" i="2"/>
  <c r="AV338" i="2"/>
  <c r="AX338" i="2"/>
  <c r="AW338" i="2"/>
  <c r="AU338" i="2"/>
  <c r="AT338" i="2"/>
  <c r="AS338" i="2"/>
  <c r="AK338" i="2"/>
  <c r="AE338" i="2"/>
  <c r="AC338" i="2"/>
  <c r="V338" i="2"/>
  <c r="AB338" i="2"/>
  <c r="H338" i="2"/>
  <c r="O338" i="2"/>
  <c r="AA338" i="2"/>
  <c r="Z338" i="2"/>
  <c r="P338" i="2"/>
  <c r="T338" i="2"/>
  <c r="Y338" i="2"/>
  <c r="F338" i="2"/>
  <c r="X338" i="2"/>
  <c r="AQ337" i="2"/>
  <c r="AV337" i="2"/>
  <c r="AX337" i="2"/>
  <c r="AW337" i="2"/>
  <c r="AU337" i="2"/>
  <c r="AT337" i="2"/>
  <c r="AS337" i="2"/>
  <c r="AK337" i="2"/>
  <c r="AE337" i="2"/>
  <c r="AC337" i="2"/>
  <c r="V337" i="2"/>
  <c r="AB337" i="2"/>
  <c r="H337" i="2"/>
  <c r="O337" i="2"/>
  <c r="AA337" i="2"/>
  <c r="Z337" i="2"/>
  <c r="P337" i="2"/>
  <c r="T337" i="2"/>
  <c r="Y337" i="2"/>
  <c r="F337" i="2"/>
  <c r="X337" i="2"/>
  <c r="AQ336" i="2"/>
  <c r="AV336" i="2"/>
  <c r="AX336" i="2"/>
  <c r="AW336" i="2"/>
  <c r="AU336" i="2"/>
  <c r="AT336" i="2"/>
  <c r="AS336" i="2"/>
  <c r="AK336" i="2"/>
  <c r="AE336" i="2"/>
  <c r="AC336" i="2"/>
  <c r="V336" i="2"/>
  <c r="AB336" i="2"/>
  <c r="H336" i="2"/>
  <c r="O336" i="2"/>
  <c r="AA336" i="2"/>
  <c r="Z336" i="2"/>
  <c r="P336" i="2"/>
  <c r="T336" i="2"/>
  <c r="Y336" i="2"/>
  <c r="F336" i="2"/>
  <c r="X336" i="2"/>
  <c r="AQ335" i="2"/>
  <c r="AV335" i="2"/>
  <c r="AX335" i="2"/>
  <c r="AW335" i="2"/>
  <c r="AU335" i="2"/>
  <c r="AT335" i="2"/>
  <c r="AS335" i="2"/>
  <c r="AK335" i="2"/>
  <c r="AE335" i="2"/>
  <c r="AC335" i="2"/>
  <c r="V335" i="2"/>
  <c r="AB335" i="2"/>
  <c r="H335" i="2"/>
  <c r="O335" i="2"/>
  <c r="AA335" i="2"/>
  <c r="Z335" i="2"/>
  <c r="P335" i="2"/>
  <c r="T335" i="2"/>
  <c r="Y335" i="2"/>
  <c r="F335" i="2"/>
  <c r="X335" i="2"/>
  <c r="AQ334" i="2"/>
  <c r="AV334" i="2"/>
  <c r="AX334" i="2"/>
  <c r="AW334" i="2"/>
  <c r="AU334" i="2"/>
  <c r="AT334" i="2"/>
  <c r="AS334" i="2"/>
  <c r="AK334" i="2"/>
  <c r="AE334" i="2"/>
  <c r="AC334" i="2"/>
  <c r="V334" i="2"/>
  <c r="AB334" i="2"/>
  <c r="H334" i="2"/>
  <c r="O334" i="2"/>
  <c r="AA334" i="2"/>
  <c r="Z334" i="2"/>
  <c r="P334" i="2"/>
  <c r="T334" i="2"/>
  <c r="Y334" i="2"/>
  <c r="F334" i="2"/>
  <c r="X334" i="2"/>
  <c r="AQ333" i="2"/>
  <c r="AV333" i="2"/>
  <c r="AX333" i="2"/>
  <c r="AW333" i="2"/>
  <c r="AU333" i="2"/>
  <c r="AT333" i="2"/>
  <c r="AS333" i="2"/>
  <c r="AK333" i="2"/>
  <c r="AE333" i="2"/>
  <c r="AC333" i="2"/>
  <c r="V333" i="2"/>
  <c r="AB333" i="2"/>
  <c r="H333" i="2"/>
  <c r="O333" i="2"/>
  <c r="AA333" i="2"/>
  <c r="Z333" i="2"/>
  <c r="P333" i="2"/>
  <c r="T333" i="2"/>
  <c r="Y333" i="2"/>
  <c r="F333" i="2"/>
  <c r="X333" i="2"/>
  <c r="AQ332" i="2"/>
  <c r="AV332" i="2"/>
  <c r="AX332" i="2"/>
  <c r="AW332" i="2"/>
  <c r="AU332" i="2"/>
  <c r="AT332" i="2"/>
  <c r="AS332" i="2"/>
  <c r="AK332" i="2"/>
  <c r="AE332" i="2"/>
  <c r="AC332" i="2"/>
  <c r="V332" i="2"/>
  <c r="AB332" i="2"/>
  <c r="H332" i="2"/>
  <c r="O332" i="2"/>
  <c r="AA332" i="2"/>
  <c r="Z332" i="2"/>
  <c r="P332" i="2"/>
  <c r="T332" i="2"/>
  <c r="Y332" i="2"/>
  <c r="F332" i="2"/>
  <c r="X332" i="2"/>
  <c r="AQ331" i="2"/>
  <c r="AV331" i="2"/>
  <c r="AX331" i="2"/>
  <c r="AW331" i="2"/>
  <c r="AU331" i="2"/>
  <c r="AT331" i="2"/>
  <c r="AS331" i="2"/>
  <c r="AK331" i="2"/>
  <c r="AE331" i="2"/>
  <c r="AC331" i="2"/>
  <c r="V331" i="2"/>
  <c r="AB331" i="2"/>
  <c r="H331" i="2"/>
  <c r="O331" i="2"/>
  <c r="AA331" i="2"/>
  <c r="Z331" i="2"/>
  <c r="P331" i="2"/>
  <c r="T331" i="2"/>
  <c r="Y331" i="2"/>
  <c r="F331" i="2"/>
  <c r="X331" i="2"/>
  <c r="AQ330" i="2"/>
  <c r="AV330" i="2"/>
  <c r="AX330" i="2"/>
  <c r="AW330" i="2"/>
  <c r="AU330" i="2"/>
  <c r="AT330" i="2"/>
  <c r="AS330" i="2"/>
  <c r="AK330" i="2"/>
  <c r="AE330" i="2"/>
  <c r="AC330" i="2"/>
  <c r="V330" i="2"/>
  <c r="AB330" i="2"/>
  <c r="H330" i="2"/>
  <c r="O330" i="2"/>
  <c r="AA330" i="2"/>
  <c r="Z330" i="2"/>
  <c r="P330" i="2"/>
  <c r="T330" i="2"/>
  <c r="Y330" i="2"/>
  <c r="F330" i="2"/>
  <c r="X330" i="2"/>
  <c r="AQ329" i="2"/>
  <c r="AV329" i="2"/>
  <c r="AX329" i="2"/>
  <c r="AW329" i="2"/>
  <c r="AU329" i="2"/>
  <c r="AT329" i="2"/>
  <c r="AS329" i="2"/>
  <c r="AK329" i="2"/>
  <c r="AE329" i="2"/>
  <c r="AC329" i="2"/>
  <c r="V329" i="2"/>
  <c r="AB329" i="2"/>
  <c r="H329" i="2"/>
  <c r="O329" i="2"/>
  <c r="AA329" i="2"/>
  <c r="Z329" i="2"/>
  <c r="P329" i="2"/>
  <c r="T329" i="2"/>
  <c r="Y329" i="2"/>
  <c r="F329" i="2"/>
  <c r="X329" i="2"/>
  <c r="AQ328" i="2"/>
  <c r="AV328" i="2"/>
  <c r="AX328" i="2"/>
  <c r="AW328" i="2"/>
  <c r="AU328" i="2"/>
  <c r="AT328" i="2"/>
  <c r="AS328" i="2"/>
  <c r="AK328" i="2"/>
  <c r="AE328" i="2"/>
  <c r="AC328" i="2"/>
  <c r="V328" i="2"/>
  <c r="AB328" i="2"/>
  <c r="H328" i="2"/>
  <c r="O328" i="2"/>
  <c r="AA328" i="2"/>
  <c r="Z328" i="2"/>
  <c r="P328" i="2"/>
  <c r="T328" i="2"/>
  <c r="Y328" i="2"/>
  <c r="F328" i="2"/>
  <c r="X328" i="2"/>
  <c r="AQ327" i="2"/>
  <c r="AV327" i="2"/>
  <c r="AX327" i="2"/>
  <c r="AW327" i="2"/>
  <c r="AU327" i="2"/>
  <c r="AT327" i="2"/>
  <c r="AS327" i="2"/>
  <c r="AK327" i="2"/>
  <c r="AE327" i="2"/>
  <c r="AC327" i="2"/>
  <c r="V327" i="2"/>
  <c r="AB327" i="2"/>
  <c r="H327" i="2"/>
  <c r="O327" i="2"/>
  <c r="AA327" i="2"/>
  <c r="Z327" i="2"/>
  <c r="P327" i="2"/>
  <c r="T327" i="2"/>
  <c r="Y327" i="2"/>
  <c r="F327" i="2"/>
  <c r="X327" i="2"/>
  <c r="AQ326" i="2"/>
  <c r="AV326" i="2"/>
  <c r="AX326" i="2"/>
  <c r="AW326" i="2"/>
  <c r="AU326" i="2"/>
  <c r="AT326" i="2"/>
  <c r="AS326" i="2"/>
  <c r="AK326" i="2"/>
  <c r="AE326" i="2"/>
  <c r="AC326" i="2"/>
  <c r="V326" i="2"/>
  <c r="AB326" i="2"/>
  <c r="H326" i="2"/>
  <c r="O326" i="2"/>
  <c r="AA326" i="2"/>
  <c r="Z326" i="2"/>
  <c r="P326" i="2"/>
  <c r="T326" i="2"/>
  <c r="Y326" i="2"/>
  <c r="F326" i="2"/>
  <c r="X326" i="2"/>
  <c r="AQ325" i="2"/>
  <c r="AV325" i="2"/>
  <c r="AX325" i="2"/>
  <c r="AW325" i="2"/>
  <c r="AU325" i="2"/>
  <c r="AT325" i="2"/>
  <c r="AS325" i="2"/>
  <c r="AK325" i="2"/>
  <c r="AE325" i="2"/>
  <c r="AC325" i="2"/>
  <c r="V325" i="2"/>
  <c r="AB325" i="2"/>
  <c r="H325" i="2"/>
  <c r="O325" i="2"/>
  <c r="AA325" i="2"/>
  <c r="Z325" i="2"/>
  <c r="P325" i="2"/>
  <c r="T325" i="2"/>
  <c r="Y325" i="2"/>
  <c r="F325" i="2"/>
  <c r="X325" i="2"/>
  <c r="AQ324" i="2"/>
  <c r="AV324" i="2"/>
  <c r="AX324" i="2"/>
  <c r="AW324" i="2"/>
  <c r="AU324" i="2"/>
  <c r="AT324" i="2"/>
  <c r="AS324" i="2"/>
  <c r="AK324" i="2"/>
  <c r="AE324" i="2"/>
  <c r="AC324" i="2"/>
  <c r="V324" i="2"/>
  <c r="AB324" i="2"/>
  <c r="H324" i="2"/>
  <c r="O324" i="2"/>
  <c r="AA324" i="2"/>
  <c r="Z324" i="2"/>
  <c r="P324" i="2"/>
  <c r="T324" i="2"/>
  <c r="Y324" i="2"/>
  <c r="F324" i="2"/>
  <c r="X324" i="2"/>
  <c r="AQ323" i="2"/>
  <c r="AV323" i="2"/>
  <c r="AX323" i="2"/>
  <c r="AW323" i="2"/>
  <c r="AU323" i="2"/>
  <c r="AT323" i="2"/>
  <c r="AS323" i="2"/>
  <c r="AK323" i="2"/>
  <c r="AE323" i="2"/>
  <c r="AC323" i="2"/>
  <c r="V323" i="2"/>
  <c r="AB323" i="2"/>
  <c r="H323" i="2"/>
  <c r="O323" i="2"/>
  <c r="AA323" i="2"/>
  <c r="Z323" i="2"/>
  <c r="P323" i="2"/>
  <c r="T323" i="2"/>
  <c r="Y323" i="2"/>
  <c r="F323" i="2"/>
  <c r="X323" i="2"/>
  <c r="AQ322" i="2"/>
  <c r="AV322" i="2"/>
  <c r="AX322" i="2"/>
  <c r="AW322" i="2"/>
  <c r="AU322" i="2"/>
  <c r="AT322" i="2"/>
  <c r="AS322" i="2"/>
  <c r="AK322" i="2"/>
  <c r="AE322" i="2"/>
  <c r="AC322" i="2"/>
  <c r="V322" i="2"/>
  <c r="AB322" i="2"/>
  <c r="H322" i="2"/>
  <c r="O322" i="2"/>
  <c r="AA322" i="2"/>
  <c r="Z322" i="2"/>
  <c r="P322" i="2"/>
  <c r="T322" i="2"/>
  <c r="Y322" i="2"/>
  <c r="F322" i="2"/>
  <c r="X322" i="2"/>
  <c r="AQ321" i="2"/>
  <c r="AV321" i="2"/>
  <c r="AX321" i="2"/>
  <c r="AW321" i="2"/>
  <c r="AU321" i="2"/>
  <c r="AT321" i="2"/>
  <c r="AS321" i="2"/>
  <c r="AK321" i="2"/>
  <c r="AE321" i="2"/>
  <c r="AC321" i="2"/>
  <c r="V321" i="2"/>
  <c r="AB321" i="2"/>
  <c r="H321" i="2"/>
  <c r="O321" i="2"/>
  <c r="AA321" i="2"/>
  <c r="Z321" i="2"/>
  <c r="P321" i="2"/>
  <c r="T321" i="2"/>
  <c r="Y321" i="2"/>
  <c r="F321" i="2"/>
  <c r="X321" i="2"/>
  <c r="AQ320" i="2"/>
  <c r="AV320" i="2"/>
  <c r="AX320" i="2"/>
  <c r="AW320" i="2"/>
  <c r="AU320" i="2"/>
  <c r="AT320" i="2"/>
  <c r="AS320" i="2"/>
  <c r="AK320" i="2"/>
  <c r="AE320" i="2"/>
  <c r="AC320" i="2"/>
  <c r="V320" i="2"/>
  <c r="AB320" i="2"/>
  <c r="H320" i="2"/>
  <c r="O320" i="2"/>
  <c r="AA320" i="2"/>
  <c r="Z320" i="2"/>
  <c r="P320" i="2"/>
  <c r="T320" i="2"/>
  <c r="Y320" i="2"/>
  <c r="F320" i="2"/>
  <c r="X320" i="2"/>
  <c r="AQ319" i="2"/>
  <c r="AV319" i="2"/>
  <c r="AX319" i="2"/>
  <c r="AW319" i="2"/>
  <c r="AU319" i="2"/>
  <c r="AT319" i="2"/>
  <c r="AS319" i="2"/>
  <c r="AK319" i="2"/>
  <c r="AE319" i="2"/>
  <c r="AC319" i="2"/>
  <c r="V319" i="2"/>
  <c r="AB319" i="2"/>
  <c r="H319" i="2"/>
  <c r="O319" i="2"/>
  <c r="AA319" i="2"/>
  <c r="Z319" i="2"/>
  <c r="P319" i="2"/>
  <c r="T319" i="2"/>
  <c r="Y319" i="2"/>
  <c r="F319" i="2"/>
  <c r="X319" i="2"/>
  <c r="AQ318" i="2"/>
  <c r="AV318" i="2"/>
  <c r="AX318" i="2"/>
  <c r="AW318" i="2"/>
  <c r="AU318" i="2"/>
  <c r="AT318" i="2"/>
  <c r="AS318" i="2"/>
  <c r="AK318" i="2"/>
  <c r="AE318" i="2"/>
  <c r="AC318" i="2"/>
  <c r="V318" i="2"/>
  <c r="AB318" i="2"/>
  <c r="H318" i="2"/>
  <c r="O318" i="2"/>
  <c r="AA318" i="2"/>
  <c r="Z318" i="2"/>
  <c r="P318" i="2"/>
  <c r="T318" i="2"/>
  <c r="Y318" i="2"/>
  <c r="F318" i="2"/>
  <c r="X318" i="2"/>
  <c r="AQ317" i="2"/>
  <c r="AV317" i="2"/>
  <c r="AX317" i="2"/>
  <c r="AW317" i="2"/>
  <c r="AU317" i="2"/>
  <c r="AT317" i="2"/>
  <c r="AS317" i="2"/>
  <c r="AK317" i="2"/>
  <c r="AE317" i="2"/>
  <c r="AC317" i="2"/>
  <c r="V317" i="2"/>
  <c r="AB317" i="2"/>
  <c r="H317" i="2"/>
  <c r="O317" i="2"/>
  <c r="AA317" i="2"/>
  <c r="Z317" i="2"/>
  <c r="P317" i="2"/>
  <c r="T317" i="2"/>
  <c r="Y317" i="2"/>
  <c r="F317" i="2"/>
  <c r="X317" i="2"/>
  <c r="AQ316" i="2"/>
  <c r="AV316" i="2"/>
  <c r="AX316" i="2"/>
  <c r="AW316" i="2"/>
  <c r="AU316" i="2"/>
  <c r="AT316" i="2"/>
  <c r="AS316" i="2"/>
  <c r="AK316" i="2"/>
  <c r="AE316" i="2"/>
  <c r="AC316" i="2"/>
  <c r="V316" i="2"/>
  <c r="AB316" i="2"/>
  <c r="H316" i="2"/>
  <c r="O316" i="2"/>
  <c r="AA316" i="2"/>
  <c r="Z316" i="2"/>
  <c r="P316" i="2"/>
  <c r="T316" i="2"/>
  <c r="Y316" i="2"/>
  <c r="F316" i="2"/>
  <c r="X316" i="2"/>
  <c r="AQ315" i="2"/>
  <c r="AV315" i="2"/>
  <c r="AX315" i="2"/>
  <c r="AW315" i="2"/>
  <c r="AU315" i="2"/>
  <c r="AT315" i="2"/>
  <c r="AS315" i="2"/>
  <c r="AK315" i="2"/>
  <c r="AE315" i="2"/>
  <c r="AC315" i="2"/>
  <c r="V315" i="2"/>
  <c r="AB315" i="2"/>
  <c r="H315" i="2"/>
  <c r="O315" i="2"/>
  <c r="AA315" i="2"/>
  <c r="Z315" i="2"/>
  <c r="P315" i="2"/>
  <c r="T315" i="2"/>
  <c r="Y315" i="2"/>
  <c r="F315" i="2"/>
  <c r="X315" i="2"/>
  <c r="AQ314" i="2"/>
  <c r="AV314" i="2"/>
  <c r="AX314" i="2"/>
  <c r="AW314" i="2"/>
  <c r="AU314" i="2"/>
  <c r="AT314" i="2"/>
  <c r="AS314" i="2"/>
  <c r="AK314" i="2"/>
  <c r="AE314" i="2"/>
  <c r="AC314" i="2"/>
  <c r="V314" i="2"/>
  <c r="AB314" i="2"/>
  <c r="H314" i="2"/>
  <c r="O314" i="2"/>
  <c r="AA314" i="2"/>
  <c r="Z314" i="2"/>
  <c r="P314" i="2"/>
  <c r="T314" i="2"/>
  <c r="Y314" i="2"/>
  <c r="F314" i="2"/>
  <c r="X314" i="2"/>
  <c r="AQ313" i="2"/>
  <c r="AV313" i="2"/>
  <c r="AX313" i="2"/>
  <c r="AW313" i="2"/>
  <c r="AU313" i="2"/>
  <c r="AT313" i="2"/>
  <c r="AS313" i="2"/>
  <c r="AK313" i="2"/>
  <c r="AE313" i="2"/>
  <c r="AC313" i="2"/>
  <c r="V313" i="2"/>
  <c r="AB313" i="2"/>
  <c r="H313" i="2"/>
  <c r="O313" i="2"/>
  <c r="AA313" i="2"/>
  <c r="Z313" i="2"/>
  <c r="P313" i="2"/>
  <c r="T313" i="2"/>
  <c r="Y313" i="2"/>
  <c r="F313" i="2"/>
  <c r="X313" i="2"/>
  <c r="AQ312" i="2"/>
  <c r="AV312" i="2"/>
  <c r="AX312" i="2"/>
  <c r="AW312" i="2"/>
  <c r="AU312" i="2"/>
  <c r="AT312" i="2"/>
  <c r="AS312" i="2"/>
  <c r="AK312" i="2"/>
  <c r="AE312" i="2"/>
  <c r="AC312" i="2"/>
  <c r="V312" i="2"/>
  <c r="AB312" i="2"/>
  <c r="H312" i="2"/>
  <c r="O312" i="2"/>
  <c r="AA312" i="2"/>
  <c r="Z312" i="2"/>
  <c r="P312" i="2"/>
  <c r="T312" i="2"/>
  <c r="Y312" i="2"/>
  <c r="F312" i="2"/>
  <c r="X312" i="2"/>
  <c r="AQ311" i="2"/>
  <c r="AV311" i="2"/>
  <c r="AX311" i="2"/>
  <c r="AW311" i="2"/>
  <c r="AU311" i="2"/>
  <c r="AT311" i="2"/>
  <c r="AS311" i="2"/>
  <c r="AK311" i="2"/>
  <c r="AE311" i="2"/>
  <c r="AC311" i="2"/>
  <c r="V311" i="2"/>
  <c r="AB311" i="2"/>
  <c r="H311" i="2"/>
  <c r="O311" i="2"/>
  <c r="AA311" i="2"/>
  <c r="Z311" i="2"/>
  <c r="P311" i="2"/>
  <c r="T311" i="2"/>
  <c r="Y311" i="2"/>
  <c r="F311" i="2"/>
  <c r="X311" i="2"/>
  <c r="AQ310" i="2"/>
  <c r="AV310" i="2"/>
  <c r="AX310" i="2"/>
  <c r="AW310" i="2"/>
  <c r="AU310" i="2"/>
  <c r="AT310" i="2"/>
  <c r="AS310" i="2"/>
  <c r="AK310" i="2"/>
  <c r="AE310" i="2"/>
  <c r="AC310" i="2"/>
  <c r="V310" i="2"/>
  <c r="AB310" i="2"/>
  <c r="H310" i="2"/>
  <c r="O310" i="2"/>
  <c r="AA310" i="2"/>
  <c r="Z310" i="2"/>
  <c r="P310" i="2"/>
  <c r="T310" i="2"/>
  <c r="Y310" i="2"/>
  <c r="F310" i="2"/>
  <c r="X310" i="2"/>
  <c r="AQ309" i="2"/>
  <c r="AV309" i="2"/>
  <c r="AX309" i="2"/>
  <c r="AW309" i="2"/>
  <c r="AU309" i="2"/>
  <c r="AT309" i="2"/>
  <c r="AS309" i="2"/>
  <c r="AK309" i="2"/>
  <c r="AE309" i="2"/>
  <c r="AC309" i="2"/>
  <c r="V309" i="2"/>
  <c r="AB309" i="2"/>
  <c r="H309" i="2"/>
  <c r="O309" i="2"/>
  <c r="AA309" i="2"/>
  <c r="Z309" i="2"/>
  <c r="P309" i="2"/>
  <c r="T309" i="2"/>
  <c r="Y309" i="2"/>
  <c r="F309" i="2"/>
  <c r="X309" i="2"/>
  <c r="AQ308" i="2"/>
  <c r="AV308" i="2"/>
  <c r="AX308" i="2"/>
  <c r="AW308" i="2"/>
  <c r="AU308" i="2"/>
  <c r="AT308" i="2"/>
  <c r="AS308" i="2"/>
  <c r="AK308" i="2"/>
  <c r="AE308" i="2"/>
  <c r="AC308" i="2"/>
  <c r="V308" i="2"/>
  <c r="AB308" i="2"/>
  <c r="H308" i="2"/>
  <c r="O308" i="2"/>
  <c r="AA308" i="2"/>
  <c r="Z308" i="2"/>
  <c r="P308" i="2"/>
  <c r="T308" i="2"/>
  <c r="Y308" i="2"/>
  <c r="F308" i="2"/>
  <c r="X308" i="2"/>
  <c r="AQ307" i="2"/>
  <c r="AV307" i="2"/>
  <c r="AX307" i="2"/>
  <c r="AW307" i="2"/>
  <c r="AU307" i="2"/>
  <c r="AT307" i="2"/>
  <c r="AS307" i="2"/>
  <c r="AK307" i="2"/>
  <c r="AE307" i="2"/>
  <c r="AC307" i="2"/>
  <c r="V307" i="2"/>
  <c r="AB307" i="2"/>
  <c r="H307" i="2"/>
  <c r="O307" i="2"/>
  <c r="AA307" i="2"/>
  <c r="Z307" i="2"/>
  <c r="P307" i="2"/>
  <c r="T307" i="2"/>
  <c r="Y307" i="2"/>
  <c r="F307" i="2"/>
  <c r="X307" i="2"/>
  <c r="AQ306" i="2"/>
  <c r="AV306" i="2"/>
  <c r="AX306" i="2"/>
  <c r="AW306" i="2"/>
  <c r="AU306" i="2"/>
  <c r="AT306" i="2"/>
  <c r="AS306" i="2"/>
  <c r="AK306" i="2"/>
  <c r="AE306" i="2"/>
  <c r="AC306" i="2"/>
  <c r="V306" i="2"/>
  <c r="AB306" i="2"/>
  <c r="H306" i="2"/>
  <c r="O306" i="2"/>
  <c r="AA306" i="2"/>
  <c r="Z306" i="2"/>
  <c r="P306" i="2"/>
  <c r="T306" i="2"/>
  <c r="Y306" i="2"/>
  <c r="F306" i="2"/>
  <c r="X306" i="2"/>
  <c r="AQ305" i="2"/>
  <c r="AV305" i="2"/>
  <c r="AX305" i="2"/>
  <c r="AW305" i="2"/>
  <c r="AU305" i="2"/>
  <c r="AT305" i="2"/>
  <c r="AS305" i="2"/>
  <c r="AK305" i="2"/>
  <c r="AE305" i="2"/>
  <c r="AC305" i="2"/>
  <c r="V305" i="2"/>
  <c r="AB305" i="2"/>
  <c r="H305" i="2"/>
  <c r="O305" i="2"/>
  <c r="AA305" i="2"/>
  <c r="Z305" i="2"/>
  <c r="P305" i="2"/>
  <c r="T305" i="2"/>
  <c r="Y305" i="2"/>
  <c r="F305" i="2"/>
  <c r="X305" i="2"/>
  <c r="AQ304" i="2"/>
  <c r="AV304" i="2"/>
  <c r="AX304" i="2"/>
  <c r="AW304" i="2"/>
  <c r="AU304" i="2"/>
  <c r="AT304" i="2"/>
  <c r="AS304" i="2"/>
  <c r="AK304" i="2"/>
  <c r="AE304" i="2"/>
  <c r="AC304" i="2"/>
  <c r="V304" i="2"/>
  <c r="AB304" i="2"/>
  <c r="H304" i="2"/>
  <c r="O304" i="2"/>
  <c r="AA304" i="2"/>
  <c r="Z304" i="2"/>
  <c r="P304" i="2"/>
  <c r="T304" i="2"/>
  <c r="Y304" i="2"/>
  <c r="F304" i="2"/>
  <c r="X304" i="2"/>
  <c r="AQ303" i="2"/>
  <c r="AV303" i="2"/>
  <c r="AX303" i="2"/>
  <c r="AW303" i="2"/>
  <c r="AU303" i="2"/>
  <c r="AT303" i="2"/>
  <c r="AS303" i="2"/>
  <c r="AK303" i="2"/>
  <c r="AE303" i="2"/>
  <c r="AC303" i="2"/>
  <c r="V303" i="2"/>
  <c r="AB303" i="2"/>
  <c r="H303" i="2"/>
  <c r="O303" i="2"/>
  <c r="AA303" i="2"/>
  <c r="Z303" i="2"/>
  <c r="P303" i="2"/>
  <c r="T303" i="2"/>
  <c r="Y303" i="2"/>
  <c r="F303" i="2"/>
  <c r="X303" i="2"/>
  <c r="AQ302" i="2"/>
  <c r="AV302" i="2"/>
  <c r="AX302" i="2"/>
  <c r="AW302" i="2"/>
  <c r="AU302" i="2"/>
  <c r="AT302" i="2"/>
  <c r="AS302" i="2"/>
  <c r="AK302" i="2"/>
  <c r="AE302" i="2"/>
  <c r="AC302" i="2"/>
  <c r="V302" i="2"/>
  <c r="AB302" i="2"/>
  <c r="H302" i="2"/>
  <c r="O302" i="2"/>
  <c r="AA302" i="2"/>
  <c r="Z302" i="2"/>
  <c r="P302" i="2"/>
  <c r="T302" i="2"/>
  <c r="Y302" i="2"/>
  <c r="F302" i="2"/>
  <c r="X302" i="2"/>
  <c r="AQ301" i="2"/>
  <c r="AV301" i="2"/>
  <c r="AX301" i="2"/>
  <c r="AW301" i="2"/>
  <c r="AU301" i="2"/>
  <c r="AT301" i="2"/>
  <c r="AS301" i="2"/>
  <c r="AK301" i="2"/>
  <c r="AE301" i="2"/>
  <c r="AC301" i="2"/>
  <c r="V301" i="2"/>
  <c r="AB301" i="2"/>
  <c r="H301" i="2"/>
  <c r="O301" i="2"/>
  <c r="AA301" i="2"/>
  <c r="Z301" i="2"/>
  <c r="P301" i="2"/>
  <c r="T301" i="2"/>
  <c r="Y301" i="2"/>
  <c r="F301" i="2"/>
  <c r="X301" i="2"/>
  <c r="AQ300" i="2"/>
  <c r="AV300" i="2"/>
  <c r="AX300" i="2"/>
  <c r="AW300" i="2"/>
  <c r="AU300" i="2"/>
  <c r="AT300" i="2"/>
  <c r="AS300" i="2"/>
  <c r="AK300" i="2"/>
  <c r="AE300" i="2"/>
  <c r="AC300" i="2"/>
  <c r="V300" i="2"/>
  <c r="AB300" i="2"/>
  <c r="H300" i="2"/>
  <c r="O300" i="2"/>
  <c r="AA300" i="2"/>
  <c r="Z300" i="2"/>
  <c r="P300" i="2"/>
  <c r="T300" i="2"/>
  <c r="Y300" i="2"/>
  <c r="F300" i="2"/>
  <c r="X300" i="2"/>
  <c r="AQ299" i="2"/>
  <c r="AV299" i="2"/>
  <c r="AX299" i="2"/>
  <c r="AW299" i="2"/>
  <c r="AU299" i="2"/>
  <c r="AT299" i="2"/>
  <c r="AS299" i="2"/>
  <c r="AK299" i="2"/>
  <c r="AE299" i="2"/>
  <c r="AC299" i="2"/>
  <c r="V299" i="2"/>
  <c r="AB299" i="2"/>
  <c r="H299" i="2"/>
  <c r="O299" i="2"/>
  <c r="AA299" i="2"/>
  <c r="Z299" i="2"/>
  <c r="P299" i="2"/>
  <c r="T299" i="2"/>
  <c r="Y299" i="2"/>
  <c r="F299" i="2"/>
  <c r="X299" i="2"/>
  <c r="AQ298" i="2"/>
  <c r="AV298" i="2"/>
  <c r="AX298" i="2"/>
  <c r="AW298" i="2"/>
  <c r="AU298" i="2"/>
  <c r="AT298" i="2"/>
  <c r="AS298" i="2"/>
  <c r="AK298" i="2"/>
  <c r="AE298" i="2"/>
  <c r="AC298" i="2"/>
  <c r="V298" i="2"/>
  <c r="AB298" i="2"/>
  <c r="H298" i="2"/>
  <c r="O298" i="2"/>
  <c r="AA298" i="2"/>
  <c r="Z298" i="2"/>
  <c r="P298" i="2"/>
  <c r="T298" i="2"/>
  <c r="Y298" i="2"/>
  <c r="F298" i="2"/>
  <c r="X298" i="2"/>
  <c r="AQ297" i="2"/>
  <c r="AV297" i="2"/>
  <c r="AX297" i="2"/>
  <c r="AW297" i="2"/>
  <c r="AU297" i="2"/>
  <c r="AT297" i="2"/>
  <c r="AS297" i="2"/>
  <c r="AK297" i="2"/>
  <c r="AE297" i="2"/>
  <c r="AC297" i="2"/>
  <c r="V297" i="2"/>
  <c r="AB297" i="2"/>
  <c r="H297" i="2"/>
  <c r="O297" i="2"/>
  <c r="AA297" i="2"/>
  <c r="Z297" i="2"/>
  <c r="P297" i="2"/>
  <c r="T297" i="2"/>
  <c r="Y297" i="2"/>
  <c r="F297" i="2"/>
  <c r="X297" i="2"/>
  <c r="AQ296" i="2"/>
  <c r="AV296" i="2"/>
  <c r="AX296" i="2"/>
  <c r="AW296" i="2"/>
  <c r="AU296" i="2"/>
  <c r="AT296" i="2"/>
  <c r="AS296" i="2"/>
  <c r="AK296" i="2"/>
  <c r="AE296" i="2"/>
  <c r="AC296" i="2"/>
  <c r="V296" i="2"/>
  <c r="AB296" i="2"/>
  <c r="H296" i="2"/>
  <c r="O296" i="2"/>
  <c r="AA296" i="2"/>
  <c r="Z296" i="2"/>
  <c r="P296" i="2"/>
  <c r="T296" i="2"/>
  <c r="Y296" i="2"/>
  <c r="F296" i="2"/>
  <c r="X296" i="2"/>
  <c r="AQ295" i="2"/>
  <c r="AV295" i="2"/>
  <c r="AX295" i="2"/>
  <c r="AW295" i="2"/>
  <c r="AU295" i="2"/>
  <c r="AT295" i="2"/>
  <c r="AS295" i="2"/>
  <c r="AK295" i="2"/>
  <c r="AE295" i="2"/>
  <c r="AC295" i="2"/>
  <c r="V295" i="2"/>
  <c r="AB295" i="2"/>
  <c r="H295" i="2"/>
  <c r="O295" i="2"/>
  <c r="AA295" i="2"/>
  <c r="Z295" i="2"/>
  <c r="P295" i="2"/>
  <c r="T295" i="2"/>
  <c r="Y295" i="2"/>
  <c r="F295" i="2"/>
  <c r="X295" i="2"/>
  <c r="AQ294" i="2"/>
  <c r="AV294" i="2"/>
  <c r="AX294" i="2"/>
  <c r="AW294" i="2"/>
  <c r="AU294" i="2"/>
  <c r="AT294" i="2"/>
  <c r="AS294" i="2"/>
  <c r="AK294" i="2"/>
  <c r="AE294" i="2"/>
  <c r="AC294" i="2"/>
  <c r="V294" i="2"/>
  <c r="AB294" i="2"/>
  <c r="H294" i="2"/>
  <c r="O294" i="2"/>
  <c r="AA294" i="2"/>
  <c r="Z294" i="2"/>
  <c r="P294" i="2"/>
  <c r="T294" i="2"/>
  <c r="Y294" i="2"/>
  <c r="F294" i="2"/>
  <c r="X294" i="2"/>
  <c r="AQ293" i="2"/>
  <c r="AV293" i="2"/>
  <c r="AX293" i="2"/>
  <c r="AW293" i="2"/>
  <c r="AU293" i="2"/>
  <c r="AT293" i="2"/>
  <c r="AS293" i="2"/>
  <c r="AK293" i="2"/>
  <c r="AE293" i="2"/>
  <c r="AC293" i="2"/>
  <c r="V293" i="2"/>
  <c r="AB293" i="2"/>
  <c r="H293" i="2"/>
  <c r="O293" i="2"/>
  <c r="AA293" i="2"/>
  <c r="Z293" i="2"/>
  <c r="P293" i="2"/>
  <c r="T293" i="2"/>
  <c r="Y293" i="2"/>
  <c r="F293" i="2"/>
  <c r="X293" i="2"/>
  <c r="AQ292" i="2"/>
  <c r="AV292" i="2"/>
  <c r="AX292" i="2"/>
  <c r="AW292" i="2"/>
  <c r="AU292" i="2"/>
  <c r="AT292" i="2"/>
  <c r="AS292" i="2"/>
  <c r="AK292" i="2"/>
  <c r="AE292" i="2"/>
  <c r="AC292" i="2"/>
  <c r="V292" i="2"/>
  <c r="AB292" i="2"/>
  <c r="H292" i="2"/>
  <c r="O292" i="2"/>
  <c r="AA292" i="2"/>
  <c r="Z292" i="2"/>
  <c r="P292" i="2"/>
  <c r="T292" i="2"/>
  <c r="Y292" i="2"/>
  <c r="F292" i="2"/>
  <c r="X292" i="2"/>
  <c r="AQ291" i="2"/>
  <c r="AV291" i="2"/>
  <c r="AX291" i="2"/>
  <c r="AW291" i="2"/>
  <c r="AU291" i="2"/>
  <c r="AT291" i="2"/>
  <c r="AS291" i="2"/>
  <c r="AK291" i="2"/>
  <c r="AE291" i="2"/>
  <c r="AC291" i="2"/>
  <c r="V291" i="2"/>
  <c r="AB291" i="2"/>
  <c r="H291" i="2"/>
  <c r="O291" i="2"/>
  <c r="AA291" i="2"/>
  <c r="Z291" i="2"/>
  <c r="P291" i="2"/>
  <c r="T291" i="2"/>
  <c r="Y291" i="2"/>
  <c r="F291" i="2"/>
  <c r="X291" i="2"/>
  <c r="AQ290" i="2"/>
  <c r="AV290" i="2"/>
  <c r="AX290" i="2"/>
  <c r="AW290" i="2"/>
  <c r="AU290" i="2"/>
  <c r="AT290" i="2"/>
  <c r="AS290" i="2"/>
  <c r="AK290" i="2"/>
  <c r="AE290" i="2"/>
  <c r="AC290" i="2"/>
  <c r="V290" i="2"/>
  <c r="AB290" i="2"/>
  <c r="H290" i="2"/>
  <c r="O290" i="2"/>
  <c r="AA290" i="2"/>
  <c r="Z290" i="2"/>
  <c r="P290" i="2"/>
  <c r="T290" i="2"/>
  <c r="Y290" i="2"/>
  <c r="F290" i="2"/>
  <c r="X290" i="2"/>
  <c r="AQ289" i="2"/>
  <c r="AV289" i="2"/>
  <c r="AX289" i="2"/>
  <c r="AW289" i="2"/>
  <c r="AU289" i="2"/>
  <c r="AT289" i="2"/>
  <c r="AS289" i="2"/>
  <c r="AK289" i="2"/>
  <c r="AE289" i="2"/>
  <c r="AC289" i="2"/>
  <c r="V289" i="2"/>
  <c r="AB289" i="2"/>
  <c r="H289" i="2"/>
  <c r="O289" i="2"/>
  <c r="AA289" i="2"/>
  <c r="Z289" i="2"/>
  <c r="P289" i="2"/>
  <c r="T289" i="2"/>
  <c r="Y289" i="2"/>
  <c r="F289" i="2"/>
  <c r="X289" i="2"/>
  <c r="AQ288" i="2"/>
  <c r="AV288" i="2"/>
  <c r="AX288" i="2"/>
  <c r="AW288" i="2"/>
  <c r="AU288" i="2"/>
  <c r="AT288" i="2"/>
  <c r="AS288" i="2"/>
  <c r="AK288" i="2"/>
  <c r="AE288" i="2"/>
  <c r="AC288" i="2"/>
  <c r="V288" i="2"/>
  <c r="AB288" i="2"/>
  <c r="H288" i="2"/>
  <c r="O288" i="2"/>
  <c r="AA288" i="2"/>
  <c r="Z288" i="2"/>
  <c r="P288" i="2"/>
  <c r="T288" i="2"/>
  <c r="Y288" i="2"/>
  <c r="F288" i="2"/>
  <c r="X288" i="2"/>
  <c r="AQ287" i="2"/>
  <c r="AV287" i="2"/>
  <c r="AX287" i="2"/>
  <c r="AW287" i="2"/>
  <c r="AU287" i="2"/>
  <c r="AT287" i="2"/>
  <c r="AS287" i="2"/>
  <c r="AK287" i="2"/>
  <c r="AE287" i="2"/>
  <c r="AC287" i="2"/>
  <c r="V287" i="2"/>
  <c r="AB287" i="2"/>
  <c r="H287" i="2"/>
  <c r="O287" i="2"/>
  <c r="AA287" i="2"/>
  <c r="Z287" i="2"/>
  <c r="P287" i="2"/>
  <c r="T287" i="2"/>
  <c r="Y287" i="2"/>
  <c r="F287" i="2"/>
  <c r="X287" i="2"/>
  <c r="AQ286" i="2"/>
  <c r="AV286" i="2"/>
  <c r="AX286" i="2"/>
  <c r="AW286" i="2"/>
  <c r="AU286" i="2"/>
  <c r="AT286" i="2"/>
  <c r="AS286" i="2"/>
  <c r="AK286" i="2"/>
  <c r="AE286" i="2"/>
  <c r="AC286" i="2"/>
  <c r="V286" i="2"/>
  <c r="AB286" i="2"/>
  <c r="H286" i="2"/>
  <c r="O286" i="2"/>
  <c r="AA286" i="2"/>
  <c r="Z286" i="2"/>
  <c r="P286" i="2"/>
  <c r="T286" i="2"/>
  <c r="Y286" i="2"/>
  <c r="F286" i="2"/>
  <c r="X286" i="2"/>
  <c r="AQ285" i="2"/>
  <c r="AV285" i="2"/>
  <c r="AX285" i="2"/>
  <c r="AW285" i="2"/>
  <c r="AU285" i="2"/>
  <c r="AT285" i="2"/>
  <c r="AS285" i="2"/>
  <c r="AK285" i="2"/>
  <c r="AE285" i="2"/>
  <c r="AC285" i="2"/>
  <c r="V285" i="2"/>
  <c r="AB285" i="2"/>
  <c r="H285" i="2"/>
  <c r="O285" i="2"/>
  <c r="AA285" i="2"/>
  <c r="Z285" i="2"/>
  <c r="P285" i="2"/>
  <c r="T285" i="2"/>
  <c r="Y285" i="2"/>
  <c r="F285" i="2"/>
  <c r="X285" i="2"/>
  <c r="AQ284" i="2"/>
  <c r="AV284" i="2"/>
  <c r="AX284" i="2"/>
  <c r="AW284" i="2"/>
  <c r="AU284" i="2"/>
  <c r="AT284" i="2"/>
  <c r="AS284" i="2"/>
  <c r="AK284" i="2"/>
  <c r="AE284" i="2"/>
  <c r="AC284" i="2"/>
  <c r="V284" i="2"/>
  <c r="AB284" i="2"/>
  <c r="H284" i="2"/>
  <c r="O284" i="2"/>
  <c r="AA284" i="2"/>
  <c r="Z284" i="2"/>
  <c r="P284" i="2"/>
  <c r="T284" i="2"/>
  <c r="Y284" i="2"/>
  <c r="F284" i="2"/>
  <c r="X284" i="2"/>
  <c r="AQ283" i="2"/>
  <c r="AV283" i="2"/>
  <c r="AX283" i="2"/>
  <c r="AW283" i="2"/>
  <c r="AU283" i="2"/>
  <c r="AT283" i="2"/>
  <c r="AS283" i="2"/>
  <c r="AK283" i="2"/>
  <c r="AE283" i="2"/>
  <c r="AC283" i="2"/>
  <c r="V283" i="2"/>
  <c r="AB283" i="2"/>
  <c r="H283" i="2"/>
  <c r="O283" i="2"/>
  <c r="AA283" i="2"/>
  <c r="Z283" i="2"/>
  <c r="P283" i="2"/>
  <c r="T283" i="2"/>
  <c r="Y283" i="2"/>
  <c r="F283" i="2"/>
  <c r="X283" i="2"/>
  <c r="AQ282" i="2"/>
  <c r="AV282" i="2"/>
  <c r="AX282" i="2"/>
  <c r="AW282" i="2"/>
  <c r="AU282" i="2"/>
  <c r="AT282" i="2"/>
  <c r="AS282" i="2"/>
  <c r="AK282" i="2"/>
  <c r="AE282" i="2"/>
  <c r="AC282" i="2"/>
  <c r="V282" i="2"/>
  <c r="AB282" i="2"/>
  <c r="H282" i="2"/>
  <c r="O282" i="2"/>
  <c r="AA282" i="2"/>
  <c r="Z282" i="2"/>
  <c r="P282" i="2"/>
  <c r="T282" i="2"/>
  <c r="Y282" i="2"/>
  <c r="F282" i="2"/>
  <c r="X282" i="2"/>
  <c r="AQ281" i="2"/>
  <c r="AV281" i="2"/>
  <c r="AX281" i="2"/>
  <c r="AW281" i="2"/>
  <c r="AU281" i="2"/>
  <c r="AT281" i="2"/>
  <c r="AS281" i="2"/>
  <c r="AK281" i="2"/>
  <c r="AE281" i="2"/>
  <c r="AC281" i="2"/>
  <c r="V281" i="2"/>
  <c r="AB281" i="2"/>
  <c r="H281" i="2"/>
  <c r="O281" i="2"/>
  <c r="AA281" i="2"/>
  <c r="Z281" i="2"/>
  <c r="P281" i="2"/>
  <c r="T281" i="2"/>
  <c r="Y281" i="2"/>
  <c r="F281" i="2"/>
  <c r="X281" i="2"/>
  <c r="AQ280" i="2"/>
  <c r="AV280" i="2"/>
  <c r="AX280" i="2"/>
  <c r="AW280" i="2"/>
  <c r="AU280" i="2"/>
  <c r="AT280" i="2"/>
  <c r="AS280" i="2"/>
  <c r="AK280" i="2"/>
  <c r="AE280" i="2"/>
  <c r="AC280" i="2"/>
  <c r="V280" i="2"/>
  <c r="AB280" i="2"/>
  <c r="H280" i="2"/>
  <c r="O280" i="2"/>
  <c r="AA280" i="2"/>
  <c r="Z280" i="2"/>
  <c r="P280" i="2"/>
  <c r="T280" i="2"/>
  <c r="Y280" i="2"/>
  <c r="F280" i="2"/>
  <c r="X280" i="2"/>
  <c r="AQ279" i="2"/>
  <c r="AV279" i="2"/>
  <c r="AX279" i="2"/>
  <c r="AW279" i="2"/>
  <c r="AU279" i="2"/>
  <c r="AT279" i="2"/>
  <c r="AS279" i="2"/>
  <c r="AK279" i="2"/>
  <c r="AE279" i="2"/>
  <c r="AC279" i="2"/>
  <c r="V279" i="2"/>
  <c r="AB279" i="2"/>
  <c r="H279" i="2"/>
  <c r="O279" i="2"/>
  <c r="AA279" i="2"/>
  <c r="Z279" i="2"/>
  <c r="P279" i="2"/>
  <c r="T279" i="2"/>
  <c r="Y279" i="2"/>
  <c r="F279" i="2"/>
  <c r="X279" i="2"/>
  <c r="AQ278" i="2"/>
  <c r="AV278" i="2"/>
  <c r="AX278" i="2"/>
  <c r="AW278" i="2"/>
  <c r="AU278" i="2"/>
  <c r="AT278" i="2"/>
  <c r="AS278" i="2"/>
  <c r="AK278" i="2"/>
  <c r="AE278" i="2"/>
  <c r="AC278" i="2"/>
  <c r="V278" i="2"/>
  <c r="AB278" i="2"/>
  <c r="H278" i="2"/>
  <c r="O278" i="2"/>
  <c r="AA278" i="2"/>
  <c r="Z278" i="2"/>
  <c r="P278" i="2"/>
  <c r="T278" i="2"/>
  <c r="Y278" i="2"/>
  <c r="F278" i="2"/>
  <c r="X278" i="2"/>
  <c r="AQ277" i="2"/>
  <c r="AV277" i="2"/>
  <c r="AX277" i="2"/>
  <c r="AW277" i="2"/>
  <c r="AU277" i="2"/>
  <c r="AT277" i="2"/>
  <c r="AS277" i="2"/>
  <c r="AK277" i="2"/>
  <c r="AE277" i="2"/>
  <c r="AC277" i="2"/>
  <c r="V277" i="2"/>
  <c r="AB277" i="2"/>
  <c r="H277" i="2"/>
  <c r="O277" i="2"/>
  <c r="AA277" i="2"/>
  <c r="Z277" i="2"/>
  <c r="P277" i="2"/>
  <c r="T277" i="2"/>
  <c r="Y277" i="2"/>
  <c r="F277" i="2"/>
  <c r="X277" i="2"/>
  <c r="AQ276" i="2"/>
  <c r="AV276" i="2"/>
  <c r="AX276" i="2"/>
  <c r="AW276" i="2"/>
  <c r="AU276" i="2"/>
  <c r="AT276" i="2"/>
  <c r="AS276" i="2"/>
  <c r="AK276" i="2"/>
  <c r="AE276" i="2"/>
  <c r="AC276" i="2"/>
  <c r="V276" i="2"/>
  <c r="AB276" i="2"/>
  <c r="H276" i="2"/>
  <c r="O276" i="2"/>
  <c r="AA276" i="2"/>
  <c r="Z276" i="2"/>
  <c r="P276" i="2"/>
  <c r="T276" i="2"/>
  <c r="Y276" i="2"/>
  <c r="F276" i="2"/>
  <c r="X276" i="2"/>
  <c r="AQ275" i="2"/>
  <c r="AV275" i="2"/>
  <c r="AX275" i="2"/>
  <c r="AW275" i="2"/>
  <c r="AU275" i="2"/>
  <c r="AT275" i="2"/>
  <c r="AS275" i="2"/>
  <c r="AK275" i="2"/>
  <c r="AE275" i="2"/>
  <c r="AC275" i="2"/>
  <c r="V275" i="2"/>
  <c r="AB275" i="2"/>
  <c r="H275" i="2"/>
  <c r="O275" i="2"/>
  <c r="AA275" i="2"/>
  <c r="Z275" i="2"/>
  <c r="P275" i="2"/>
  <c r="T275" i="2"/>
  <c r="Y275" i="2"/>
  <c r="F275" i="2"/>
  <c r="X275" i="2"/>
  <c r="AQ274" i="2"/>
  <c r="AV274" i="2"/>
  <c r="AX274" i="2"/>
  <c r="AW274" i="2"/>
  <c r="AU274" i="2"/>
  <c r="AT274" i="2"/>
  <c r="AS274" i="2"/>
  <c r="AK274" i="2"/>
  <c r="AE274" i="2"/>
  <c r="AC274" i="2"/>
  <c r="V274" i="2"/>
  <c r="AB274" i="2"/>
  <c r="H274" i="2"/>
  <c r="O274" i="2"/>
  <c r="AA274" i="2"/>
  <c r="Z274" i="2"/>
  <c r="P274" i="2"/>
  <c r="T274" i="2"/>
  <c r="Y274" i="2"/>
  <c r="F274" i="2"/>
  <c r="X274" i="2"/>
  <c r="AQ273" i="2"/>
  <c r="AV273" i="2"/>
  <c r="AX273" i="2"/>
  <c r="AW273" i="2"/>
  <c r="AU273" i="2"/>
  <c r="AT273" i="2"/>
  <c r="AS273" i="2"/>
  <c r="AK273" i="2"/>
  <c r="AE273" i="2"/>
  <c r="AC273" i="2"/>
  <c r="V273" i="2"/>
  <c r="AB273" i="2"/>
  <c r="H273" i="2"/>
  <c r="O273" i="2"/>
  <c r="AA273" i="2"/>
  <c r="Z273" i="2"/>
  <c r="P273" i="2"/>
  <c r="T273" i="2"/>
  <c r="Y273" i="2"/>
  <c r="F273" i="2"/>
  <c r="X273" i="2"/>
  <c r="AQ272" i="2"/>
  <c r="AV272" i="2"/>
  <c r="AX272" i="2"/>
  <c r="AW272" i="2"/>
  <c r="AU272" i="2"/>
  <c r="AT272" i="2"/>
  <c r="AS272" i="2"/>
  <c r="AK272" i="2"/>
  <c r="AE272" i="2"/>
  <c r="AC272" i="2"/>
  <c r="V272" i="2"/>
  <c r="AB272" i="2"/>
  <c r="H272" i="2"/>
  <c r="O272" i="2"/>
  <c r="AA272" i="2"/>
  <c r="Z272" i="2"/>
  <c r="P272" i="2"/>
  <c r="T272" i="2"/>
  <c r="Y272" i="2"/>
  <c r="F272" i="2"/>
  <c r="X272" i="2"/>
  <c r="AQ271" i="2"/>
  <c r="AV271" i="2"/>
  <c r="AX271" i="2"/>
  <c r="AW271" i="2"/>
  <c r="AU271" i="2"/>
  <c r="AT271" i="2"/>
  <c r="AS271" i="2"/>
  <c r="AK271" i="2"/>
  <c r="AE271" i="2"/>
  <c r="AC271" i="2"/>
  <c r="V271" i="2"/>
  <c r="AB271" i="2"/>
  <c r="H271" i="2"/>
  <c r="O271" i="2"/>
  <c r="AA271" i="2"/>
  <c r="Z271" i="2"/>
  <c r="P271" i="2"/>
  <c r="T271" i="2"/>
  <c r="Y271" i="2"/>
  <c r="F271" i="2"/>
  <c r="X271" i="2"/>
  <c r="AQ270" i="2"/>
  <c r="AV270" i="2"/>
  <c r="AX270" i="2"/>
  <c r="AW270" i="2"/>
  <c r="AU270" i="2"/>
  <c r="AT270" i="2"/>
  <c r="AS270" i="2"/>
  <c r="AK270" i="2"/>
  <c r="AE270" i="2"/>
  <c r="AC270" i="2"/>
  <c r="V270" i="2"/>
  <c r="AB270" i="2"/>
  <c r="H270" i="2"/>
  <c r="O270" i="2"/>
  <c r="AA270" i="2"/>
  <c r="Z270" i="2"/>
  <c r="P270" i="2"/>
  <c r="T270" i="2"/>
  <c r="Y270" i="2"/>
  <c r="F270" i="2"/>
  <c r="X270" i="2"/>
  <c r="AQ269" i="2"/>
  <c r="AV269" i="2"/>
  <c r="AX269" i="2"/>
  <c r="AW269" i="2"/>
  <c r="AU269" i="2"/>
  <c r="AT269" i="2"/>
  <c r="AS269" i="2"/>
  <c r="AK269" i="2"/>
  <c r="AE269" i="2"/>
  <c r="AC269" i="2"/>
  <c r="V269" i="2"/>
  <c r="AB269" i="2"/>
  <c r="H269" i="2"/>
  <c r="O269" i="2"/>
  <c r="AA269" i="2"/>
  <c r="Z269" i="2"/>
  <c r="P269" i="2"/>
  <c r="T269" i="2"/>
  <c r="Y269" i="2"/>
  <c r="F269" i="2"/>
  <c r="X269" i="2"/>
  <c r="AQ268" i="2"/>
  <c r="AV268" i="2"/>
  <c r="AX268" i="2"/>
  <c r="AW268" i="2"/>
  <c r="AU268" i="2"/>
  <c r="AT268" i="2"/>
  <c r="AS268" i="2"/>
  <c r="AK268" i="2"/>
  <c r="AE268" i="2"/>
  <c r="AC268" i="2"/>
  <c r="V268" i="2"/>
  <c r="AB268" i="2"/>
  <c r="H268" i="2"/>
  <c r="O268" i="2"/>
  <c r="AA268" i="2"/>
  <c r="Z268" i="2"/>
  <c r="P268" i="2"/>
  <c r="T268" i="2"/>
  <c r="Y268" i="2"/>
  <c r="F268" i="2"/>
  <c r="X268" i="2"/>
  <c r="AQ267" i="2"/>
  <c r="AV267" i="2"/>
  <c r="AX267" i="2"/>
  <c r="AW267" i="2"/>
  <c r="AU267" i="2"/>
  <c r="AT267" i="2"/>
  <c r="AS267" i="2"/>
  <c r="AK267" i="2"/>
  <c r="AE267" i="2"/>
  <c r="AC267" i="2"/>
  <c r="V267" i="2"/>
  <c r="AB267" i="2"/>
  <c r="H267" i="2"/>
  <c r="O267" i="2"/>
  <c r="AA267" i="2"/>
  <c r="Z267" i="2"/>
  <c r="P267" i="2"/>
  <c r="T267" i="2"/>
  <c r="Y267" i="2"/>
  <c r="F267" i="2"/>
  <c r="X267" i="2"/>
  <c r="AQ266" i="2"/>
  <c r="AV266" i="2"/>
  <c r="AX266" i="2"/>
  <c r="AW266" i="2"/>
  <c r="AU266" i="2"/>
  <c r="AT266" i="2"/>
  <c r="AS266" i="2"/>
  <c r="AK266" i="2"/>
  <c r="AE266" i="2"/>
  <c r="AC266" i="2"/>
  <c r="V266" i="2"/>
  <c r="AB266" i="2"/>
  <c r="H266" i="2"/>
  <c r="O266" i="2"/>
  <c r="AA266" i="2"/>
  <c r="Z266" i="2"/>
  <c r="P266" i="2"/>
  <c r="T266" i="2"/>
  <c r="Y266" i="2"/>
  <c r="F266" i="2"/>
  <c r="X266" i="2"/>
  <c r="AQ265" i="2"/>
  <c r="AV265" i="2"/>
  <c r="AX265" i="2"/>
  <c r="AW265" i="2"/>
  <c r="AU265" i="2"/>
  <c r="AT265" i="2"/>
  <c r="AS265" i="2"/>
  <c r="AK265" i="2"/>
  <c r="AE265" i="2"/>
  <c r="AC265" i="2"/>
  <c r="V265" i="2"/>
  <c r="AB265" i="2"/>
  <c r="H265" i="2"/>
  <c r="O265" i="2"/>
  <c r="AA265" i="2"/>
  <c r="Z265" i="2"/>
  <c r="P265" i="2"/>
  <c r="T265" i="2"/>
  <c r="Y265" i="2"/>
  <c r="F265" i="2"/>
  <c r="X265" i="2"/>
  <c r="AQ264" i="2"/>
  <c r="AV264" i="2"/>
  <c r="AX264" i="2"/>
  <c r="AW264" i="2"/>
  <c r="AU264" i="2"/>
  <c r="AT264" i="2"/>
  <c r="AS264" i="2"/>
  <c r="AK264" i="2"/>
  <c r="AE264" i="2"/>
  <c r="AC264" i="2"/>
  <c r="V264" i="2"/>
  <c r="AB264" i="2"/>
  <c r="H264" i="2"/>
  <c r="O264" i="2"/>
  <c r="AA264" i="2"/>
  <c r="Z264" i="2"/>
  <c r="P264" i="2"/>
  <c r="T264" i="2"/>
  <c r="Y264" i="2"/>
  <c r="F264" i="2"/>
  <c r="X264" i="2"/>
  <c r="AQ263" i="2"/>
  <c r="AV263" i="2"/>
  <c r="AX263" i="2"/>
  <c r="AW263" i="2"/>
  <c r="AU263" i="2"/>
  <c r="AT263" i="2"/>
  <c r="AS263" i="2"/>
  <c r="AK263" i="2"/>
  <c r="AE263" i="2"/>
  <c r="AC263" i="2"/>
  <c r="V263" i="2"/>
  <c r="AB263" i="2"/>
  <c r="H263" i="2"/>
  <c r="O263" i="2"/>
  <c r="AA263" i="2"/>
  <c r="Z263" i="2"/>
  <c r="P263" i="2"/>
  <c r="T263" i="2"/>
  <c r="Y263" i="2"/>
  <c r="F263" i="2"/>
  <c r="X263" i="2"/>
  <c r="AQ262" i="2"/>
  <c r="AV262" i="2"/>
  <c r="AX262" i="2"/>
  <c r="AW262" i="2"/>
  <c r="AU262" i="2"/>
  <c r="AT262" i="2"/>
  <c r="AS262" i="2"/>
  <c r="AK262" i="2"/>
  <c r="AE262" i="2"/>
  <c r="AC262" i="2"/>
  <c r="V262" i="2"/>
  <c r="AB262" i="2"/>
  <c r="H262" i="2"/>
  <c r="O262" i="2"/>
  <c r="AA262" i="2"/>
  <c r="Z262" i="2"/>
  <c r="P262" i="2"/>
  <c r="T262" i="2"/>
  <c r="Y262" i="2"/>
  <c r="F262" i="2"/>
  <c r="X262" i="2"/>
  <c r="AQ261" i="2"/>
  <c r="AV261" i="2"/>
  <c r="AX261" i="2"/>
  <c r="AW261" i="2"/>
  <c r="AU261" i="2"/>
  <c r="AT261" i="2"/>
  <c r="AS261" i="2"/>
  <c r="AK261" i="2"/>
  <c r="AE261" i="2"/>
  <c r="AC261" i="2"/>
  <c r="V261" i="2"/>
  <c r="AB261" i="2"/>
  <c r="H261" i="2"/>
  <c r="O261" i="2"/>
  <c r="AA261" i="2"/>
  <c r="Z261" i="2"/>
  <c r="P261" i="2"/>
  <c r="T261" i="2"/>
  <c r="Y261" i="2"/>
  <c r="F261" i="2"/>
  <c r="X261" i="2"/>
  <c r="AQ260" i="2"/>
  <c r="AV260" i="2"/>
  <c r="AX260" i="2"/>
  <c r="AW260" i="2"/>
  <c r="AU260" i="2"/>
  <c r="AT260" i="2"/>
  <c r="AS260" i="2"/>
  <c r="AK260" i="2"/>
  <c r="AE260" i="2"/>
  <c r="AC260" i="2"/>
  <c r="V260" i="2"/>
  <c r="AB260" i="2"/>
  <c r="H260" i="2"/>
  <c r="O260" i="2"/>
  <c r="AA260" i="2"/>
  <c r="Z260" i="2"/>
  <c r="P260" i="2"/>
  <c r="T260" i="2"/>
  <c r="Y260" i="2"/>
  <c r="F260" i="2"/>
  <c r="X260" i="2"/>
  <c r="AQ259" i="2"/>
  <c r="AV259" i="2"/>
  <c r="AX259" i="2"/>
  <c r="AW259" i="2"/>
  <c r="AU259" i="2"/>
  <c r="AT259" i="2"/>
  <c r="AS259" i="2"/>
  <c r="AK259" i="2"/>
  <c r="AE259" i="2"/>
  <c r="AC259" i="2"/>
  <c r="V259" i="2"/>
  <c r="AB259" i="2"/>
  <c r="H259" i="2"/>
  <c r="O259" i="2"/>
  <c r="AA259" i="2"/>
  <c r="Z259" i="2"/>
  <c r="P259" i="2"/>
  <c r="T259" i="2"/>
  <c r="Y259" i="2"/>
  <c r="F259" i="2"/>
  <c r="X259" i="2"/>
  <c r="AQ258" i="2"/>
  <c r="AV258" i="2"/>
  <c r="AX258" i="2"/>
  <c r="AW258" i="2"/>
  <c r="AU258" i="2"/>
  <c r="AT258" i="2"/>
  <c r="AS258" i="2"/>
  <c r="AK258" i="2"/>
  <c r="AE258" i="2"/>
  <c r="AC258" i="2"/>
  <c r="V258" i="2"/>
  <c r="AB258" i="2"/>
  <c r="H258" i="2"/>
  <c r="O258" i="2"/>
  <c r="AA258" i="2"/>
  <c r="Z258" i="2"/>
  <c r="P258" i="2"/>
  <c r="T258" i="2"/>
  <c r="Y258" i="2"/>
  <c r="F258" i="2"/>
  <c r="X258" i="2"/>
  <c r="AQ257" i="2"/>
  <c r="AV257" i="2"/>
  <c r="AX257" i="2"/>
  <c r="AW257" i="2"/>
  <c r="AU257" i="2"/>
  <c r="AT257" i="2"/>
  <c r="AS257" i="2"/>
  <c r="AK257" i="2"/>
  <c r="AE257" i="2"/>
  <c r="AC257" i="2"/>
  <c r="V257" i="2"/>
  <c r="AB257" i="2"/>
  <c r="H257" i="2"/>
  <c r="O257" i="2"/>
  <c r="AA257" i="2"/>
  <c r="Z257" i="2"/>
  <c r="P257" i="2"/>
  <c r="T257" i="2"/>
  <c r="Y257" i="2"/>
  <c r="F257" i="2"/>
  <c r="X257" i="2"/>
  <c r="AX256" i="2"/>
  <c r="AT256" i="2"/>
  <c r="AS256" i="2"/>
  <c r="AK256" i="2"/>
  <c r="AE256" i="2"/>
  <c r="AC256" i="2"/>
  <c r="V256" i="2"/>
  <c r="AB256" i="2"/>
  <c r="H256" i="2"/>
  <c r="O256" i="2"/>
  <c r="AA256" i="2"/>
  <c r="Z256" i="2"/>
  <c r="P256" i="2"/>
  <c r="T256" i="2"/>
  <c r="Y256" i="2"/>
  <c r="F256" i="2"/>
  <c r="X256" i="2"/>
  <c r="AQ255" i="2"/>
  <c r="AV255" i="2"/>
  <c r="AX255" i="2"/>
  <c r="AW255" i="2"/>
  <c r="AU255" i="2"/>
  <c r="AT255" i="2"/>
  <c r="AS255" i="2"/>
  <c r="AK255" i="2"/>
  <c r="AE255" i="2"/>
  <c r="AC255" i="2"/>
  <c r="V255" i="2"/>
  <c r="AB255" i="2"/>
  <c r="H255" i="2"/>
  <c r="O255" i="2"/>
  <c r="AA255" i="2"/>
  <c r="Z255" i="2"/>
  <c r="P255" i="2"/>
  <c r="T255" i="2"/>
  <c r="Y255" i="2"/>
  <c r="F255" i="2"/>
  <c r="X255" i="2"/>
  <c r="AQ254" i="2"/>
  <c r="AV254" i="2"/>
  <c r="AX254" i="2"/>
  <c r="AW254" i="2"/>
  <c r="AU254" i="2"/>
  <c r="AT254" i="2"/>
  <c r="AS254" i="2"/>
  <c r="AK254" i="2"/>
  <c r="AE254" i="2"/>
  <c r="AC254" i="2"/>
  <c r="V254" i="2"/>
  <c r="AB254" i="2"/>
  <c r="H254" i="2"/>
  <c r="O254" i="2"/>
  <c r="AA254" i="2"/>
  <c r="Z254" i="2"/>
  <c r="P254" i="2"/>
  <c r="T254" i="2"/>
  <c r="Y254" i="2"/>
  <c r="F254" i="2"/>
  <c r="X254" i="2"/>
  <c r="AQ253" i="2"/>
  <c r="AV253" i="2"/>
  <c r="AX253" i="2"/>
  <c r="AW253" i="2"/>
  <c r="AU253" i="2"/>
  <c r="AT253" i="2"/>
  <c r="AS253" i="2"/>
  <c r="AK253" i="2"/>
  <c r="AE253" i="2"/>
  <c r="AC253" i="2"/>
  <c r="V253" i="2"/>
  <c r="AB253" i="2"/>
  <c r="H253" i="2"/>
  <c r="O253" i="2"/>
  <c r="AA253" i="2"/>
  <c r="Z253" i="2"/>
  <c r="P253" i="2"/>
  <c r="T253" i="2"/>
  <c r="Y253" i="2"/>
  <c r="F253" i="2"/>
  <c r="X253" i="2"/>
  <c r="AQ252" i="2"/>
  <c r="AV252" i="2"/>
  <c r="AX252" i="2"/>
  <c r="AW252" i="2"/>
  <c r="AU252" i="2"/>
  <c r="AT252" i="2"/>
  <c r="AS252" i="2"/>
  <c r="AK252" i="2"/>
  <c r="AE252" i="2"/>
  <c r="AC252" i="2"/>
  <c r="V252" i="2"/>
  <c r="AB252" i="2"/>
  <c r="H252" i="2"/>
  <c r="O252" i="2"/>
  <c r="AA252" i="2"/>
  <c r="Z252" i="2"/>
  <c r="P252" i="2"/>
  <c r="T252" i="2"/>
  <c r="Y252" i="2"/>
  <c r="F252" i="2"/>
  <c r="X252" i="2"/>
  <c r="AQ251" i="2"/>
  <c r="AV251" i="2"/>
  <c r="AX251" i="2"/>
  <c r="AW251" i="2"/>
  <c r="AU251" i="2"/>
  <c r="AT251" i="2"/>
  <c r="AS251" i="2"/>
  <c r="AK251" i="2"/>
  <c r="AE251" i="2"/>
  <c r="AC251" i="2"/>
  <c r="V251" i="2"/>
  <c r="AB251" i="2"/>
  <c r="H251" i="2"/>
  <c r="O251" i="2"/>
  <c r="AA251" i="2"/>
  <c r="Z251" i="2"/>
  <c r="P251" i="2"/>
  <c r="T251" i="2"/>
  <c r="Y251" i="2"/>
  <c r="F251" i="2"/>
  <c r="X251" i="2"/>
  <c r="AQ250" i="2"/>
  <c r="AV250" i="2"/>
  <c r="AX250" i="2"/>
  <c r="AW250" i="2"/>
  <c r="AU250" i="2"/>
  <c r="AT250" i="2"/>
  <c r="AS250" i="2"/>
  <c r="AK250" i="2"/>
  <c r="AE250" i="2"/>
  <c r="AC250" i="2"/>
  <c r="V250" i="2"/>
  <c r="AB250" i="2"/>
  <c r="H250" i="2"/>
  <c r="O250" i="2"/>
  <c r="AA250" i="2"/>
  <c r="Z250" i="2"/>
  <c r="P250" i="2"/>
  <c r="T250" i="2"/>
  <c r="Y250" i="2"/>
  <c r="F250" i="2"/>
  <c r="X250" i="2"/>
  <c r="AQ249" i="2"/>
  <c r="AV249" i="2"/>
  <c r="AX249" i="2"/>
  <c r="AW249" i="2"/>
  <c r="AU249" i="2"/>
  <c r="AT249" i="2"/>
  <c r="AS249" i="2"/>
  <c r="AK249" i="2"/>
  <c r="AE249" i="2"/>
  <c r="AC249" i="2"/>
  <c r="V249" i="2"/>
  <c r="AB249" i="2"/>
  <c r="H249" i="2"/>
  <c r="O249" i="2"/>
  <c r="AA249" i="2"/>
  <c r="Z249" i="2"/>
  <c r="P249" i="2"/>
  <c r="T249" i="2"/>
  <c r="Y249" i="2"/>
  <c r="F249" i="2"/>
  <c r="X249" i="2"/>
  <c r="AQ248" i="2"/>
  <c r="AV248" i="2"/>
  <c r="AX248" i="2"/>
  <c r="AW248" i="2"/>
  <c r="AU248" i="2"/>
  <c r="AT248" i="2"/>
  <c r="AS248" i="2"/>
  <c r="AK248" i="2"/>
  <c r="AE248" i="2"/>
  <c r="AC248" i="2"/>
  <c r="V248" i="2"/>
  <c r="AB248" i="2"/>
  <c r="H248" i="2"/>
  <c r="O248" i="2"/>
  <c r="AA248" i="2"/>
  <c r="Z248" i="2"/>
  <c r="P248" i="2"/>
  <c r="T248" i="2"/>
  <c r="Y248" i="2"/>
  <c r="F248" i="2"/>
  <c r="X248" i="2"/>
  <c r="AQ247" i="2"/>
  <c r="AV247" i="2"/>
  <c r="AX247" i="2"/>
  <c r="AW247" i="2"/>
  <c r="AU247" i="2"/>
  <c r="AT247" i="2"/>
  <c r="AS247" i="2"/>
  <c r="AK247" i="2"/>
  <c r="AE247" i="2"/>
  <c r="AC247" i="2"/>
  <c r="V247" i="2"/>
  <c r="AB247" i="2"/>
  <c r="H247" i="2"/>
  <c r="O247" i="2"/>
  <c r="AA247" i="2"/>
  <c r="Z247" i="2"/>
  <c r="P247" i="2"/>
  <c r="T247" i="2"/>
  <c r="Y247" i="2"/>
  <c r="F247" i="2"/>
  <c r="X247" i="2"/>
  <c r="AQ246" i="2"/>
  <c r="AV246" i="2"/>
  <c r="AX246" i="2"/>
  <c r="AW246" i="2"/>
  <c r="AU246" i="2"/>
  <c r="AT246" i="2"/>
  <c r="AS246" i="2"/>
  <c r="AK246" i="2"/>
  <c r="AE246" i="2"/>
  <c r="AC246" i="2"/>
  <c r="V246" i="2"/>
  <c r="AB246" i="2"/>
  <c r="H246" i="2"/>
  <c r="O246" i="2"/>
  <c r="AA246" i="2"/>
  <c r="Z246" i="2"/>
  <c r="P246" i="2"/>
  <c r="T246" i="2"/>
  <c r="Y246" i="2"/>
  <c r="F246" i="2"/>
  <c r="X246" i="2"/>
  <c r="AQ245" i="2"/>
  <c r="AV245" i="2"/>
  <c r="AX245" i="2"/>
  <c r="AW245" i="2"/>
  <c r="AU245" i="2"/>
  <c r="AT245" i="2"/>
  <c r="AS245" i="2"/>
  <c r="AK245" i="2"/>
  <c r="AE245" i="2"/>
  <c r="AC245" i="2"/>
  <c r="V245" i="2"/>
  <c r="AB245" i="2"/>
  <c r="H245" i="2"/>
  <c r="O245" i="2"/>
  <c r="AA245" i="2"/>
  <c r="Z245" i="2"/>
  <c r="P245" i="2"/>
  <c r="T245" i="2"/>
  <c r="Y245" i="2"/>
  <c r="F245" i="2"/>
  <c r="X245" i="2"/>
  <c r="AQ244" i="2"/>
  <c r="AV244" i="2"/>
  <c r="AX244" i="2"/>
  <c r="AW244" i="2"/>
  <c r="AU244" i="2"/>
  <c r="AT244" i="2"/>
  <c r="AS244" i="2"/>
  <c r="AK244" i="2"/>
  <c r="AE244" i="2"/>
  <c r="AC244" i="2"/>
  <c r="V244" i="2"/>
  <c r="AB244" i="2"/>
  <c r="H244" i="2"/>
  <c r="O244" i="2"/>
  <c r="AA244" i="2"/>
  <c r="Z244" i="2"/>
  <c r="P244" i="2"/>
  <c r="T244" i="2"/>
  <c r="Y244" i="2"/>
  <c r="F244" i="2"/>
  <c r="X244" i="2"/>
  <c r="AQ243" i="2"/>
  <c r="AV243" i="2"/>
  <c r="AX243" i="2"/>
  <c r="AW243" i="2"/>
  <c r="AU243" i="2"/>
  <c r="AT243" i="2"/>
  <c r="AS243" i="2"/>
  <c r="AK243" i="2"/>
  <c r="AE243" i="2"/>
  <c r="AC243" i="2"/>
  <c r="V243" i="2"/>
  <c r="AB243" i="2"/>
  <c r="H243" i="2"/>
  <c r="O243" i="2"/>
  <c r="AA243" i="2"/>
  <c r="Z243" i="2"/>
  <c r="P243" i="2"/>
  <c r="T243" i="2"/>
  <c r="Y243" i="2"/>
  <c r="F243" i="2"/>
  <c r="X243" i="2"/>
  <c r="AQ242" i="2"/>
  <c r="AV242" i="2"/>
  <c r="AX242" i="2"/>
  <c r="AW242" i="2"/>
  <c r="AU242" i="2"/>
  <c r="AT242" i="2"/>
  <c r="AS242" i="2"/>
  <c r="AK242" i="2"/>
  <c r="AE242" i="2"/>
  <c r="AC242" i="2"/>
  <c r="V242" i="2"/>
  <c r="AB242" i="2"/>
  <c r="H242" i="2"/>
  <c r="O242" i="2"/>
  <c r="AA242" i="2"/>
  <c r="Z242" i="2"/>
  <c r="P242" i="2"/>
  <c r="T242" i="2"/>
  <c r="Y242" i="2"/>
  <c r="F242" i="2"/>
  <c r="X242" i="2"/>
  <c r="AQ241" i="2"/>
  <c r="AV241" i="2"/>
  <c r="AX241" i="2"/>
  <c r="AW241" i="2"/>
  <c r="AU241" i="2"/>
  <c r="AT241" i="2"/>
  <c r="AS241" i="2"/>
  <c r="AK241" i="2"/>
  <c r="AE241" i="2"/>
  <c r="AC241" i="2"/>
  <c r="V241" i="2"/>
  <c r="AB241" i="2"/>
  <c r="H241" i="2"/>
  <c r="O241" i="2"/>
  <c r="AA241" i="2"/>
  <c r="Z241" i="2"/>
  <c r="P241" i="2"/>
  <c r="T241" i="2"/>
  <c r="Y241" i="2"/>
  <c r="F241" i="2"/>
  <c r="X241" i="2"/>
  <c r="AQ240" i="2"/>
  <c r="AV240" i="2"/>
  <c r="AX240" i="2"/>
  <c r="AW240" i="2"/>
  <c r="AU240" i="2"/>
  <c r="AT240" i="2"/>
  <c r="AS240" i="2"/>
  <c r="AK240" i="2"/>
  <c r="AE240" i="2"/>
  <c r="AC240" i="2"/>
  <c r="V240" i="2"/>
  <c r="AB240" i="2"/>
  <c r="H240" i="2"/>
  <c r="O240" i="2"/>
  <c r="AA240" i="2"/>
  <c r="Z240" i="2"/>
  <c r="P240" i="2"/>
  <c r="T240" i="2"/>
  <c r="Y240" i="2"/>
  <c r="F240" i="2"/>
  <c r="X240" i="2"/>
  <c r="AQ239" i="2"/>
  <c r="AV239" i="2"/>
  <c r="AX239" i="2"/>
  <c r="AW239" i="2"/>
  <c r="AU239" i="2"/>
  <c r="AT239" i="2"/>
  <c r="AS239" i="2"/>
  <c r="AK239" i="2"/>
  <c r="AE239" i="2"/>
  <c r="AC239" i="2"/>
  <c r="V239" i="2"/>
  <c r="AB239" i="2"/>
  <c r="H239" i="2"/>
  <c r="O239" i="2"/>
  <c r="AA239" i="2"/>
  <c r="Z239" i="2"/>
  <c r="P239" i="2"/>
  <c r="T239" i="2"/>
  <c r="Y239" i="2"/>
  <c r="F239" i="2"/>
  <c r="X239" i="2"/>
  <c r="AQ238" i="2"/>
  <c r="AV238" i="2"/>
  <c r="AX238" i="2"/>
  <c r="AW238" i="2"/>
  <c r="AU238" i="2"/>
  <c r="AT238" i="2"/>
  <c r="AS238" i="2"/>
  <c r="AK238" i="2"/>
  <c r="AE238" i="2"/>
  <c r="AC238" i="2"/>
  <c r="V238" i="2"/>
  <c r="AB238" i="2"/>
  <c r="H238" i="2"/>
  <c r="O238" i="2"/>
  <c r="AA238" i="2"/>
  <c r="Z238" i="2"/>
  <c r="P238" i="2"/>
  <c r="T238" i="2"/>
  <c r="Y238" i="2"/>
  <c r="F238" i="2"/>
  <c r="X238" i="2"/>
  <c r="AQ237" i="2"/>
  <c r="AV237" i="2"/>
  <c r="AX237" i="2"/>
  <c r="AW237" i="2"/>
  <c r="AU237" i="2"/>
  <c r="AT237" i="2"/>
  <c r="AS237" i="2"/>
  <c r="AK237" i="2"/>
  <c r="AE237" i="2"/>
  <c r="AC237" i="2"/>
  <c r="V237" i="2"/>
  <c r="AB237" i="2"/>
  <c r="H237" i="2"/>
  <c r="O237" i="2"/>
  <c r="AA237" i="2"/>
  <c r="Z237" i="2"/>
  <c r="P237" i="2"/>
  <c r="T237" i="2"/>
  <c r="Y237" i="2"/>
  <c r="F237" i="2"/>
  <c r="X237" i="2"/>
  <c r="AQ236" i="2"/>
  <c r="AV236" i="2"/>
  <c r="AX236" i="2"/>
  <c r="AW236" i="2"/>
  <c r="AU236" i="2"/>
  <c r="AT236" i="2"/>
  <c r="AS236" i="2"/>
  <c r="AK236" i="2"/>
  <c r="AE236" i="2"/>
  <c r="AC236" i="2"/>
  <c r="V236" i="2"/>
  <c r="AB236" i="2"/>
  <c r="H236" i="2"/>
  <c r="O236" i="2"/>
  <c r="AA236" i="2"/>
  <c r="Z236" i="2"/>
  <c r="P236" i="2"/>
  <c r="T236" i="2"/>
  <c r="Y236" i="2"/>
  <c r="F236" i="2"/>
  <c r="X236" i="2"/>
  <c r="AQ235" i="2"/>
  <c r="AV235" i="2"/>
  <c r="AX235" i="2"/>
  <c r="AW235" i="2"/>
  <c r="AU235" i="2"/>
  <c r="AT235" i="2"/>
  <c r="AS235" i="2"/>
  <c r="AK235" i="2"/>
  <c r="AE235" i="2"/>
  <c r="AC235" i="2"/>
  <c r="V235" i="2"/>
  <c r="AB235" i="2"/>
  <c r="H235" i="2"/>
  <c r="O235" i="2"/>
  <c r="AA235" i="2"/>
  <c r="Z235" i="2"/>
  <c r="P235" i="2"/>
  <c r="T235" i="2"/>
  <c r="Y235" i="2"/>
  <c r="F235" i="2"/>
  <c r="X235" i="2"/>
  <c r="AQ234" i="2"/>
  <c r="AV234" i="2"/>
  <c r="AX234" i="2"/>
  <c r="AW234" i="2"/>
  <c r="AU234" i="2"/>
  <c r="AT234" i="2"/>
  <c r="AS234" i="2"/>
  <c r="AK234" i="2"/>
  <c r="AE234" i="2"/>
  <c r="AC234" i="2"/>
  <c r="V234" i="2"/>
  <c r="AB234" i="2"/>
  <c r="H234" i="2"/>
  <c r="O234" i="2"/>
  <c r="AA234" i="2"/>
  <c r="Z234" i="2"/>
  <c r="P234" i="2"/>
  <c r="T234" i="2"/>
  <c r="Y234" i="2"/>
  <c r="F234" i="2"/>
  <c r="X234" i="2"/>
  <c r="AQ233" i="2"/>
  <c r="AV233" i="2"/>
  <c r="AX233" i="2"/>
  <c r="AW233" i="2"/>
  <c r="AU233" i="2"/>
  <c r="AT233" i="2"/>
  <c r="AS233" i="2"/>
  <c r="AK233" i="2"/>
  <c r="AE233" i="2"/>
  <c r="AC233" i="2"/>
  <c r="V233" i="2"/>
  <c r="AB233" i="2"/>
  <c r="H233" i="2"/>
  <c r="O233" i="2"/>
  <c r="AA233" i="2"/>
  <c r="Z233" i="2"/>
  <c r="P233" i="2"/>
  <c r="T233" i="2"/>
  <c r="Y233" i="2"/>
  <c r="F233" i="2"/>
  <c r="X233" i="2"/>
  <c r="AQ232" i="2"/>
  <c r="AV232" i="2"/>
  <c r="AX232" i="2"/>
  <c r="AW232" i="2"/>
  <c r="AU232" i="2"/>
  <c r="AT232" i="2"/>
  <c r="AS232" i="2"/>
  <c r="AK232" i="2"/>
  <c r="AE232" i="2"/>
  <c r="AC232" i="2"/>
  <c r="V232" i="2"/>
  <c r="AB232" i="2"/>
  <c r="H232" i="2"/>
  <c r="O232" i="2"/>
  <c r="AA232" i="2"/>
  <c r="Z232" i="2"/>
  <c r="P232" i="2"/>
  <c r="T232" i="2"/>
  <c r="Y232" i="2"/>
  <c r="F232" i="2"/>
  <c r="X232" i="2"/>
  <c r="AQ231" i="2"/>
  <c r="AV231" i="2"/>
  <c r="AX231" i="2"/>
  <c r="AW231" i="2"/>
  <c r="AU231" i="2"/>
  <c r="AT231" i="2"/>
  <c r="AS231" i="2"/>
  <c r="AK231" i="2"/>
  <c r="AE231" i="2"/>
  <c r="AC231" i="2"/>
  <c r="V231" i="2"/>
  <c r="AB231" i="2"/>
  <c r="H231" i="2"/>
  <c r="O231" i="2"/>
  <c r="AA231" i="2"/>
  <c r="Z231" i="2"/>
  <c r="P231" i="2"/>
  <c r="T231" i="2"/>
  <c r="Y231" i="2"/>
  <c r="F231" i="2"/>
  <c r="X231" i="2"/>
  <c r="AQ230" i="2"/>
  <c r="AV230" i="2"/>
  <c r="AX230" i="2"/>
  <c r="AW230" i="2"/>
  <c r="AU230" i="2"/>
  <c r="AT230" i="2"/>
  <c r="AS230" i="2"/>
  <c r="AK230" i="2"/>
  <c r="AE230" i="2"/>
  <c r="AC230" i="2"/>
  <c r="V230" i="2"/>
  <c r="AB230" i="2"/>
  <c r="H230" i="2"/>
  <c r="O230" i="2"/>
  <c r="AA230" i="2"/>
  <c r="Z230" i="2"/>
  <c r="P230" i="2"/>
  <c r="T230" i="2"/>
  <c r="Y230" i="2"/>
  <c r="F230" i="2"/>
  <c r="X230" i="2"/>
  <c r="AQ229" i="2"/>
  <c r="AV229" i="2"/>
  <c r="AX229" i="2"/>
  <c r="AW229" i="2"/>
  <c r="AU229" i="2"/>
  <c r="AT229" i="2"/>
  <c r="AS229" i="2"/>
  <c r="AK229" i="2"/>
  <c r="AE229" i="2"/>
  <c r="AC229" i="2"/>
  <c r="V229" i="2"/>
  <c r="AB229" i="2"/>
  <c r="H229" i="2"/>
  <c r="O229" i="2"/>
  <c r="AA229" i="2"/>
  <c r="Z229" i="2"/>
  <c r="P229" i="2"/>
  <c r="T229" i="2"/>
  <c r="Y229" i="2"/>
  <c r="F229" i="2"/>
  <c r="X229" i="2"/>
  <c r="AQ228" i="2"/>
  <c r="AV228" i="2"/>
  <c r="AX228" i="2"/>
  <c r="AW228" i="2"/>
  <c r="AU228" i="2"/>
  <c r="AT228" i="2"/>
  <c r="AS228" i="2"/>
  <c r="AK228" i="2"/>
  <c r="AE228" i="2"/>
  <c r="AC228" i="2"/>
  <c r="V228" i="2"/>
  <c r="AB228" i="2"/>
  <c r="H228" i="2"/>
  <c r="O228" i="2"/>
  <c r="AA228" i="2"/>
  <c r="Z228" i="2"/>
  <c r="P228" i="2"/>
  <c r="T228" i="2"/>
  <c r="Y228" i="2"/>
  <c r="F228" i="2"/>
  <c r="X228" i="2"/>
  <c r="AQ227" i="2"/>
  <c r="AV227" i="2"/>
  <c r="AX227" i="2"/>
  <c r="AW227" i="2"/>
  <c r="AU227" i="2"/>
  <c r="AT227" i="2"/>
  <c r="AS227" i="2"/>
  <c r="AK227" i="2"/>
  <c r="AE227" i="2"/>
  <c r="AC227" i="2"/>
  <c r="V227" i="2"/>
  <c r="AB227" i="2"/>
  <c r="H227" i="2"/>
  <c r="O227" i="2"/>
  <c r="AA227" i="2"/>
  <c r="Z227" i="2"/>
  <c r="P227" i="2"/>
  <c r="T227" i="2"/>
  <c r="Y227" i="2"/>
  <c r="F227" i="2"/>
  <c r="X227" i="2"/>
  <c r="AQ226" i="2"/>
  <c r="AV226" i="2"/>
  <c r="AX226" i="2"/>
  <c r="AW226" i="2"/>
  <c r="AU226" i="2"/>
  <c r="AT226" i="2"/>
  <c r="AS226" i="2"/>
  <c r="AK226" i="2"/>
  <c r="AE226" i="2"/>
  <c r="AC226" i="2"/>
  <c r="V226" i="2"/>
  <c r="AB226" i="2"/>
  <c r="H226" i="2"/>
  <c r="O226" i="2"/>
  <c r="AA226" i="2"/>
  <c r="Z226" i="2"/>
  <c r="P226" i="2"/>
  <c r="T226" i="2"/>
  <c r="Y226" i="2"/>
  <c r="F226" i="2"/>
  <c r="X226" i="2"/>
  <c r="AQ225" i="2"/>
  <c r="AV225" i="2"/>
  <c r="AX225" i="2"/>
  <c r="AW225" i="2"/>
  <c r="AU225" i="2"/>
  <c r="AT225" i="2"/>
  <c r="AS225" i="2"/>
  <c r="AK225" i="2"/>
  <c r="AE225" i="2"/>
  <c r="AC225" i="2"/>
  <c r="V225" i="2"/>
  <c r="AB225" i="2"/>
  <c r="H225" i="2"/>
  <c r="O225" i="2"/>
  <c r="AA225" i="2"/>
  <c r="Z225" i="2"/>
  <c r="P225" i="2"/>
  <c r="T225" i="2"/>
  <c r="Y225" i="2"/>
  <c r="F225" i="2"/>
  <c r="X225" i="2"/>
  <c r="AQ224" i="2"/>
  <c r="AV224" i="2"/>
  <c r="AX224" i="2"/>
  <c r="AW224" i="2"/>
  <c r="AU224" i="2"/>
  <c r="AT224" i="2"/>
  <c r="AS224" i="2"/>
  <c r="AK224" i="2"/>
  <c r="AE224" i="2"/>
  <c r="AC224" i="2"/>
  <c r="V224" i="2"/>
  <c r="AB224" i="2"/>
  <c r="H224" i="2"/>
  <c r="O224" i="2"/>
  <c r="AA224" i="2"/>
  <c r="Z224" i="2"/>
  <c r="P224" i="2"/>
  <c r="T224" i="2"/>
  <c r="Y224" i="2"/>
  <c r="F224" i="2"/>
  <c r="X224" i="2"/>
  <c r="AQ223" i="2"/>
  <c r="AV223" i="2"/>
  <c r="AX223" i="2"/>
  <c r="AW223" i="2"/>
  <c r="AU223" i="2"/>
  <c r="AT223" i="2"/>
  <c r="AS223" i="2"/>
  <c r="AK223" i="2"/>
  <c r="AE223" i="2"/>
  <c r="AC223" i="2"/>
  <c r="V223" i="2"/>
  <c r="AB223" i="2"/>
  <c r="H223" i="2"/>
  <c r="O223" i="2"/>
  <c r="AA223" i="2"/>
  <c r="Z223" i="2"/>
  <c r="P223" i="2"/>
  <c r="T223" i="2"/>
  <c r="Y223" i="2"/>
  <c r="F223" i="2"/>
  <c r="X223" i="2"/>
  <c r="AQ222" i="2"/>
  <c r="AV222" i="2"/>
  <c r="AX222" i="2"/>
  <c r="AW222" i="2"/>
  <c r="AU222" i="2"/>
  <c r="AT222" i="2"/>
  <c r="AS222" i="2"/>
  <c r="AK222" i="2"/>
  <c r="AE222" i="2"/>
  <c r="AC222" i="2"/>
  <c r="V222" i="2"/>
  <c r="AB222" i="2"/>
  <c r="H222" i="2"/>
  <c r="O222" i="2"/>
  <c r="AA222" i="2"/>
  <c r="Z222" i="2"/>
  <c r="P222" i="2"/>
  <c r="T222" i="2"/>
  <c r="Y222" i="2"/>
  <c r="F222" i="2"/>
  <c r="X222" i="2"/>
  <c r="AQ221" i="2"/>
  <c r="AV221" i="2"/>
  <c r="AX221" i="2"/>
  <c r="AW221" i="2"/>
  <c r="AU221" i="2"/>
  <c r="AT221" i="2"/>
  <c r="AS221" i="2"/>
  <c r="AK221" i="2"/>
  <c r="AE221" i="2"/>
  <c r="AC221" i="2"/>
  <c r="V221" i="2"/>
  <c r="AB221" i="2"/>
  <c r="H221" i="2"/>
  <c r="O221" i="2"/>
  <c r="AA221" i="2"/>
  <c r="Z221" i="2"/>
  <c r="P221" i="2"/>
  <c r="T221" i="2"/>
  <c r="Y221" i="2"/>
  <c r="F221" i="2"/>
  <c r="X221" i="2"/>
  <c r="AQ220" i="2"/>
  <c r="AV220" i="2"/>
  <c r="AX220" i="2"/>
  <c r="AW220" i="2"/>
  <c r="AU220" i="2"/>
  <c r="AT220" i="2"/>
  <c r="AS220" i="2"/>
  <c r="AK220" i="2"/>
  <c r="AE220" i="2"/>
  <c r="AC220" i="2"/>
  <c r="V220" i="2"/>
  <c r="AB220" i="2"/>
  <c r="H220" i="2"/>
  <c r="O220" i="2"/>
  <c r="AA220" i="2"/>
  <c r="Z220" i="2"/>
  <c r="P220" i="2"/>
  <c r="T220" i="2"/>
  <c r="Y220" i="2"/>
  <c r="F220" i="2"/>
  <c r="X220" i="2"/>
  <c r="AQ219" i="2"/>
  <c r="AV219" i="2"/>
  <c r="AX219" i="2"/>
  <c r="AW219" i="2"/>
  <c r="AU219" i="2"/>
  <c r="AT219" i="2"/>
  <c r="AS219" i="2"/>
  <c r="AK219" i="2"/>
  <c r="AE219" i="2"/>
  <c r="AC219" i="2"/>
  <c r="V219" i="2"/>
  <c r="AB219" i="2"/>
  <c r="H219" i="2"/>
  <c r="O219" i="2"/>
  <c r="AA219" i="2"/>
  <c r="Z219" i="2"/>
  <c r="P219" i="2"/>
  <c r="T219" i="2"/>
  <c r="Y219" i="2"/>
  <c r="F219" i="2"/>
  <c r="X219" i="2"/>
  <c r="AQ218" i="2"/>
  <c r="AV218" i="2"/>
  <c r="AX218" i="2"/>
  <c r="AW218" i="2"/>
  <c r="AU218" i="2"/>
  <c r="AT218" i="2"/>
  <c r="AS218" i="2"/>
  <c r="AK218" i="2"/>
  <c r="AE218" i="2"/>
  <c r="AC218" i="2"/>
  <c r="V218" i="2"/>
  <c r="AB218" i="2"/>
  <c r="H218" i="2"/>
  <c r="O218" i="2"/>
  <c r="AA218" i="2"/>
  <c r="Z218" i="2"/>
  <c r="P218" i="2"/>
  <c r="T218" i="2"/>
  <c r="Y218" i="2"/>
  <c r="F218" i="2"/>
  <c r="X218" i="2"/>
  <c r="AQ217" i="2"/>
  <c r="AV217" i="2"/>
  <c r="AX217" i="2"/>
  <c r="AW217" i="2"/>
  <c r="AU217" i="2"/>
  <c r="AT217" i="2"/>
  <c r="AS217" i="2"/>
  <c r="AK217" i="2"/>
  <c r="AE217" i="2"/>
  <c r="AC217" i="2"/>
  <c r="V217" i="2"/>
  <c r="AB217" i="2"/>
  <c r="H217" i="2"/>
  <c r="O217" i="2"/>
  <c r="AA217" i="2"/>
  <c r="Z217" i="2"/>
  <c r="P217" i="2"/>
  <c r="T217" i="2"/>
  <c r="Y217" i="2"/>
  <c r="F217" i="2"/>
  <c r="X217" i="2"/>
  <c r="AQ216" i="2"/>
  <c r="AV216" i="2"/>
  <c r="AX216" i="2"/>
  <c r="AW216" i="2"/>
  <c r="AU216" i="2"/>
  <c r="AT216" i="2"/>
  <c r="AS216" i="2"/>
  <c r="AK216" i="2"/>
  <c r="AE216" i="2"/>
  <c r="AC216" i="2"/>
  <c r="V216" i="2"/>
  <c r="AB216" i="2"/>
  <c r="H216" i="2"/>
  <c r="O216" i="2"/>
  <c r="AA216" i="2"/>
  <c r="Z216" i="2"/>
  <c r="P216" i="2"/>
  <c r="T216" i="2"/>
  <c r="Y216" i="2"/>
  <c r="F216" i="2"/>
  <c r="X216" i="2"/>
  <c r="AQ215" i="2"/>
  <c r="AV215" i="2"/>
  <c r="AX215" i="2"/>
  <c r="AW215" i="2"/>
  <c r="AU215" i="2"/>
  <c r="AT215" i="2"/>
  <c r="AS215" i="2"/>
  <c r="AK215" i="2"/>
  <c r="AE215" i="2"/>
  <c r="AC215" i="2"/>
  <c r="V215" i="2"/>
  <c r="AB215" i="2"/>
  <c r="H215" i="2"/>
  <c r="O215" i="2"/>
  <c r="AA215" i="2"/>
  <c r="Z215" i="2"/>
  <c r="P215" i="2"/>
  <c r="T215" i="2"/>
  <c r="Y215" i="2"/>
  <c r="F215" i="2"/>
  <c r="X215" i="2"/>
  <c r="AQ214" i="2"/>
  <c r="AV214" i="2"/>
  <c r="AX214" i="2"/>
  <c r="AW214" i="2"/>
  <c r="AU214" i="2"/>
  <c r="AT214" i="2"/>
  <c r="AS214" i="2"/>
  <c r="AK214" i="2"/>
  <c r="AE214" i="2"/>
  <c r="AC214" i="2"/>
  <c r="V214" i="2"/>
  <c r="AB214" i="2"/>
  <c r="H214" i="2"/>
  <c r="O214" i="2"/>
  <c r="AA214" i="2"/>
  <c r="Z214" i="2"/>
  <c r="P214" i="2"/>
  <c r="T214" i="2"/>
  <c r="Y214" i="2"/>
  <c r="F214" i="2"/>
  <c r="X214" i="2"/>
  <c r="AQ213" i="2"/>
  <c r="AV213" i="2"/>
  <c r="AX213" i="2"/>
  <c r="AW213" i="2"/>
  <c r="AU213" i="2"/>
  <c r="AT213" i="2"/>
  <c r="AS213" i="2"/>
  <c r="AK213" i="2"/>
  <c r="AE213" i="2"/>
  <c r="AC213" i="2"/>
  <c r="V213" i="2"/>
  <c r="AB213" i="2"/>
  <c r="H213" i="2"/>
  <c r="O213" i="2"/>
  <c r="AA213" i="2"/>
  <c r="Z213" i="2"/>
  <c r="P213" i="2"/>
  <c r="T213" i="2"/>
  <c r="Y213" i="2"/>
  <c r="F213" i="2"/>
  <c r="X213" i="2"/>
  <c r="AQ212" i="2"/>
  <c r="AV212" i="2"/>
  <c r="AX212" i="2"/>
  <c r="AW212" i="2"/>
  <c r="AU212" i="2"/>
  <c r="AT212" i="2"/>
  <c r="AS212" i="2"/>
  <c r="AK212" i="2"/>
  <c r="AE212" i="2"/>
  <c r="AC212" i="2"/>
  <c r="V212" i="2"/>
  <c r="AB212" i="2"/>
  <c r="H212" i="2"/>
  <c r="O212" i="2"/>
  <c r="AA212" i="2"/>
  <c r="Z212" i="2"/>
  <c r="P212" i="2"/>
  <c r="T212" i="2"/>
  <c r="Y212" i="2"/>
  <c r="F212" i="2"/>
  <c r="X212" i="2"/>
  <c r="AQ211" i="2"/>
  <c r="AV211" i="2"/>
  <c r="AX211" i="2"/>
  <c r="AW211" i="2"/>
  <c r="AU211" i="2"/>
  <c r="AT211" i="2"/>
  <c r="AS211" i="2"/>
  <c r="AK211" i="2"/>
  <c r="AE211" i="2"/>
  <c r="AC211" i="2"/>
  <c r="V211" i="2"/>
  <c r="AB211" i="2"/>
  <c r="H211" i="2"/>
  <c r="O211" i="2"/>
  <c r="AA211" i="2"/>
  <c r="Z211" i="2"/>
  <c r="P211" i="2"/>
  <c r="T211" i="2"/>
  <c r="Y211" i="2"/>
  <c r="F211" i="2"/>
  <c r="X211" i="2"/>
  <c r="AQ210" i="2"/>
  <c r="AV210" i="2"/>
  <c r="AX210" i="2"/>
  <c r="AW210" i="2"/>
  <c r="AU210" i="2"/>
  <c r="AT210" i="2"/>
  <c r="AS210" i="2"/>
  <c r="AK210" i="2"/>
  <c r="AE210" i="2"/>
  <c r="AC210" i="2"/>
  <c r="V210" i="2"/>
  <c r="AB210" i="2"/>
  <c r="H210" i="2"/>
  <c r="O210" i="2"/>
  <c r="AA210" i="2"/>
  <c r="Z210" i="2"/>
  <c r="P210" i="2"/>
  <c r="T210" i="2"/>
  <c r="Y210" i="2"/>
  <c r="F210" i="2"/>
  <c r="X210" i="2"/>
  <c r="AQ209" i="2"/>
  <c r="AV209" i="2"/>
  <c r="AX209" i="2"/>
  <c r="AW209" i="2"/>
  <c r="AU209" i="2"/>
  <c r="AT209" i="2"/>
  <c r="AS209" i="2"/>
  <c r="AK209" i="2"/>
  <c r="AE209" i="2"/>
  <c r="AC209" i="2"/>
  <c r="V209" i="2"/>
  <c r="AB209" i="2"/>
  <c r="H209" i="2"/>
  <c r="O209" i="2"/>
  <c r="AA209" i="2"/>
  <c r="Z209" i="2"/>
  <c r="P209" i="2"/>
  <c r="T209" i="2"/>
  <c r="Y209" i="2"/>
  <c r="F209" i="2"/>
  <c r="X209" i="2"/>
  <c r="AQ208" i="2"/>
  <c r="AV208" i="2"/>
  <c r="AX208" i="2"/>
  <c r="AW208" i="2"/>
  <c r="AU208" i="2"/>
  <c r="AT208" i="2"/>
  <c r="AS208" i="2"/>
  <c r="AK208" i="2"/>
  <c r="AE208" i="2"/>
  <c r="AC208" i="2"/>
  <c r="V208" i="2"/>
  <c r="AB208" i="2"/>
  <c r="H208" i="2"/>
  <c r="O208" i="2"/>
  <c r="AA208" i="2"/>
  <c r="Z208" i="2"/>
  <c r="P208" i="2"/>
  <c r="T208" i="2"/>
  <c r="Y208" i="2"/>
  <c r="F208" i="2"/>
  <c r="X208" i="2"/>
  <c r="AQ207" i="2"/>
  <c r="AV207" i="2"/>
  <c r="AX207" i="2"/>
  <c r="AW207" i="2"/>
  <c r="AU207" i="2"/>
  <c r="AT207" i="2"/>
  <c r="AS207" i="2"/>
  <c r="AK207" i="2"/>
  <c r="AE207" i="2"/>
  <c r="AC207" i="2"/>
  <c r="V207" i="2"/>
  <c r="AB207" i="2"/>
  <c r="H207" i="2"/>
  <c r="O207" i="2"/>
  <c r="AA207" i="2"/>
  <c r="Z207" i="2"/>
  <c r="P207" i="2"/>
  <c r="T207" i="2"/>
  <c r="Y207" i="2"/>
  <c r="F207" i="2"/>
  <c r="X207" i="2"/>
  <c r="AQ206" i="2"/>
  <c r="AV206" i="2"/>
  <c r="AX206" i="2"/>
  <c r="AW206" i="2"/>
  <c r="AU206" i="2"/>
  <c r="AT206" i="2"/>
  <c r="AS206" i="2"/>
  <c r="AK206" i="2"/>
  <c r="AE206" i="2"/>
  <c r="AC206" i="2"/>
  <c r="V206" i="2"/>
  <c r="AB206" i="2"/>
  <c r="H206" i="2"/>
  <c r="O206" i="2"/>
  <c r="AA206" i="2"/>
  <c r="Z206" i="2"/>
  <c r="P206" i="2"/>
  <c r="T206" i="2"/>
  <c r="Y206" i="2"/>
  <c r="F206" i="2"/>
  <c r="X206" i="2"/>
  <c r="AQ205" i="2"/>
  <c r="AV205" i="2"/>
  <c r="AX205" i="2"/>
  <c r="AW205" i="2"/>
  <c r="AU205" i="2"/>
  <c r="AT205" i="2"/>
  <c r="AS205" i="2"/>
  <c r="AK205" i="2"/>
  <c r="AE205" i="2"/>
  <c r="AC205" i="2"/>
  <c r="V205" i="2"/>
  <c r="AB205" i="2"/>
  <c r="H205" i="2"/>
  <c r="O205" i="2"/>
  <c r="AA205" i="2"/>
  <c r="Z205" i="2"/>
  <c r="P205" i="2"/>
  <c r="T205" i="2"/>
  <c r="Y205" i="2"/>
  <c r="F205" i="2"/>
  <c r="X205" i="2"/>
  <c r="AQ204" i="2"/>
  <c r="AV204" i="2"/>
  <c r="AX204" i="2"/>
  <c r="AW204" i="2"/>
  <c r="AU204" i="2"/>
  <c r="AT204" i="2"/>
  <c r="AS204" i="2"/>
  <c r="AK204" i="2"/>
  <c r="AE204" i="2"/>
  <c r="AC204" i="2"/>
  <c r="V204" i="2"/>
  <c r="AB204" i="2"/>
  <c r="H204" i="2"/>
  <c r="O204" i="2"/>
  <c r="AA204" i="2"/>
  <c r="Z204" i="2"/>
  <c r="P204" i="2"/>
  <c r="T204" i="2"/>
  <c r="Y204" i="2"/>
  <c r="F204" i="2"/>
  <c r="X204" i="2"/>
  <c r="AQ203" i="2"/>
  <c r="AV203" i="2"/>
  <c r="AX203" i="2"/>
  <c r="AW203" i="2"/>
  <c r="AU203" i="2"/>
  <c r="AT203" i="2"/>
  <c r="AS203" i="2"/>
  <c r="AK203" i="2"/>
  <c r="AE203" i="2"/>
  <c r="AC203" i="2"/>
  <c r="V203" i="2"/>
  <c r="AB203" i="2"/>
  <c r="H203" i="2"/>
  <c r="O203" i="2"/>
  <c r="AA203" i="2"/>
  <c r="Z203" i="2"/>
  <c r="P203" i="2"/>
  <c r="T203" i="2"/>
  <c r="Y203" i="2"/>
  <c r="F203" i="2"/>
  <c r="X203" i="2"/>
  <c r="AQ202" i="2"/>
  <c r="AV202" i="2"/>
  <c r="AX202" i="2"/>
  <c r="AW202" i="2"/>
  <c r="AU202" i="2"/>
  <c r="AT202" i="2"/>
  <c r="AS202" i="2"/>
  <c r="AK202" i="2"/>
  <c r="AE202" i="2"/>
  <c r="AC202" i="2"/>
  <c r="V202" i="2"/>
  <c r="AB202" i="2"/>
  <c r="H202" i="2"/>
  <c r="O202" i="2"/>
  <c r="AA202" i="2"/>
  <c r="Z202" i="2"/>
  <c r="P202" i="2"/>
  <c r="T202" i="2"/>
  <c r="Y202" i="2"/>
  <c r="F202" i="2"/>
  <c r="X202" i="2"/>
  <c r="AQ201" i="2"/>
  <c r="AV201" i="2"/>
  <c r="AX201" i="2"/>
  <c r="AW201" i="2"/>
  <c r="AU201" i="2"/>
  <c r="AT201" i="2"/>
  <c r="AS201" i="2"/>
  <c r="AK201" i="2"/>
  <c r="AE201" i="2"/>
  <c r="AC201" i="2"/>
  <c r="V201" i="2"/>
  <c r="AB201" i="2"/>
  <c r="H201" i="2"/>
  <c r="O201" i="2"/>
  <c r="AA201" i="2"/>
  <c r="Z201" i="2"/>
  <c r="P201" i="2"/>
  <c r="T201" i="2"/>
  <c r="Y201" i="2"/>
  <c r="F201" i="2"/>
  <c r="X201" i="2"/>
  <c r="AQ200" i="2"/>
  <c r="AV200" i="2"/>
  <c r="AX200" i="2"/>
  <c r="AW200" i="2"/>
  <c r="AU200" i="2"/>
  <c r="AT200" i="2"/>
  <c r="AS200" i="2"/>
  <c r="AK200" i="2"/>
  <c r="AE200" i="2"/>
  <c r="AC200" i="2"/>
  <c r="V200" i="2"/>
  <c r="AB200" i="2"/>
  <c r="H200" i="2"/>
  <c r="O200" i="2"/>
  <c r="AA200" i="2"/>
  <c r="Z200" i="2"/>
  <c r="P200" i="2"/>
  <c r="T200" i="2"/>
  <c r="Y200" i="2"/>
  <c r="F200" i="2"/>
  <c r="X200" i="2"/>
  <c r="AQ199" i="2"/>
  <c r="AV199" i="2"/>
  <c r="AX199" i="2"/>
  <c r="AW199" i="2"/>
  <c r="AU199" i="2"/>
  <c r="AT199" i="2"/>
  <c r="AS199" i="2"/>
  <c r="AK199" i="2"/>
  <c r="AE199" i="2"/>
  <c r="AC199" i="2"/>
  <c r="V199" i="2"/>
  <c r="AB199" i="2"/>
  <c r="H199" i="2"/>
  <c r="O199" i="2"/>
  <c r="AA199" i="2"/>
  <c r="Z199" i="2"/>
  <c r="P199" i="2"/>
  <c r="T199" i="2"/>
  <c r="Y199" i="2"/>
  <c r="F199" i="2"/>
  <c r="X199" i="2"/>
  <c r="AQ198" i="2"/>
  <c r="AV198" i="2"/>
  <c r="AX198" i="2"/>
  <c r="AW198" i="2"/>
  <c r="AU198" i="2"/>
  <c r="AT198" i="2"/>
  <c r="AS198" i="2"/>
  <c r="AK198" i="2"/>
  <c r="AE198" i="2"/>
  <c r="AC198" i="2"/>
  <c r="V198" i="2"/>
  <c r="AB198" i="2"/>
  <c r="H198" i="2"/>
  <c r="O198" i="2"/>
  <c r="AA198" i="2"/>
  <c r="Z198" i="2"/>
  <c r="P198" i="2"/>
  <c r="T198" i="2"/>
  <c r="Y198" i="2"/>
  <c r="F198" i="2"/>
  <c r="X198" i="2"/>
  <c r="AQ197" i="2"/>
  <c r="AV197" i="2"/>
  <c r="AX197" i="2"/>
  <c r="AW197" i="2"/>
  <c r="AU197" i="2"/>
  <c r="AT197" i="2"/>
  <c r="AS197" i="2"/>
  <c r="AK197" i="2"/>
  <c r="AE197" i="2"/>
  <c r="AC197" i="2"/>
  <c r="V197" i="2"/>
  <c r="AB197" i="2"/>
  <c r="H197" i="2"/>
  <c r="O197" i="2"/>
  <c r="AA197" i="2"/>
  <c r="Z197" i="2"/>
  <c r="P197" i="2"/>
  <c r="T197" i="2"/>
  <c r="Y197" i="2"/>
  <c r="F197" i="2"/>
  <c r="X197" i="2"/>
  <c r="AQ196" i="2"/>
  <c r="AV196" i="2"/>
  <c r="AX196" i="2"/>
  <c r="AW196" i="2"/>
  <c r="AU196" i="2"/>
  <c r="AT196" i="2"/>
  <c r="AS196" i="2"/>
  <c r="AK196" i="2"/>
  <c r="AE196" i="2"/>
  <c r="AC196" i="2"/>
  <c r="V196" i="2"/>
  <c r="AB196" i="2"/>
  <c r="H196" i="2"/>
  <c r="O196" i="2"/>
  <c r="AA196" i="2"/>
  <c r="Z196" i="2"/>
  <c r="P196" i="2"/>
  <c r="T196" i="2"/>
  <c r="Y196" i="2"/>
  <c r="F196" i="2"/>
  <c r="X196" i="2"/>
  <c r="AQ195" i="2"/>
  <c r="AV195" i="2"/>
  <c r="AX195" i="2"/>
  <c r="AW195" i="2"/>
  <c r="AU195" i="2"/>
  <c r="AT195" i="2"/>
  <c r="AS195" i="2"/>
  <c r="AK195" i="2"/>
  <c r="AE195" i="2"/>
  <c r="AC195" i="2"/>
  <c r="V195" i="2"/>
  <c r="AB195" i="2"/>
  <c r="H195" i="2"/>
  <c r="O195" i="2"/>
  <c r="AA195" i="2"/>
  <c r="Z195" i="2"/>
  <c r="P195" i="2"/>
  <c r="T195" i="2"/>
  <c r="Y195" i="2"/>
  <c r="F195" i="2"/>
  <c r="X195" i="2"/>
  <c r="AQ194" i="2"/>
  <c r="AV194" i="2"/>
  <c r="AX194" i="2"/>
  <c r="AW194" i="2"/>
  <c r="AU194" i="2"/>
  <c r="AT194" i="2"/>
  <c r="AS194" i="2"/>
  <c r="AK194" i="2"/>
  <c r="AE194" i="2"/>
  <c r="AC194" i="2"/>
  <c r="V194" i="2"/>
  <c r="AB194" i="2"/>
  <c r="H194" i="2"/>
  <c r="O194" i="2"/>
  <c r="AA194" i="2"/>
  <c r="Z194" i="2"/>
  <c r="P194" i="2"/>
  <c r="T194" i="2"/>
  <c r="Y194" i="2"/>
  <c r="F194" i="2"/>
  <c r="X194" i="2"/>
  <c r="AQ193" i="2"/>
  <c r="AV193" i="2"/>
  <c r="AX193" i="2"/>
  <c r="AW193" i="2"/>
  <c r="AU193" i="2"/>
  <c r="AT193" i="2"/>
  <c r="AS193" i="2"/>
  <c r="AK193" i="2"/>
  <c r="AE193" i="2"/>
  <c r="AC193" i="2"/>
  <c r="V193" i="2"/>
  <c r="AB193" i="2"/>
  <c r="H193" i="2"/>
  <c r="O193" i="2"/>
  <c r="AA193" i="2"/>
  <c r="Z193" i="2"/>
  <c r="P193" i="2"/>
  <c r="T193" i="2"/>
  <c r="Y193" i="2"/>
  <c r="F193" i="2"/>
  <c r="X193" i="2"/>
  <c r="AQ192" i="2"/>
  <c r="AV192" i="2"/>
  <c r="AX192" i="2"/>
  <c r="AW192" i="2"/>
  <c r="AU192" i="2"/>
  <c r="AT192" i="2"/>
  <c r="AS192" i="2"/>
  <c r="AK192" i="2"/>
  <c r="AE192" i="2"/>
  <c r="AC192" i="2"/>
  <c r="V192" i="2"/>
  <c r="AB192" i="2"/>
  <c r="H192" i="2"/>
  <c r="O192" i="2"/>
  <c r="AA192" i="2"/>
  <c r="Z192" i="2"/>
  <c r="P192" i="2"/>
  <c r="T192" i="2"/>
  <c r="Y192" i="2"/>
  <c r="F192" i="2"/>
  <c r="X192" i="2"/>
  <c r="AQ191" i="2"/>
  <c r="AV191" i="2"/>
  <c r="AX191" i="2"/>
  <c r="AW191" i="2"/>
  <c r="AU191" i="2"/>
  <c r="AT191" i="2"/>
  <c r="AS191" i="2"/>
  <c r="AK191" i="2"/>
  <c r="AE191" i="2"/>
  <c r="AC191" i="2"/>
  <c r="V191" i="2"/>
  <c r="AB191" i="2"/>
  <c r="H191" i="2"/>
  <c r="O191" i="2"/>
  <c r="AA191" i="2"/>
  <c r="Z191" i="2"/>
  <c r="P191" i="2"/>
  <c r="T191" i="2"/>
  <c r="Y191" i="2"/>
  <c r="F191" i="2"/>
  <c r="X191" i="2"/>
  <c r="AQ190" i="2"/>
  <c r="AV190" i="2"/>
  <c r="AX190" i="2"/>
  <c r="AW190" i="2"/>
  <c r="AU190" i="2"/>
  <c r="AT190" i="2"/>
  <c r="AS190" i="2"/>
  <c r="AK190" i="2"/>
  <c r="AE190" i="2"/>
  <c r="AC190" i="2"/>
  <c r="V190" i="2"/>
  <c r="AB190" i="2"/>
  <c r="H190" i="2"/>
  <c r="O190" i="2"/>
  <c r="AA190" i="2"/>
  <c r="Z190" i="2"/>
  <c r="P190" i="2"/>
  <c r="T190" i="2"/>
  <c r="Y190" i="2"/>
  <c r="F190" i="2"/>
  <c r="X190" i="2"/>
  <c r="AQ189" i="2"/>
  <c r="AV189" i="2"/>
  <c r="AX189" i="2"/>
  <c r="AW189" i="2"/>
  <c r="AU189" i="2"/>
  <c r="AT189" i="2"/>
  <c r="AS189" i="2"/>
  <c r="AK189" i="2"/>
  <c r="AE189" i="2"/>
  <c r="AC189" i="2"/>
  <c r="V189" i="2"/>
  <c r="AB189" i="2"/>
  <c r="H189" i="2"/>
  <c r="O189" i="2"/>
  <c r="AA189" i="2"/>
  <c r="Z189" i="2"/>
  <c r="P189" i="2"/>
  <c r="T189" i="2"/>
  <c r="Y189" i="2"/>
  <c r="F189" i="2"/>
  <c r="X189" i="2"/>
  <c r="AQ188" i="2"/>
  <c r="AV188" i="2"/>
  <c r="AX188" i="2"/>
  <c r="AW188" i="2"/>
  <c r="AU188" i="2"/>
  <c r="AT188" i="2"/>
  <c r="AS188" i="2"/>
  <c r="AK188" i="2"/>
  <c r="AE188" i="2"/>
  <c r="AC188" i="2"/>
  <c r="V188" i="2"/>
  <c r="AB188" i="2"/>
  <c r="H188" i="2"/>
  <c r="O188" i="2"/>
  <c r="AA188" i="2"/>
  <c r="Z188" i="2"/>
  <c r="P188" i="2"/>
  <c r="T188" i="2"/>
  <c r="Y188" i="2"/>
  <c r="F188" i="2"/>
  <c r="X188" i="2"/>
  <c r="AQ187" i="2"/>
  <c r="AV187" i="2"/>
  <c r="AX187" i="2"/>
  <c r="AW187" i="2"/>
  <c r="AU187" i="2"/>
  <c r="AT187" i="2"/>
  <c r="AS187" i="2"/>
  <c r="AK187" i="2"/>
  <c r="AE187" i="2"/>
  <c r="AC187" i="2"/>
  <c r="V187" i="2"/>
  <c r="AB187" i="2"/>
  <c r="H187" i="2"/>
  <c r="O187" i="2"/>
  <c r="AA187" i="2"/>
  <c r="Z187" i="2"/>
  <c r="P187" i="2"/>
  <c r="T187" i="2"/>
  <c r="Y187" i="2"/>
  <c r="F187" i="2"/>
  <c r="X187" i="2"/>
  <c r="AQ186" i="2"/>
  <c r="AV186" i="2"/>
  <c r="AX186" i="2"/>
  <c r="AW186" i="2"/>
  <c r="AU186" i="2"/>
  <c r="AT186" i="2"/>
  <c r="AS186" i="2"/>
  <c r="AK186" i="2"/>
  <c r="AE186" i="2"/>
  <c r="AC186" i="2"/>
  <c r="V186" i="2"/>
  <c r="AB186" i="2"/>
  <c r="H186" i="2"/>
  <c r="O186" i="2"/>
  <c r="AA186" i="2"/>
  <c r="Z186" i="2"/>
  <c r="P186" i="2"/>
  <c r="T186" i="2"/>
  <c r="Y186" i="2"/>
  <c r="F186" i="2"/>
  <c r="X186" i="2"/>
  <c r="AQ185" i="2"/>
  <c r="AV185" i="2"/>
  <c r="AX185" i="2"/>
  <c r="AW185" i="2"/>
  <c r="AU185" i="2"/>
  <c r="AT185" i="2"/>
  <c r="AS185" i="2"/>
  <c r="AK185" i="2"/>
  <c r="AE185" i="2"/>
  <c r="AC185" i="2"/>
  <c r="V185" i="2"/>
  <c r="AB185" i="2"/>
  <c r="H185" i="2"/>
  <c r="O185" i="2"/>
  <c r="AA185" i="2"/>
  <c r="Z185" i="2"/>
  <c r="P185" i="2"/>
  <c r="T185" i="2"/>
  <c r="Y185" i="2"/>
  <c r="F185" i="2"/>
  <c r="X185" i="2"/>
  <c r="AQ184" i="2"/>
  <c r="AV184" i="2"/>
  <c r="AX184" i="2"/>
  <c r="AW184" i="2"/>
  <c r="AU184" i="2"/>
  <c r="AT184" i="2"/>
  <c r="AS184" i="2"/>
  <c r="AK184" i="2"/>
  <c r="AE184" i="2"/>
  <c r="AC184" i="2"/>
  <c r="V184" i="2"/>
  <c r="AB184" i="2"/>
  <c r="H184" i="2"/>
  <c r="O184" i="2"/>
  <c r="AA184" i="2"/>
  <c r="Z184" i="2"/>
  <c r="P184" i="2"/>
  <c r="T184" i="2"/>
  <c r="Y184" i="2"/>
  <c r="F184" i="2"/>
  <c r="X184" i="2"/>
  <c r="AQ183" i="2"/>
  <c r="AV183" i="2"/>
  <c r="AX183" i="2"/>
  <c r="AW183" i="2"/>
  <c r="AU183" i="2"/>
  <c r="AT183" i="2"/>
  <c r="AS183" i="2"/>
  <c r="AK183" i="2"/>
  <c r="AE183" i="2"/>
  <c r="AC183" i="2"/>
  <c r="V183" i="2"/>
  <c r="AB183" i="2"/>
  <c r="H183" i="2"/>
  <c r="O183" i="2"/>
  <c r="AA183" i="2"/>
  <c r="Z183" i="2"/>
  <c r="P183" i="2"/>
  <c r="T183" i="2"/>
  <c r="Y183" i="2"/>
  <c r="F183" i="2"/>
  <c r="X183" i="2"/>
  <c r="AQ182" i="2"/>
  <c r="AV182" i="2"/>
  <c r="AX182" i="2"/>
  <c r="AW182" i="2"/>
  <c r="AU182" i="2"/>
  <c r="AT182" i="2"/>
  <c r="AS182" i="2"/>
  <c r="AK182" i="2"/>
  <c r="AE182" i="2"/>
  <c r="AC182" i="2"/>
  <c r="V182" i="2"/>
  <c r="AB182" i="2"/>
  <c r="H182" i="2"/>
  <c r="O182" i="2"/>
  <c r="AA182" i="2"/>
  <c r="Z182" i="2"/>
  <c r="P182" i="2"/>
  <c r="T182" i="2"/>
  <c r="Y182" i="2"/>
  <c r="F182" i="2"/>
  <c r="X182" i="2"/>
  <c r="AQ181" i="2"/>
  <c r="AV181" i="2"/>
  <c r="AX181" i="2"/>
  <c r="AW181" i="2"/>
  <c r="AU181" i="2"/>
  <c r="AT181" i="2"/>
  <c r="AS181" i="2"/>
  <c r="AK181" i="2"/>
  <c r="AE181" i="2"/>
  <c r="AC181" i="2"/>
  <c r="V181" i="2"/>
  <c r="AB181" i="2"/>
  <c r="H181" i="2"/>
  <c r="O181" i="2"/>
  <c r="AA181" i="2"/>
  <c r="Z181" i="2"/>
  <c r="P181" i="2"/>
  <c r="T181" i="2"/>
  <c r="Y181" i="2"/>
  <c r="F181" i="2"/>
  <c r="X181" i="2"/>
  <c r="AQ180" i="2"/>
  <c r="AV180" i="2"/>
  <c r="AX180" i="2"/>
  <c r="AW180" i="2"/>
  <c r="AU180" i="2"/>
  <c r="AT180" i="2"/>
  <c r="AS180" i="2"/>
  <c r="AK180" i="2"/>
  <c r="AE180" i="2"/>
  <c r="AC180" i="2"/>
  <c r="V180" i="2"/>
  <c r="AB180" i="2"/>
  <c r="H180" i="2"/>
  <c r="O180" i="2"/>
  <c r="AA180" i="2"/>
  <c r="Z180" i="2"/>
  <c r="P180" i="2"/>
  <c r="T180" i="2"/>
  <c r="Y180" i="2"/>
  <c r="F180" i="2"/>
  <c r="X180" i="2"/>
  <c r="AQ179" i="2"/>
  <c r="AV179" i="2"/>
  <c r="AX179" i="2"/>
  <c r="AW179" i="2"/>
  <c r="AU179" i="2"/>
  <c r="AT179" i="2"/>
  <c r="AS179" i="2"/>
  <c r="AK179" i="2"/>
  <c r="AE179" i="2"/>
  <c r="AC179" i="2"/>
  <c r="V179" i="2"/>
  <c r="AB179" i="2"/>
  <c r="H179" i="2"/>
  <c r="O179" i="2"/>
  <c r="AA179" i="2"/>
  <c r="Z179" i="2"/>
  <c r="P179" i="2"/>
  <c r="T179" i="2"/>
  <c r="Y179" i="2"/>
  <c r="F179" i="2"/>
  <c r="X179" i="2"/>
  <c r="AQ178" i="2"/>
  <c r="AV178" i="2"/>
  <c r="AX178" i="2"/>
  <c r="AW178" i="2"/>
  <c r="AU178" i="2"/>
  <c r="AT178" i="2"/>
  <c r="AS178" i="2"/>
  <c r="AK178" i="2"/>
  <c r="AE178" i="2"/>
  <c r="AC178" i="2"/>
  <c r="V178" i="2"/>
  <c r="AB178" i="2"/>
  <c r="H178" i="2"/>
  <c r="O178" i="2"/>
  <c r="AA178" i="2"/>
  <c r="Z178" i="2"/>
  <c r="P178" i="2"/>
  <c r="T178" i="2"/>
  <c r="Y178" i="2"/>
  <c r="F178" i="2"/>
  <c r="X178" i="2"/>
  <c r="AQ177" i="2"/>
  <c r="AV177" i="2"/>
  <c r="AX177" i="2"/>
  <c r="AW177" i="2"/>
  <c r="AU177" i="2"/>
  <c r="AT177" i="2"/>
  <c r="AS177" i="2"/>
  <c r="AK177" i="2"/>
  <c r="AE177" i="2"/>
  <c r="AC177" i="2"/>
  <c r="V177" i="2"/>
  <c r="AB177" i="2"/>
  <c r="H177" i="2"/>
  <c r="O177" i="2"/>
  <c r="AA177" i="2"/>
  <c r="Z177" i="2"/>
  <c r="P177" i="2"/>
  <c r="T177" i="2"/>
  <c r="Y177" i="2"/>
  <c r="F177" i="2"/>
  <c r="X177" i="2"/>
  <c r="AQ176" i="2"/>
  <c r="AV176" i="2"/>
  <c r="AX176" i="2"/>
  <c r="AW176" i="2"/>
  <c r="AU176" i="2"/>
  <c r="AT176" i="2"/>
  <c r="AS176" i="2"/>
  <c r="AK176" i="2"/>
  <c r="AE176" i="2"/>
  <c r="AC176" i="2"/>
  <c r="V176" i="2"/>
  <c r="AB176" i="2"/>
  <c r="H176" i="2"/>
  <c r="O176" i="2"/>
  <c r="AA176" i="2"/>
  <c r="Z176" i="2"/>
  <c r="P176" i="2"/>
  <c r="T176" i="2"/>
  <c r="Y176" i="2"/>
  <c r="F176" i="2"/>
  <c r="X176" i="2"/>
  <c r="AQ175" i="2"/>
  <c r="AV175" i="2"/>
  <c r="AX175" i="2"/>
  <c r="AW175" i="2"/>
  <c r="AU175" i="2"/>
  <c r="AT175" i="2"/>
  <c r="AS175" i="2"/>
  <c r="AK175" i="2"/>
  <c r="AE175" i="2"/>
  <c r="AC175" i="2"/>
  <c r="V175" i="2"/>
  <c r="AB175" i="2"/>
  <c r="H175" i="2"/>
  <c r="O175" i="2"/>
  <c r="AA175" i="2"/>
  <c r="Z175" i="2"/>
  <c r="P175" i="2"/>
  <c r="T175" i="2"/>
  <c r="Y175" i="2"/>
  <c r="F175" i="2"/>
  <c r="X175" i="2"/>
  <c r="AQ174" i="2"/>
  <c r="AV174" i="2"/>
  <c r="AX174" i="2"/>
  <c r="AW174" i="2"/>
  <c r="AU174" i="2"/>
  <c r="AT174" i="2"/>
  <c r="AS174" i="2"/>
  <c r="AK174" i="2"/>
  <c r="AE174" i="2"/>
  <c r="AC174" i="2"/>
  <c r="V174" i="2"/>
  <c r="AB174" i="2"/>
  <c r="H174" i="2"/>
  <c r="O174" i="2"/>
  <c r="AA174" i="2"/>
  <c r="Z174" i="2"/>
  <c r="P174" i="2"/>
  <c r="T174" i="2"/>
  <c r="Y174" i="2"/>
  <c r="F174" i="2"/>
  <c r="X174" i="2"/>
  <c r="AQ173" i="2"/>
  <c r="AV173" i="2"/>
  <c r="AX173" i="2"/>
  <c r="AW173" i="2"/>
  <c r="AU173" i="2"/>
  <c r="AT173" i="2"/>
  <c r="AS173" i="2"/>
  <c r="AK173" i="2"/>
  <c r="AE173" i="2"/>
  <c r="AC173" i="2"/>
  <c r="V173" i="2"/>
  <c r="AB173" i="2"/>
  <c r="H173" i="2"/>
  <c r="O173" i="2"/>
  <c r="AA173" i="2"/>
  <c r="Z173" i="2"/>
  <c r="P173" i="2"/>
  <c r="T173" i="2"/>
  <c r="Y173" i="2"/>
  <c r="F173" i="2"/>
  <c r="X173" i="2"/>
  <c r="AQ172" i="2"/>
  <c r="AV172" i="2"/>
  <c r="AX172" i="2"/>
  <c r="AW172" i="2"/>
  <c r="AU172" i="2"/>
  <c r="AT172" i="2"/>
  <c r="AS172" i="2"/>
  <c r="AK172" i="2"/>
  <c r="AE172" i="2"/>
  <c r="AC172" i="2"/>
  <c r="V172" i="2"/>
  <c r="AB172" i="2"/>
  <c r="H172" i="2"/>
  <c r="O172" i="2"/>
  <c r="AA172" i="2"/>
  <c r="Z172" i="2"/>
  <c r="P172" i="2"/>
  <c r="T172" i="2"/>
  <c r="Y172" i="2"/>
  <c r="F172" i="2"/>
  <c r="X172" i="2"/>
  <c r="AQ171" i="2"/>
  <c r="AV171" i="2"/>
  <c r="AX171" i="2"/>
  <c r="AW171" i="2"/>
  <c r="AU171" i="2"/>
  <c r="AT171" i="2"/>
  <c r="AS171" i="2"/>
  <c r="AK171" i="2"/>
  <c r="AE171" i="2"/>
  <c r="AC171" i="2"/>
  <c r="V171" i="2"/>
  <c r="AB171" i="2"/>
  <c r="H171" i="2"/>
  <c r="O171" i="2"/>
  <c r="AA171" i="2"/>
  <c r="Z171" i="2"/>
  <c r="P171" i="2"/>
  <c r="T171" i="2"/>
  <c r="Y171" i="2"/>
  <c r="F171" i="2"/>
  <c r="X171" i="2"/>
  <c r="AQ170" i="2"/>
  <c r="AV170" i="2"/>
  <c r="AX170" i="2"/>
  <c r="AW170" i="2"/>
  <c r="AU170" i="2"/>
  <c r="AT170" i="2"/>
  <c r="AS170" i="2"/>
  <c r="AK170" i="2"/>
  <c r="AE170" i="2"/>
  <c r="AC170" i="2"/>
  <c r="V170" i="2"/>
  <c r="AB170" i="2"/>
  <c r="H170" i="2"/>
  <c r="O170" i="2"/>
  <c r="AA170" i="2"/>
  <c r="Z170" i="2"/>
  <c r="P170" i="2"/>
  <c r="T170" i="2"/>
  <c r="Y170" i="2"/>
  <c r="F170" i="2"/>
  <c r="X170" i="2"/>
  <c r="AQ169" i="2"/>
  <c r="AV169" i="2"/>
  <c r="AX169" i="2"/>
  <c r="AW169" i="2"/>
  <c r="AU169" i="2"/>
  <c r="AT169" i="2"/>
  <c r="AS169" i="2"/>
  <c r="AK169" i="2"/>
  <c r="AE169" i="2"/>
  <c r="AC169" i="2"/>
  <c r="V169" i="2"/>
  <c r="AB169" i="2"/>
  <c r="H169" i="2"/>
  <c r="O169" i="2"/>
  <c r="AA169" i="2"/>
  <c r="Z169" i="2"/>
  <c r="P169" i="2"/>
  <c r="T169" i="2"/>
  <c r="Y169" i="2"/>
  <c r="F169" i="2"/>
  <c r="X169" i="2"/>
  <c r="AQ168" i="2"/>
  <c r="AV168" i="2"/>
  <c r="AX168" i="2"/>
  <c r="AW168" i="2"/>
  <c r="AU168" i="2"/>
  <c r="AT168" i="2"/>
  <c r="AS168" i="2"/>
  <c r="AK168" i="2"/>
  <c r="AE168" i="2"/>
  <c r="AC168" i="2"/>
  <c r="V168" i="2"/>
  <c r="AB168" i="2"/>
  <c r="H168" i="2"/>
  <c r="O168" i="2"/>
  <c r="AA168" i="2"/>
  <c r="Z168" i="2"/>
  <c r="P168" i="2"/>
  <c r="T168" i="2"/>
  <c r="Y168" i="2"/>
  <c r="F168" i="2"/>
  <c r="X168" i="2"/>
  <c r="AQ167" i="2"/>
  <c r="AV167" i="2"/>
  <c r="AX167" i="2"/>
  <c r="AW167" i="2"/>
  <c r="AU167" i="2"/>
  <c r="AT167" i="2"/>
  <c r="AS167" i="2"/>
  <c r="AK167" i="2"/>
  <c r="AE167" i="2"/>
  <c r="AC167" i="2"/>
  <c r="V167" i="2"/>
  <c r="AB167" i="2"/>
  <c r="H167" i="2"/>
  <c r="O167" i="2"/>
  <c r="AA167" i="2"/>
  <c r="Z167" i="2"/>
  <c r="P167" i="2"/>
  <c r="T167" i="2"/>
  <c r="Y167" i="2"/>
  <c r="F167" i="2"/>
  <c r="X167" i="2"/>
  <c r="AQ166" i="2"/>
  <c r="AV166" i="2"/>
  <c r="AX166" i="2"/>
  <c r="AW166" i="2"/>
  <c r="AU166" i="2"/>
  <c r="AT166" i="2"/>
  <c r="AS166" i="2"/>
  <c r="AK166" i="2"/>
  <c r="AE166" i="2"/>
  <c r="AC166" i="2"/>
  <c r="V166" i="2"/>
  <c r="AB166" i="2"/>
  <c r="H166" i="2"/>
  <c r="O166" i="2"/>
  <c r="AA166" i="2"/>
  <c r="Z166" i="2"/>
  <c r="P166" i="2"/>
  <c r="T166" i="2"/>
  <c r="Y166" i="2"/>
  <c r="F166" i="2"/>
  <c r="X166" i="2"/>
  <c r="AQ165" i="2"/>
  <c r="AV165" i="2"/>
  <c r="AX165" i="2"/>
  <c r="AW165" i="2"/>
  <c r="AU165" i="2"/>
  <c r="AT165" i="2"/>
  <c r="AS165" i="2"/>
  <c r="AK165" i="2"/>
  <c r="AE165" i="2"/>
  <c r="AC165" i="2"/>
  <c r="V165" i="2"/>
  <c r="AB165" i="2"/>
  <c r="H165" i="2"/>
  <c r="O165" i="2"/>
  <c r="AA165" i="2"/>
  <c r="Z165" i="2"/>
  <c r="P165" i="2"/>
  <c r="T165" i="2"/>
  <c r="Y165" i="2"/>
  <c r="F165" i="2"/>
  <c r="X165" i="2"/>
  <c r="AQ164" i="2"/>
  <c r="AV164" i="2"/>
  <c r="AX164" i="2"/>
  <c r="AW164" i="2"/>
  <c r="AU164" i="2"/>
  <c r="AT164" i="2"/>
  <c r="AS164" i="2"/>
  <c r="AK164" i="2"/>
  <c r="AE164" i="2"/>
  <c r="AC164" i="2"/>
  <c r="V164" i="2"/>
  <c r="AB164" i="2"/>
  <c r="H164" i="2"/>
  <c r="O164" i="2"/>
  <c r="AA164" i="2"/>
  <c r="Z164" i="2"/>
  <c r="P164" i="2"/>
  <c r="T164" i="2"/>
  <c r="Y164" i="2"/>
  <c r="F164" i="2"/>
  <c r="X164" i="2"/>
  <c r="AQ163" i="2"/>
  <c r="AV163" i="2"/>
  <c r="AX163" i="2"/>
  <c r="AW163" i="2"/>
  <c r="AU163" i="2"/>
  <c r="AT163" i="2"/>
  <c r="AS163" i="2"/>
  <c r="AK163" i="2"/>
  <c r="AE163" i="2"/>
  <c r="AC163" i="2"/>
  <c r="V163" i="2"/>
  <c r="AB163" i="2"/>
  <c r="H163" i="2"/>
  <c r="O163" i="2"/>
  <c r="AA163" i="2"/>
  <c r="Z163" i="2"/>
  <c r="P163" i="2"/>
  <c r="T163" i="2"/>
  <c r="Y163" i="2"/>
  <c r="F163" i="2"/>
  <c r="X163" i="2"/>
  <c r="AQ162" i="2"/>
  <c r="AV162" i="2"/>
  <c r="AX162" i="2"/>
  <c r="AW162" i="2"/>
  <c r="AU162" i="2"/>
  <c r="AT162" i="2"/>
  <c r="AS162" i="2"/>
  <c r="AK162" i="2"/>
  <c r="AE162" i="2"/>
  <c r="AC162" i="2"/>
  <c r="V162" i="2"/>
  <c r="AB162" i="2"/>
  <c r="H162" i="2"/>
  <c r="O162" i="2"/>
  <c r="AA162" i="2"/>
  <c r="Z162" i="2"/>
  <c r="P162" i="2"/>
  <c r="T162" i="2"/>
  <c r="Y162" i="2"/>
  <c r="F162" i="2"/>
  <c r="X162" i="2"/>
  <c r="AQ161" i="2"/>
  <c r="AV161" i="2"/>
  <c r="AX161" i="2"/>
  <c r="AW161" i="2"/>
  <c r="AU161" i="2"/>
  <c r="AT161" i="2"/>
  <c r="AS161" i="2"/>
  <c r="AK161" i="2"/>
  <c r="AE161" i="2"/>
  <c r="AC161" i="2"/>
  <c r="V161" i="2"/>
  <c r="AB161" i="2"/>
  <c r="H161" i="2"/>
  <c r="O161" i="2"/>
  <c r="AA161" i="2"/>
  <c r="Z161" i="2"/>
  <c r="P161" i="2"/>
  <c r="T161" i="2"/>
  <c r="Y161" i="2"/>
  <c r="F161" i="2"/>
  <c r="X161" i="2"/>
  <c r="AQ160" i="2"/>
  <c r="AV160" i="2"/>
  <c r="AX160" i="2"/>
  <c r="AW160" i="2"/>
  <c r="AU160" i="2"/>
  <c r="AT160" i="2"/>
  <c r="AS160" i="2"/>
  <c r="AK160" i="2"/>
  <c r="AE160" i="2"/>
  <c r="AC160" i="2"/>
  <c r="V160" i="2"/>
  <c r="AB160" i="2"/>
  <c r="H160" i="2"/>
  <c r="O160" i="2"/>
  <c r="AA160" i="2"/>
  <c r="Z160" i="2"/>
  <c r="P160" i="2"/>
  <c r="T160" i="2"/>
  <c r="Y160" i="2"/>
  <c r="F160" i="2"/>
  <c r="X160" i="2"/>
  <c r="AQ159" i="2"/>
  <c r="AV159" i="2"/>
  <c r="AX159" i="2"/>
  <c r="AW159" i="2"/>
  <c r="AU159" i="2"/>
  <c r="AT159" i="2"/>
  <c r="AS159" i="2"/>
  <c r="AK159" i="2"/>
  <c r="AE159" i="2"/>
  <c r="AC159" i="2"/>
  <c r="V159" i="2"/>
  <c r="AB159" i="2"/>
  <c r="H159" i="2"/>
  <c r="O159" i="2"/>
  <c r="AA159" i="2"/>
  <c r="Z159" i="2"/>
  <c r="P159" i="2"/>
  <c r="T159" i="2"/>
  <c r="Y159" i="2"/>
  <c r="F159" i="2"/>
  <c r="X159" i="2"/>
  <c r="AQ158" i="2"/>
  <c r="AV158" i="2"/>
  <c r="AX158" i="2"/>
  <c r="AW158" i="2"/>
  <c r="AU158" i="2"/>
  <c r="AT158" i="2"/>
  <c r="AS158" i="2"/>
  <c r="AK158" i="2"/>
  <c r="AE158" i="2"/>
  <c r="AC158" i="2"/>
  <c r="V158" i="2"/>
  <c r="AB158" i="2"/>
  <c r="H158" i="2"/>
  <c r="O158" i="2"/>
  <c r="AA158" i="2"/>
  <c r="Z158" i="2"/>
  <c r="P158" i="2"/>
  <c r="T158" i="2"/>
  <c r="Y158" i="2"/>
  <c r="F158" i="2"/>
  <c r="X158" i="2"/>
  <c r="AQ157" i="2"/>
  <c r="AV157" i="2"/>
  <c r="AX157" i="2"/>
  <c r="AW157" i="2"/>
  <c r="AU157" i="2"/>
  <c r="AT157" i="2"/>
  <c r="AS157" i="2"/>
  <c r="AK157" i="2"/>
  <c r="AE157" i="2"/>
  <c r="AC157" i="2"/>
  <c r="V157" i="2"/>
  <c r="AB157" i="2"/>
  <c r="H157" i="2"/>
  <c r="O157" i="2"/>
  <c r="AA157" i="2"/>
  <c r="Z157" i="2"/>
  <c r="P157" i="2"/>
  <c r="T157" i="2"/>
  <c r="Y157" i="2"/>
  <c r="F157" i="2"/>
  <c r="X157" i="2"/>
  <c r="AQ156" i="2"/>
  <c r="AV156" i="2"/>
  <c r="AX156" i="2"/>
  <c r="AW156" i="2"/>
  <c r="AU156" i="2"/>
  <c r="AT156" i="2"/>
  <c r="AS156" i="2"/>
  <c r="AK156" i="2"/>
  <c r="AE156" i="2"/>
  <c r="AC156" i="2"/>
  <c r="V156" i="2"/>
  <c r="AB156" i="2"/>
  <c r="H156" i="2"/>
  <c r="O156" i="2"/>
  <c r="AA156" i="2"/>
  <c r="Z156" i="2"/>
  <c r="P156" i="2"/>
  <c r="T156" i="2"/>
  <c r="Y156" i="2"/>
  <c r="F156" i="2"/>
  <c r="X156" i="2"/>
  <c r="AQ155" i="2"/>
  <c r="AV155" i="2"/>
  <c r="AX155" i="2"/>
  <c r="AW155" i="2"/>
  <c r="AU155" i="2"/>
  <c r="AT155" i="2"/>
  <c r="AS155" i="2"/>
  <c r="AK155" i="2"/>
  <c r="AE155" i="2"/>
  <c r="AC155" i="2"/>
  <c r="V155" i="2"/>
  <c r="AB155" i="2"/>
  <c r="H155" i="2"/>
  <c r="O155" i="2"/>
  <c r="AA155" i="2"/>
  <c r="Z155" i="2"/>
  <c r="P155" i="2"/>
  <c r="T155" i="2"/>
  <c r="Y155" i="2"/>
  <c r="F155" i="2"/>
  <c r="X155" i="2"/>
  <c r="AQ154" i="2"/>
  <c r="AV154" i="2"/>
  <c r="AX154" i="2"/>
  <c r="AW154" i="2"/>
  <c r="AU154" i="2"/>
  <c r="AT154" i="2"/>
  <c r="AS154" i="2"/>
  <c r="AK154" i="2"/>
  <c r="AE154" i="2"/>
  <c r="AC154" i="2"/>
  <c r="V154" i="2"/>
  <c r="AB154" i="2"/>
  <c r="H154" i="2"/>
  <c r="O154" i="2"/>
  <c r="AA154" i="2"/>
  <c r="Z154" i="2"/>
  <c r="P154" i="2"/>
  <c r="T154" i="2"/>
  <c r="Y154" i="2"/>
  <c r="F154" i="2"/>
  <c r="X154" i="2"/>
  <c r="AQ153" i="2"/>
  <c r="AV153" i="2"/>
  <c r="AX153" i="2"/>
  <c r="AW153" i="2"/>
  <c r="AU153" i="2"/>
  <c r="AT153" i="2"/>
  <c r="AS153" i="2"/>
  <c r="AK153" i="2"/>
  <c r="AE153" i="2"/>
  <c r="AC153" i="2"/>
  <c r="V153" i="2"/>
  <c r="AB153" i="2"/>
  <c r="H153" i="2"/>
  <c r="O153" i="2"/>
  <c r="AA153" i="2"/>
  <c r="Z153" i="2"/>
  <c r="P153" i="2"/>
  <c r="T153" i="2"/>
  <c r="Y153" i="2"/>
  <c r="F153" i="2"/>
  <c r="X153" i="2"/>
  <c r="AQ152" i="2"/>
  <c r="AV152" i="2"/>
  <c r="AX152" i="2"/>
  <c r="AW152" i="2"/>
  <c r="AU152" i="2"/>
  <c r="AT152" i="2"/>
  <c r="AS152" i="2"/>
  <c r="AK152" i="2"/>
  <c r="AE152" i="2"/>
  <c r="AC152" i="2"/>
  <c r="V152" i="2"/>
  <c r="AB152" i="2"/>
  <c r="H152" i="2"/>
  <c r="O152" i="2"/>
  <c r="AA152" i="2"/>
  <c r="Z152" i="2"/>
  <c r="P152" i="2"/>
  <c r="T152" i="2"/>
  <c r="Y152" i="2"/>
  <c r="F152" i="2"/>
  <c r="X152" i="2"/>
  <c r="AQ151" i="2"/>
  <c r="AV151" i="2"/>
  <c r="AX151" i="2"/>
  <c r="AW151" i="2"/>
  <c r="AU151" i="2"/>
  <c r="AT151" i="2"/>
  <c r="AS151" i="2"/>
  <c r="AK151" i="2"/>
  <c r="AE151" i="2"/>
  <c r="AC151" i="2"/>
  <c r="V151" i="2"/>
  <c r="AB151" i="2"/>
  <c r="H151" i="2"/>
  <c r="O151" i="2"/>
  <c r="AA151" i="2"/>
  <c r="Z151" i="2"/>
  <c r="P151" i="2"/>
  <c r="T151" i="2"/>
  <c r="Y151" i="2"/>
  <c r="F151" i="2"/>
  <c r="X151" i="2"/>
  <c r="AQ150" i="2"/>
  <c r="AV150" i="2"/>
  <c r="AX150" i="2"/>
  <c r="AW150" i="2"/>
  <c r="AU150" i="2"/>
  <c r="AT150" i="2"/>
  <c r="AS150" i="2"/>
  <c r="AK150" i="2"/>
  <c r="AE150" i="2"/>
  <c r="AC150" i="2"/>
  <c r="V150" i="2"/>
  <c r="AB150" i="2"/>
  <c r="H150" i="2"/>
  <c r="O150" i="2"/>
  <c r="AA150" i="2"/>
  <c r="Z150" i="2"/>
  <c r="P150" i="2"/>
  <c r="T150" i="2"/>
  <c r="Y150" i="2"/>
  <c r="F150" i="2"/>
  <c r="X150" i="2"/>
  <c r="AQ149" i="2"/>
  <c r="AV149" i="2"/>
  <c r="AX149" i="2"/>
  <c r="AW149" i="2"/>
  <c r="AU149" i="2"/>
  <c r="AT149" i="2"/>
  <c r="AS149" i="2"/>
  <c r="AK149" i="2"/>
  <c r="AE149" i="2"/>
  <c r="AC149" i="2"/>
  <c r="V149" i="2"/>
  <c r="AB149" i="2"/>
  <c r="H149" i="2"/>
  <c r="O149" i="2"/>
  <c r="AA149" i="2"/>
  <c r="Z149" i="2"/>
  <c r="P149" i="2"/>
  <c r="T149" i="2"/>
  <c r="Y149" i="2"/>
  <c r="F149" i="2"/>
  <c r="X149" i="2"/>
  <c r="AQ148" i="2"/>
  <c r="AV148" i="2"/>
  <c r="AX148" i="2"/>
  <c r="AW148" i="2"/>
  <c r="AU148" i="2"/>
  <c r="AT148" i="2"/>
  <c r="AS148" i="2"/>
  <c r="AK148" i="2"/>
  <c r="AE148" i="2"/>
  <c r="AC148" i="2"/>
  <c r="V148" i="2"/>
  <c r="AB148" i="2"/>
  <c r="H148" i="2"/>
  <c r="O148" i="2"/>
  <c r="AA148" i="2"/>
  <c r="Z148" i="2"/>
  <c r="P148" i="2"/>
  <c r="T148" i="2"/>
  <c r="Y148" i="2"/>
  <c r="F148" i="2"/>
  <c r="X148" i="2"/>
  <c r="AQ147" i="2"/>
  <c r="AV147" i="2"/>
  <c r="AX147" i="2"/>
  <c r="AW147" i="2"/>
  <c r="AU147" i="2"/>
  <c r="AT147" i="2"/>
  <c r="AS147" i="2"/>
  <c r="AK147" i="2"/>
  <c r="AE147" i="2"/>
  <c r="AC147" i="2"/>
  <c r="V147" i="2"/>
  <c r="AB147" i="2"/>
  <c r="H147" i="2"/>
  <c r="O147" i="2"/>
  <c r="AA147" i="2"/>
  <c r="Z147" i="2"/>
  <c r="P147" i="2"/>
  <c r="T147" i="2"/>
  <c r="Y147" i="2"/>
  <c r="F147" i="2"/>
  <c r="X147" i="2"/>
  <c r="AQ146" i="2"/>
  <c r="AV146" i="2"/>
  <c r="AX146" i="2"/>
  <c r="AW146" i="2"/>
  <c r="AU146" i="2"/>
  <c r="AT146" i="2"/>
  <c r="AS146" i="2"/>
  <c r="AK146" i="2"/>
  <c r="AE146" i="2"/>
  <c r="AC146" i="2"/>
  <c r="V146" i="2"/>
  <c r="AB146" i="2"/>
  <c r="H146" i="2"/>
  <c r="O146" i="2"/>
  <c r="AA146" i="2"/>
  <c r="Z146" i="2"/>
  <c r="P146" i="2"/>
  <c r="T146" i="2"/>
  <c r="Y146" i="2"/>
  <c r="F146" i="2"/>
  <c r="X146" i="2"/>
  <c r="AQ145" i="2"/>
  <c r="AV145" i="2"/>
  <c r="AX145" i="2"/>
  <c r="AW145" i="2"/>
  <c r="AU145" i="2"/>
  <c r="AT145" i="2"/>
  <c r="AS145" i="2"/>
  <c r="AK145" i="2"/>
  <c r="AE145" i="2"/>
  <c r="AC145" i="2"/>
  <c r="V145" i="2"/>
  <c r="AB145" i="2"/>
  <c r="H145" i="2"/>
  <c r="O145" i="2"/>
  <c r="AA145" i="2"/>
  <c r="Z145" i="2"/>
  <c r="P145" i="2"/>
  <c r="T145" i="2"/>
  <c r="Y145" i="2"/>
  <c r="F145" i="2"/>
  <c r="X145" i="2"/>
  <c r="AQ144" i="2"/>
  <c r="AV144" i="2"/>
  <c r="AX144" i="2"/>
  <c r="AW144" i="2"/>
  <c r="AU144" i="2"/>
  <c r="AT144" i="2"/>
  <c r="AS144" i="2"/>
  <c r="AK144" i="2"/>
  <c r="AE144" i="2"/>
  <c r="AC144" i="2"/>
  <c r="V144" i="2"/>
  <c r="AB144" i="2"/>
  <c r="H144" i="2"/>
  <c r="O144" i="2"/>
  <c r="AA144" i="2"/>
  <c r="Z144" i="2"/>
  <c r="P144" i="2"/>
  <c r="T144" i="2"/>
  <c r="Y144" i="2"/>
  <c r="F144" i="2"/>
  <c r="X144" i="2"/>
  <c r="AQ143" i="2"/>
  <c r="AV143" i="2"/>
  <c r="AX143" i="2"/>
  <c r="AW143" i="2"/>
  <c r="AU143" i="2"/>
  <c r="AT143" i="2"/>
  <c r="AS143" i="2"/>
  <c r="AK143" i="2"/>
  <c r="AE143" i="2"/>
  <c r="AC143" i="2"/>
  <c r="V143" i="2"/>
  <c r="AB143" i="2"/>
  <c r="H143" i="2"/>
  <c r="O143" i="2"/>
  <c r="AA143" i="2"/>
  <c r="Z143" i="2"/>
  <c r="P143" i="2"/>
  <c r="T143" i="2"/>
  <c r="Y143" i="2"/>
  <c r="F143" i="2"/>
  <c r="X143" i="2"/>
  <c r="AQ142" i="2"/>
  <c r="AV142" i="2"/>
  <c r="AX142" i="2"/>
  <c r="AW142" i="2"/>
  <c r="AU142" i="2"/>
  <c r="AT142" i="2"/>
  <c r="AS142" i="2"/>
  <c r="AK142" i="2"/>
  <c r="AE142" i="2"/>
  <c r="AC142" i="2"/>
  <c r="V142" i="2"/>
  <c r="AB142" i="2"/>
  <c r="H142" i="2"/>
  <c r="O142" i="2"/>
  <c r="AA142" i="2"/>
  <c r="Z142" i="2"/>
  <c r="P142" i="2"/>
  <c r="T142" i="2"/>
  <c r="Y142" i="2"/>
  <c r="F142" i="2"/>
  <c r="X142" i="2"/>
  <c r="AQ141" i="2"/>
  <c r="AV141" i="2"/>
  <c r="AX141" i="2"/>
  <c r="AW141" i="2"/>
  <c r="AU141" i="2"/>
  <c r="AT141" i="2"/>
  <c r="AS141" i="2"/>
  <c r="AK141" i="2"/>
  <c r="AE141" i="2"/>
  <c r="AC141" i="2"/>
  <c r="V141" i="2"/>
  <c r="AB141" i="2"/>
  <c r="H141" i="2"/>
  <c r="O141" i="2"/>
  <c r="AA141" i="2"/>
  <c r="Z141" i="2"/>
  <c r="P141" i="2"/>
  <c r="T141" i="2"/>
  <c r="Y141" i="2"/>
  <c r="F141" i="2"/>
  <c r="X141" i="2"/>
  <c r="AQ140" i="2"/>
  <c r="AV140" i="2"/>
  <c r="AX140" i="2"/>
  <c r="AW140" i="2"/>
  <c r="AU140" i="2"/>
  <c r="AT140" i="2"/>
  <c r="AS140" i="2"/>
  <c r="AK140" i="2"/>
  <c r="AE140" i="2"/>
  <c r="AC140" i="2"/>
  <c r="V140" i="2"/>
  <c r="AB140" i="2"/>
  <c r="H140" i="2"/>
  <c r="O140" i="2"/>
  <c r="AA140" i="2"/>
  <c r="Z140" i="2"/>
  <c r="P140" i="2"/>
  <c r="T140" i="2"/>
  <c r="Y140" i="2"/>
  <c r="F140" i="2"/>
  <c r="X140" i="2"/>
  <c r="AQ139" i="2"/>
  <c r="AV139" i="2"/>
  <c r="AX139" i="2"/>
  <c r="AW139" i="2"/>
  <c r="AU139" i="2"/>
  <c r="AT139" i="2"/>
  <c r="AS139" i="2"/>
  <c r="AK139" i="2"/>
  <c r="AE139" i="2"/>
  <c r="AC139" i="2"/>
  <c r="V139" i="2"/>
  <c r="AB139" i="2"/>
  <c r="H139" i="2"/>
  <c r="O139" i="2"/>
  <c r="AA139" i="2"/>
  <c r="Z139" i="2"/>
  <c r="P139" i="2"/>
  <c r="T139" i="2"/>
  <c r="Y139" i="2"/>
  <c r="F139" i="2"/>
  <c r="X139" i="2"/>
  <c r="AQ138" i="2"/>
  <c r="AV138" i="2"/>
  <c r="AX138" i="2"/>
  <c r="AW138" i="2"/>
  <c r="AU138" i="2"/>
  <c r="AT138" i="2"/>
  <c r="AS138" i="2"/>
  <c r="AK138" i="2"/>
  <c r="AE138" i="2"/>
  <c r="AC138" i="2"/>
  <c r="V138" i="2"/>
  <c r="AB138" i="2"/>
  <c r="H138" i="2"/>
  <c r="O138" i="2"/>
  <c r="AA138" i="2"/>
  <c r="Z138" i="2"/>
  <c r="P138" i="2"/>
  <c r="T138" i="2"/>
  <c r="Y138" i="2"/>
  <c r="F138" i="2"/>
  <c r="X138" i="2"/>
  <c r="AQ137" i="2"/>
  <c r="AV137" i="2"/>
  <c r="AX137" i="2"/>
  <c r="AW137" i="2"/>
  <c r="AU137" i="2"/>
  <c r="AT137" i="2"/>
  <c r="AS137" i="2"/>
  <c r="AK137" i="2"/>
  <c r="AE137" i="2"/>
  <c r="AC137" i="2"/>
  <c r="V137" i="2"/>
  <c r="AB137" i="2"/>
  <c r="H137" i="2"/>
  <c r="O137" i="2"/>
  <c r="AA137" i="2"/>
  <c r="Z137" i="2"/>
  <c r="P137" i="2"/>
  <c r="T137" i="2"/>
  <c r="Y137" i="2"/>
  <c r="F137" i="2"/>
  <c r="X137" i="2"/>
  <c r="AQ136" i="2"/>
  <c r="AV136" i="2"/>
  <c r="AX136" i="2"/>
  <c r="AW136" i="2"/>
  <c r="AU136" i="2"/>
  <c r="AT136" i="2"/>
  <c r="AS136" i="2"/>
  <c r="AK136" i="2"/>
  <c r="AE136" i="2"/>
  <c r="AC136" i="2"/>
  <c r="V136" i="2"/>
  <c r="AB136" i="2"/>
  <c r="H136" i="2"/>
  <c r="O136" i="2"/>
  <c r="AA136" i="2"/>
  <c r="Z136" i="2"/>
  <c r="P136" i="2"/>
  <c r="T136" i="2"/>
  <c r="Y136" i="2"/>
  <c r="F136" i="2"/>
  <c r="X136" i="2"/>
  <c r="AQ135" i="2"/>
  <c r="AV135" i="2"/>
  <c r="AX135" i="2"/>
  <c r="AW135" i="2"/>
  <c r="AU135" i="2"/>
  <c r="AT135" i="2"/>
  <c r="AS135" i="2"/>
  <c r="AK135" i="2"/>
  <c r="AE135" i="2"/>
  <c r="AC135" i="2"/>
  <c r="V135" i="2"/>
  <c r="AB135" i="2"/>
  <c r="H135" i="2"/>
  <c r="O135" i="2"/>
  <c r="AA135" i="2"/>
  <c r="Z135" i="2"/>
  <c r="P135" i="2"/>
  <c r="T135" i="2"/>
  <c r="Y135" i="2"/>
  <c r="F135" i="2"/>
  <c r="X135" i="2"/>
  <c r="AQ134" i="2"/>
  <c r="AV134" i="2"/>
  <c r="AX134" i="2"/>
  <c r="AW134" i="2"/>
  <c r="AU134" i="2"/>
  <c r="AT134" i="2"/>
  <c r="AS134" i="2"/>
  <c r="AK134" i="2"/>
  <c r="AE134" i="2"/>
  <c r="AC134" i="2"/>
  <c r="V134" i="2"/>
  <c r="AB134" i="2"/>
  <c r="H134" i="2"/>
  <c r="O134" i="2"/>
  <c r="AA134" i="2"/>
  <c r="Z134" i="2"/>
  <c r="P134" i="2"/>
  <c r="T134" i="2"/>
  <c r="Y134" i="2"/>
  <c r="F134" i="2"/>
  <c r="X134" i="2"/>
  <c r="AQ133" i="2"/>
  <c r="AV133" i="2"/>
  <c r="AX133" i="2"/>
  <c r="AW133" i="2"/>
  <c r="AU133" i="2"/>
  <c r="AT133" i="2"/>
  <c r="AS133" i="2"/>
  <c r="AK133" i="2"/>
  <c r="AE133" i="2"/>
  <c r="AC133" i="2"/>
  <c r="V133" i="2"/>
  <c r="AB133" i="2"/>
  <c r="H133" i="2"/>
  <c r="O133" i="2"/>
  <c r="AA133" i="2"/>
  <c r="Z133" i="2"/>
  <c r="P133" i="2"/>
  <c r="T133" i="2"/>
  <c r="Y133" i="2"/>
  <c r="F133" i="2"/>
  <c r="X133" i="2"/>
  <c r="AQ132" i="2"/>
  <c r="AV132" i="2"/>
  <c r="AX132" i="2"/>
  <c r="AW132" i="2"/>
  <c r="AU132" i="2"/>
  <c r="AT132" i="2"/>
  <c r="AS132" i="2"/>
  <c r="AK132" i="2"/>
  <c r="AE132" i="2"/>
  <c r="AC132" i="2"/>
  <c r="V132" i="2"/>
  <c r="AB132" i="2"/>
  <c r="H132" i="2"/>
  <c r="O132" i="2"/>
  <c r="AA132" i="2"/>
  <c r="Z132" i="2"/>
  <c r="P132" i="2"/>
  <c r="T132" i="2"/>
  <c r="Y132" i="2"/>
  <c r="F132" i="2"/>
  <c r="X132" i="2"/>
  <c r="AQ131" i="2"/>
  <c r="AV131" i="2"/>
  <c r="AX131" i="2"/>
  <c r="AW131" i="2"/>
  <c r="AU131" i="2"/>
  <c r="AT131" i="2"/>
  <c r="AS131" i="2"/>
  <c r="AK131" i="2"/>
  <c r="AE131" i="2"/>
  <c r="AC131" i="2"/>
  <c r="V131" i="2"/>
  <c r="AB131" i="2"/>
  <c r="H131" i="2"/>
  <c r="O131" i="2"/>
  <c r="AA131" i="2"/>
  <c r="Z131" i="2"/>
  <c r="P131" i="2"/>
  <c r="T131" i="2"/>
  <c r="Y131" i="2"/>
  <c r="F131" i="2"/>
  <c r="X131" i="2"/>
  <c r="AQ130" i="2"/>
  <c r="AV130" i="2"/>
  <c r="AX130" i="2"/>
  <c r="AW130" i="2"/>
  <c r="AU130" i="2"/>
  <c r="AT130" i="2"/>
  <c r="AS130" i="2"/>
  <c r="AK130" i="2"/>
  <c r="AE130" i="2"/>
  <c r="AC130" i="2"/>
  <c r="V130" i="2"/>
  <c r="AB130" i="2"/>
  <c r="H130" i="2"/>
  <c r="O130" i="2"/>
  <c r="AA130" i="2"/>
  <c r="Z130" i="2"/>
  <c r="P130" i="2"/>
  <c r="T130" i="2"/>
  <c r="Y130" i="2"/>
  <c r="F130" i="2"/>
  <c r="X130" i="2"/>
  <c r="AQ129" i="2"/>
  <c r="AV129" i="2"/>
  <c r="AX129" i="2"/>
  <c r="AW129" i="2"/>
  <c r="AU129" i="2"/>
  <c r="AT129" i="2"/>
  <c r="AS129" i="2"/>
  <c r="AK129" i="2"/>
  <c r="AE129" i="2"/>
  <c r="AC129" i="2"/>
  <c r="V129" i="2"/>
  <c r="AB129" i="2"/>
  <c r="H129" i="2"/>
  <c r="O129" i="2"/>
  <c r="AA129" i="2"/>
  <c r="Z129" i="2"/>
  <c r="P129" i="2"/>
  <c r="T129" i="2"/>
  <c r="Y129" i="2"/>
  <c r="F129" i="2"/>
  <c r="X129" i="2"/>
  <c r="AQ128" i="2"/>
  <c r="AV128" i="2"/>
  <c r="AX128" i="2"/>
  <c r="AW128" i="2"/>
  <c r="AU128" i="2"/>
  <c r="AT128" i="2"/>
  <c r="AS128" i="2"/>
  <c r="AK128" i="2"/>
  <c r="AE128" i="2"/>
  <c r="AC128" i="2"/>
  <c r="V128" i="2"/>
  <c r="AB128" i="2"/>
  <c r="H128" i="2"/>
  <c r="O128" i="2"/>
  <c r="AA128" i="2"/>
  <c r="Z128" i="2"/>
  <c r="P128" i="2"/>
  <c r="T128" i="2"/>
  <c r="Y128" i="2"/>
  <c r="F128" i="2"/>
  <c r="X128" i="2"/>
  <c r="AQ127" i="2"/>
  <c r="AV127" i="2"/>
  <c r="AX127" i="2"/>
  <c r="AW127" i="2"/>
  <c r="AU127" i="2"/>
  <c r="AT127" i="2"/>
  <c r="AS127" i="2"/>
  <c r="AK127" i="2"/>
  <c r="AE127" i="2"/>
  <c r="AC127" i="2"/>
  <c r="V127" i="2"/>
  <c r="AB127" i="2"/>
  <c r="H127" i="2"/>
  <c r="O127" i="2"/>
  <c r="AA127" i="2"/>
  <c r="Z127" i="2"/>
  <c r="P127" i="2"/>
  <c r="T127" i="2"/>
  <c r="Y127" i="2"/>
  <c r="F127" i="2"/>
  <c r="X127" i="2"/>
  <c r="AQ126" i="2"/>
  <c r="AV126" i="2"/>
  <c r="AX126" i="2"/>
  <c r="AW126" i="2"/>
  <c r="AU126" i="2"/>
  <c r="AT126" i="2"/>
  <c r="AS126" i="2"/>
  <c r="AK126" i="2"/>
  <c r="AE126" i="2"/>
  <c r="AC126" i="2"/>
  <c r="V126" i="2"/>
  <c r="AB126" i="2"/>
  <c r="H126" i="2"/>
  <c r="O126" i="2"/>
  <c r="AA126" i="2"/>
  <c r="Z126" i="2"/>
  <c r="P126" i="2"/>
  <c r="T126" i="2"/>
  <c r="Y126" i="2"/>
  <c r="F126" i="2"/>
  <c r="X126" i="2"/>
  <c r="AQ125" i="2"/>
  <c r="AV125" i="2"/>
  <c r="AX125" i="2"/>
  <c r="AW125" i="2"/>
  <c r="AU125" i="2"/>
  <c r="AT125" i="2"/>
  <c r="AS125" i="2"/>
  <c r="AK125" i="2"/>
  <c r="AE125" i="2"/>
  <c r="AC125" i="2"/>
  <c r="V125" i="2"/>
  <c r="AB125" i="2"/>
  <c r="H125" i="2"/>
  <c r="O125" i="2"/>
  <c r="AA125" i="2"/>
  <c r="Z125" i="2"/>
  <c r="P125" i="2"/>
  <c r="T125" i="2"/>
  <c r="Y125" i="2"/>
  <c r="F125" i="2"/>
  <c r="X125" i="2"/>
  <c r="AQ124" i="2"/>
  <c r="AV124" i="2"/>
  <c r="AX124" i="2"/>
  <c r="AW124" i="2"/>
  <c r="AU124" i="2"/>
  <c r="AT124" i="2"/>
  <c r="AS124" i="2"/>
  <c r="AK124" i="2"/>
  <c r="AE124" i="2"/>
  <c r="AC124" i="2"/>
  <c r="V124" i="2"/>
  <c r="AB124" i="2"/>
  <c r="H124" i="2"/>
  <c r="O124" i="2"/>
  <c r="AA124" i="2"/>
  <c r="Z124" i="2"/>
  <c r="P124" i="2"/>
  <c r="T124" i="2"/>
  <c r="Y124" i="2"/>
  <c r="F124" i="2"/>
  <c r="X124" i="2"/>
  <c r="AQ123" i="2"/>
  <c r="AV123" i="2"/>
  <c r="AX123" i="2"/>
  <c r="AW123" i="2"/>
  <c r="AU123" i="2"/>
  <c r="AT123" i="2"/>
  <c r="AS123" i="2"/>
  <c r="AK123" i="2"/>
  <c r="AE123" i="2"/>
  <c r="AC123" i="2"/>
  <c r="V123" i="2"/>
  <c r="AB123" i="2"/>
  <c r="H123" i="2"/>
  <c r="O123" i="2"/>
  <c r="AA123" i="2"/>
  <c r="Z123" i="2"/>
  <c r="P123" i="2"/>
  <c r="T123" i="2"/>
  <c r="Y123" i="2"/>
  <c r="F123" i="2"/>
  <c r="X123" i="2"/>
  <c r="AQ122" i="2"/>
  <c r="AV122" i="2"/>
  <c r="AX122" i="2"/>
  <c r="AW122" i="2"/>
  <c r="AU122" i="2"/>
  <c r="AT122" i="2"/>
  <c r="AS122" i="2"/>
  <c r="AK122" i="2"/>
  <c r="AE122" i="2"/>
  <c r="AC122" i="2"/>
  <c r="V122" i="2"/>
  <c r="AB122" i="2"/>
  <c r="H122" i="2"/>
  <c r="O122" i="2"/>
  <c r="AA122" i="2"/>
  <c r="Z122" i="2"/>
  <c r="P122" i="2"/>
  <c r="T122" i="2"/>
  <c r="Y122" i="2"/>
  <c r="F122" i="2"/>
  <c r="X122" i="2"/>
  <c r="AQ121" i="2"/>
  <c r="AV121" i="2"/>
  <c r="AX121" i="2"/>
  <c r="AW121" i="2"/>
  <c r="AU121" i="2"/>
  <c r="AT121" i="2"/>
  <c r="AS121" i="2"/>
  <c r="AK121" i="2"/>
  <c r="AE121" i="2"/>
  <c r="AC121" i="2"/>
  <c r="V121" i="2"/>
  <c r="AB121" i="2"/>
  <c r="H121" i="2"/>
  <c r="O121" i="2"/>
  <c r="AA121" i="2"/>
  <c r="Z121" i="2"/>
  <c r="P121" i="2"/>
  <c r="T121" i="2"/>
  <c r="Y121" i="2"/>
  <c r="F121" i="2"/>
  <c r="X121" i="2"/>
  <c r="AQ120" i="2"/>
  <c r="AV120" i="2"/>
  <c r="AX120" i="2"/>
  <c r="AW120" i="2"/>
  <c r="AU120" i="2"/>
  <c r="AT120" i="2"/>
  <c r="AS120" i="2"/>
  <c r="AK120" i="2"/>
  <c r="AE120" i="2"/>
  <c r="AC120" i="2"/>
  <c r="V120" i="2"/>
  <c r="AB120" i="2"/>
  <c r="H120" i="2"/>
  <c r="O120" i="2"/>
  <c r="AA120" i="2"/>
  <c r="Z120" i="2"/>
  <c r="P120" i="2"/>
  <c r="T120" i="2"/>
  <c r="Y120" i="2"/>
  <c r="F120" i="2"/>
  <c r="X120" i="2"/>
  <c r="AQ119" i="2"/>
  <c r="AV119" i="2"/>
  <c r="AX119" i="2"/>
  <c r="AW119" i="2"/>
  <c r="AU119" i="2"/>
  <c r="AT119" i="2"/>
  <c r="AS119" i="2"/>
  <c r="AK119" i="2"/>
  <c r="AE119" i="2"/>
  <c r="AC119" i="2"/>
  <c r="V119" i="2"/>
  <c r="AB119" i="2"/>
  <c r="H119" i="2"/>
  <c r="O119" i="2"/>
  <c r="AA119" i="2"/>
  <c r="Z119" i="2"/>
  <c r="P119" i="2"/>
  <c r="T119" i="2"/>
  <c r="Y119" i="2"/>
  <c r="F119" i="2"/>
  <c r="X119" i="2"/>
  <c r="AQ118" i="2"/>
  <c r="AV118" i="2"/>
  <c r="AX118" i="2"/>
  <c r="AW118" i="2"/>
  <c r="AU118" i="2"/>
  <c r="AT118" i="2"/>
  <c r="AS118" i="2"/>
  <c r="AK118" i="2"/>
  <c r="AE118" i="2"/>
  <c r="AC118" i="2"/>
  <c r="V118" i="2"/>
  <c r="AB118" i="2"/>
  <c r="H118" i="2"/>
  <c r="O118" i="2"/>
  <c r="AA118" i="2"/>
  <c r="Z118" i="2"/>
  <c r="P118" i="2"/>
  <c r="T118" i="2"/>
  <c r="Y118" i="2"/>
  <c r="F118" i="2"/>
  <c r="X118" i="2"/>
  <c r="AQ117" i="2"/>
  <c r="AV117" i="2"/>
  <c r="AX117" i="2"/>
  <c r="AW117" i="2"/>
  <c r="AU117" i="2"/>
  <c r="AT117" i="2"/>
  <c r="AS117" i="2"/>
  <c r="AK117" i="2"/>
  <c r="AE117" i="2"/>
  <c r="AC117" i="2"/>
  <c r="V117" i="2"/>
  <c r="AB117" i="2"/>
  <c r="H117" i="2"/>
  <c r="O117" i="2"/>
  <c r="AA117" i="2"/>
  <c r="Z117" i="2"/>
  <c r="P117" i="2"/>
  <c r="T117" i="2"/>
  <c r="Y117" i="2"/>
  <c r="F117" i="2"/>
  <c r="X117" i="2"/>
  <c r="AQ116" i="2"/>
  <c r="AV116" i="2"/>
  <c r="AX116" i="2"/>
  <c r="AW116" i="2"/>
  <c r="AU116" i="2"/>
  <c r="AT116" i="2"/>
  <c r="AS116" i="2"/>
  <c r="AK116" i="2"/>
  <c r="AE116" i="2"/>
  <c r="AC116" i="2"/>
  <c r="V116" i="2"/>
  <c r="AB116" i="2"/>
  <c r="H116" i="2"/>
  <c r="O116" i="2"/>
  <c r="AA116" i="2"/>
  <c r="Z116" i="2"/>
  <c r="P116" i="2"/>
  <c r="T116" i="2"/>
  <c r="Y116" i="2"/>
  <c r="F116" i="2"/>
  <c r="X116" i="2"/>
  <c r="AQ115" i="2"/>
  <c r="AV115" i="2"/>
  <c r="AX115" i="2"/>
  <c r="AW115" i="2"/>
  <c r="AU115" i="2"/>
  <c r="AT115" i="2"/>
  <c r="AS115" i="2"/>
  <c r="AK115" i="2"/>
  <c r="AE115" i="2"/>
  <c r="AC115" i="2"/>
  <c r="V115" i="2"/>
  <c r="AB115" i="2"/>
  <c r="H115" i="2"/>
  <c r="O115" i="2"/>
  <c r="AA115" i="2"/>
  <c r="Z115" i="2"/>
  <c r="P115" i="2"/>
  <c r="T115" i="2"/>
  <c r="Y115" i="2"/>
  <c r="F115" i="2"/>
  <c r="X115" i="2"/>
  <c r="AQ114" i="2"/>
  <c r="AV114" i="2"/>
  <c r="AX114" i="2"/>
  <c r="AW114" i="2"/>
  <c r="AU114" i="2"/>
  <c r="AT114" i="2"/>
  <c r="AS114" i="2"/>
  <c r="AK114" i="2"/>
  <c r="AE114" i="2"/>
  <c r="AC114" i="2"/>
  <c r="V114" i="2"/>
  <c r="AB114" i="2"/>
  <c r="H114" i="2"/>
  <c r="O114" i="2"/>
  <c r="AA114" i="2"/>
  <c r="Z114" i="2"/>
  <c r="P114" i="2"/>
  <c r="T114" i="2"/>
  <c r="Y114" i="2"/>
  <c r="F114" i="2"/>
  <c r="X114" i="2"/>
  <c r="AQ113" i="2"/>
  <c r="AV113" i="2"/>
  <c r="AX113" i="2"/>
  <c r="AW113" i="2"/>
  <c r="AU113" i="2"/>
  <c r="AT113" i="2"/>
  <c r="AS113" i="2"/>
  <c r="AK113" i="2"/>
  <c r="AE113" i="2"/>
  <c r="AC113" i="2"/>
  <c r="V113" i="2"/>
  <c r="AB113" i="2"/>
  <c r="H113" i="2"/>
  <c r="O113" i="2"/>
  <c r="AA113" i="2"/>
  <c r="Z113" i="2"/>
  <c r="P113" i="2"/>
  <c r="T113" i="2"/>
  <c r="Y113" i="2"/>
  <c r="F113" i="2"/>
  <c r="X113" i="2"/>
  <c r="AQ112" i="2"/>
  <c r="AV112" i="2"/>
  <c r="AX112" i="2"/>
  <c r="AW112" i="2"/>
  <c r="AU112" i="2"/>
  <c r="AT112" i="2"/>
  <c r="AS112" i="2"/>
  <c r="AK112" i="2"/>
  <c r="AE112" i="2"/>
  <c r="AC112" i="2"/>
  <c r="V112" i="2"/>
  <c r="AB112" i="2"/>
  <c r="H112" i="2"/>
  <c r="O112" i="2"/>
  <c r="AA112" i="2"/>
  <c r="Z112" i="2"/>
  <c r="P112" i="2"/>
  <c r="T112" i="2"/>
  <c r="Y112" i="2"/>
  <c r="F112" i="2"/>
  <c r="X112" i="2"/>
  <c r="AQ111" i="2"/>
  <c r="AV111" i="2"/>
  <c r="AX111" i="2"/>
  <c r="AW111" i="2"/>
  <c r="AU111" i="2"/>
  <c r="AT111" i="2"/>
  <c r="AS111" i="2"/>
  <c r="AK111" i="2"/>
  <c r="AE111" i="2"/>
  <c r="AC111" i="2"/>
  <c r="V111" i="2"/>
  <c r="AB111" i="2"/>
  <c r="H111" i="2"/>
  <c r="O111" i="2"/>
  <c r="AA111" i="2"/>
  <c r="Z111" i="2"/>
  <c r="P111" i="2"/>
  <c r="T111" i="2"/>
  <c r="Y111" i="2"/>
  <c r="F111" i="2"/>
  <c r="X111" i="2"/>
  <c r="AQ110" i="2"/>
  <c r="AV110" i="2"/>
  <c r="AX110" i="2"/>
  <c r="AW110" i="2"/>
  <c r="AU110" i="2"/>
  <c r="AT110" i="2"/>
  <c r="AS110" i="2"/>
  <c r="AK110" i="2"/>
  <c r="AE110" i="2"/>
  <c r="AC110" i="2"/>
  <c r="V110" i="2"/>
  <c r="AB110" i="2"/>
  <c r="H110" i="2"/>
  <c r="O110" i="2"/>
  <c r="AA110" i="2"/>
  <c r="Z110" i="2"/>
  <c r="P110" i="2"/>
  <c r="T110" i="2"/>
  <c r="Y110" i="2"/>
  <c r="F110" i="2"/>
  <c r="X110" i="2"/>
  <c r="AQ109" i="2"/>
  <c r="AV109" i="2"/>
  <c r="AX109" i="2"/>
  <c r="AW109" i="2"/>
  <c r="AU109" i="2"/>
  <c r="AT109" i="2"/>
  <c r="AS109" i="2"/>
  <c r="AK109" i="2"/>
  <c r="AE109" i="2"/>
  <c r="AC109" i="2"/>
  <c r="V109" i="2"/>
  <c r="AB109" i="2"/>
  <c r="H109" i="2"/>
  <c r="O109" i="2"/>
  <c r="AA109" i="2"/>
  <c r="Z109" i="2"/>
  <c r="P109" i="2"/>
  <c r="T109" i="2"/>
  <c r="Y109" i="2"/>
  <c r="F109" i="2"/>
  <c r="X109" i="2"/>
  <c r="AQ108" i="2"/>
  <c r="AV108" i="2"/>
  <c r="AX108" i="2"/>
  <c r="AW108" i="2"/>
  <c r="AU108" i="2"/>
  <c r="AT108" i="2"/>
  <c r="AS108" i="2"/>
  <c r="AK108" i="2"/>
  <c r="AE108" i="2"/>
  <c r="AC108" i="2"/>
  <c r="V108" i="2"/>
  <c r="AB108" i="2"/>
  <c r="H108" i="2"/>
  <c r="O108" i="2"/>
  <c r="AA108" i="2"/>
  <c r="Z108" i="2"/>
  <c r="P108" i="2"/>
  <c r="T108" i="2"/>
  <c r="Y108" i="2"/>
  <c r="F108" i="2"/>
  <c r="X108" i="2"/>
  <c r="AQ107" i="2"/>
  <c r="AV107" i="2"/>
  <c r="AX107" i="2"/>
  <c r="AW107" i="2"/>
  <c r="AU107" i="2"/>
  <c r="AT107" i="2"/>
  <c r="AS107" i="2"/>
  <c r="AK107" i="2"/>
  <c r="AE107" i="2"/>
  <c r="AC107" i="2"/>
  <c r="V107" i="2"/>
  <c r="AB107" i="2"/>
  <c r="H107" i="2"/>
  <c r="O107" i="2"/>
  <c r="AA107" i="2"/>
  <c r="Z107" i="2"/>
  <c r="P107" i="2"/>
  <c r="T107" i="2"/>
  <c r="Y107" i="2"/>
  <c r="F107" i="2"/>
  <c r="X107" i="2"/>
  <c r="AQ106" i="2"/>
  <c r="AV106" i="2"/>
  <c r="AX106" i="2"/>
  <c r="AW106" i="2"/>
  <c r="AU106" i="2"/>
  <c r="AT106" i="2"/>
  <c r="AS106" i="2"/>
  <c r="AK106" i="2"/>
  <c r="AE106" i="2"/>
  <c r="AC106" i="2"/>
  <c r="V106" i="2"/>
  <c r="AB106" i="2"/>
  <c r="H106" i="2"/>
  <c r="O106" i="2"/>
  <c r="AA106" i="2"/>
  <c r="Z106" i="2"/>
  <c r="P106" i="2"/>
  <c r="T106" i="2"/>
  <c r="Y106" i="2"/>
  <c r="F106" i="2"/>
  <c r="X106" i="2"/>
  <c r="AQ105" i="2"/>
  <c r="AV105" i="2"/>
  <c r="AX105" i="2"/>
  <c r="AW105" i="2"/>
  <c r="AU105" i="2"/>
  <c r="AT105" i="2"/>
  <c r="AS105" i="2"/>
  <c r="AK105" i="2"/>
  <c r="AE105" i="2"/>
  <c r="AC105" i="2"/>
  <c r="V105" i="2"/>
  <c r="AB105" i="2"/>
  <c r="H105" i="2"/>
  <c r="O105" i="2"/>
  <c r="AA105" i="2"/>
  <c r="Z105" i="2"/>
  <c r="P105" i="2"/>
  <c r="T105" i="2"/>
  <c r="Y105" i="2"/>
  <c r="F105" i="2"/>
  <c r="X105" i="2"/>
  <c r="AQ104" i="2"/>
  <c r="AV104" i="2"/>
  <c r="AX104" i="2"/>
  <c r="AW104" i="2"/>
  <c r="AU104" i="2"/>
  <c r="AT104" i="2"/>
  <c r="AS104" i="2"/>
  <c r="AK104" i="2"/>
  <c r="AE104" i="2"/>
  <c r="AC104" i="2"/>
  <c r="V104" i="2"/>
  <c r="AB104" i="2"/>
  <c r="H104" i="2"/>
  <c r="O104" i="2"/>
  <c r="AA104" i="2"/>
  <c r="Z104" i="2"/>
  <c r="P104" i="2"/>
  <c r="T104" i="2"/>
  <c r="Y104" i="2"/>
  <c r="F104" i="2"/>
  <c r="X104" i="2"/>
  <c r="AQ103" i="2"/>
  <c r="AV103" i="2"/>
  <c r="AX103" i="2"/>
  <c r="AW103" i="2"/>
  <c r="AU103" i="2"/>
  <c r="AT103" i="2"/>
  <c r="AS103" i="2"/>
  <c r="AK103" i="2"/>
  <c r="AE103" i="2"/>
  <c r="AC103" i="2"/>
  <c r="V103" i="2"/>
  <c r="AB103" i="2"/>
  <c r="H103" i="2"/>
  <c r="O103" i="2"/>
  <c r="AA103" i="2"/>
  <c r="Z103" i="2"/>
  <c r="P103" i="2"/>
  <c r="T103" i="2"/>
  <c r="Y103" i="2"/>
  <c r="F103" i="2"/>
  <c r="X103" i="2"/>
  <c r="AQ102" i="2"/>
  <c r="AV102" i="2"/>
  <c r="AX102" i="2"/>
  <c r="AW102" i="2"/>
  <c r="AU102" i="2"/>
  <c r="AT102" i="2"/>
  <c r="AS102" i="2"/>
  <c r="AK102" i="2"/>
  <c r="AE102" i="2"/>
  <c r="AC102" i="2"/>
  <c r="V102" i="2"/>
  <c r="AB102" i="2"/>
  <c r="H102" i="2"/>
  <c r="O102" i="2"/>
  <c r="AA102" i="2"/>
  <c r="Z102" i="2"/>
  <c r="P102" i="2"/>
  <c r="T102" i="2"/>
  <c r="Y102" i="2"/>
  <c r="F102" i="2"/>
  <c r="X102" i="2"/>
  <c r="AQ101" i="2"/>
  <c r="AV101" i="2"/>
  <c r="AX101" i="2"/>
  <c r="AW101" i="2"/>
  <c r="AU101" i="2"/>
  <c r="AT101" i="2"/>
  <c r="AS101" i="2"/>
  <c r="AK101" i="2"/>
  <c r="AE101" i="2"/>
  <c r="AC101" i="2"/>
  <c r="V101" i="2"/>
  <c r="AB101" i="2"/>
  <c r="H101" i="2"/>
  <c r="O101" i="2"/>
  <c r="AA101" i="2"/>
  <c r="Z101" i="2"/>
  <c r="P101" i="2"/>
  <c r="T101" i="2"/>
  <c r="Y101" i="2"/>
  <c r="F101" i="2"/>
  <c r="X101" i="2"/>
  <c r="AQ100" i="2"/>
  <c r="AV100" i="2"/>
  <c r="AX100" i="2"/>
  <c r="AW100" i="2"/>
  <c r="AU100" i="2"/>
  <c r="AT100" i="2"/>
  <c r="AS100" i="2"/>
  <c r="AK100" i="2"/>
  <c r="AE100" i="2"/>
  <c r="AC100" i="2"/>
  <c r="V100" i="2"/>
  <c r="AB100" i="2"/>
  <c r="H100" i="2"/>
  <c r="O100" i="2"/>
  <c r="AA100" i="2"/>
  <c r="Z100" i="2"/>
  <c r="P100" i="2"/>
  <c r="T100" i="2"/>
  <c r="Y100" i="2"/>
  <c r="F100" i="2"/>
  <c r="X100" i="2"/>
  <c r="AQ99" i="2"/>
  <c r="AV99" i="2"/>
  <c r="AX99" i="2"/>
  <c r="AW99" i="2"/>
  <c r="AU99" i="2"/>
  <c r="AT99" i="2"/>
  <c r="AS99" i="2"/>
  <c r="AK99" i="2"/>
  <c r="AE99" i="2"/>
  <c r="AC99" i="2"/>
  <c r="V99" i="2"/>
  <c r="AB99" i="2"/>
  <c r="H99" i="2"/>
  <c r="O99" i="2"/>
  <c r="AA99" i="2"/>
  <c r="Z99" i="2"/>
  <c r="P99" i="2"/>
  <c r="T99" i="2"/>
  <c r="Y99" i="2"/>
  <c r="F99" i="2"/>
  <c r="X99" i="2"/>
  <c r="AQ98" i="2"/>
  <c r="AV98" i="2"/>
  <c r="AX98" i="2"/>
  <c r="AW98" i="2"/>
  <c r="AU98" i="2"/>
  <c r="AT98" i="2"/>
  <c r="AS98" i="2"/>
  <c r="AK98" i="2"/>
  <c r="AE98" i="2"/>
  <c r="AC98" i="2"/>
  <c r="V98" i="2"/>
  <c r="AB98" i="2"/>
  <c r="H98" i="2"/>
  <c r="O98" i="2"/>
  <c r="AA98" i="2"/>
  <c r="Z98" i="2"/>
  <c r="P98" i="2"/>
  <c r="T98" i="2"/>
  <c r="Y98" i="2"/>
  <c r="F98" i="2"/>
  <c r="X98" i="2"/>
  <c r="AQ97" i="2"/>
  <c r="AV97" i="2"/>
  <c r="AX97" i="2"/>
  <c r="AW97" i="2"/>
  <c r="AU97" i="2"/>
  <c r="AT97" i="2"/>
  <c r="AS97" i="2"/>
  <c r="AK97" i="2"/>
  <c r="AE97" i="2"/>
  <c r="AC97" i="2"/>
  <c r="V97" i="2"/>
  <c r="AB97" i="2"/>
  <c r="H97" i="2"/>
  <c r="O97" i="2"/>
  <c r="AA97" i="2"/>
  <c r="Z97" i="2"/>
  <c r="P97" i="2"/>
  <c r="T97" i="2"/>
  <c r="Y97" i="2"/>
  <c r="F97" i="2"/>
  <c r="X97" i="2"/>
  <c r="AQ96" i="2"/>
  <c r="AV96" i="2"/>
  <c r="AX96" i="2"/>
  <c r="AW96" i="2"/>
  <c r="AU96" i="2"/>
  <c r="AT96" i="2"/>
  <c r="AS96" i="2"/>
  <c r="AK96" i="2"/>
  <c r="AE96" i="2"/>
  <c r="AC96" i="2"/>
  <c r="V96" i="2"/>
  <c r="AB96" i="2"/>
  <c r="H96" i="2"/>
  <c r="O96" i="2"/>
  <c r="AA96" i="2"/>
  <c r="Z96" i="2"/>
  <c r="P96" i="2"/>
  <c r="T96" i="2"/>
  <c r="Y96" i="2"/>
  <c r="F96" i="2"/>
  <c r="X96" i="2"/>
  <c r="AQ95" i="2"/>
  <c r="AV95" i="2"/>
  <c r="AX95" i="2"/>
  <c r="AW95" i="2"/>
  <c r="AU95" i="2"/>
  <c r="AT95" i="2"/>
  <c r="AS95" i="2"/>
  <c r="AK95" i="2"/>
  <c r="AE95" i="2"/>
  <c r="AC95" i="2"/>
  <c r="V95" i="2"/>
  <c r="AB95" i="2"/>
  <c r="H95" i="2"/>
  <c r="O95" i="2"/>
  <c r="AA95" i="2"/>
  <c r="Z95" i="2"/>
  <c r="P95" i="2"/>
  <c r="T95" i="2"/>
  <c r="Y95" i="2"/>
  <c r="F95" i="2"/>
  <c r="X95" i="2"/>
  <c r="AQ94" i="2"/>
  <c r="AV94" i="2"/>
  <c r="AX94" i="2"/>
  <c r="AW94" i="2"/>
  <c r="AU94" i="2"/>
  <c r="AT94" i="2"/>
  <c r="AS94" i="2"/>
  <c r="AK94" i="2"/>
  <c r="AE94" i="2"/>
  <c r="AC94" i="2"/>
  <c r="V94" i="2"/>
  <c r="AB94" i="2"/>
  <c r="H94" i="2"/>
  <c r="O94" i="2"/>
  <c r="AA94" i="2"/>
  <c r="Z94" i="2"/>
  <c r="P94" i="2"/>
  <c r="T94" i="2"/>
  <c r="Y94" i="2"/>
  <c r="F94" i="2"/>
  <c r="X94" i="2"/>
  <c r="AQ93" i="2"/>
  <c r="AV93" i="2"/>
  <c r="AX93" i="2"/>
  <c r="AW93" i="2"/>
  <c r="AU93" i="2"/>
  <c r="AT93" i="2"/>
  <c r="AS93" i="2"/>
  <c r="AK93" i="2"/>
  <c r="AE93" i="2"/>
  <c r="AC93" i="2"/>
  <c r="V93" i="2"/>
  <c r="AB93" i="2"/>
  <c r="H93" i="2"/>
  <c r="O93" i="2"/>
  <c r="AA93" i="2"/>
  <c r="Z93" i="2"/>
  <c r="P93" i="2"/>
  <c r="T93" i="2"/>
  <c r="Y93" i="2"/>
  <c r="F93" i="2"/>
  <c r="X93" i="2"/>
  <c r="AQ92" i="2"/>
  <c r="AV92" i="2"/>
  <c r="AX92" i="2"/>
  <c r="AW92" i="2"/>
  <c r="AU92" i="2"/>
  <c r="AT92" i="2"/>
  <c r="AS92" i="2"/>
  <c r="AK92" i="2"/>
  <c r="AE92" i="2"/>
  <c r="AC92" i="2"/>
  <c r="V92" i="2"/>
  <c r="AB92" i="2"/>
  <c r="H92" i="2"/>
  <c r="O92" i="2"/>
  <c r="AA92" i="2"/>
  <c r="Z92" i="2"/>
  <c r="P92" i="2"/>
  <c r="T92" i="2"/>
  <c r="Y92" i="2"/>
  <c r="F92" i="2"/>
  <c r="X92" i="2"/>
  <c r="AQ91" i="2"/>
  <c r="AV91" i="2"/>
  <c r="AX91" i="2"/>
  <c r="AW91" i="2"/>
  <c r="AU91" i="2"/>
  <c r="AT91" i="2"/>
  <c r="AS91" i="2"/>
  <c r="AK91" i="2"/>
  <c r="AE91" i="2"/>
  <c r="AC91" i="2"/>
  <c r="V91" i="2"/>
  <c r="AB91" i="2"/>
  <c r="H91" i="2"/>
  <c r="O91" i="2"/>
  <c r="AA91" i="2"/>
  <c r="Z91" i="2"/>
  <c r="P91" i="2"/>
  <c r="T91" i="2"/>
  <c r="Y91" i="2"/>
  <c r="F91" i="2"/>
  <c r="X91" i="2"/>
  <c r="AQ90" i="2"/>
  <c r="AV90" i="2"/>
  <c r="AX90" i="2"/>
  <c r="AW90" i="2"/>
  <c r="AU90" i="2"/>
  <c r="AT90" i="2"/>
  <c r="AS90" i="2"/>
  <c r="AK90" i="2"/>
  <c r="AE90" i="2"/>
  <c r="AC90" i="2"/>
  <c r="V90" i="2"/>
  <c r="AB90" i="2"/>
  <c r="H90" i="2"/>
  <c r="O90" i="2"/>
  <c r="AA90" i="2"/>
  <c r="Z90" i="2"/>
  <c r="P90" i="2"/>
  <c r="T90" i="2"/>
  <c r="Y90" i="2"/>
  <c r="F90" i="2"/>
  <c r="X90" i="2"/>
  <c r="AQ89" i="2"/>
  <c r="AV89" i="2"/>
  <c r="AX89" i="2"/>
  <c r="AW89" i="2"/>
  <c r="AU89" i="2"/>
  <c r="AT89" i="2"/>
  <c r="AS89" i="2"/>
  <c r="AK89" i="2"/>
  <c r="AE89" i="2"/>
  <c r="AC89" i="2"/>
  <c r="V89" i="2"/>
  <c r="AB89" i="2"/>
  <c r="H89" i="2"/>
  <c r="O89" i="2"/>
  <c r="AA89" i="2"/>
  <c r="Z89" i="2"/>
  <c r="P89" i="2"/>
  <c r="T89" i="2"/>
  <c r="Y89" i="2"/>
  <c r="F89" i="2"/>
  <c r="X89" i="2"/>
  <c r="AQ88" i="2"/>
  <c r="AV88" i="2"/>
  <c r="AX88" i="2"/>
  <c r="AW88" i="2"/>
  <c r="AU88" i="2"/>
  <c r="AT88" i="2"/>
  <c r="AS88" i="2"/>
  <c r="AK88" i="2"/>
  <c r="AE88" i="2"/>
  <c r="AC88" i="2"/>
  <c r="V88" i="2"/>
  <c r="AB88" i="2"/>
  <c r="H88" i="2"/>
  <c r="O88" i="2"/>
  <c r="AA88" i="2"/>
  <c r="Z88" i="2"/>
  <c r="P88" i="2"/>
  <c r="T88" i="2"/>
  <c r="Y88" i="2"/>
  <c r="F88" i="2"/>
  <c r="X88" i="2"/>
  <c r="AQ87" i="2"/>
  <c r="AV87" i="2"/>
  <c r="AX87" i="2"/>
  <c r="AW87" i="2"/>
  <c r="AU87" i="2"/>
  <c r="AT87" i="2"/>
  <c r="AS87" i="2"/>
  <c r="AK87" i="2"/>
  <c r="AE87" i="2"/>
  <c r="AC87" i="2"/>
  <c r="V87" i="2"/>
  <c r="AB87" i="2"/>
  <c r="H87" i="2"/>
  <c r="O87" i="2"/>
  <c r="AA87" i="2"/>
  <c r="Z87" i="2"/>
  <c r="P87" i="2"/>
  <c r="T87" i="2"/>
  <c r="Y87" i="2"/>
  <c r="F87" i="2"/>
  <c r="X87" i="2"/>
  <c r="AQ86" i="2"/>
  <c r="AV86" i="2"/>
  <c r="AX86" i="2"/>
  <c r="AW86" i="2"/>
  <c r="AU86" i="2"/>
  <c r="AT86" i="2"/>
  <c r="AS86" i="2"/>
  <c r="AK86" i="2"/>
  <c r="AE86" i="2"/>
  <c r="AC86" i="2"/>
  <c r="V86" i="2"/>
  <c r="AB86" i="2"/>
  <c r="H86" i="2"/>
  <c r="O86" i="2"/>
  <c r="AA86" i="2"/>
  <c r="Z86" i="2"/>
  <c r="P86" i="2"/>
  <c r="T86" i="2"/>
  <c r="Y86" i="2"/>
  <c r="F86" i="2"/>
  <c r="X86" i="2"/>
  <c r="AQ85" i="2"/>
  <c r="AV85" i="2"/>
  <c r="AX85" i="2"/>
  <c r="AW85" i="2"/>
  <c r="AU85" i="2"/>
  <c r="AT85" i="2"/>
  <c r="AS85" i="2"/>
  <c r="AK85" i="2"/>
  <c r="AE85" i="2"/>
  <c r="AC85" i="2"/>
  <c r="V85" i="2"/>
  <c r="AB85" i="2"/>
  <c r="H85" i="2"/>
  <c r="O85" i="2"/>
  <c r="AA85" i="2"/>
  <c r="Z85" i="2"/>
  <c r="P85" i="2"/>
  <c r="T85" i="2"/>
  <c r="Y85" i="2"/>
  <c r="F85" i="2"/>
  <c r="X85" i="2"/>
  <c r="AQ84" i="2"/>
  <c r="AV84" i="2"/>
  <c r="AX84" i="2"/>
  <c r="AW84" i="2"/>
  <c r="AU84" i="2"/>
  <c r="AT84" i="2"/>
  <c r="AS84" i="2"/>
  <c r="AK84" i="2"/>
  <c r="AE84" i="2"/>
  <c r="AC84" i="2"/>
  <c r="V84" i="2"/>
  <c r="AB84" i="2"/>
  <c r="H84" i="2"/>
  <c r="O84" i="2"/>
  <c r="AA84" i="2"/>
  <c r="Z84" i="2"/>
  <c r="P84" i="2"/>
  <c r="T84" i="2"/>
  <c r="Y84" i="2"/>
  <c r="F84" i="2"/>
  <c r="X84" i="2"/>
  <c r="AQ83" i="2"/>
  <c r="AV83" i="2"/>
  <c r="AX83" i="2"/>
  <c r="AW83" i="2"/>
  <c r="AU83" i="2"/>
  <c r="AT83" i="2"/>
  <c r="AS83" i="2"/>
  <c r="AK83" i="2"/>
  <c r="AE83" i="2"/>
  <c r="AC83" i="2"/>
  <c r="V83" i="2"/>
  <c r="AB83" i="2"/>
  <c r="H83" i="2"/>
  <c r="O83" i="2"/>
  <c r="AA83" i="2"/>
  <c r="Z83" i="2"/>
  <c r="P83" i="2"/>
  <c r="T83" i="2"/>
  <c r="Y83" i="2"/>
  <c r="F83" i="2"/>
  <c r="X83" i="2"/>
  <c r="AQ82" i="2"/>
  <c r="AV82" i="2"/>
  <c r="AX82" i="2"/>
  <c r="AW82" i="2"/>
  <c r="AU82" i="2"/>
  <c r="AT82" i="2"/>
  <c r="AS82" i="2"/>
  <c r="AK82" i="2"/>
  <c r="AE82" i="2"/>
  <c r="AC82" i="2"/>
  <c r="V82" i="2"/>
  <c r="AB82" i="2"/>
  <c r="H82" i="2"/>
  <c r="O82" i="2"/>
  <c r="AA82" i="2"/>
  <c r="Z82" i="2"/>
  <c r="P82" i="2"/>
  <c r="T82" i="2"/>
  <c r="Y82" i="2"/>
  <c r="F82" i="2"/>
  <c r="X82" i="2"/>
  <c r="AQ81" i="2"/>
  <c r="AV81" i="2"/>
  <c r="AX81" i="2"/>
  <c r="AW81" i="2"/>
  <c r="AU81" i="2"/>
  <c r="AT81" i="2"/>
  <c r="AS81" i="2"/>
  <c r="AK81" i="2"/>
  <c r="AE81" i="2"/>
  <c r="AC81" i="2"/>
  <c r="V81" i="2"/>
  <c r="AB81" i="2"/>
  <c r="H81" i="2"/>
  <c r="O81" i="2"/>
  <c r="AA81" i="2"/>
  <c r="Z81" i="2"/>
  <c r="P81" i="2"/>
  <c r="T81" i="2"/>
  <c r="Y81" i="2"/>
  <c r="F81" i="2"/>
  <c r="X81" i="2"/>
  <c r="AQ80" i="2"/>
  <c r="AV80" i="2"/>
  <c r="AX80" i="2"/>
  <c r="AW80" i="2"/>
  <c r="AU80" i="2"/>
  <c r="AT80" i="2"/>
  <c r="AS80" i="2"/>
  <c r="AK80" i="2"/>
  <c r="AE80" i="2"/>
  <c r="AC80" i="2"/>
  <c r="V80" i="2"/>
  <c r="AB80" i="2"/>
  <c r="H80" i="2"/>
  <c r="O80" i="2"/>
  <c r="AA80" i="2"/>
  <c r="Z80" i="2"/>
  <c r="P80" i="2"/>
  <c r="T80" i="2"/>
  <c r="Y80" i="2"/>
  <c r="F80" i="2"/>
  <c r="X80" i="2"/>
  <c r="AQ79" i="2"/>
  <c r="AV79" i="2"/>
  <c r="AX79" i="2"/>
  <c r="AW79" i="2"/>
  <c r="AU79" i="2"/>
  <c r="AT79" i="2"/>
  <c r="AS79" i="2"/>
  <c r="AK79" i="2"/>
  <c r="AE79" i="2"/>
  <c r="AC79" i="2"/>
  <c r="V79" i="2"/>
  <c r="AB79" i="2"/>
  <c r="H79" i="2"/>
  <c r="O79" i="2"/>
  <c r="AA79" i="2"/>
  <c r="Z79" i="2"/>
  <c r="P79" i="2"/>
  <c r="T79" i="2"/>
  <c r="Y79" i="2"/>
  <c r="F79" i="2"/>
  <c r="X79" i="2"/>
  <c r="AQ78" i="2"/>
  <c r="AV78" i="2"/>
  <c r="AX78" i="2"/>
  <c r="AW78" i="2"/>
  <c r="AU78" i="2"/>
  <c r="AT78" i="2"/>
  <c r="AS78" i="2"/>
  <c r="AK78" i="2"/>
  <c r="AE78" i="2"/>
  <c r="AC78" i="2"/>
  <c r="V78" i="2"/>
  <c r="AB78" i="2"/>
  <c r="H78" i="2"/>
  <c r="O78" i="2"/>
  <c r="AA78" i="2"/>
  <c r="Z78" i="2"/>
  <c r="P78" i="2"/>
  <c r="T78" i="2"/>
  <c r="Y78" i="2"/>
  <c r="F78" i="2"/>
  <c r="X78" i="2"/>
  <c r="AQ77" i="2"/>
  <c r="AV77" i="2"/>
  <c r="AX77" i="2"/>
  <c r="AW77" i="2"/>
  <c r="AU77" i="2"/>
  <c r="AT77" i="2"/>
  <c r="AS77" i="2"/>
  <c r="AK77" i="2"/>
  <c r="AE77" i="2"/>
  <c r="AC77" i="2"/>
  <c r="V77" i="2"/>
  <c r="AB77" i="2"/>
  <c r="H77" i="2"/>
  <c r="O77" i="2"/>
  <c r="AA77" i="2"/>
  <c r="Z77" i="2"/>
  <c r="P77" i="2"/>
  <c r="T77" i="2"/>
  <c r="Y77" i="2"/>
  <c r="F77" i="2"/>
  <c r="X77" i="2"/>
  <c r="AQ76" i="2"/>
  <c r="AV76" i="2"/>
  <c r="AX76" i="2"/>
  <c r="AW76" i="2"/>
  <c r="AU76" i="2"/>
  <c r="AT76" i="2"/>
  <c r="AS76" i="2"/>
  <c r="AK76" i="2"/>
  <c r="AE76" i="2"/>
  <c r="AC76" i="2"/>
  <c r="V76" i="2"/>
  <c r="AB76" i="2"/>
  <c r="H76" i="2"/>
  <c r="O76" i="2"/>
  <c r="AA76" i="2"/>
  <c r="Z76" i="2"/>
  <c r="P76" i="2"/>
  <c r="T76" i="2"/>
  <c r="Y76" i="2"/>
  <c r="F76" i="2"/>
  <c r="X76" i="2"/>
  <c r="AQ75" i="2"/>
  <c r="AV75" i="2"/>
  <c r="AX75" i="2"/>
  <c r="AW75" i="2"/>
  <c r="AU75" i="2"/>
  <c r="AT75" i="2"/>
  <c r="AS75" i="2"/>
  <c r="AK75" i="2"/>
  <c r="AE75" i="2"/>
  <c r="AC75" i="2"/>
  <c r="V75" i="2"/>
  <c r="AB75" i="2"/>
  <c r="H75" i="2"/>
  <c r="O75" i="2"/>
  <c r="AA75" i="2"/>
  <c r="Z75" i="2"/>
  <c r="P75" i="2"/>
  <c r="T75" i="2"/>
  <c r="Y75" i="2"/>
  <c r="F75" i="2"/>
  <c r="X75" i="2"/>
  <c r="AQ74" i="2"/>
  <c r="AV74" i="2"/>
  <c r="AX74" i="2"/>
  <c r="AW74" i="2"/>
  <c r="AU74" i="2"/>
  <c r="AT74" i="2"/>
  <c r="AS74" i="2"/>
  <c r="AK74" i="2"/>
  <c r="AE74" i="2"/>
  <c r="AC74" i="2"/>
  <c r="V74" i="2"/>
  <c r="AB74" i="2"/>
  <c r="H74" i="2"/>
  <c r="O74" i="2"/>
  <c r="AA74" i="2"/>
  <c r="Z74" i="2"/>
  <c r="P74" i="2"/>
  <c r="T74" i="2"/>
  <c r="Y74" i="2"/>
  <c r="F74" i="2"/>
  <c r="X74" i="2"/>
  <c r="AQ73" i="2"/>
  <c r="AV73" i="2"/>
  <c r="AX73" i="2"/>
  <c r="AW73" i="2"/>
  <c r="AU73" i="2"/>
  <c r="AT73" i="2"/>
  <c r="AS73" i="2"/>
  <c r="AK73" i="2"/>
  <c r="AE73" i="2"/>
  <c r="AC73" i="2"/>
  <c r="V73" i="2"/>
  <c r="AB73" i="2"/>
  <c r="H73" i="2"/>
  <c r="O73" i="2"/>
  <c r="AA73" i="2"/>
  <c r="Z73" i="2"/>
  <c r="P73" i="2"/>
  <c r="T73" i="2"/>
  <c r="Y73" i="2"/>
  <c r="F73" i="2"/>
  <c r="X73" i="2"/>
  <c r="AQ72" i="2"/>
  <c r="AV72" i="2"/>
  <c r="AX72" i="2"/>
  <c r="AW72" i="2"/>
  <c r="AU72" i="2"/>
  <c r="AT72" i="2"/>
  <c r="AS72" i="2"/>
  <c r="AK72" i="2"/>
  <c r="AE72" i="2"/>
  <c r="AC72" i="2"/>
  <c r="V72" i="2"/>
  <c r="AB72" i="2"/>
  <c r="H72" i="2"/>
  <c r="O72" i="2"/>
  <c r="AA72" i="2"/>
  <c r="Z72" i="2"/>
  <c r="P72" i="2"/>
  <c r="T72" i="2"/>
  <c r="Y72" i="2"/>
  <c r="F72" i="2"/>
  <c r="X72" i="2"/>
  <c r="AQ71" i="2"/>
  <c r="AV71" i="2"/>
  <c r="AX71" i="2"/>
  <c r="AW71" i="2"/>
  <c r="AU71" i="2"/>
  <c r="AT71" i="2"/>
  <c r="AS71" i="2"/>
  <c r="AK71" i="2"/>
  <c r="AE71" i="2"/>
  <c r="AC71" i="2"/>
  <c r="V71" i="2"/>
  <c r="AB71" i="2"/>
  <c r="H71" i="2"/>
  <c r="O71" i="2"/>
  <c r="AA71" i="2"/>
  <c r="Z71" i="2"/>
  <c r="P71" i="2"/>
  <c r="T71" i="2"/>
  <c r="Y71" i="2"/>
  <c r="F71" i="2"/>
  <c r="X71" i="2"/>
  <c r="AQ70" i="2"/>
  <c r="AV70" i="2"/>
  <c r="AX70" i="2"/>
  <c r="AW70" i="2"/>
  <c r="AU70" i="2"/>
  <c r="AT70" i="2"/>
  <c r="AS70" i="2"/>
  <c r="AK70" i="2"/>
  <c r="AE70" i="2"/>
  <c r="AC70" i="2"/>
  <c r="V70" i="2"/>
  <c r="AB70" i="2"/>
  <c r="H70" i="2"/>
  <c r="O70" i="2"/>
  <c r="AA70" i="2"/>
  <c r="Z70" i="2"/>
  <c r="P70" i="2"/>
  <c r="T70" i="2"/>
  <c r="Y70" i="2"/>
  <c r="F70" i="2"/>
  <c r="X70" i="2"/>
  <c r="AQ69" i="2"/>
  <c r="AV69" i="2"/>
  <c r="AX69" i="2"/>
  <c r="AW69" i="2"/>
  <c r="AU69" i="2"/>
  <c r="AT69" i="2"/>
  <c r="AS69" i="2"/>
  <c r="AK69" i="2"/>
  <c r="AE69" i="2"/>
  <c r="AC69" i="2"/>
  <c r="V69" i="2"/>
  <c r="AB69" i="2"/>
  <c r="H69" i="2"/>
  <c r="O69" i="2"/>
  <c r="AA69" i="2"/>
  <c r="Z69" i="2"/>
  <c r="P69" i="2"/>
  <c r="T69" i="2"/>
  <c r="Y69" i="2"/>
  <c r="F69" i="2"/>
  <c r="X69" i="2"/>
  <c r="AQ68" i="2"/>
  <c r="AV68" i="2"/>
  <c r="AX68" i="2"/>
  <c r="AW68" i="2"/>
  <c r="AU68" i="2"/>
  <c r="AT68" i="2"/>
  <c r="AS68" i="2"/>
  <c r="AK68" i="2"/>
  <c r="AE68" i="2"/>
  <c r="AC68" i="2"/>
  <c r="V68" i="2"/>
  <c r="AB68" i="2"/>
  <c r="H68" i="2"/>
  <c r="O68" i="2"/>
  <c r="AA68" i="2"/>
  <c r="Z68" i="2"/>
  <c r="P68" i="2"/>
  <c r="T68" i="2"/>
  <c r="Y68" i="2"/>
  <c r="F68" i="2"/>
  <c r="X68" i="2"/>
  <c r="AQ67" i="2"/>
  <c r="AV67" i="2"/>
  <c r="AX67" i="2"/>
  <c r="AW67" i="2"/>
  <c r="AU67" i="2"/>
  <c r="AT67" i="2"/>
  <c r="AS67" i="2"/>
  <c r="AK67" i="2"/>
  <c r="AE67" i="2"/>
  <c r="AC67" i="2"/>
  <c r="V67" i="2"/>
  <c r="AB67" i="2"/>
  <c r="H67" i="2"/>
  <c r="O67" i="2"/>
  <c r="AA67" i="2"/>
  <c r="Z67" i="2"/>
  <c r="P67" i="2"/>
  <c r="T67" i="2"/>
  <c r="Y67" i="2"/>
  <c r="F67" i="2"/>
  <c r="X67" i="2"/>
  <c r="AQ66" i="2"/>
  <c r="AV66" i="2"/>
  <c r="AX66" i="2"/>
  <c r="AW66" i="2"/>
  <c r="AU66" i="2"/>
  <c r="AT66" i="2"/>
  <c r="AS66" i="2"/>
  <c r="AK66" i="2"/>
  <c r="AE66" i="2"/>
  <c r="AC66" i="2"/>
  <c r="V66" i="2"/>
  <c r="AB66" i="2"/>
  <c r="H66" i="2"/>
  <c r="O66" i="2"/>
  <c r="AA66" i="2"/>
  <c r="Z66" i="2"/>
  <c r="P66" i="2"/>
  <c r="T66" i="2"/>
  <c r="Y66" i="2"/>
  <c r="F66" i="2"/>
  <c r="X66" i="2"/>
  <c r="AQ65" i="2"/>
  <c r="AV65" i="2"/>
  <c r="AX65" i="2"/>
  <c r="AW65" i="2"/>
  <c r="AU65" i="2"/>
  <c r="AT65" i="2"/>
  <c r="AS65" i="2"/>
  <c r="AK65" i="2"/>
  <c r="AE65" i="2"/>
  <c r="AC65" i="2"/>
  <c r="V65" i="2"/>
  <c r="AB65" i="2"/>
  <c r="H65" i="2"/>
  <c r="O65" i="2"/>
  <c r="AA65" i="2"/>
  <c r="Z65" i="2"/>
  <c r="P65" i="2"/>
  <c r="T65" i="2"/>
  <c r="Y65" i="2"/>
  <c r="F65" i="2"/>
  <c r="X65" i="2"/>
  <c r="AQ64" i="2"/>
  <c r="AV64" i="2"/>
  <c r="AX64" i="2"/>
  <c r="AW64" i="2"/>
  <c r="AU64" i="2"/>
  <c r="AT64" i="2"/>
  <c r="AS64" i="2"/>
  <c r="AK64" i="2"/>
  <c r="AE64" i="2"/>
  <c r="AC64" i="2"/>
  <c r="V64" i="2"/>
  <c r="AB64" i="2"/>
  <c r="H64" i="2"/>
  <c r="O64" i="2"/>
  <c r="AA64" i="2"/>
  <c r="Z64" i="2"/>
  <c r="P64" i="2"/>
  <c r="T64" i="2"/>
  <c r="Y64" i="2"/>
  <c r="F64" i="2"/>
  <c r="X64" i="2"/>
  <c r="AQ63" i="2"/>
  <c r="AV63" i="2"/>
  <c r="AX63" i="2"/>
  <c r="AW63" i="2"/>
  <c r="AU63" i="2"/>
  <c r="AT63" i="2"/>
  <c r="AS63" i="2"/>
  <c r="AK63" i="2"/>
  <c r="AE63" i="2"/>
  <c r="AC63" i="2"/>
  <c r="V63" i="2"/>
  <c r="AB63" i="2"/>
  <c r="H63" i="2"/>
  <c r="O63" i="2"/>
  <c r="AA63" i="2"/>
  <c r="Z63" i="2"/>
  <c r="P63" i="2"/>
  <c r="T63" i="2"/>
  <c r="Y63" i="2"/>
  <c r="F63" i="2"/>
  <c r="X63" i="2"/>
  <c r="AQ62" i="2"/>
  <c r="AV62" i="2"/>
  <c r="AX62" i="2"/>
  <c r="AW62" i="2"/>
  <c r="AU62" i="2"/>
  <c r="AT62" i="2"/>
  <c r="AS62" i="2"/>
  <c r="AK62" i="2"/>
  <c r="AE62" i="2"/>
  <c r="AC62" i="2"/>
  <c r="V62" i="2"/>
  <c r="AB62" i="2"/>
  <c r="H62" i="2"/>
  <c r="O62" i="2"/>
  <c r="AA62" i="2"/>
  <c r="Z62" i="2"/>
  <c r="P62" i="2"/>
  <c r="T62" i="2"/>
  <c r="Y62" i="2"/>
  <c r="F62" i="2"/>
  <c r="X62" i="2"/>
  <c r="AQ61" i="2"/>
  <c r="AV61" i="2"/>
  <c r="AX61" i="2"/>
  <c r="AW61" i="2"/>
  <c r="AU61" i="2"/>
  <c r="AT61" i="2"/>
  <c r="AS61" i="2"/>
  <c r="AK61" i="2"/>
  <c r="AE61" i="2"/>
  <c r="AC61" i="2"/>
  <c r="V61" i="2"/>
  <c r="AB61" i="2"/>
  <c r="H61" i="2"/>
  <c r="O61" i="2"/>
  <c r="AA61" i="2"/>
  <c r="Z61" i="2"/>
  <c r="P61" i="2"/>
  <c r="T61" i="2"/>
  <c r="Y61" i="2"/>
  <c r="F61" i="2"/>
  <c r="X61" i="2"/>
  <c r="AQ60" i="2"/>
  <c r="AV60" i="2"/>
  <c r="AX60" i="2"/>
  <c r="AW60" i="2"/>
  <c r="AU60" i="2"/>
  <c r="AT60" i="2"/>
  <c r="AS60" i="2"/>
  <c r="AK60" i="2"/>
  <c r="AE60" i="2"/>
  <c r="AC60" i="2"/>
  <c r="V60" i="2"/>
  <c r="AB60" i="2"/>
  <c r="H60" i="2"/>
  <c r="O60" i="2"/>
  <c r="AA60" i="2"/>
  <c r="Z60" i="2"/>
  <c r="P60" i="2"/>
  <c r="T60" i="2"/>
  <c r="Y60" i="2"/>
  <c r="F60" i="2"/>
  <c r="X60" i="2"/>
  <c r="AQ59" i="2"/>
  <c r="AV59" i="2"/>
  <c r="AX59" i="2"/>
  <c r="AW59" i="2"/>
  <c r="AU59" i="2"/>
  <c r="AT59" i="2"/>
  <c r="AS59" i="2"/>
  <c r="AK59" i="2"/>
  <c r="AE59" i="2"/>
  <c r="AC59" i="2"/>
  <c r="V59" i="2"/>
  <c r="AB59" i="2"/>
  <c r="H59" i="2"/>
  <c r="O59" i="2"/>
  <c r="AA59" i="2"/>
  <c r="Z59" i="2"/>
  <c r="P59" i="2"/>
  <c r="T59" i="2"/>
  <c r="Y59" i="2"/>
  <c r="F59" i="2"/>
  <c r="X59" i="2"/>
  <c r="AQ58" i="2"/>
  <c r="AV58" i="2"/>
  <c r="AX58" i="2"/>
  <c r="AW58" i="2"/>
  <c r="AU58" i="2"/>
  <c r="AT58" i="2"/>
  <c r="AS58" i="2"/>
  <c r="AK58" i="2"/>
  <c r="AE58" i="2"/>
  <c r="AC58" i="2"/>
  <c r="V58" i="2"/>
  <c r="AB58" i="2"/>
  <c r="H58" i="2"/>
  <c r="O58" i="2"/>
  <c r="AA58" i="2"/>
  <c r="Z58" i="2"/>
  <c r="P58" i="2"/>
  <c r="T58" i="2"/>
  <c r="Y58" i="2"/>
  <c r="F58" i="2"/>
  <c r="X58" i="2"/>
  <c r="AQ57" i="2"/>
  <c r="AV57" i="2"/>
  <c r="AX57" i="2"/>
  <c r="AW57" i="2"/>
  <c r="AU57" i="2"/>
  <c r="AT57" i="2"/>
  <c r="AS57" i="2"/>
  <c r="AK57" i="2"/>
  <c r="AE57" i="2"/>
  <c r="AC57" i="2"/>
  <c r="V57" i="2"/>
  <c r="AB57" i="2"/>
  <c r="H57" i="2"/>
  <c r="O57" i="2"/>
  <c r="AA57" i="2"/>
  <c r="Z57" i="2"/>
  <c r="P57" i="2"/>
  <c r="T57" i="2"/>
  <c r="Y57" i="2"/>
  <c r="F57" i="2"/>
  <c r="X57" i="2"/>
  <c r="AQ56" i="2"/>
  <c r="AV56" i="2"/>
  <c r="AX56" i="2"/>
  <c r="AW56" i="2"/>
  <c r="AU56" i="2"/>
  <c r="AT56" i="2"/>
  <c r="AS56" i="2"/>
  <c r="AK56" i="2"/>
  <c r="AE56" i="2"/>
  <c r="AC56" i="2"/>
  <c r="V56" i="2"/>
  <c r="AB56" i="2"/>
  <c r="H56" i="2"/>
  <c r="O56" i="2"/>
  <c r="AA56" i="2"/>
  <c r="Z56" i="2"/>
  <c r="P56" i="2"/>
  <c r="T56" i="2"/>
  <c r="Y56" i="2"/>
  <c r="F56" i="2"/>
  <c r="X56" i="2"/>
  <c r="AQ55" i="2"/>
  <c r="AV55" i="2"/>
  <c r="AX55" i="2"/>
  <c r="AW55" i="2"/>
  <c r="AU55" i="2"/>
  <c r="AT55" i="2"/>
  <c r="AS55" i="2"/>
  <c r="AK55" i="2"/>
  <c r="AE55" i="2"/>
  <c r="AC55" i="2"/>
  <c r="V55" i="2"/>
  <c r="AB55" i="2"/>
  <c r="H55" i="2"/>
  <c r="O55" i="2"/>
  <c r="AA55" i="2"/>
  <c r="Z55" i="2"/>
  <c r="P55" i="2"/>
  <c r="T55" i="2"/>
  <c r="Y55" i="2"/>
  <c r="F55" i="2"/>
  <c r="X55" i="2"/>
  <c r="AQ54" i="2"/>
  <c r="AV54" i="2"/>
  <c r="AX54" i="2"/>
  <c r="AW54" i="2"/>
  <c r="AU54" i="2"/>
  <c r="AT54" i="2"/>
  <c r="AS54" i="2"/>
  <c r="AK54" i="2"/>
  <c r="AE54" i="2"/>
  <c r="AC54" i="2"/>
  <c r="V54" i="2"/>
  <c r="AB54" i="2"/>
  <c r="H54" i="2"/>
  <c r="O54" i="2"/>
  <c r="AA54" i="2"/>
  <c r="Z54" i="2"/>
  <c r="P54" i="2"/>
  <c r="T54" i="2"/>
  <c r="Y54" i="2"/>
  <c r="F54" i="2"/>
  <c r="X54" i="2"/>
  <c r="AQ53" i="2"/>
  <c r="AV53" i="2"/>
  <c r="AX53" i="2"/>
  <c r="AW53" i="2"/>
  <c r="AU53" i="2"/>
  <c r="AT53" i="2"/>
  <c r="AS53" i="2"/>
  <c r="AK53" i="2"/>
  <c r="AE53" i="2"/>
  <c r="AC53" i="2"/>
  <c r="V53" i="2"/>
  <c r="AB53" i="2"/>
  <c r="H53" i="2"/>
  <c r="O53" i="2"/>
  <c r="AA53" i="2"/>
  <c r="Z53" i="2"/>
  <c r="P53" i="2"/>
  <c r="T53" i="2"/>
  <c r="Y53" i="2"/>
  <c r="F53" i="2"/>
  <c r="X53" i="2"/>
  <c r="AQ52" i="2"/>
  <c r="AV52" i="2"/>
  <c r="AX52" i="2"/>
  <c r="AW52" i="2"/>
  <c r="AU52" i="2"/>
  <c r="AT52" i="2"/>
  <c r="AS52" i="2"/>
  <c r="AK52" i="2"/>
  <c r="AE52" i="2"/>
  <c r="AC52" i="2"/>
  <c r="V52" i="2"/>
  <c r="AB52" i="2"/>
  <c r="H52" i="2"/>
  <c r="O52" i="2"/>
  <c r="AA52" i="2"/>
  <c r="Z52" i="2"/>
  <c r="P52" i="2"/>
  <c r="T52" i="2"/>
  <c r="Y52" i="2"/>
  <c r="F52" i="2"/>
  <c r="X52" i="2"/>
  <c r="AQ51" i="2"/>
  <c r="AV51" i="2"/>
  <c r="AX51" i="2"/>
  <c r="AW51" i="2"/>
  <c r="AU51" i="2"/>
  <c r="AT51" i="2"/>
  <c r="AS51" i="2"/>
  <c r="AK51" i="2"/>
  <c r="AE51" i="2"/>
  <c r="AC51" i="2"/>
  <c r="V51" i="2"/>
  <c r="AB51" i="2"/>
  <c r="H51" i="2"/>
  <c r="O51" i="2"/>
  <c r="AA51" i="2"/>
  <c r="Z51" i="2"/>
  <c r="P51" i="2"/>
  <c r="T51" i="2"/>
  <c r="Y51" i="2"/>
  <c r="F51" i="2"/>
  <c r="X51" i="2"/>
  <c r="AQ50" i="2"/>
  <c r="AV50" i="2"/>
  <c r="AX50" i="2"/>
  <c r="AW50" i="2"/>
  <c r="AU50" i="2"/>
  <c r="AT50" i="2"/>
  <c r="AS50" i="2"/>
  <c r="AK50" i="2"/>
  <c r="AE50" i="2"/>
  <c r="AC50" i="2"/>
  <c r="V50" i="2"/>
  <c r="AB50" i="2"/>
  <c r="H50" i="2"/>
  <c r="O50" i="2"/>
  <c r="AA50" i="2"/>
  <c r="Z50" i="2"/>
  <c r="P50" i="2"/>
  <c r="T50" i="2"/>
  <c r="Y50" i="2"/>
  <c r="F50" i="2"/>
  <c r="X50" i="2"/>
  <c r="AQ49" i="2"/>
  <c r="AV49" i="2"/>
  <c r="AX49" i="2"/>
  <c r="AW49" i="2"/>
  <c r="AU49" i="2"/>
  <c r="AT49" i="2"/>
  <c r="AS49" i="2"/>
  <c r="AK49" i="2"/>
  <c r="AE49" i="2"/>
  <c r="AC49" i="2"/>
  <c r="V49" i="2"/>
  <c r="AB49" i="2"/>
  <c r="H49" i="2"/>
  <c r="O49" i="2"/>
  <c r="AA49" i="2"/>
  <c r="Z49" i="2"/>
  <c r="P49" i="2"/>
  <c r="T49" i="2"/>
  <c r="Y49" i="2"/>
  <c r="F49" i="2"/>
  <c r="X49" i="2"/>
  <c r="AQ48" i="2"/>
  <c r="AV48" i="2"/>
  <c r="AX48" i="2"/>
  <c r="AW48" i="2"/>
  <c r="AU48" i="2"/>
  <c r="AT48" i="2"/>
  <c r="AS48" i="2"/>
  <c r="AK48" i="2"/>
  <c r="AE48" i="2"/>
  <c r="AC48" i="2"/>
  <c r="V48" i="2"/>
  <c r="AB48" i="2"/>
  <c r="H48" i="2"/>
  <c r="O48" i="2"/>
  <c r="AA48" i="2"/>
  <c r="Z48" i="2"/>
  <c r="P48" i="2"/>
  <c r="T48" i="2"/>
  <c r="Y48" i="2"/>
  <c r="F48" i="2"/>
  <c r="X48" i="2"/>
  <c r="AQ47" i="2"/>
  <c r="AV47" i="2"/>
  <c r="AX47" i="2"/>
  <c r="AW47" i="2"/>
  <c r="AU47" i="2"/>
  <c r="AT47" i="2"/>
  <c r="AS47" i="2"/>
  <c r="AK47" i="2"/>
  <c r="AE47" i="2"/>
  <c r="AC47" i="2"/>
  <c r="V47" i="2"/>
  <c r="AB47" i="2"/>
  <c r="H47" i="2"/>
  <c r="O47" i="2"/>
  <c r="AA47" i="2"/>
  <c r="Z47" i="2"/>
  <c r="P47" i="2"/>
  <c r="T47" i="2"/>
  <c r="Y47" i="2"/>
  <c r="F47" i="2"/>
  <c r="X47" i="2"/>
  <c r="AQ46" i="2"/>
  <c r="AV46" i="2"/>
  <c r="AX46" i="2"/>
  <c r="AW46" i="2"/>
  <c r="AU46" i="2"/>
  <c r="AT46" i="2"/>
  <c r="AS46" i="2"/>
  <c r="AK46" i="2"/>
  <c r="AE46" i="2"/>
  <c r="AC46" i="2"/>
  <c r="V46" i="2"/>
  <c r="AB46" i="2"/>
  <c r="H46" i="2"/>
  <c r="O46" i="2"/>
  <c r="AA46" i="2"/>
  <c r="Z46" i="2"/>
  <c r="P46" i="2"/>
  <c r="T46" i="2"/>
  <c r="Y46" i="2"/>
  <c r="F46" i="2"/>
  <c r="X46" i="2"/>
  <c r="AQ45" i="2"/>
  <c r="AV45" i="2"/>
  <c r="AX45" i="2"/>
  <c r="AW45" i="2"/>
  <c r="AU45" i="2"/>
  <c r="AT45" i="2"/>
  <c r="AS45" i="2"/>
  <c r="AK45" i="2"/>
  <c r="AE45" i="2"/>
  <c r="AC45" i="2"/>
  <c r="V45" i="2"/>
  <c r="AB45" i="2"/>
  <c r="H45" i="2"/>
  <c r="O45" i="2"/>
  <c r="AA45" i="2"/>
  <c r="Z45" i="2"/>
  <c r="P45" i="2"/>
  <c r="T45" i="2"/>
  <c r="Y45" i="2"/>
  <c r="F45" i="2"/>
  <c r="X45" i="2"/>
  <c r="AQ44" i="2"/>
  <c r="AV44" i="2"/>
  <c r="AX44" i="2"/>
  <c r="AW44" i="2"/>
  <c r="AU44" i="2"/>
  <c r="AT44" i="2"/>
  <c r="AS44" i="2"/>
  <c r="AK44" i="2"/>
  <c r="AE44" i="2"/>
  <c r="AC44" i="2"/>
  <c r="V44" i="2"/>
  <c r="AB44" i="2"/>
  <c r="H44" i="2"/>
  <c r="O44" i="2"/>
  <c r="AA44" i="2"/>
  <c r="Z44" i="2"/>
  <c r="P44" i="2"/>
  <c r="T44" i="2"/>
  <c r="Y44" i="2"/>
  <c r="F44" i="2"/>
  <c r="X44" i="2"/>
  <c r="AQ43" i="2"/>
  <c r="AV43" i="2"/>
  <c r="AX43" i="2"/>
  <c r="AW43" i="2"/>
  <c r="AU43" i="2"/>
  <c r="AT43" i="2"/>
  <c r="AS43" i="2"/>
  <c r="AK43" i="2"/>
  <c r="AE43" i="2"/>
  <c r="AC43" i="2"/>
  <c r="V43" i="2"/>
  <c r="AB43" i="2"/>
  <c r="H43" i="2"/>
  <c r="O43" i="2"/>
  <c r="AA43" i="2"/>
  <c r="Z43" i="2"/>
  <c r="P43" i="2"/>
  <c r="T43" i="2"/>
  <c r="Y43" i="2"/>
  <c r="F43" i="2"/>
  <c r="X43" i="2"/>
  <c r="AQ42" i="2"/>
  <c r="AV42" i="2"/>
  <c r="AX42" i="2"/>
  <c r="AW42" i="2"/>
  <c r="AU42" i="2"/>
  <c r="AT42" i="2"/>
  <c r="AS42" i="2"/>
  <c r="AK42" i="2"/>
  <c r="AE42" i="2"/>
  <c r="AC42" i="2"/>
  <c r="V42" i="2"/>
  <c r="AB42" i="2"/>
  <c r="H42" i="2"/>
  <c r="O42" i="2"/>
  <c r="AA42" i="2"/>
  <c r="Z42" i="2"/>
  <c r="P42" i="2"/>
  <c r="T42" i="2"/>
  <c r="Y42" i="2"/>
  <c r="F42" i="2"/>
  <c r="X42" i="2"/>
  <c r="AQ41" i="2"/>
  <c r="AV41" i="2"/>
  <c r="AX41" i="2"/>
  <c r="AW41" i="2"/>
  <c r="AU41" i="2"/>
  <c r="AT41" i="2"/>
  <c r="AS41" i="2"/>
  <c r="AK41" i="2"/>
  <c r="AE41" i="2"/>
  <c r="AC41" i="2"/>
  <c r="V41" i="2"/>
  <c r="AB41" i="2"/>
  <c r="H41" i="2"/>
  <c r="O41" i="2"/>
  <c r="AA41" i="2"/>
  <c r="Z41" i="2"/>
  <c r="P41" i="2"/>
  <c r="T41" i="2"/>
  <c r="Y41" i="2"/>
  <c r="F41" i="2"/>
  <c r="X41" i="2"/>
  <c r="AQ40" i="2"/>
  <c r="AV40" i="2"/>
  <c r="AX40" i="2"/>
  <c r="AW40" i="2"/>
  <c r="AU40" i="2"/>
  <c r="AT40" i="2"/>
  <c r="AS40" i="2"/>
  <c r="AK40" i="2"/>
  <c r="AE40" i="2"/>
  <c r="AC40" i="2"/>
  <c r="V40" i="2"/>
  <c r="AB40" i="2"/>
  <c r="H40" i="2"/>
  <c r="O40" i="2"/>
  <c r="AA40" i="2"/>
  <c r="Z40" i="2"/>
  <c r="P40" i="2"/>
  <c r="T40" i="2"/>
  <c r="Y40" i="2"/>
  <c r="F40" i="2"/>
  <c r="X40" i="2"/>
  <c r="AQ39" i="2"/>
  <c r="AV39" i="2"/>
  <c r="AX39" i="2"/>
  <c r="AW39" i="2"/>
  <c r="AU39" i="2"/>
  <c r="AT39" i="2"/>
  <c r="AS39" i="2"/>
  <c r="AK39" i="2"/>
  <c r="AE39" i="2"/>
  <c r="AC39" i="2"/>
  <c r="V39" i="2"/>
  <c r="AB39" i="2"/>
  <c r="H39" i="2"/>
  <c r="O39" i="2"/>
  <c r="AA39" i="2"/>
  <c r="Z39" i="2"/>
  <c r="P39" i="2"/>
  <c r="T39" i="2"/>
  <c r="Y39" i="2"/>
  <c r="F39" i="2"/>
  <c r="X39" i="2"/>
  <c r="AQ38" i="2"/>
  <c r="AV38" i="2"/>
  <c r="AX38" i="2"/>
  <c r="AW38" i="2"/>
  <c r="AU38" i="2"/>
  <c r="AT38" i="2"/>
  <c r="AS38" i="2"/>
  <c r="AK38" i="2"/>
  <c r="AE38" i="2"/>
  <c r="AC38" i="2"/>
  <c r="V38" i="2"/>
  <c r="AB38" i="2"/>
  <c r="H38" i="2"/>
  <c r="O38" i="2"/>
  <c r="AA38" i="2"/>
  <c r="Z38" i="2"/>
  <c r="P38" i="2"/>
  <c r="T38" i="2"/>
  <c r="Y38" i="2"/>
  <c r="F38" i="2"/>
  <c r="X38" i="2"/>
  <c r="AQ37" i="2"/>
  <c r="AV37" i="2"/>
  <c r="AX37" i="2"/>
  <c r="AW37" i="2"/>
  <c r="AU37" i="2"/>
  <c r="AT37" i="2"/>
  <c r="AS37" i="2"/>
  <c r="AK37" i="2"/>
  <c r="AE37" i="2"/>
  <c r="AC37" i="2"/>
  <c r="V37" i="2"/>
  <c r="AB37" i="2"/>
  <c r="H37" i="2"/>
  <c r="O37" i="2"/>
  <c r="AA37" i="2"/>
  <c r="Z37" i="2"/>
  <c r="P37" i="2"/>
  <c r="T37" i="2"/>
  <c r="Y37" i="2"/>
  <c r="F37" i="2"/>
  <c r="X37" i="2"/>
  <c r="AQ36" i="2"/>
  <c r="AV36" i="2"/>
  <c r="AX36" i="2"/>
  <c r="AW36" i="2"/>
  <c r="AU36" i="2"/>
  <c r="AT36" i="2"/>
  <c r="AS36" i="2"/>
  <c r="AK36" i="2"/>
  <c r="AE36" i="2"/>
  <c r="AC36" i="2"/>
  <c r="V36" i="2"/>
  <c r="AB36" i="2"/>
  <c r="H36" i="2"/>
  <c r="O36" i="2"/>
  <c r="AA36" i="2"/>
  <c r="Z36" i="2"/>
  <c r="P36" i="2"/>
  <c r="T36" i="2"/>
  <c r="Y36" i="2"/>
  <c r="F36" i="2"/>
  <c r="X36" i="2"/>
  <c r="AQ35" i="2"/>
  <c r="AV35" i="2"/>
  <c r="AX35" i="2"/>
  <c r="AW35" i="2"/>
  <c r="AU35" i="2"/>
  <c r="AT35" i="2"/>
  <c r="AS35" i="2"/>
  <c r="AK35" i="2"/>
  <c r="AE35" i="2"/>
  <c r="AC35" i="2"/>
  <c r="V35" i="2"/>
  <c r="AB35" i="2"/>
  <c r="H35" i="2"/>
  <c r="O35" i="2"/>
  <c r="AA35" i="2"/>
  <c r="Z35" i="2"/>
  <c r="P35" i="2"/>
  <c r="T35" i="2"/>
  <c r="Y35" i="2"/>
  <c r="F35" i="2"/>
  <c r="X35" i="2"/>
  <c r="AQ34" i="2"/>
  <c r="AV34" i="2"/>
  <c r="AX34" i="2"/>
  <c r="AW34" i="2"/>
  <c r="AU34" i="2"/>
  <c r="AT34" i="2"/>
  <c r="AS34" i="2"/>
  <c r="AK34" i="2"/>
  <c r="AE34" i="2"/>
  <c r="AC34" i="2"/>
  <c r="V34" i="2"/>
  <c r="AB34" i="2"/>
  <c r="H34" i="2"/>
  <c r="O34" i="2"/>
  <c r="AA34" i="2"/>
  <c r="Z34" i="2"/>
  <c r="P34" i="2"/>
  <c r="T34" i="2"/>
  <c r="Y34" i="2"/>
  <c r="F34" i="2"/>
  <c r="X34" i="2"/>
  <c r="AQ33" i="2"/>
  <c r="AV33" i="2"/>
  <c r="AX33" i="2"/>
  <c r="AW33" i="2"/>
  <c r="AU33" i="2"/>
  <c r="AT33" i="2"/>
  <c r="AS33" i="2"/>
  <c r="AK33" i="2"/>
  <c r="AE33" i="2"/>
  <c r="AC33" i="2"/>
  <c r="V33" i="2"/>
  <c r="AB33" i="2"/>
  <c r="H33" i="2"/>
  <c r="O33" i="2"/>
  <c r="AA33" i="2"/>
  <c r="Z33" i="2"/>
  <c r="P33" i="2"/>
  <c r="T33" i="2"/>
  <c r="Y33" i="2"/>
  <c r="F33" i="2"/>
  <c r="X33" i="2"/>
  <c r="AQ32" i="2"/>
  <c r="AV32" i="2"/>
  <c r="AX32" i="2"/>
  <c r="AW32" i="2"/>
  <c r="AU32" i="2"/>
  <c r="AT32" i="2"/>
  <c r="AS32" i="2"/>
  <c r="AK32" i="2"/>
  <c r="AE32" i="2"/>
  <c r="AC32" i="2"/>
  <c r="V32" i="2"/>
  <c r="AB32" i="2"/>
  <c r="H32" i="2"/>
  <c r="O32" i="2"/>
  <c r="AA32" i="2"/>
  <c r="Z32" i="2"/>
  <c r="P32" i="2"/>
  <c r="T32" i="2"/>
  <c r="Y32" i="2"/>
  <c r="F32" i="2"/>
  <c r="X32" i="2"/>
  <c r="AQ31" i="2"/>
  <c r="AV31" i="2"/>
  <c r="AX31" i="2"/>
  <c r="AW31" i="2"/>
  <c r="AU31" i="2"/>
  <c r="AT31" i="2"/>
  <c r="AS31" i="2"/>
  <c r="AK31" i="2"/>
  <c r="AE31" i="2"/>
  <c r="AC31" i="2"/>
  <c r="V31" i="2"/>
  <c r="AB31" i="2"/>
  <c r="H31" i="2"/>
  <c r="O31" i="2"/>
  <c r="AA31" i="2"/>
  <c r="Z31" i="2"/>
  <c r="P31" i="2"/>
  <c r="T31" i="2"/>
  <c r="Y31" i="2"/>
  <c r="F31" i="2"/>
  <c r="X31" i="2"/>
  <c r="AQ30" i="2"/>
  <c r="AV30" i="2"/>
  <c r="AX30" i="2"/>
  <c r="AW30" i="2"/>
  <c r="AU30" i="2"/>
  <c r="AT30" i="2"/>
  <c r="AS30" i="2"/>
  <c r="AK30" i="2"/>
  <c r="AE30" i="2"/>
  <c r="AC30" i="2"/>
  <c r="V30" i="2"/>
  <c r="AB30" i="2"/>
  <c r="H30" i="2"/>
  <c r="O30" i="2"/>
  <c r="AA30" i="2"/>
  <c r="Z30" i="2"/>
  <c r="P30" i="2"/>
  <c r="T30" i="2"/>
  <c r="Y30" i="2"/>
  <c r="F30" i="2"/>
  <c r="X30" i="2"/>
  <c r="AQ29" i="2"/>
  <c r="AV29" i="2"/>
  <c r="AX29" i="2"/>
  <c r="AW29" i="2"/>
  <c r="AU29" i="2"/>
  <c r="AT29" i="2"/>
  <c r="AS29" i="2"/>
  <c r="AK29" i="2"/>
  <c r="AE29" i="2"/>
  <c r="AC29" i="2"/>
  <c r="V29" i="2"/>
  <c r="AB29" i="2"/>
  <c r="H29" i="2"/>
  <c r="O29" i="2"/>
  <c r="AA29" i="2"/>
  <c r="Z29" i="2"/>
  <c r="P29" i="2"/>
  <c r="T29" i="2"/>
  <c r="Y29" i="2"/>
  <c r="F29" i="2"/>
  <c r="X29" i="2"/>
  <c r="AQ28" i="2"/>
  <c r="AV28" i="2"/>
  <c r="AX28" i="2"/>
  <c r="AW28" i="2"/>
  <c r="AU28" i="2"/>
  <c r="AT28" i="2"/>
  <c r="AS28" i="2"/>
  <c r="AK28" i="2"/>
  <c r="AE28" i="2"/>
  <c r="AC28" i="2"/>
  <c r="V28" i="2"/>
  <c r="AB28" i="2"/>
  <c r="H28" i="2"/>
  <c r="O28" i="2"/>
  <c r="AA28" i="2"/>
  <c r="Z28" i="2"/>
  <c r="P28" i="2"/>
  <c r="T28" i="2"/>
  <c r="Y28" i="2"/>
  <c r="F28" i="2"/>
  <c r="X28" i="2"/>
  <c r="AQ27" i="2"/>
  <c r="AV27" i="2"/>
  <c r="AX27" i="2"/>
  <c r="AW27" i="2"/>
  <c r="AU27" i="2"/>
  <c r="AT27" i="2"/>
  <c r="AS27" i="2"/>
  <c r="AK27" i="2"/>
  <c r="AE27" i="2"/>
  <c r="AC27" i="2"/>
  <c r="V27" i="2"/>
  <c r="AB27" i="2"/>
  <c r="H27" i="2"/>
  <c r="O27" i="2"/>
  <c r="AA27" i="2"/>
  <c r="Z27" i="2"/>
  <c r="P27" i="2"/>
  <c r="T27" i="2"/>
  <c r="Y27" i="2"/>
  <c r="F27" i="2"/>
  <c r="X27" i="2"/>
  <c r="AQ26" i="2"/>
  <c r="AV26" i="2"/>
  <c r="AX26" i="2"/>
  <c r="AW26" i="2"/>
  <c r="AU26" i="2"/>
  <c r="AT26" i="2"/>
  <c r="AS26" i="2"/>
  <c r="AK26" i="2"/>
  <c r="AE26" i="2"/>
  <c r="AC26" i="2"/>
  <c r="V26" i="2"/>
  <c r="AB26" i="2"/>
  <c r="H26" i="2"/>
  <c r="O26" i="2"/>
  <c r="AA26" i="2"/>
  <c r="Z26" i="2"/>
  <c r="P26" i="2"/>
  <c r="T26" i="2"/>
  <c r="Y26" i="2"/>
  <c r="F26" i="2"/>
  <c r="X26" i="2"/>
  <c r="AQ25" i="2"/>
  <c r="AV25" i="2"/>
  <c r="AX25" i="2"/>
  <c r="AW25" i="2"/>
  <c r="AU25" i="2"/>
  <c r="AT25" i="2"/>
  <c r="AS25" i="2"/>
  <c r="AK25" i="2"/>
  <c r="AE25" i="2"/>
  <c r="AC25" i="2"/>
  <c r="V25" i="2"/>
  <c r="AB25" i="2"/>
  <c r="H25" i="2"/>
  <c r="O25" i="2"/>
  <c r="AA25" i="2"/>
  <c r="Z25" i="2"/>
  <c r="P25" i="2"/>
  <c r="T25" i="2"/>
  <c r="Y25" i="2"/>
  <c r="F25" i="2"/>
  <c r="X25" i="2"/>
  <c r="AQ24" i="2"/>
  <c r="AV24" i="2"/>
  <c r="AX24" i="2"/>
  <c r="AW24" i="2"/>
  <c r="AU24" i="2"/>
  <c r="AT24" i="2"/>
  <c r="AS24" i="2"/>
  <c r="AK24" i="2"/>
  <c r="AE24" i="2"/>
  <c r="AC24" i="2"/>
  <c r="V24" i="2"/>
  <c r="AB24" i="2"/>
  <c r="H24" i="2"/>
  <c r="O24" i="2"/>
  <c r="AA24" i="2"/>
  <c r="Z24" i="2"/>
  <c r="P24" i="2"/>
  <c r="T24" i="2"/>
  <c r="Y24" i="2"/>
  <c r="F24" i="2"/>
  <c r="X24" i="2"/>
  <c r="AQ23" i="2"/>
  <c r="AV23" i="2"/>
  <c r="AX23" i="2"/>
  <c r="AW23" i="2"/>
  <c r="AU23" i="2"/>
  <c r="AT23" i="2"/>
  <c r="AS23" i="2"/>
  <c r="AK23" i="2"/>
  <c r="AE23" i="2"/>
  <c r="AC23" i="2"/>
  <c r="V23" i="2"/>
  <c r="AB23" i="2"/>
  <c r="H23" i="2"/>
  <c r="O23" i="2"/>
  <c r="AA23" i="2"/>
  <c r="Z23" i="2"/>
  <c r="P23" i="2"/>
  <c r="T23" i="2"/>
  <c r="Y23" i="2"/>
  <c r="F23" i="2"/>
  <c r="X23" i="2"/>
  <c r="AQ22" i="2"/>
  <c r="AV22" i="2"/>
  <c r="AX22" i="2"/>
  <c r="AW22" i="2"/>
  <c r="AU22" i="2"/>
  <c r="AT22" i="2"/>
  <c r="AS22" i="2"/>
  <c r="AK22" i="2"/>
  <c r="AE22" i="2"/>
  <c r="AC22" i="2"/>
  <c r="V22" i="2"/>
  <c r="AB22" i="2"/>
  <c r="H22" i="2"/>
  <c r="O22" i="2"/>
  <c r="AA22" i="2"/>
  <c r="Z22" i="2"/>
  <c r="P22" i="2"/>
  <c r="T22" i="2"/>
  <c r="Y22" i="2"/>
  <c r="F22" i="2"/>
  <c r="X22" i="2"/>
  <c r="AQ21" i="2"/>
  <c r="AV21" i="2"/>
  <c r="AX21" i="2"/>
  <c r="AW21" i="2"/>
  <c r="AU21" i="2"/>
  <c r="AT21" i="2"/>
  <c r="AS21" i="2"/>
  <c r="AK21" i="2"/>
  <c r="AE21" i="2"/>
  <c r="AC21" i="2"/>
  <c r="V21" i="2"/>
  <c r="AB21" i="2"/>
  <c r="H21" i="2"/>
  <c r="O21" i="2"/>
  <c r="AA21" i="2"/>
  <c r="Z21" i="2"/>
  <c r="P21" i="2"/>
  <c r="T21" i="2"/>
  <c r="Y21" i="2"/>
  <c r="F21" i="2"/>
  <c r="X21" i="2"/>
  <c r="AQ20" i="2"/>
  <c r="AV20" i="2"/>
  <c r="AX20" i="2"/>
  <c r="AW20" i="2"/>
  <c r="AU20" i="2"/>
  <c r="AT20" i="2"/>
  <c r="AS20" i="2"/>
  <c r="AK20" i="2"/>
  <c r="AE20" i="2"/>
  <c r="AC20" i="2"/>
  <c r="V20" i="2"/>
  <c r="AB20" i="2"/>
  <c r="H20" i="2"/>
  <c r="O20" i="2"/>
  <c r="AA20" i="2"/>
  <c r="Z20" i="2"/>
  <c r="P20" i="2"/>
  <c r="T20" i="2"/>
  <c r="Y20" i="2"/>
  <c r="F20" i="2"/>
  <c r="X20" i="2"/>
  <c r="AQ19" i="2"/>
  <c r="AV19" i="2"/>
  <c r="AX19" i="2"/>
  <c r="AW19" i="2"/>
  <c r="AU19" i="2"/>
  <c r="AT19" i="2"/>
  <c r="AS19" i="2"/>
  <c r="AK19" i="2"/>
  <c r="AE19" i="2"/>
  <c r="AC19" i="2"/>
  <c r="V19" i="2"/>
  <c r="AB19" i="2"/>
  <c r="H19" i="2"/>
  <c r="O19" i="2"/>
  <c r="AA19" i="2"/>
  <c r="Z19" i="2"/>
  <c r="P19" i="2"/>
  <c r="T19" i="2"/>
  <c r="Y19" i="2"/>
  <c r="F19" i="2"/>
  <c r="X19" i="2"/>
  <c r="AQ18" i="2"/>
  <c r="AV18" i="2"/>
  <c r="AX18" i="2"/>
  <c r="AW18" i="2"/>
  <c r="AU18" i="2"/>
  <c r="AT18" i="2"/>
  <c r="AS18" i="2"/>
  <c r="AK18" i="2"/>
  <c r="AE18" i="2"/>
  <c r="AC18" i="2"/>
  <c r="V18" i="2"/>
  <c r="AB18" i="2"/>
  <c r="H18" i="2"/>
  <c r="O18" i="2"/>
  <c r="AA18" i="2"/>
  <c r="Z18" i="2"/>
  <c r="P18" i="2"/>
  <c r="T18" i="2"/>
  <c r="Y18" i="2"/>
  <c r="F18" i="2"/>
  <c r="X18" i="2"/>
  <c r="AQ17" i="2"/>
  <c r="AV17" i="2"/>
  <c r="AX17" i="2"/>
  <c r="AW17" i="2"/>
  <c r="AU17" i="2"/>
  <c r="AT17" i="2"/>
  <c r="AS17" i="2"/>
  <c r="AK17" i="2"/>
  <c r="AE17" i="2"/>
  <c r="AC17" i="2"/>
  <c r="V17" i="2"/>
  <c r="AB17" i="2"/>
  <c r="H17" i="2"/>
  <c r="O17" i="2"/>
  <c r="AA17" i="2"/>
  <c r="Z17" i="2"/>
  <c r="P17" i="2"/>
  <c r="T17" i="2"/>
  <c r="Y17" i="2"/>
  <c r="F17" i="2"/>
  <c r="X17" i="2"/>
  <c r="AQ16" i="2"/>
  <c r="AV16" i="2"/>
  <c r="AX16" i="2"/>
  <c r="AW16" i="2"/>
  <c r="AU16" i="2"/>
  <c r="AT16" i="2"/>
  <c r="AS16" i="2"/>
  <c r="AK16" i="2"/>
  <c r="AE16" i="2"/>
  <c r="AC16" i="2"/>
  <c r="V16" i="2"/>
  <c r="AB16" i="2"/>
  <c r="H16" i="2"/>
  <c r="O16" i="2"/>
  <c r="AA16" i="2"/>
  <c r="Z16" i="2"/>
  <c r="P16" i="2"/>
  <c r="T16" i="2"/>
  <c r="Y16" i="2"/>
  <c r="F16" i="2"/>
  <c r="X16" i="2"/>
  <c r="AQ15" i="2"/>
  <c r="AV15" i="2"/>
  <c r="AX15" i="2"/>
  <c r="AW15" i="2"/>
  <c r="AU15" i="2"/>
  <c r="AT15" i="2"/>
  <c r="AS15" i="2"/>
  <c r="AK15" i="2"/>
  <c r="AE15" i="2"/>
  <c r="AC15" i="2"/>
  <c r="V15" i="2"/>
  <c r="AB15" i="2"/>
  <c r="H15" i="2"/>
  <c r="O15" i="2"/>
  <c r="AA15" i="2"/>
  <c r="Z15" i="2"/>
  <c r="P15" i="2"/>
  <c r="T15" i="2"/>
  <c r="Y15" i="2"/>
  <c r="F15" i="2"/>
  <c r="X15" i="2"/>
  <c r="AQ14" i="2"/>
  <c r="AV14" i="2"/>
  <c r="AX14" i="2"/>
  <c r="AW14" i="2"/>
  <c r="AU14" i="2"/>
  <c r="AT14" i="2"/>
  <c r="AS14" i="2"/>
  <c r="AK14" i="2"/>
  <c r="AE14" i="2"/>
  <c r="AC14" i="2"/>
  <c r="V14" i="2"/>
  <c r="AB14" i="2"/>
  <c r="H14" i="2"/>
  <c r="O14" i="2"/>
  <c r="AA14" i="2"/>
  <c r="Z14" i="2"/>
  <c r="P14" i="2"/>
  <c r="T14" i="2"/>
  <c r="Y14" i="2"/>
  <c r="F14" i="2"/>
  <c r="X14" i="2"/>
  <c r="AQ13" i="2"/>
  <c r="AV13" i="2"/>
  <c r="AX13" i="2"/>
  <c r="AW13" i="2"/>
  <c r="AU13" i="2"/>
  <c r="AT13" i="2"/>
  <c r="AS13" i="2"/>
  <c r="AK13" i="2"/>
  <c r="AE13" i="2"/>
  <c r="AC13" i="2"/>
  <c r="V13" i="2"/>
  <c r="AB13" i="2"/>
  <c r="H13" i="2"/>
  <c r="O13" i="2"/>
  <c r="AA13" i="2"/>
  <c r="Z13" i="2"/>
  <c r="P13" i="2"/>
  <c r="T13" i="2"/>
  <c r="Y13" i="2"/>
  <c r="F13" i="2"/>
  <c r="X13" i="2"/>
  <c r="AQ12" i="2"/>
  <c r="AV12" i="2"/>
  <c r="AX12" i="2"/>
  <c r="AW12" i="2"/>
  <c r="AU12" i="2"/>
  <c r="AT12" i="2"/>
  <c r="AS12" i="2"/>
  <c r="AK12" i="2"/>
  <c r="AE12" i="2"/>
  <c r="AC12" i="2"/>
  <c r="V12" i="2"/>
  <c r="AB12" i="2"/>
  <c r="H12" i="2"/>
  <c r="O12" i="2"/>
  <c r="AA12" i="2"/>
  <c r="Z12" i="2"/>
  <c r="P12" i="2"/>
  <c r="T12" i="2"/>
  <c r="Y12" i="2"/>
  <c r="F12" i="2"/>
  <c r="X12" i="2"/>
  <c r="AQ11" i="2"/>
  <c r="AV11" i="2"/>
  <c r="AX11" i="2"/>
  <c r="AW11" i="2"/>
  <c r="AU11" i="2"/>
  <c r="AT11" i="2"/>
  <c r="AS11" i="2"/>
  <c r="AK11" i="2"/>
  <c r="AE11" i="2"/>
  <c r="AC11" i="2"/>
  <c r="V11" i="2"/>
  <c r="AB11" i="2"/>
  <c r="H11" i="2"/>
  <c r="O11" i="2"/>
  <c r="AA11" i="2"/>
  <c r="Z11" i="2"/>
  <c r="P11" i="2"/>
  <c r="T11" i="2"/>
  <c r="Y11" i="2"/>
  <c r="F11" i="2"/>
  <c r="X11" i="2"/>
  <c r="AQ10" i="2"/>
  <c r="AV10" i="2"/>
  <c r="AX10" i="2"/>
  <c r="AW10" i="2"/>
  <c r="AU10" i="2"/>
  <c r="AT10" i="2"/>
  <c r="AS10" i="2"/>
  <c r="AK10" i="2"/>
  <c r="AE10" i="2"/>
  <c r="AC10" i="2"/>
  <c r="V10" i="2"/>
  <c r="AB10" i="2"/>
  <c r="H10" i="2"/>
  <c r="O10" i="2"/>
  <c r="AA10" i="2"/>
  <c r="Z10" i="2"/>
  <c r="P10" i="2"/>
  <c r="T10" i="2"/>
  <c r="Y10" i="2"/>
  <c r="F10" i="2"/>
  <c r="X10" i="2"/>
  <c r="AQ9" i="2"/>
  <c r="AV9" i="2"/>
  <c r="AX9" i="2"/>
  <c r="AW9" i="2"/>
  <c r="AU9" i="2"/>
  <c r="AT9" i="2"/>
  <c r="AS9" i="2"/>
  <c r="AK9" i="2"/>
  <c r="AE9" i="2"/>
  <c r="AC9" i="2"/>
  <c r="V9" i="2"/>
  <c r="AB9" i="2"/>
  <c r="H9" i="2"/>
  <c r="O9" i="2"/>
  <c r="AA9" i="2"/>
  <c r="Z9" i="2"/>
  <c r="P9" i="2"/>
  <c r="T9" i="2"/>
  <c r="Y9" i="2"/>
  <c r="F9" i="2"/>
  <c r="X9" i="2"/>
  <c r="AQ8" i="2"/>
  <c r="AV8" i="2"/>
  <c r="AX8" i="2"/>
  <c r="AW8" i="2"/>
  <c r="AU8" i="2"/>
  <c r="AT8" i="2"/>
  <c r="AS8" i="2"/>
  <c r="AK8" i="2"/>
  <c r="AE8" i="2"/>
  <c r="AC8" i="2"/>
  <c r="V8" i="2"/>
  <c r="AB8" i="2"/>
  <c r="H8" i="2"/>
  <c r="O8" i="2"/>
  <c r="AA8" i="2"/>
  <c r="Z8" i="2"/>
  <c r="P8" i="2"/>
  <c r="T8" i="2"/>
  <c r="Y8" i="2"/>
  <c r="F8" i="2"/>
  <c r="X8" i="2"/>
  <c r="AQ7" i="2"/>
  <c r="AV7" i="2"/>
  <c r="AX7" i="2"/>
  <c r="AW7" i="2"/>
  <c r="AU7" i="2"/>
  <c r="AT7" i="2"/>
  <c r="AS7" i="2"/>
  <c r="AK7" i="2"/>
  <c r="AE7" i="2"/>
  <c r="AC7" i="2"/>
  <c r="V7" i="2"/>
  <c r="AB7" i="2"/>
  <c r="H7" i="2"/>
  <c r="O7" i="2"/>
  <c r="AA7" i="2"/>
  <c r="Z7" i="2"/>
  <c r="P7" i="2"/>
  <c r="T7" i="2"/>
  <c r="Y7" i="2"/>
  <c r="F7" i="2"/>
  <c r="X7" i="2"/>
  <c r="AQ6" i="2"/>
  <c r="AV6" i="2"/>
  <c r="AX6" i="2"/>
  <c r="AW6" i="2"/>
  <c r="AU6" i="2"/>
  <c r="AT6" i="2"/>
  <c r="AS6" i="2"/>
  <c r="AK6" i="2"/>
  <c r="AE6" i="2"/>
  <c r="AC6" i="2"/>
  <c r="V6" i="2"/>
  <c r="AB6" i="2"/>
  <c r="H6" i="2"/>
  <c r="O6" i="2"/>
  <c r="AA6" i="2"/>
  <c r="Z6" i="2"/>
  <c r="P6" i="2"/>
  <c r="T6" i="2"/>
  <c r="Y6" i="2"/>
  <c r="F6" i="2"/>
  <c r="X6" i="2"/>
  <c r="AQ5" i="2"/>
  <c r="AV5" i="2"/>
  <c r="AX5" i="2"/>
  <c r="AW5" i="2"/>
  <c r="AU5" i="2"/>
  <c r="AT5" i="2"/>
  <c r="AS5" i="2"/>
  <c r="AK5" i="2"/>
  <c r="AE5" i="2"/>
  <c r="AC5" i="2"/>
  <c r="V5" i="2"/>
  <c r="AB5" i="2"/>
  <c r="H5" i="2"/>
  <c r="O5" i="2"/>
  <c r="AA5" i="2"/>
  <c r="Z5" i="2"/>
  <c r="P5" i="2"/>
  <c r="T5" i="2"/>
  <c r="Y5" i="2"/>
  <c r="F5" i="2"/>
  <c r="X5" i="2"/>
  <c r="AC4" i="2"/>
  <c r="AB4" i="2"/>
  <c r="AA4" i="2"/>
  <c r="Z4" i="2"/>
  <c r="Y4" i="2"/>
  <c r="X4" i="2"/>
  <c r="V4" i="2"/>
  <c r="T4" i="2"/>
  <c r="P4" i="2"/>
  <c r="O4" i="2"/>
  <c r="H4" i="2"/>
  <c r="F4" i="2"/>
</calcChain>
</file>

<file path=xl/sharedStrings.xml><?xml version="1.0" encoding="utf-8"?>
<sst xmlns="http://schemas.openxmlformats.org/spreadsheetml/2006/main" count="136" uniqueCount="113">
  <si>
    <t>4-ETF Trading Workbook Template</t>
  </si>
  <si>
    <t>Purpose</t>
  </si>
  <si>
    <t>Track your 4-ETF momentum system using daily market data, an automatic signal page, a manual trade log, and performance statistics.</t>
  </si>
  <si>
    <t>Trading Universe</t>
  </si>
  <si>
    <t>SOXL = Bullish semiconductors</t>
  </si>
  <si>
    <t>SOXS = Bearish semiconductors</t>
  </si>
  <si>
    <t>TQQQ = Bullish Nasdaq/tech</t>
  </si>
  <si>
    <t>SQQQ = Bearish Nasdaq/tech</t>
  </si>
  <si>
    <t>How to Use</t>
  </si>
  <si>
    <t>1. Enter one row per trading day in the Daily_Data sheet.</t>
  </si>
  <si>
    <t>2. Enter Open, High, Low, Close for each ETF. Daily % columns calculate automatically.</t>
  </si>
  <si>
    <t>3. Review the Signal sheet. It determines market direction and suggests an ETF to trade.</t>
  </si>
  <si>
    <t>4. Log each trade manually in the Trades sheet.</t>
  </si>
  <si>
    <t>5. Review the Stats sheet to track win rate and performance.</t>
  </si>
  <si>
    <t>Core Decision Rule</t>
  </si>
  <si>
    <t>Bull market + semiconductors leading = SOXL</t>
  </si>
  <si>
    <t>Bull market + tech leading = TQQQ</t>
  </si>
  <si>
    <t>Bear market + semiconductors weakest = SOXS</t>
  </si>
  <si>
    <t>Bear market + semiconductors not weakest = SQQQ</t>
  </si>
  <si>
    <t>Suggested OCO Framework</t>
  </si>
  <si>
    <t>Example: +25% profit target and -15% stop loss (adjust to your own risk tolerance).</t>
  </si>
  <si>
    <t>v5 upgrades: 3-day/5-day momentum, leadership spreads, stronger Signal logic, and confidence scoring.</t>
  </si>
  <si>
    <t>Daily Market Data</t>
  </si>
  <si>
    <t>Date</t>
  </si>
  <si>
    <t>Semiconductors</t>
  </si>
  <si>
    <t>Nasdaq / Tech</t>
  </si>
  <si>
    <t>Momentum</t>
  </si>
  <si>
    <t>Leadership</t>
  </si>
  <si>
    <t>SOXL Open</t>
  </si>
  <si>
    <t>SOXL High</t>
  </si>
  <si>
    <t>SOXL Low</t>
  </si>
  <si>
    <t>SOXL Close</t>
  </si>
  <si>
    <t>SOXL Daily %</t>
  </si>
  <si>
    <t>SOXS Close</t>
  </si>
  <si>
    <t>SOXS Daily %</t>
  </si>
  <si>
    <t>TQQQ Open</t>
  </si>
  <si>
    <t>TQQQ High</t>
  </si>
  <si>
    <t>TQQQ Low</t>
  </si>
  <si>
    <t>TQQQ Close</t>
  </si>
  <si>
    <t>TQQQ Daily %</t>
  </si>
  <si>
    <t>SQQQ Close</t>
  </si>
  <si>
    <t>SQQQ Daily %</t>
  </si>
  <si>
    <t>SOXL 3D %</t>
  </si>
  <si>
    <t>SOXL 5D %</t>
  </si>
  <si>
    <t>SOXS 3D %</t>
  </si>
  <si>
    <t>SOXS 5D %</t>
  </si>
  <si>
    <t>TQQQ 3D %</t>
  </si>
  <si>
    <t>TQQQ 5D %</t>
  </si>
  <si>
    <t>SQQQ 3D %</t>
  </si>
  <si>
    <t>SQQQ 5D %</t>
  </si>
  <si>
    <t>Bull Spread 1D</t>
  </si>
  <si>
    <t>Bull Spread 3D</t>
  </si>
  <si>
    <t>Bull Spread 5D</t>
  </si>
  <si>
    <t>Bear Spread 1D</t>
  </si>
  <si>
    <t>Bear Spread 3D</t>
  </si>
  <si>
    <t>Bear Spread 5D</t>
  </si>
  <si>
    <t>QQQ Close</t>
  </si>
  <si>
    <t>QQQ 1D %</t>
  </si>
  <si>
    <t>QQQ 3D %</t>
  </si>
  <si>
    <t>QQQ 5D %</t>
  </si>
  <si>
    <t>QQQ Trend</t>
  </si>
  <si>
    <t>SMH Close</t>
  </si>
  <si>
    <t>SMH 1D %</t>
  </si>
  <si>
    <t>SMH 3D %</t>
  </si>
  <si>
    <t>SMH 5D %</t>
  </si>
  <si>
    <t>SMH Trend</t>
  </si>
  <si>
    <t>Bull Allowed</t>
  </si>
  <si>
    <t>Bear Allowed</t>
  </si>
  <si>
    <t>Trade 1</t>
  </si>
  <si>
    <t>Trade 2</t>
  </si>
  <si>
    <t>Weight 1</t>
  </si>
  <si>
    <t>Weight 2</t>
  </si>
  <si>
    <t>Signal State</t>
  </si>
  <si>
    <t>Confidence</t>
  </si>
  <si>
    <t>Reason</t>
  </si>
  <si>
    <t>Signal Engine</t>
  </si>
  <si>
    <t>Metric</t>
  </si>
  <si>
    <t>Value</t>
  </si>
  <si>
    <t>Latest Date</t>
  </si>
  <si>
    <t>Bull Allowed?</t>
  </si>
  <si>
    <t>Bear Allowed?</t>
  </si>
  <si>
    <t>Market Direction</t>
  </si>
  <si>
    <t>Bull Leadership Score</t>
  </si>
  <si>
    <t>Bear Leadership Score</t>
  </si>
  <si>
    <t>Sector Leadership</t>
  </si>
  <si>
    <t>Trade ETF</t>
  </si>
  <si>
    <t>v5 adds 3-day and 5-day momentum plus leadership spreads so the Signal tab can rank the best ETF more intelligently.</t>
  </si>
  <si>
    <t>Trade Log</t>
  </si>
  <si>
    <t>ETF</t>
  </si>
  <si>
    <t>Direction</t>
  </si>
  <si>
    <t>Entry Price</t>
  </si>
  <si>
    <t>Exit Price</t>
  </si>
  <si>
    <t>Position Size ($)</t>
  </si>
  <si>
    <t>Gross P&amp;L ($)</t>
  </si>
  <si>
    <t>Gross P&amp;L (%)</t>
  </si>
  <si>
    <t>Win/Loss</t>
  </si>
  <si>
    <t>Notes</t>
  </si>
  <si>
    <t>Performance Stats</t>
  </si>
  <si>
    <t>Total Trades</t>
  </si>
  <si>
    <t>Winning Trades</t>
  </si>
  <si>
    <t>Losing Trades</t>
  </si>
  <si>
    <t>Win Rate</t>
  </si>
  <si>
    <t>Average Gain %</t>
  </si>
  <si>
    <t>Average Loss %</t>
  </si>
  <si>
    <t>Net P&amp;L ($)</t>
  </si>
  <si>
    <t>Average P&amp;L per Trade ($)</t>
  </si>
  <si>
    <t>Trade 1 ETF</t>
  </si>
  <si>
    <t>Trade 2 ETF</t>
  </si>
  <si>
    <t>Entry Value ($)</t>
  </si>
  <si>
    <t>Exit Value ($)</t>
  </si>
  <si>
    <t>P&amp;L ($)</t>
  </si>
  <si>
    <t>Cumulative Equity ($)</t>
  </si>
  <si>
    <t>Use 60/40 sizing when both trades are active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</si>
</sst>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$#,##0.00;[Red]\(\$#,##0.00\)"/>
  </numFmts>
  <fonts count="8" x14ac:knownFonts="1">
    <font>
      <sz val="11"/>
      <color theme="1"/>
      <name val="Calibri"/>
      <family val="2"/>
      <scheme val="minor"/>
    </font>
    <font>
      <b/>
      <sz val="16"/>
      <name val="Calibri"/>
    </font>
    <font>
      <b/>
      <sz val="11"/>
      <color rgb="FF000000"/>
      <name val="Calibri"/>
    </font>
    <font>
      <b/>
      <sz val="11"/>
      <name val="Calibri"/>
    </font>
    <font>
      <b/>
      <sz val="14"/>
      <name val="Calibri"/>
    </font>
    <font>
      <b/>
      <sz val="11"/>
      <color rgb="FFFFFFFF"/>
      <name val="Calibri"/>
    </font>
    <font>
      <i/>
      <sz val="11"/>
      <color rgb="FF808080"/>
      <name val="Calibri"/>
    </font>
    <font>
      <i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7E6E6"/>
      </patternFill>
    </fill>
    <fill>
      <patternFill patternType="solid">
        <fgColor rgb="FFE2F0D9"/>
      </patternFill>
    </fill>
    <fill>
      <patternFill patternType="solid">
        <fgColor rgb="FF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14" fontId="6" fillId="4" borderId="0" xfId="0" applyNumberFormat="1" applyFont="1" applyFill="1" applyAlignment="1">
      <alignment vertical="center"/>
    </xf>
    <xf numFmtId="2" fontId="0" fillId="4" borderId="0" xfId="0" applyNumberFormat="1" applyFill="1"/>
    <xf numFmtId="164" fontId="0" fillId="5" borderId="0" xfId="0" applyNumberFormat="1" applyFill="1" applyAlignment="1">
      <alignment vertical="center"/>
    </xf>
    <xf numFmtId="164" fontId="0" fillId="0" borderId="0" xfId="0" applyNumberFormat="1" applyAlignment="1">
      <alignment vertical="center"/>
    </xf>
    <xf numFmtId="14" fontId="0" fillId="0" borderId="0" xfId="0" applyNumberFormat="1"/>
    <xf numFmtId="2" fontId="0" fillId="0" borderId="0" xfId="0" applyNumberFormat="1"/>
    <xf numFmtId="0" fontId="3" fillId="3" borderId="0" xfId="0" applyFont="1" applyFill="1" applyAlignment="1">
      <alignment vertical="center"/>
    </xf>
    <xf numFmtId="14" fontId="0" fillId="5" borderId="0" xfId="0" applyNumberFormat="1" applyFill="1" applyAlignment="1">
      <alignment vertical="center"/>
    </xf>
    <xf numFmtId="0" fontId="0" fillId="3" borderId="0" xfId="0" applyFill="1"/>
    <xf numFmtId="0" fontId="0" fillId="5" borderId="0" xfId="0" applyFill="1"/>
    <xf numFmtId="0" fontId="2" fillId="7" borderId="0" xfId="0" applyFont="1" applyFill="1" applyAlignment="1">
      <alignment vertical="center"/>
    </xf>
    <xf numFmtId="165" fontId="0" fillId="0" borderId="0" xfId="0" applyNumberFormat="1"/>
    <xf numFmtId="165" fontId="0" fillId="0" borderId="0" xfId="0" applyNumberFormat="1" applyAlignment="1">
      <alignment vertical="center"/>
    </xf>
    <xf numFmtId="0" fontId="7" fillId="0" borderId="0" xfId="0" applyFont="1"/>
    <xf numFmtId="164" fontId="0" fillId="4" borderId="0" xfId="0" applyNumberFormat="1" applyFill="1"/>
    <xf numFmtId="164" fontId="0" fillId="0" borderId="0" xfId="0" applyNumberFormat="1"/>
    <xf numFmtId="0" fontId="3" fillId="3" borderId="0" xfId="0" applyFont="1" applyFill="1" applyAlignment="1">
      <alignment horizontal="center" vertical="center"/>
    </xf>
    <xf numFmtId="2" fontId="0" fillId="5" borderId="0" xfId="0" applyNumberFormat="1" applyFill="1" applyAlignment="1">
      <alignment vertical="center"/>
    </xf>
    <xf numFmtId="2" fontId="0" fillId="0" borderId="0" xfId="0" applyNumberFormat="1" applyAlignment="1">
      <alignment vertical="center"/>
    </xf>
    <xf numFmtId="0" fontId="3" fillId="3" borderId="0" xfId="0" applyFont="1" applyFill="1"/>
    <xf numFmtId="164" fontId="0" fillId="5" borderId="0" xfId="0" applyNumberFormat="1" applyFill="1"/>
    <xf numFmtId="1" fontId="0" fillId="5" borderId="0" xfId="0" applyNumberFormat="1" applyFill="1"/>
    <xf numFmtId="0" fontId="0" fillId="6" borderId="0" xfId="0" applyFill="1"/>
    <xf numFmtId="1" fontId="0" fillId="6" borderId="0" xfId="0" applyNumberFormat="1" applyFill="1"/>
    <xf numFmtId="0" fontId="3" fillId="0" borderId="0" xfId="0" applyFont="1"/>
    <xf numFmtId="0" fontId="5" fillId="2" borderId="0" xfId="0" applyFont="1" applyFill="1" applyAlignment="1">
      <alignment horizontal="center" vertical="center"/>
    </xf>
    <xf numFmtId="0" fontId="0" fillId="0" borderId="0" xfId="0"/>
    <xf numFmtId="0" fontId="5" fillId="2" borderId="0" xfId="0" applyFont="1" applyFill="1" applyAlignment="1">
      <alignment vertical="center"/>
    </xf>
    <xf numFmtId="0" fontId="7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9"/>
  <sheetViews>
    <sheetView showGridLines="0" tabSelected="1" workbookViewId="0"/>
  </sheetViews>
  <sheetFormatPr defaultRowHeight="15" x14ac:dyDescent="0.2"/>
  <cols>
    <col min="1" max="1" width="89.99609375" customWidth="1"/>
  </cols>
  <sheetData>
    <row r="1" spans="1:1" ht="21.95" customHeight="1" x14ac:dyDescent="0.2">
      <c r="A1" s="1" t="s">
        <v>0</v>
      </c>
    </row>
    <row r="3" spans="1:1" x14ac:dyDescent="0.2">
      <c r="A3" s="2" t="s">
        <v>1</v>
      </c>
    </row>
    <row r="4" spans="1:1" x14ac:dyDescent="0.2">
      <c r="A4" s="3" t="s">
        <v>2</v>
      </c>
    </row>
    <row r="6" spans="1:1" x14ac:dyDescent="0.2">
      <c r="A6" s="4" t="s">
        <v>3</v>
      </c>
    </row>
    <row r="7" spans="1:1" x14ac:dyDescent="0.2">
      <c r="A7" s="3" t="s">
        <v>4</v>
      </c>
    </row>
    <row r="8" spans="1:1" x14ac:dyDescent="0.2">
      <c r="A8" s="3" t="s">
        <v>5</v>
      </c>
    </row>
    <row r="9" spans="1:1" x14ac:dyDescent="0.2">
      <c r="A9" s="3" t="s">
        <v>6</v>
      </c>
    </row>
    <row r="10" spans="1:1" x14ac:dyDescent="0.2">
      <c r="A10" s="3" t="s">
        <v>7</v>
      </c>
    </row>
    <row r="12" spans="1:1" x14ac:dyDescent="0.2">
      <c r="A12" s="4" t="s">
        <v>8</v>
      </c>
    </row>
    <row r="13" spans="1:1" x14ac:dyDescent="0.2">
      <c r="A13" s="3" t="s">
        <v>9</v>
      </c>
    </row>
    <row r="14" spans="1:1" x14ac:dyDescent="0.2">
      <c r="A14" s="3" t="s">
        <v>10</v>
      </c>
    </row>
    <row r="15" spans="1:1" x14ac:dyDescent="0.2">
      <c r="A15" s="3" t="s">
        <v>11</v>
      </c>
    </row>
    <row r="16" spans="1:1" x14ac:dyDescent="0.2">
      <c r="A16" s="3" t="s">
        <v>12</v>
      </c>
    </row>
    <row r="17" spans="1:1" x14ac:dyDescent="0.2">
      <c r="A17" s="3" t="s">
        <v>13</v>
      </c>
    </row>
    <row r="20" spans="1:1" x14ac:dyDescent="0.2">
      <c r="A20" s="4" t="s">
        <v>14</v>
      </c>
    </row>
    <row r="21" spans="1:1" x14ac:dyDescent="0.2">
      <c r="A21" s="3" t="s">
        <v>15</v>
      </c>
    </row>
    <row r="22" spans="1:1" x14ac:dyDescent="0.2">
      <c r="A22" s="3" t="s">
        <v>16</v>
      </c>
    </row>
    <row r="23" spans="1:1" x14ac:dyDescent="0.2">
      <c r="A23" s="3" t="s">
        <v>17</v>
      </c>
    </row>
    <row r="24" spans="1:1" x14ac:dyDescent="0.2">
      <c r="A24" s="3" t="s">
        <v>18</v>
      </c>
    </row>
    <row r="26" spans="1:1" x14ac:dyDescent="0.2">
      <c r="A26" s="4" t="s">
        <v>19</v>
      </c>
    </row>
    <row r="27" spans="1:1" x14ac:dyDescent="0.2">
      <c r="A27" s="3" t="s">
        <v>20</v>
      </c>
    </row>
    <row r="29" spans="1:1" x14ac:dyDescent="0.2">
      <c r="A29" s="21" t="s">
        <v>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X400"/>
  <sheetViews>
    <sheetView showGridLines="0" workbookViewId="0">
      <pane ySplit="2" topLeftCell="A3" activePane="bottomLeft" state="frozen"/>
      <selection pane="bottomLeft"/>
    </sheetView>
  </sheetViews>
  <sheetFormatPr defaultRowHeight="15" x14ac:dyDescent="0.2"/>
  <cols>
    <col min="1" max="1" width="11.02734375" customWidth="1"/>
    <col min="2" max="23" width="11.97265625" customWidth="1"/>
    <col min="24" max="29" width="13.98828125" customWidth="1"/>
    <col min="30" max="30" width="11.97265625" customWidth="1"/>
    <col min="31" max="33" width="11.02734375" customWidth="1"/>
    <col min="34" max="34" width="11.97265625" customWidth="1"/>
    <col min="35" max="35" width="4.03515625" customWidth="1"/>
    <col min="36" max="36" width="11.97265625" customWidth="1"/>
    <col min="37" max="39" width="11.02734375" customWidth="1"/>
    <col min="40" max="40" width="11.97265625" customWidth="1"/>
    <col min="41" max="46" width="9.953125" customWidth="1"/>
    <col min="47" max="48" width="11.97265625" customWidth="1"/>
    <col min="49" max="50" width="34.03125" customWidth="1"/>
  </cols>
  <sheetData>
    <row r="1" spans="1:50" ht="21.95" customHeight="1" x14ac:dyDescent="0.2">
      <c r="A1" s="5" t="s">
        <v>22</v>
      </c>
    </row>
    <row r="2" spans="1:50" x14ac:dyDescent="0.2">
      <c r="A2" s="6" t="s">
        <v>23</v>
      </c>
      <c r="B2" s="35" t="s">
        <v>24</v>
      </c>
      <c r="C2" s="34"/>
      <c r="D2" s="34"/>
      <c r="E2" s="34"/>
      <c r="F2" s="34"/>
      <c r="G2" s="34"/>
      <c r="H2" s="35" t="s">
        <v>25</v>
      </c>
      <c r="I2" s="34"/>
      <c r="J2" s="34"/>
      <c r="K2" s="34"/>
      <c r="L2" s="34"/>
      <c r="M2" s="34"/>
      <c r="P2" s="33" t="s">
        <v>26</v>
      </c>
      <c r="Q2" s="34"/>
      <c r="R2" s="34"/>
      <c r="S2" s="34"/>
      <c r="T2" s="34"/>
      <c r="U2" s="34"/>
      <c r="V2" s="34"/>
      <c r="W2" s="34"/>
      <c r="X2" s="33" t="s">
        <v>27</v>
      </c>
      <c r="Y2" s="34"/>
      <c r="Z2" s="34"/>
      <c r="AA2" s="34"/>
      <c r="AB2" s="34"/>
      <c r="AC2" s="34"/>
    </row>
    <row r="3" spans="1:50" x14ac:dyDescent="0.2">
      <c r="A3" s="7" t="s">
        <v>23</v>
      </c>
      <c r="B3" s="7" t="s">
        <v>28</v>
      </c>
      <c r="C3" s="7" t="s">
        <v>29</v>
      </c>
      <c r="D3" s="7" t="s">
        <v>30</v>
      </c>
      <c r="E3" s="7" t="s">
        <v>31</v>
      </c>
      <c r="F3" s="7" t="s">
        <v>32</v>
      </c>
      <c r="G3" s="7" t="s">
        <v>33</v>
      </c>
      <c r="H3" s="7" t="s">
        <v>34</v>
      </c>
      <c r="I3" s="7" t="s">
        <v>35</v>
      </c>
      <c r="J3" s="7" t="s">
        <v>36</v>
      </c>
      <c r="K3" s="7" t="s">
        <v>37</v>
      </c>
      <c r="L3" s="7" t="s">
        <v>38</v>
      </c>
      <c r="M3" s="7" t="s">
        <v>39</v>
      </c>
      <c r="N3" s="7" t="s">
        <v>40</v>
      </c>
      <c r="O3" s="7" t="s">
        <v>41</v>
      </c>
      <c r="P3" s="24" t="s">
        <v>42</v>
      </c>
      <c r="Q3" s="24" t="s">
        <v>43</v>
      </c>
      <c r="R3" s="24" t="s">
        <v>44</v>
      </c>
      <c r="S3" s="24" t="s">
        <v>45</v>
      </c>
      <c r="T3" s="24" t="s">
        <v>46</v>
      </c>
      <c r="U3" s="24" t="s">
        <v>47</v>
      </c>
      <c r="V3" s="24" t="s">
        <v>48</v>
      </c>
      <c r="W3" s="24" t="s">
        <v>49</v>
      </c>
      <c r="X3" s="24" t="s">
        <v>50</v>
      </c>
      <c r="Y3" s="24" t="s">
        <v>51</v>
      </c>
      <c r="Z3" s="24" t="s">
        <v>52</v>
      </c>
      <c r="AA3" s="24" t="s">
        <v>53</v>
      </c>
      <c r="AB3" s="24" t="s">
        <v>54</v>
      </c>
      <c r="AC3" s="24" t="s">
        <v>55</v>
      </c>
      <c r="AD3" s="32" t="s">
        <v>56</v>
      </c>
      <c r="AE3" s="32" t="s">
        <v>57</v>
      </c>
      <c r="AF3" s="32" t="s">
        <v>58</v>
      </c>
      <c r="AG3" s="32" t="s">
        <v>59</v>
      </c>
      <c r="AH3" s="32" t="s">
        <v>60</v>
      </c>
      <c r="AI3" s="32"/>
      <c r="AJ3" s="32" t="s">
        <v>61</v>
      </c>
      <c r="AK3" s="32" t="s">
        <v>62</v>
      </c>
      <c r="AL3" s="32" t="s">
        <v>63</v>
      </c>
      <c r="AM3" s="32" t="s">
        <v>64</v>
      </c>
      <c r="AN3" s="32" t="s">
        <v>65</v>
      </c>
      <c r="AO3" s="32" t="s">
        <v>66</v>
      </c>
      <c r="AP3" s="32" t="s">
        <v>67</v>
      </c>
      <c r="AQ3" s="32" t="s">
        <v>68</v>
      </c>
      <c r="AR3" s="32" t="s">
        <v>69</v>
      </c>
      <c r="AS3" s="32" t="s">
        <v>70</v>
      </c>
      <c r="AT3" s="32" t="s">
        <v>71</v>
      </c>
      <c r="AU3" s="32" t="s">
        <v>72</v>
      </c>
      <c r="AV3" s="32" t="s">
        <v>73</v>
      </c>
      <c r="AW3" s="32" t="s">
        <v>74</v>
      </c>
      <c r="AX3" s="32" t="s">
        <v>74</v>
      </c>
    </row>
    <row r="4" spans="1:50" x14ac:dyDescent="0.2">
      <c r="A4" s="8"/>
      <c r="B4" s="9"/>
      <c r="C4" s="9"/>
      <c r="D4" s="9"/>
      <c r="E4" s="9"/>
      <c r="F4" s="10" t="str">
        <f>IF(OR(B4="",E4=""),"",IF(B4=0,"",(E4-B4)/B4))</f>
        <v/>
      </c>
      <c r="G4" s="9"/>
      <c r="H4" s="10" t="str">
        <f>""</f>
        <v/>
      </c>
      <c r="I4" s="9"/>
      <c r="J4" s="9"/>
      <c r="K4" s="9"/>
      <c r="L4" s="9"/>
      <c r="M4" s="22" t="str">
        <f>IF(OR(I4="",L4=""),"",IF(I4=0,"",(L4-I4)/I4))</f>
        <v/>
      </c>
      <c r="N4" s="25" t="str">
        <f>IFERROR((M4/M3)-1,"")</f>
        <v/>
      </c>
      <c r="O4" s="22" t="str">
        <f>""</f>
        <v/>
      </c>
      <c r="P4" s="11" t="str">
        <f>""</f>
        <v/>
      </c>
      <c r="Q4" s="23" t="str">
        <f>""</f>
        <v/>
      </c>
      <c r="R4" s="23" t="str">
        <f>""</f>
        <v/>
      </c>
      <c r="S4" s="23" t="str">
        <f>""</f>
        <v/>
      </c>
      <c r="T4" s="23" t="str">
        <f>""</f>
        <v/>
      </c>
      <c r="U4" s="23" t="str">
        <f>""</f>
        <v/>
      </c>
      <c r="V4" s="23" t="str">
        <f>""</f>
        <v/>
      </c>
      <c r="W4" s="23" t="str">
        <f>""</f>
        <v/>
      </c>
      <c r="X4" s="23" t="str">
        <f>""</f>
        <v/>
      </c>
      <c r="Y4" s="23" t="str">
        <f>""</f>
        <v/>
      </c>
      <c r="Z4" s="23" t="str">
        <f>""</f>
        <v/>
      </c>
      <c r="AA4" s="23" t="str">
        <f>""</f>
        <v/>
      </c>
      <c r="AB4" s="23" t="str">
        <f>""</f>
        <v/>
      </c>
      <c r="AC4" s="23" t="str">
        <f>""</f>
        <v/>
      </c>
      <c r="AD4" s="13"/>
      <c r="AE4" s="23"/>
      <c r="AF4" s="23"/>
      <c r="AG4" s="23"/>
      <c r="AH4" s="23"/>
      <c r="AI4" s="13"/>
      <c r="AJ4" s="13"/>
      <c r="AK4" s="23"/>
      <c r="AL4" s="23"/>
      <c r="AM4" s="23"/>
      <c r="AR4" s="23"/>
      <c r="AS4" s="23"/>
      <c r="AT4" s="23"/>
      <c r="AU4" s="23"/>
    </row>
    <row r="5" spans="1:50" x14ac:dyDescent="0.2">
      <c r="A5" s="12"/>
      <c r="B5" s="13"/>
      <c r="C5" s="13"/>
      <c r="D5" s="13"/>
      <c r="E5" s="13"/>
      <c r="F5" s="11" t="str">
        <f>IF(OR(E5="",E4=""),"",IF(E4=0,"",(E5/E4)-1))</f>
        <v/>
      </c>
      <c r="G5" s="13"/>
      <c r="H5" s="11" t="str">
        <f>IF(OR(G5="",G4=""),"",IF(G4=0,"",(G5/G4)-1))</f>
        <v/>
      </c>
      <c r="I5" s="13"/>
      <c r="J5" s="13"/>
      <c r="K5" s="13"/>
      <c r="L5" s="13"/>
      <c r="M5" s="23" t="str">
        <f>IF(OR(L5="",L4=""),"",IF(L4=0,"",(L5/L4)-1))</f>
        <v/>
      </c>
      <c r="N5" s="26" t="str">
        <f>IFERROR((M5/M4)-1,"")</f>
        <v/>
      </c>
      <c r="O5" s="23" t="str">
        <f>IF(OR(N5="",N4=""),"",IF(N4=0,"",(N5/N4)-1))</f>
        <v/>
      </c>
      <c r="P5" s="11" t="str">
        <f>IF(ROW()&lt;7,"",IF(OR(E5="",E2=""),"",IF(E2=0,"",(E5/E2)-1)))</f>
        <v/>
      </c>
      <c r="Q5" s="23" t="str">
        <f>IF(ROW()&lt;9,"",IF(OR(E5="",E0=""),"",IF(E0=0,"",(E5/E0)-1)))</f>
        <v/>
      </c>
      <c r="R5" s="23" t="str">
        <f>IF(ROW()&lt;7,"",IF(OR(G5="",G2=""),"",IF(G2=0,"",(G5/G2)-1)))</f>
        <v/>
      </c>
      <c r="S5" s="23" t="str">
        <f>IF(ROW()&lt;9,"",IF(OR(G5="",G0=""),"",IF(G0=0,"",(G5/G0)-1)))</f>
        <v/>
      </c>
      <c r="T5" s="23" t="str">
        <f>IF(ROW()&lt;7,"",IF(OR(L5="",L2=""),"",IF(L2=0,"",(L5/L2)-1)))</f>
        <v/>
      </c>
      <c r="U5" s="23" t="str">
        <f>IF(ROW()&lt;9,"",IF(OR(L5="",L0=""),"",IF(L0=0,"",(L5/L0)-1)))</f>
        <v/>
      </c>
      <c r="V5" s="23" t="str">
        <f>IF(ROW()&lt;7,"",IF(OR(N5="",N2=""),"",IF(N2=0,"",(N5/N2)-1)))</f>
        <v/>
      </c>
      <c r="W5" s="23" t="str">
        <f>IF(ROW()&lt;9,"",IF(OR(N5="",N0=""),"",IF(N0=0,"",(N5/N0)-1)))</f>
        <v/>
      </c>
      <c r="X5" s="23" t="str">
        <f>IF(OR(F5="",M5=""),"",F5-M5)</f>
        <v/>
      </c>
      <c r="Y5" s="23" t="str">
        <f>IF(OR(P5="",T5=""),"",P5-T5)</f>
        <v/>
      </c>
      <c r="Z5" s="23" t="str">
        <f>IF(OR(Q5="",U5=""),"",Q5-U5)</f>
        <v/>
      </c>
      <c r="AA5" s="23" t="str">
        <f>IF(OR(H5="",O5=""),"",H5-O5)</f>
        <v/>
      </c>
      <c r="AB5" s="23" t="str">
        <f>IF(OR(R5="",V5=""),"",R5-V5)</f>
        <v/>
      </c>
      <c r="AC5" s="23" t="str">
        <f>IF(OR(S5="",W5=""),"",S5-W5)</f>
        <v/>
      </c>
      <c r="AD5" s="13"/>
      <c r="AE5" s="23" t="str">
        <f>IF(OR(AD5="",AD4=""),"",IF(AD4=0,"",(AD5/AD4)-1))</f>
        <v/>
      </c>
      <c r="AF5" s="23" t="str">
        <f>IF(ROW()&lt;7,"",IF(OR(AD5="",AD2=""),"",IF(AD2=0,"",(AD5/AD2)-1)))</f>
        <v/>
      </c>
      <c r="AG5" s="23" t="str">
        <f>IF(ROW()&lt;9,"",IF(OR(AD5="",AD0=""),"",IF(AD0=0,"",(AD5/AD0)-1)))</f>
        <v/>
      </c>
      <c r="AH5" s="23" t="str">
        <f>IF(OR(AF5="",AG5=""),"",IF(AND(AF5&gt;0,AG5&gt;0),"Bull",IF(AND(AF5&lt;0,AG5&lt;0),"Bear","Mixed")))</f>
        <v/>
      </c>
      <c r="AI5" s="13"/>
      <c r="AJ5" s="13" t="str">
        <f>IF(OR(AI5="",AI4=""),"",IF(AI4=0,"",(AI5/AI4)-1))</f>
        <v/>
      </c>
      <c r="AK5" s="23" t="str">
        <f>IF(OR(AJ5="",AJ4=""),"",IF(AJ4=0,"",(AJ5/AJ4)-1))</f>
        <v/>
      </c>
      <c r="AL5" s="23" t="str">
        <f>IF(ROW()&lt;7,"",IF(OR(AJ5="",AJ2=""),"",IF(AJ2=0,"",(AJ5/AJ2)-1)))</f>
        <v/>
      </c>
      <c r="AM5" s="23" t="str">
        <f>IF(ROW()&lt;9,"",IF(OR(AJ5="",AJ0=""),"",IF(AJ0=0,"",(AJ5/AJ0)-1)))</f>
        <v/>
      </c>
      <c r="AN5" t="str">
        <f>IF(OR(AL5="",AM5=""),"",IF(AND(AL5&gt;0,AM5&gt;0),"Bull",IF(AND(AL5&lt;0,AM5&lt;0),"Bear","Mixed")))</f>
        <v/>
      </c>
      <c r="AO5" t="str">
        <f>IF(OR(AH5="",AN5=""),"",IF(AND(AH5="Bull",AN5="Bull"),"YES","NO"))</f>
        <v/>
      </c>
      <c r="AP5" t="str">
        <f>IF(OR(AH5="",AN5=""),"",IF(AND(AH5="Bear",AN5="Bear"),"YES","NO"))</f>
        <v/>
      </c>
      <c r="AQ5" t="str">
        <f>IF(AO5="YES",IF(SUM(N(X5),N(Y5),N(Z5))&gt;0,"SOXL","TQQQ"),IF(AP5="YES",IF(SUM(N(AA5),N(AB5),N(AC5))&gt;0,"SOXS","SQQQ"),"WAIT"))</f>
        <v>WAIT</v>
      </c>
      <c r="AR5" s="23" t="str">
        <f>IF(AO5="YES",IF(SUM(N(X5),N(Y5),N(Z5))&gt;0,"TQQQ","SOXL"),IF(AP5="YES",IF(SUM(N(AA5),N(AB5),N(AC5))&gt;0,"SQQQ","SOXS"),""))</f>
        <v/>
      </c>
      <c r="AS5" s="23" t="str">
        <f>IF(AQ5="WAIT","",IF(AR5="",1,0.6))</f>
        <v/>
      </c>
      <c r="AT5" s="23">
        <f>IF(AR5="",0,0.4)</f>
        <v>0</v>
      </c>
      <c r="AU5" s="23" t="str">
        <f>IF(AQ5="WAIT","WAIT",IF(AO5="YES","BULL",IF(AP5="YES","BEAR","WAIT")))</f>
        <v>WAIT</v>
      </c>
      <c r="AV5" t="str">
        <f>IF(AQ5="WAIT","Low",IF(OR(AND(AU5="BULL",ABS(SUM(N(X5),N(Y5),N(Z5)))&gt;=0.15),AND(AU5="BEAR",ABS(SUM(N(AA5),N(AB5),N(AC5)))&gt;=0.15)),"Strong",IF(OR(AND(AU5="BULL",ABS(SUM(N(X5),N(Y5),N(Z5)))&gt;=0.05),AND(AU5="BEAR",ABS(SUM(N(AA5),N(AB5),N(AC5)))&gt;=0.05)),"Moderate","Low")))</f>
        <v>Low</v>
      </c>
      <c r="AW5" t="str">
        <f>IF(AQ5="WAIT","QQQ and SMH not aligned",IF(AU5="BULL",IF(AQ5="SOXL","Bull regime; semiconductors leading","Bull regime; tech leading"),IF(AQ5="SOXS","Bear regime; semiconductors weakest","Bear regime; tech weakest")))</f>
        <v>QQQ and SMH not aligned</v>
      </c>
      <c r="AX5" t="str">
        <f>IF(AR5="WAIT","QQQ and SMH not aligned",IF(AV5="BULL",IF(AR5="SOXL","Bull regime; semiconductors leading","Bull regime; tech leading"),IF(AR5="SOXS","Bear regime; semiconductors weakest","Bear regime; tech weakest")))</f>
        <v>Bear regime; tech weakest</v>
      </c>
    </row>
    <row r="6" spans="1:50" x14ac:dyDescent="0.2">
      <c r="A6" s="12"/>
      <c r="B6" s="13"/>
      <c r="C6" s="13"/>
      <c r="D6" s="13"/>
      <c r="E6" s="13"/>
      <c r="F6" s="11" t="str">
        <f>IF(OR(E6="",E5=""),"",IF(E5=0,"",(E6/E5)-1))</f>
        <v/>
      </c>
      <c r="G6" s="13"/>
      <c r="H6" s="11" t="str">
        <f>IF(OR(G6="",G5=""),"",IF(G5=0,"",(G6/G5)-1))</f>
        <v/>
      </c>
      <c r="I6" s="13"/>
      <c r="J6" s="13"/>
      <c r="K6" s="13"/>
      <c r="L6" s="13"/>
      <c r="M6" s="23" t="str">
        <f>IF(OR(L6="",L5=""),"",IF(L5=0,"",(L6/L5)-1))</f>
        <v/>
      </c>
      <c r="N6" s="26" t="str">
        <f>IFERROR((M6/M5)-1,"")</f>
        <v/>
      </c>
      <c r="O6" s="23" t="str">
        <f>IF(OR(N6="",N5=""),"",IF(N5=0,"",(N6/N5)-1))</f>
        <v/>
      </c>
      <c r="P6" s="11" t="str">
        <f>IF(ROW()&lt;7,"",IF(OR(E6="",E3=""),"",IF(E3=0,"",(E6/E3)-1)))</f>
        <v/>
      </c>
      <c r="Q6" s="23" t="str">
        <f>IF(ROW()&lt;9,"",IF(OR(E6="",E1=""),"",IF(E1=0,"",(E6/E1)-1)))</f>
        <v/>
      </c>
      <c r="R6" s="23" t="str">
        <f>IF(ROW()&lt;7,"",IF(OR(G6="",G3=""),"",IF(G3=0,"",(G6/G3)-1)))</f>
        <v/>
      </c>
      <c r="S6" s="23" t="str">
        <f>IF(ROW()&lt;9,"",IF(OR(G6="",G1=""),"",IF(G1=0,"",(G6/G1)-1)))</f>
        <v/>
      </c>
      <c r="T6" s="23" t="str">
        <f>IF(ROW()&lt;7,"",IF(OR(L6="",L3=""),"",IF(L3=0,"",(L6/L3)-1)))</f>
        <v/>
      </c>
      <c r="U6" s="23" t="str">
        <f>IF(ROW()&lt;9,"",IF(OR(L6="",L1=""),"",IF(L1=0,"",(L6/L1)-1)))</f>
        <v/>
      </c>
      <c r="V6" s="23" t="str">
        <f>IF(ROW()&lt;7,"",IF(OR(N6="",N3=""),"",IF(N3=0,"",(N6/N3)-1)))</f>
        <v/>
      </c>
      <c r="W6" s="23" t="str">
        <f>IF(ROW()&lt;9,"",IF(OR(N6="",N1=""),"",IF(N1=0,"",(N6/N1)-1)))</f>
        <v/>
      </c>
      <c r="X6" s="23" t="str">
        <f>IF(OR(F6="",M6=""),"",F6-M6)</f>
        <v/>
      </c>
      <c r="Y6" s="23" t="str">
        <f>IF(OR(P6="",T6=""),"",P6-T6)</f>
        <v/>
      </c>
      <c r="Z6" s="23" t="str">
        <f>IF(OR(Q6="",U6=""),"",Q6-U6)</f>
        <v/>
      </c>
      <c r="AA6" s="23" t="str">
        <f>IF(OR(H6="",O6=""),"",H6-O6)</f>
        <v/>
      </c>
      <c r="AB6" s="23" t="str">
        <f>IF(OR(R6="",V6=""),"",R6-V6)</f>
        <v/>
      </c>
      <c r="AC6" s="23" t="str">
        <f>IF(OR(S6="",W6=""),"",S6-W6)</f>
        <v/>
      </c>
      <c r="AD6" s="13"/>
      <c r="AE6" s="23" t="str">
        <f>IF(OR(AD6="",AD5=""),"",IF(AD5=0,"",(AD6/AD5)-1))</f>
        <v/>
      </c>
      <c r="AF6" s="23" t="str">
        <f>IF(ROW()&lt;7,"",IF(OR(AD6="",AD3=""),"",IF(AD3=0,"",(AD6/AD3)-1)))</f>
        <v/>
      </c>
      <c r="AG6" s="23" t="str">
        <f>IF(ROW()&lt;9,"",IF(OR(AD6="",AD1=""),"",IF(AD1=0,"",(AD6/AD1)-1)))</f>
        <v/>
      </c>
      <c r="AH6" s="23" t="str">
        <f>IF(OR(AF6="",AG6=""),"",IF(AND(AF6&gt;0,AG6&gt;0),"Bull",IF(AND(AF6&lt;0,AG6&lt;0),"Bear","Mixed")))</f>
        <v/>
      </c>
      <c r="AI6" s="13"/>
      <c r="AJ6" s="13" t="str">
        <f>IF(OR(AI6="",AI5=""),"",IF(AI5=0,"",(AI6/AI5)-1))</f>
        <v/>
      </c>
      <c r="AK6" s="23" t="str">
        <f>IF(OR(AJ6="",AJ5=""),"",IF(AJ5=0,"",(AJ6/AJ5)-1))</f>
        <v/>
      </c>
      <c r="AL6" s="23" t="str">
        <f>IF(ROW()&lt;7,"",IF(OR(AJ6="",AJ3=""),"",IF(AJ3=0,"",(AJ6/AJ3)-1)))</f>
        <v/>
      </c>
      <c r="AM6" s="23" t="str">
        <f>IF(ROW()&lt;9,"",IF(OR(AJ6="",AJ1=""),"",IF(AJ1=0,"",(AJ6/AJ1)-1)))</f>
        <v/>
      </c>
      <c r="AN6" t="str">
        <f>IF(OR(AL6="",AM6=""),"",IF(AND(AL6&gt;0,AM6&gt;0),"Bull",IF(AND(AL6&lt;0,AM6&lt;0),"Bear","Mixed")))</f>
        <v/>
      </c>
      <c r="AO6" t="str">
        <f>IF(OR(AH6="",AN6=""),"",IF(AND(AH6="Bull",AN6="Bull"),"YES","NO"))</f>
        <v/>
      </c>
      <c r="AP6" t="str">
        <f>IF(OR(AH6="",AN6=""),"",IF(AND(AH6="Bear",AN6="Bear"),"YES","NO"))</f>
        <v/>
      </c>
      <c r="AQ6" t="str">
        <f>IF(AO6="YES",IF(SUM(N(X6),N(Y6),N(Z6))&gt;0,"SOXL","TQQQ"),IF(AP6="YES",IF(SUM(N(AA6),N(AB6),N(AC6))&gt;0,"SOXS","SQQQ"),"WAIT"))</f>
        <v>WAIT</v>
      </c>
      <c r="AR6" s="23" t="str">
        <f>IF(AO6="YES",IF(SUM(N(X6),N(Y6),N(Z6))&gt;0,"TQQQ","SOXL"),IF(AP6="YES",IF(SUM(N(AA6),N(AB6),N(AC6))&gt;0,"SQQQ","SOXS"),""))</f>
        <v/>
      </c>
      <c r="AS6" s="23" t="str">
        <f>IF(AQ6="WAIT","",IF(AR6="",1,0.6))</f>
        <v/>
      </c>
      <c r="AT6" s="23">
        <f>IF(AR6="",0,0.4)</f>
        <v>0</v>
      </c>
      <c r="AU6" s="23" t="str">
        <f>IF(AQ6="WAIT","WAIT",IF(AO6="YES","BULL",IF(AP6="YES","BEAR","WAIT")))</f>
        <v>WAIT</v>
      </c>
      <c r="AV6" t="str">
        <f>IF(AQ6="WAIT","Low",IF(OR(AND(AU6="BULL",ABS(SUM(N(X6),N(Y6),N(Z6)))&gt;=0.15),AND(AU6="BEAR",ABS(SUM(N(AA6),N(AB6),N(AC6)))&gt;=0.15)),"Strong",IF(OR(AND(AU6="BULL",ABS(SUM(N(X6),N(Y6),N(Z6)))&gt;=0.05),AND(AU6="BEAR",ABS(SUM(N(AA6),N(AB6),N(AC6)))&gt;=0.05)),"Moderate","Low")))</f>
        <v>Low</v>
      </c>
      <c r="AW6" t="str">
        <f>IF(AQ6="WAIT","QQQ and SMH not aligned",IF(AU6="BULL",IF(AQ6="SOXL","Bull regime; semiconductors leading","Bull regime; tech leading"),IF(AQ6="SOXS","Bear regime; semiconductors weakest","Bear regime; tech weakest")))</f>
        <v>QQQ and SMH not aligned</v>
      </c>
      <c r="AX6" t="str">
        <f>IF(AR6="WAIT","QQQ and SMH not aligned",IF(AV6="BULL",IF(AR6="SOXL","Bull regime; semiconductors leading","Bull regime; tech leading"),IF(AR6="SOXS","Bear regime; semiconductors weakest","Bear regime; tech weakest")))</f>
        <v>Bear regime; tech weakest</v>
      </c>
    </row>
    <row r="7" spans="1:50" x14ac:dyDescent="0.2">
      <c r="A7" s="12"/>
      <c r="B7" s="13"/>
      <c r="C7" s="13"/>
      <c r="D7" s="13"/>
      <c r="E7" s="13"/>
      <c r="F7" s="11" t="str">
        <f>IF(OR(E7="",E6=""),"",IF(E6=0,"",(E7/E6)-1))</f>
        <v/>
      </c>
      <c r="G7" s="13"/>
      <c r="H7" s="11" t="str">
        <f>IF(OR(G7="",G6=""),"",IF(G6=0,"",(G7/G6)-1))</f>
        <v/>
      </c>
      <c r="I7" s="13"/>
      <c r="J7" s="13"/>
      <c r="K7" s="13"/>
      <c r="L7" s="13"/>
      <c r="M7" s="23" t="str">
        <f>IF(OR(L7="",L6=""),"",IF(L6=0,"",(L7/L6)-1))</f>
        <v/>
      </c>
      <c r="N7" s="26" t="str">
        <f>IFERROR((M7/M6)-1,"")</f>
        <v/>
      </c>
      <c r="O7" s="23" t="str">
        <f>IF(OR(N7="",N6=""),"",IF(N6=0,"",(N7/N6)-1))</f>
        <v/>
      </c>
      <c r="P7" s="11" t="str">
        <f>IF(ROW()&lt;7,"",IF(OR(E7="",E4=""),"",IF(E4=0,"",(E7/E4)-1)))</f>
        <v/>
      </c>
      <c r="Q7" s="23" t="str">
        <f>IF(ROW()&lt;9,"",IF(OR(E7="",E2=""),"",IF(E2=0,"",(E7/E2)-1)))</f>
        <v/>
      </c>
      <c r="R7" s="23" t="str">
        <f>IF(ROW()&lt;7,"",IF(OR(G7="",G4=""),"",IF(G4=0,"",(G7/G4)-1)))</f>
        <v/>
      </c>
      <c r="S7" s="23" t="str">
        <f>IF(ROW()&lt;9,"",IF(OR(G7="",G2=""),"",IF(G2=0,"",(G7/G2)-1)))</f>
        <v/>
      </c>
      <c r="T7" s="23" t="str">
        <f>IF(ROW()&lt;7,"",IF(OR(L7="",L4=""),"",IF(L4=0,"",(L7/L4)-1)))</f>
        <v/>
      </c>
      <c r="U7" s="23" t="str">
        <f>IF(ROW()&lt;9,"",IF(OR(L7="",L2=""),"",IF(L2=0,"",(L7/L2)-1)))</f>
        <v/>
      </c>
      <c r="V7" s="23" t="str">
        <f>IF(ROW()&lt;7,"",IF(OR(N7="",N4=""),"",IF(N4=0,"",(N7/N4)-1)))</f>
        <v/>
      </c>
      <c r="W7" s="23" t="str">
        <f>IF(ROW()&lt;9,"",IF(OR(N7="",N2=""),"",IF(N2=0,"",(N7/N2)-1)))</f>
        <v/>
      </c>
      <c r="X7" s="23" t="str">
        <f>IF(OR(F7="",M7=""),"",F7-M7)</f>
        <v/>
      </c>
      <c r="Y7" s="23" t="str">
        <f>IF(OR(P7="",T7=""),"",P7-T7)</f>
        <v/>
      </c>
      <c r="Z7" s="23" t="str">
        <f>IF(OR(Q7="",U7=""),"",Q7-U7)</f>
        <v/>
      </c>
      <c r="AA7" s="23" t="str">
        <f>IF(OR(H7="",O7=""),"",H7-O7)</f>
        <v/>
      </c>
      <c r="AB7" s="23" t="str">
        <f>IF(OR(R7="",V7=""),"",R7-V7)</f>
        <v/>
      </c>
      <c r="AC7" s="23" t="str">
        <f>IF(OR(S7="",W7=""),"",S7-W7)</f>
        <v/>
      </c>
      <c r="AD7" s="13"/>
      <c r="AE7" s="23" t="str">
        <f>IF(OR(AD7="",AD6=""),"",IF(AD6=0,"",(AD7/AD6)-1))</f>
        <v/>
      </c>
      <c r="AF7" s="23" t="str">
        <f>IF(ROW()&lt;7,"",IF(OR(AD7="",AD4=""),"",IF(AD4=0,"",(AD7/AD4)-1)))</f>
        <v/>
      </c>
      <c r="AG7" s="23" t="str">
        <f>IF(ROW()&lt;9,"",IF(OR(AD7="",AD2=""),"",IF(AD2=0,"",(AD7/AD2)-1)))</f>
        <v/>
      </c>
      <c r="AH7" s="23" t="str">
        <f>IF(OR(AF7="",AG7=""),"",IF(AND(AF7&gt;0,AG7&gt;0),"Bull",IF(AND(AF7&lt;0,AG7&lt;0),"Bear","Mixed")))</f>
        <v/>
      </c>
      <c r="AI7" s="13"/>
      <c r="AJ7" s="13" t="str">
        <f>IF(OR(AI7="",AI6=""),"",IF(AI6=0,"",(AI7/AI6)-1))</f>
        <v/>
      </c>
      <c r="AK7" s="23" t="str">
        <f>IF(OR(AJ7="",AJ6=""),"",IF(AJ6=0,"",(AJ7/AJ6)-1))</f>
        <v/>
      </c>
      <c r="AL7" s="23" t="str">
        <f>IF(ROW()&lt;7,"",IF(OR(AJ7="",AJ4=""),"",IF(AJ4=0,"",(AJ7/AJ4)-1)))</f>
        <v/>
      </c>
      <c r="AM7" s="23" t="str">
        <f>IF(ROW()&lt;9,"",IF(OR(AJ7="",AJ2=""),"",IF(AJ2=0,"",(AJ7/AJ2)-1)))</f>
        <v/>
      </c>
      <c r="AN7" t="str">
        <f>IF(OR(AL7="",AM7=""),"",IF(AND(AL7&gt;0,AM7&gt;0),"Bull",IF(AND(AL7&lt;0,AM7&lt;0),"Bear","Mixed")))</f>
        <v/>
      </c>
      <c r="AO7" t="str">
        <f>IF(OR(AH7="",AN7=""),"",IF(AND(AH7="Bull",AN7="Bull"),"YES","NO"))</f>
        <v/>
      </c>
      <c r="AP7" t="str">
        <f>IF(OR(AH7="",AN7=""),"",IF(AND(AH7="Bear",AN7="Bear"),"YES","NO"))</f>
        <v/>
      </c>
      <c r="AQ7" t="str">
        <f>IF(AO7="YES",IF(SUM(N(X7),N(Y7),N(Z7))&gt;0,"SOXL","TQQQ"),IF(AP7="YES",IF(SUM(N(AA7),N(AB7),N(AC7))&gt;0,"SOXS","SQQQ"),"WAIT"))</f>
        <v>WAIT</v>
      </c>
      <c r="AR7" s="23" t="str">
        <f>IF(AO7="YES",IF(SUM(N(X7),N(Y7),N(Z7))&gt;0,"TQQQ","SOXL"),IF(AP7="YES",IF(SUM(N(AA7),N(AB7),N(AC7))&gt;0,"SQQQ","SOXS"),""))</f>
        <v/>
      </c>
      <c r="AS7" s="23" t="str">
        <f>IF(AQ7="WAIT","",IF(AR7="",1,0.6))</f>
        <v/>
      </c>
      <c r="AT7" s="23">
        <f>IF(AR7="",0,0.4)</f>
        <v>0</v>
      </c>
      <c r="AU7" s="23" t="str">
        <f>IF(AQ7="WAIT","WAIT",IF(AO7="YES","BULL",IF(AP7="YES","BEAR","WAIT")))</f>
        <v>WAIT</v>
      </c>
      <c r="AV7" t="str">
        <f>IF(AQ7="WAIT","Low",IF(OR(AND(AU7="BULL",ABS(SUM(N(X7),N(Y7),N(Z7)))&gt;=0.15),AND(AU7="BEAR",ABS(SUM(N(AA7),N(AB7),N(AC7)))&gt;=0.15)),"Strong",IF(OR(AND(AU7="BULL",ABS(SUM(N(X7),N(Y7),N(Z7)))&gt;=0.05),AND(AU7="BEAR",ABS(SUM(N(AA7),N(AB7),N(AC7)))&gt;=0.05)),"Moderate","Low")))</f>
        <v>Low</v>
      </c>
      <c r="AW7" t="str">
        <f>IF(AQ7="WAIT","QQQ and SMH not aligned",IF(AU7="BULL",IF(AQ7="SOXL","Bull regime; semiconductors leading","Bull regime; tech leading"),IF(AQ7="SOXS","Bear regime; semiconductors weakest","Bear regime; tech weakest")))</f>
        <v>QQQ and SMH not aligned</v>
      </c>
      <c r="AX7" t="str">
        <f>IF(AR7="WAIT","QQQ and SMH not aligned",IF(AV7="BULL",IF(AR7="SOXL","Bull regime; semiconductors leading","Bull regime; tech leading"),IF(AR7="SOXS","Bear regime; semiconductors weakest","Bear regime; tech weakest")))</f>
        <v>Bear regime; tech weakest</v>
      </c>
    </row>
    <row r="8" spans="1:50" x14ac:dyDescent="0.2">
      <c r="A8" s="12"/>
      <c r="B8" s="13"/>
      <c r="C8" s="13"/>
      <c r="D8" s="13"/>
      <c r="E8" s="13"/>
      <c r="F8" s="11" t="str">
        <f>IF(OR(E8="",E7=""),"",IF(E7=0,"",(E8/E7)-1))</f>
        <v/>
      </c>
      <c r="G8" s="13"/>
      <c r="H8" s="11" t="str">
        <f>IF(OR(G8="",G7=""),"",IF(G7=0,"",(G8/G7)-1))</f>
        <v/>
      </c>
      <c r="I8" s="13"/>
      <c r="J8" s="13"/>
      <c r="K8" s="13"/>
      <c r="L8" s="13"/>
      <c r="M8" s="23" t="str">
        <f>IF(OR(L8="",L7=""),"",IF(L7=0,"",(L8/L7)-1))</f>
        <v/>
      </c>
      <c r="N8" s="26" t="str">
        <f>IFERROR((M8/M7)-1,"")</f>
        <v/>
      </c>
      <c r="O8" s="23" t="str">
        <f>IF(OR(N8="",N7=""),"",IF(N7=0,"",(N8/N7)-1))</f>
        <v/>
      </c>
      <c r="P8" s="11" t="str">
        <f>IF(ROW()&lt;7,"",IF(OR(E8="",E5=""),"",IF(E5=0,"",(E8/E5)-1)))</f>
        <v/>
      </c>
      <c r="Q8" s="23" t="str">
        <f>IF(ROW()&lt;9,"",IF(OR(E8="",E3=""),"",IF(E3=0,"",(E8/E3)-1)))</f>
        <v/>
      </c>
      <c r="R8" s="23" t="str">
        <f>IF(ROW()&lt;7,"",IF(OR(G8="",G5=""),"",IF(G5=0,"",(G8/G5)-1)))</f>
        <v/>
      </c>
      <c r="S8" s="23" t="str">
        <f>IF(ROW()&lt;9,"",IF(OR(G8="",G3=""),"",IF(G3=0,"",(G8/G3)-1)))</f>
        <v/>
      </c>
      <c r="T8" s="23" t="str">
        <f>IF(ROW()&lt;7,"",IF(OR(L8="",L5=""),"",IF(L5=0,"",(L8/L5)-1)))</f>
        <v/>
      </c>
      <c r="U8" s="23" t="str">
        <f>IF(ROW()&lt;9,"",IF(OR(L8="",L3=""),"",IF(L3=0,"",(L8/L3)-1)))</f>
        <v/>
      </c>
      <c r="V8" s="23" t="str">
        <f>IF(ROW()&lt;7,"",IF(OR(N8="",N5=""),"",IF(N5=0,"",(N8/N5)-1)))</f>
        <v/>
      </c>
      <c r="W8" s="23" t="str">
        <f>IF(ROW()&lt;9,"",IF(OR(N8="",N3=""),"",IF(N3=0,"",(N8/N3)-1)))</f>
        <v/>
      </c>
      <c r="X8" s="23" t="str">
        <f>IF(OR(F8="",M8=""),"",F8-M8)</f>
        <v/>
      </c>
      <c r="Y8" s="23" t="str">
        <f>IF(OR(P8="",T8=""),"",P8-T8)</f>
        <v/>
      </c>
      <c r="Z8" s="23" t="str">
        <f>IF(OR(Q8="",U8=""),"",Q8-U8)</f>
        <v/>
      </c>
      <c r="AA8" s="23" t="str">
        <f>IF(OR(H8="",O8=""),"",H8-O8)</f>
        <v/>
      </c>
      <c r="AB8" s="23" t="str">
        <f>IF(OR(R8="",V8=""),"",R8-V8)</f>
        <v/>
      </c>
      <c r="AC8" s="23" t="str">
        <f>IF(OR(S8="",W8=""),"",S8-W8)</f>
        <v/>
      </c>
      <c r="AD8" s="13"/>
      <c r="AE8" s="23" t="str">
        <f>IF(OR(AD8="",AD7=""),"",IF(AD7=0,"",(AD8/AD7)-1))</f>
        <v/>
      </c>
      <c r="AF8" s="23" t="str">
        <f>IF(ROW()&lt;7,"",IF(OR(AD8="",AD5=""),"",IF(AD5=0,"",(AD8/AD5)-1)))</f>
        <v/>
      </c>
      <c r="AG8" s="23" t="str">
        <f>IF(ROW()&lt;9,"",IF(OR(AD8="",AD3=""),"",IF(AD3=0,"",(AD8/AD3)-1)))</f>
        <v/>
      </c>
      <c r="AH8" s="23" t="str">
        <f>IF(OR(AF8="",AG8=""),"",IF(AND(AF8&gt;0,AG8&gt;0),"Bull",IF(AND(AF8&lt;0,AG8&lt;0),"Bear","Mixed")))</f>
        <v/>
      </c>
      <c r="AI8" s="13"/>
      <c r="AJ8" s="13" t="str">
        <f>IF(OR(AI8="",AI7=""),"",IF(AI7=0,"",(AI8/AI7)-1))</f>
        <v/>
      </c>
      <c r="AK8" s="23" t="str">
        <f>IF(OR(AJ8="",AJ7=""),"",IF(AJ7=0,"",(AJ8/AJ7)-1))</f>
        <v/>
      </c>
      <c r="AL8" s="23" t="str">
        <f>IF(ROW()&lt;7,"",IF(OR(AJ8="",AJ5=""),"",IF(AJ5=0,"",(AJ8/AJ5)-1)))</f>
        <v/>
      </c>
      <c r="AM8" s="23" t="str">
        <f>IF(ROW()&lt;9,"",IF(OR(AJ8="",AJ3=""),"",IF(AJ3=0,"",(AJ8/AJ3)-1)))</f>
        <v/>
      </c>
      <c r="AN8" t="str">
        <f>IF(OR(AL8="",AM8=""),"",IF(AND(AL8&gt;0,AM8&gt;0),"Bull",IF(AND(AL8&lt;0,AM8&lt;0),"Bear","Mixed")))</f>
        <v/>
      </c>
      <c r="AO8" t="str">
        <f>IF(OR(AH8="",AN8=""),"",IF(AND(AH8="Bull",AN8="Bull"),"YES","NO"))</f>
        <v/>
      </c>
      <c r="AP8" t="str">
        <f>IF(OR(AH8="",AN8=""),"",IF(AND(AH8="Bear",AN8="Bear"),"YES","NO"))</f>
        <v/>
      </c>
      <c r="AQ8" t="str">
        <f>IF(AO8="YES",IF(SUM(N(X8),N(Y8),N(Z8))&gt;0,"SOXL","TQQQ"),IF(AP8="YES",IF(SUM(N(AA8),N(AB8),N(AC8))&gt;0,"SOXS","SQQQ"),"WAIT"))</f>
        <v>WAIT</v>
      </c>
      <c r="AR8" s="23" t="str">
        <f>IF(AO8="YES",IF(SUM(N(X8),N(Y8),N(Z8))&gt;0,"TQQQ","SOXL"),IF(AP8="YES",IF(SUM(N(AA8),N(AB8),N(AC8))&gt;0,"SQQQ","SOXS"),""))</f>
        <v/>
      </c>
      <c r="AS8" s="23" t="str">
        <f>IF(AQ8="WAIT","",IF(AR8="",1,0.6))</f>
        <v/>
      </c>
      <c r="AT8" s="23">
        <f>IF(AR8="",0,0.4)</f>
        <v>0</v>
      </c>
      <c r="AU8" s="23" t="str">
        <f>IF(AQ8="WAIT","WAIT",IF(AO8="YES","BULL",IF(AP8="YES","BEAR","WAIT")))</f>
        <v>WAIT</v>
      </c>
      <c r="AV8" t="str">
        <f>IF(AQ8="WAIT","Low",IF(OR(AND(AU8="BULL",ABS(SUM(N(X8),N(Y8),N(Z8)))&gt;=0.15),AND(AU8="BEAR",ABS(SUM(N(AA8),N(AB8),N(AC8)))&gt;=0.15)),"Strong",IF(OR(AND(AU8="BULL",ABS(SUM(N(X8),N(Y8),N(Z8)))&gt;=0.05),AND(AU8="BEAR",ABS(SUM(N(AA8),N(AB8),N(AC8)))&gt;=0.05)),"Moderate","Low")))</f>
        <v>Low</v>
      </c>
      <c r="AW8" t="str">
        <f>IF(AQ8="WAIT","QQQ and SMH not aligned",IF(AU8="BULL",IF(AQ8="SOXL","Bull regime; semiconductors leading","Bull regime; tech leading"),IF(AQ8="SOXS","Bear regime; semiconductors weakest","Bear regime; tech weakest")))</f>
        <v>QQQ and SMH not aligned</v>
      </c>
      <c r="AX8" t="str">
        <f>IF(AR8="WAIT","QQQ and SMH not aligned",IF(AV8="BULL",IF(AR8="SOXL","Bull regime; semiconductors leading","Bull regime; tech leading"),IF(AR8="SOXS","Bear regime; semiconductors weakest","Bear regime; tech weakest")))</f>
        <v>Bear regime; tech weakest</v>
      </c>
    </row>
    <row r="9" spans="1:50" x14ac:dyDescent="0.2">
      <c r="A9" s="12"/>
      <c r="B9" s="13"/>
      <c r="C9" s="13"/>
      <c r="D9" s="13"/>
      <c r="E9" s="13"/>
      <c r="F9" s="11" t="str">
        <f>IF(OR(E9="",E8=""),"",IF(E8=0,"",(E9/E8)-1))</f>
        <v/>
      </c>
      <c r="G9" s="13"/>
      <c r="H9" s="11" t="str">
        <f>IF(OR(G9="",G8=""),"",IF(G8=0,"",(G9/G8)-1))</f>
        <v/>
      </c>
      <c r="I9" s="13"/>
      <c r="J9" s="13"/>
      <c r="K9" s="13"/>
      <c r="L9" s="13"/>
      <c r="M9" s="23" t="str">
        <f>IF(OR(L9="",L8=""),"",IF(L8=0,"",(L9/L8)-1))</f>
        <v/>
      </c>
      <c r="N9" s="26" t="str">
        <f>IFERROR((M9/M8)-1,"")</f>
        <v/>
      </c>
      <c r="O9" s="23" t="str">
        <f>IF(OR(N9="",N8=""),"",IF(N8=0,"",(N9/N8)-1))</f>
        <v/>
      </c>
      <c r="P9" s="11" t="str">
        <f>IF(ROW()&lt;7,"",IF(OR(E9="",E6=""),"",IF(E6=0,"",(E9/E6)-1)))</f>
        <v/>
      </c>
      <c r="Q9" s="23" t="str">
        <f>IF(ROW()&lt;9,"",IF(OR(E9="",E4=""),"",IF(E4=0,"",(E9/E4)-1)))</f>
        <v/>
      </c>
      <c r="R9" s="23" t="str">
        <f>IF(ROW()&lt;7,"",IF(OR(G9="",G6=""),"",IF(G6=0,"",(G9/G6)-1)))</f>
        <v/>
      </c>
      <c r="S9" s="23" t="str">
        <f>IF(ROW()&lt;9,"",IF(OR(G9="",G4=""),"",IF(G4=0,"",(G9/G4)-1)))</f>
        <v/>
      </c>
      <c r="T9" s="23" t="str">
        <f>IF(ROW()&lt;7,"",IF(OR(L9="",L6=""),"",IF(L6=0,"",(L9/L6)-1)))</f>
        <v/>
      </c>
      <c r="U9" s="23" t="str">
        <f>IF(ROW()&lt;9,"",IF(OR(L9="",L4=""),"",IF(L4=0,"",(L9/L4)-1)))</f>
        <v/>
      </c>
      <c r="V9" s="23" t="str">
        <f>IF(ROW()&lt;7,"",IF(OR(N9="",N6=""),"",IF(N6=0,"",(N9/N6)-1)))</f>
        <v/>
      </c>
      <c r="W9" s="23" t="str">
        <f>IF(ROW()&lt;9,"",IF(OR(N9="",N4=""),"",IF(N4=0,"",(N9/N4)-1)))</f>
        <v/>
      </c>
      <c r="X9" s="23" t="str">
        <f>IF(OR(F9="",M9=""),"",F9-M9)</f>
        <v/>
      </c>
      <c r="Y9" s="23" t="str">
        <f>IF(OR(P9="",T9=""),"",P9-T9)</f>
        <v/>
      </c>
      <c r="Z9" s="23" t="str">
        <f>IF(OR(Q9="",U9=""),"",Q9-U9)</f>
        <v/>
      </c>
      <c r="AA9" s="23" t="str">
        <f>IF(OR(H9="",O9=""),"",H9-O9)</f>
        <v/>
      </c>
      <c r="AB9" s="23" t="str">
        <f>IF(OR(R9="",V9=""),"",R9-V9)</f>
        <v/>
      </c>
      <c r="AC9" s="23" t="str">
        <f>IF(OR(S9="",W9=""),"",S9-W9)</f>
        <v/>
      </c>
      <c r="AD9" s="13"/>
      <c r="AE9" s="23" t="str">
        <f>IF(OR(AD9="",AD8=""),"",IF(AD8=0,"",(AD9/AD8)-1))</f>
        <v/>
      </c>
      <c r="AF9" s="23" t="str">
        <f>IF(ROW()&lt;7,"",IF(OR(AD9="",AD6=""),"",IF(AD6=0,"",(AD9/AD6)-1)))</f>
        <v/>
      </c>
      <c r="AG9" s="23" t="str">
        <f>IF(ROW()&lt;9,"",IF(OR(AD9="",AD4=""),"",IF(AD4=0,"",(AD9/AD4)-1)))</f>
        <v/>
      </c>
      <c r="AH9" s="23" t="str">
        <f>IF(OR(AF9="",AG9=""),"",IF(AND(AF9&gt;0,AG9&gt;0),"Bull",IF(AND(AF9&lt;0,AG9&lt;0),"Bear","Mixed")))</f>
        <v/>
      </c>
      <c r="AI9" s="13"/>
      <c r="AJ9" s="13" t="str">
        <f>IF(OR(AI9="",AI8=""),"",IF(AI8=0,"",(AI9/AI8)-1))</f>
        <v/>
      </c>
      <c r="AK9" s="23" t="str">
        <f>IF(OR(AJ9="",AJ8=""),"",IF(AJ8=0,"",(AJ9/AJ8)-1))</f>
        <v/>
      </c>
      <c r="AL9" s="23" t="str">
        <f>IF(ROW()&lt;7,"",IF(OR(AJ9="",AJ6=""),"",IF(AJ6=0,"",(AJ9/AJ6)-1)))</f>
        <v/>
      </c>
      <c r="AM9" s="23" t="str">
        <f>IF(ROW()&lt;9,"",IF(OR(AJ9="",AJ4=""),"",IF(AJ4=0,"",(AJ9/AJ4)-1)))</f>
        <v/>
      </c>
      <c r="AN9" t="str">
        <f>IF(OR(AL9="",AM9=""),"",IF(AND(AL9&gt;0,AM9&gt;0),"Bull",IF(AND(AL9&lt;0,AM9&lt;0),"Bear","Mixed")))</f>
        <v/>
      </c>
      <c r="AO9" t="str">
        <f>IF(OR(AH9="",AN9=""),"",IF(AND(AH9="Bull",AN9="Bull"),"YES","NO"))</f>
        <v/>
      </c>
      <c r="AP9" t="str">
        <f>IF(OR(AH9="",AN9=""),"",IF(AND(AH9="Bear",AN9="Bear"),"YES","NO"))</f>
        <v/>
      </c>
      <c r="AQ9" t="str">
        <f>IF(AO9="YES",IF(SUM(N(X9),N(Y9),N(Z9))&gt;0,"SOXL","TQQQ"),IF(AP9="YES",IF(SUM(N(AA9),N(AB9),N(AC9))&gt;0,"SOXS","SQQQ"),"WAIT"))</f>
        <v>WAIT</v>
      </c>
      <c r="AR9" s="23" t="str">
        <f>IF(AO9="YES",IF(SUM(N(X9),N(Y9),N(Z9))&gt;0,"TQQQ","SOXL"),IF(AP9="YES",IF(SUM(N(AA9),N(AB9),N(AC9))&gt;0,"SQQQ","SOXS"),""))</f>
        <v/>
      </c>
      <c r="AS9" s="23" t="str">
        <f>IF(AQ9="WAIT","",IF(AR9="",1,0.6))</f>
        <v/>
      </c>
      <c r="AT9" s="23">
        <f>IF(AR9="",0,0.4)</f>
        <v>0</v>
      </c>
      <c r="AU9" s="23" t="str">
        <f>IF(AQ9="WAIT","WAIT",IF(AO9="YES","BULL",IF(AP9="YES","BEAR","WAIT")))</f>
        <v>WAIT</v>
      </c>
      <c r="AV9" t="str">
        <f>IF(AQ9="WAIT","Low",IF(OR(AND(AU9="BULL",ABS(SUM(N(X9),N(Y9),N(Z9)))&gt;=0.15),AND(AU9="BEAR",ABS(SUM(N(AA9),N(AB9),N(AC9)))&gt;=0.15)),"Strong",IF(OR(AND(AU9="BULL",ABS(SUM(N(X9),N(Y9),N(Z9)))&gt;=0.05),AND(AU9="BEAR",ABS(SUM(N(AA9),N(AB9),N(AC9)))&gt;=0.05)),"Moderate","Low")))</f>
        <v>Low</v>
      </c>
      <c r="AW9" t="str">
        <f>IF(AQ9="WAIT","QQQ and SMH not aligned",IF(AU9="BULL",IF(AQ9="SOXL","Bull regime; semiconductors leading","Bull regime; tech leading"),IF(AQ9="SOXS","Bear regime; semiconductors weakest","Bear regime; tech weakest")))</f>
        <v>QQQ and SMH not aligned</v>
      </c>
      <c r="AX9" t="str">
        <f>IF(AR9="WAIT","QQQ and SMH not aligned",IF(AV9="BULL",IF(AR9="SOXL","Bull regime; semiconductors leading","Bull regime; tech leading"),IF(AR9="SOXS","Bear regime; semiconductors weakest","Bear regime; tech weakest")))</f>
        <v>Bear regime; tech weakest</v>
      </c>
    </row>
    <row r="10" spans="1:50" x14ac:dyDescent="0.2">
      <c r="A10" s="12"/>
      <c r="B10" s="13"/>
      <c r="C10" s="13"/>
      <c r="D10" s="13"/>
      <c r="E10" s="13"/>
      <c r="F10" s="11" t="str">
        <f>IF(OR(E10="",E9=""),"",IF(E9=0,"",(E10/E9)-1))</f>
        <v/>
      </c>
      <c r="G10" s="13"/>
      <c r="H10" s="11" t="str">
        <f>IF(OR(G10="",G9=""),"",IF(G9=0,"",(G10/G9)-1))</f>
        <v/>
      </c>
      <c r="I10" s="13"/>
      <c r="J10" s="13"/>
      <c r="K10" s="13"/>
      <c r="L10" s="13"/>
      <c r="M10" s="23" t="str">
        <f>IF(OR(L10="",L9=""),"",IF(L9=0,"",(L10/L9)-1))</f>
        <v/>
      </c>
      <c r="N10" s="26" t="str">
        <f>IFERROR((M10/M9)-1,"")</f>
        <v/>
      </c>
      <c r="O10" s="23" t="str">
        <f>IF(OR(N10="",N9=""),"",IF(N9=0,"",(N10/N9)-1))</f>
        <v/>
      </c>
      <c r="P10" s="11" t="str">
        <f>IF(ROW()&lt;7,"",IF(OR(E10="",E7=""),"",IF(E7=0,"",(E10/E7)-1)))</f>
        <v/>
      </c>
      <c r="Q10" s="23" t="str">
        <f>IF(ROW()&lt;9,"",IF(OR(E10="",E5=""),"",IF(E5=0,"",(E10/E5)-1)))</f>
        <v/>
      </c>
      <c r="R10" s="23" t="str">
        <f>IF(ROW()&lt;7,"",IF(OR(G10="",G7=""),"",IF(G7=0,"",(G10/G7)-1)))</f>
        <v/>
      </c>
      <c r="S10" s="23" t="str">
        <f>IF(ROW()&lt;9,"",IF(OR(G10="",G5=""),"",IF(G5=0,"",(G10/G5)-1)))</f>
        <v/>
      </c>
      <c r="T10" s="23" t="str">
        <f>IF(ROW()&lt;7,"",IF(OR(L10="",L7=""),"",IF(L7=0,"",(L10/L7)-1)))</f>
        <v/>
      </c>
      <c r="U10" s="23" t="str">
        <f>IF(ROW()&lt;9,"",IF(OR(L10="",L5=""),"",IF(L5=0,"",(L10/L5)-1)))</f>
        <v/>
      </c>
      <c r="V10" s="23" t="str">
        <f>IF(ROW()&lt;7,"",IF(OR(N10="",N7=""),"",IF(N7=0,"",(N10/N7)-1)))</f>
        <v/>
      </c>
      <c r="W10" s="23" t="str">
        <f>IF(ROW()&lt;9,"",IF(OR(N10="",N5=""),"",IF(N5=0,"",(N10/N5)-1)))</f>
        <v/>
      </c>
      <c r="X10" s="23" t="str">
        <f>IF(OR(F10="",M10=""),"",F10-M10)</f>
        <v/>
      </c>
      <c r="Y10" s="23" t="str">
        <f>IF(OR(P10="",T10=""),"",P10-T10)</f>
        <v/>
      </c>
      <c r="Z10" s="23" t="str">
        <f>IF(OR(Q10="",U10=""),"",Q10-U10)</f>
        <v/>
      </c>
      <c r="AA10" s="23" t="str">
        <f>IF(OR(H10="",O10=""),"",H10-O10)</f>
        <v/>
      </c>
      <c r="AB10" s="23" t="str">
        <f>IF(OR(R10="",V10=""),"",R10-V10)</f>
        <v/>
      </c>
      <c r="AC10" s="23" t="str">
        <f>IF(OR(S10="",W10=""),"",S10-W10)</f>
        <v/>
      </c>
      <c r="AD10" s="13"/>
      <c r="AE10" s="23" t="str">
        <f>IF(OR(AD10="",AD9=""),"",IF(AD9=0,"",(AD10/AD9)-1))</f>
        <v/>
      </c>
      <c r="AF10" s="23" t="str">
        <f>IF(ROW()&lt;7,"",IF(OR(AD10="",AD7=""),"",IF(AD7=0,"",(AD10/AD7)-1)))</f>
        <v/>
      </c>
      <c r="AG10" s="23" t="str">
        <f>IF(ROW()&lt;9,"",IF(OR(AD10="",AD5=""),"",IF(AD5=0,"",(AD10/AD5)-1)))</f>
        <v/>
      </c>
      <c r="AH10" s="23" t="str">
        <f>IF(OR(AF10="",AG10=""),"",IF(AND(AF10&gt;0,AG10&gt;0),"Bull",IF(AND(AF10&lt;0,AG10&lt;0),"Bear","Mixed")))</f>
        <v/>
      </c>
      <c r="AI10" s="13"/>
      <c r="AJ10" s="13" t="str">
        <f>IF(OR(AI10="",AI9=""),"",IF(AI9=0,"",(AI10/AI9)-1))</f>
        <v/>
      </c>
      <c r="AK10" s="23" t="str">
        <f>IF(OR(AJ10="",AJ9=""),"",IF(AJ9=0,"",(AJ10/AJ9)-1))</f>
        <v/>
      </c>
      <c r="AL10" s="23" t="str">
        <f>IF(ROW()&lt;7,"",IF(OR(AJ10="",AJ7=""),"",IF(AJ7=0,"",(AJ10/AJ7)-1)))</f>
        <v/>
      </c>
      <c r="AM10" s="23" t="str">
        <f>IF(ROW()&lt;9,"",IF(OR(AJ10="",AJ5=""),"",IF(AJ5=0,"",(AJ10/AJ5)-1)))</f>
        <v/>
      </c>
      <c r="AN10" t="str">
        <f>IF(OR(AL10="",AM10=""),"",IF(AND(AL10&gt;0,AM10&gt;0),"Bull",IF(AND(AL10&lt;0,AM10&lt;0),"Bear","Mixed")))</f>
        <v/>
      </c>
      <c r="AO10" t="str">
        <f>IF(OR(AH10="",AN10=""),"",IF(AND(AH10="Bull",AN10="Bull"),"YES","NO"))</f>
        <v/>
      </c>
      <c r="AP10" t="str">
        <f>IF(OR(AH10="",AN10=""),"",IF(AND(AH10="Bear",AN10="Bear"),"YES","NO"))</f>
        <v/>
      </c>
      <c r="AQ10" t="str">
        <f>IF(AO10="YES",IF(SUM(N(X10),N(Y10),N(Z10))&gt;0,"SOXL","TQQQ"),IF(AP10="YES",IF(SUM(N(AA10),N(AB10),N(AC10))&gt;0,"SOXS","SQQQ"),"WAIT"))</f>
        <v>WAIT</v>
      </c>
      <c r="AR10" s="23" t="str">
        <f>IF(AO10="YES",IF(SUM(N(X10),N(Y10),N(Z10))&gt;0,"TQQQ","SOXL"),IF(AP10="YES",IF(SUM(N(AA10),N(AB10),N(AC10))&gt;0,"SQQQ","SOXS"),""))</f>
        <v/>
      </c>
      <c r="AS10" s="23" t="str">
        <f>IF(AQ10="WAIT","",IF(AR10="",1,0.6))</f>
        <v/>
      </c>
      <c r="AT10" s="23">
        <f>IF(AR10="",0,0.4)</f>
        <v>0</v>
      </c>
      <c r="AU10" s="23" t="str">
        <f>IF(AQ10="WAIT","WAIT",IF(AO10="YES","BULL",IF(AP10="YES","BEAR","WAIT")))</f>
        <v>WAIT</v>
      </c>
      <c r="AV10" t="str">
        <f>IF(AQ10="WAIT","Low",IF(OR(AND(AU10="BULL",ABS(SUM(N(X10),N(Y10),N(Z10)))&gt;=0.15),AND(AU10="BEAR",ABS(SUM(N(AA10),N(AB10),N(AC10)))&gt;=0.15)),"Strong",IF(OR(AND(AU10="BULL",ABS(SUM(N(X10),N(Y10),N(Z10)))&gt;=0.05),AND(AU10="BEAR",ABS(SUM(N(AA10),N(AB10),N(AC10)))&gt;=0.05)),"Moderate","Low")))</f>
        <v>Low</v>
      </c>
      <c r="AW10" t="str">
        <f>IF(AQ10="WAIT","QQQ and SMH not aligned",IF(AU10="BULL",IF(AQ10="SOXL","Bull regime; semiconductors leading","Bull regime; tech leading"),IF(AQ10="SOXS","Bear regime; semiconductors weakest","Bear regime; tech weakest")))</f>
        <v>QQQ and SMH not aligned</v>
      </c>
      <c r="AX10" t="str">
        <f>IF(AR10="WAIT","QQQ and SMH not aligned",IF(AV10="BULL",IF(AR10="SOXL","Bull regime; semiconductors leading","Bull regime; tech leading"),IF(AR10="SOXS","Bear regime; semiconductors weakest","Bear regime; tech weakest")))</f>
        <v>Bear regime; tech weakest</v>
      </c>
    </row>
    <row r="11" spans="1:50" x14ac:dyDescent="0.2">
      <c r="A11" s="12"/>
      <c r="B11" s="13"/>
      <c r="C11" s="13"/>
      <c r="D11" s="13"/>
      <c r="E11" s="13"/>
      <c r="F11" s="11" t="str">
        <f>IF(OR(E11="",E10=""),"",IF(E10=0,"",(E11/E10)-1))</f>
        <v/>
      </c>
      <c r="G11" s="13"/>
      <c r="H11" s="11" t="str">
        <f>IF(OR(G11="",G10=""),"",IF(G10=0,"",(G11/G10)-1))</f>
        <v/>
      </c>
      <c r="I11" s="13"/>
      <c r="J11" s="13"/>
      <c r="K11" s="13"/>
      <c r="L11" s="13"/>
      <c r="M11" s="23" t="str">
        <f>IF(OR(L11="",L10=""),"",IF(L10=0,"",(L11/L10)-1))</f>
        <v/>
      </c>
      <c r="N11" s="26" t="str">
        <f>IFERROR((M11/M10)-1,"")</f>
        <v/>
      </c>
      <c r="O11" s="23" t="str">
        <f>IF(OR(N11="",N10=""),"",IF(N10=0,"",(N11/N10)-1))</f>
        <v/>
      </c>
      <c r="P11" s="11" t="str">
        <f>IF(ROW()&lt;7,"",IF(OR(E11="",E8=""),"",IF(E8=0,"",(E11/E8)-1)))</f>
        <v/>
      </c>
      <c r="Q11" s="23" t="str">
        <f>IF(ROW()&lt;9,"",IF(OR(E11="",E6=""),"",IF(E6=0,"",(E11/E6)-1)))</f>
        <v/>
      </c>
      <c r="R11" s="23" t="str">
        <f>IF(ROW()&lt;7,"",IF(OR(G11="",G8=""),"",IF(G8=0,"",(G11/G8)-1)))</f>
        <v/>
      </c>
      <c r="S11" s="23" t="str">
        <f>IF(ROW()&lt;9,"",IF(OR(G11="",G6=""),"",IF(G6=0,"",(G11/G6)-1)))</f>
        <v/>
      </c>
      <c r="T11" s="23" t="str">
        <f>IF(ROW()&lt;7,"",IF(OR(L11="",L8=""),"",IF(L8=0,"",(L11/L8)-1)))</f>
        <v/>
      </c>
      <c r="U11" s="23" t="str">
        <f>IF(ROW()&lt;9,"",IF(OR(L11="",L6=""),"",IF(L6=0,"",(L11/L6)-1)))</f>
        <v/>
      </c>
      <c r="V11" s="23" t="str">
        <f>IF(ROW()&lt;7,"",IF(OR(N11="",N8=""),"",IF(N8=0,"",(N11/N8)-1)))</f>
        <v/>
      </c>
      <c r="W11" s="23" t="str">
        <f>IF(ROW()&lt;9,"",IF(OR(N11="",N6=""),"",IF(N6=0,"",(N11/N6)-1)))</f>
        <v/>
      </c>
      <c r="X11" s="23" t="str">
        <f>IF(OR(F11="",M11=""),"",F11-M11)</f>
        <v/>
      </c>
      <c r="Y11" s="23" t="str">
        <f>IF(OR(P11="",T11=""),"",P11-T11)</f>
        <v/>
      </c>
      <c r="Z11" s="23" t="str">
        <f>IF(OR(Q11="",U11=""),"",Q11-U11)</f>
        <v/>
      </c>
      <c r="AA11" s="23" t="str">
        <f>IF(OR(H11="",O11=""),"",H11-O11)</f>
        <v/>
      </c>
      <c r="AB11" s="23" t="str">
        <f>IF(OR(R11="",V11=""),"",R11-V11)</f>
        <v/>
      </c>
      <c r="AC11" s="23" t="str">
        <f>IF(OR(S11="",W11=""),"",S11-W11)</f>
        <v/>
      </c>
      <c r="AD11" s="13"/>
      <c r="AE11" s="23" t="str">
        <f>IF(OR(AD11="",AD10=""),"",IF(AD10=0,"",(AD11/AD10)-1))</f>
        <v/>
      </c>
      <c r="AF11" s="23" t="str">
        <f>IF(ROW()&lt;7,"",IF(OR(AD11="",AD8=""),"",IF(AD8=0,"",(AD11/AD8)-1)))</f>
        <v/>
      </c>
      <c r="AG11" s="23" t="str">
        <f>IF(ROW()&lt;9,"",IF(OR(AD11="",AD6=""),"",IF(AD6=0,"",(AD11/AD6)-1)))</f>
        <v/>
      </c>
      <c r="AH11" s="23" t="str">
        <f>IF(OR(AF11="",AG11=""),"",IF(AND(AF11&gt;0,AG11&gt;0),"Bull",IF(AND(AF11&lt;0,AG11&lt;0),"Bear","Mixed")))</f>
        <v/>
      </c>
      <c r="AI11" s="13"/>
      <c r="AJ11" s="13" t="str">
        <f>IF(OR(AI11="",AI10=""),"",IF(AI10=0,"",(AI11/AI10)-1))</f>
        <v/>
      </c>
      <c r="AK11" s="23" t="str">
        <f>IF(OR(AJ11="",AJ10=""),"",IF(AJ10=0,"",(AJ11/AJ10)-1))</f>
        <v/>
      </c>
      <c r="AL11" s="23" t="str">
        <f>IF(ROW()&lt;7,"",IF(OR(AJ11="",AJ8=""),"",IF(AJ8=0,"",(AJ11/AJ8)-1)))</f>
        <v/>
      </c>
      <c r="AM11" s="23" t="str">
        <f>IF(ROW()&lt;9,"",IF(OR(AJ11="",AJ6=""),"",IF(AJ6=0,"",(AJ11/AJ6)-1)))</f>
        <v/>
      </c>
      <c r="AN11" t="str">
        <f>IF(OR(AL11="",AM11=""),"",IF(AND(AL11&gt;0,AM11&gt;0),"Bull",IF(AND(AL11&lt;0,AM11&lt;0),"Bear","Mixed")))</f>
        <v/>
      </c>
      <c r="AO11" t="str">
        <f>IF(OR(AH11="",AN11=""),"",IF(AND(AH11="Bull",AN11="Bull"),"YES","NO"))</f>
        <v/>
      </c>
      <c r="AP11" t="str">
        <f>IF(OR(AH11="",AN11=""),"",IF(AND(AH11="Bear",AN11="Bear"),"YES","NO"))</f>
        <v/>
      </c>
      <c r="AQ11" t="str">
        <f>IF(AO11="YES",IF(SUM(N(X11),N(Y11),N(Z11))&gt;0,"SOXL","TQQQ"),IF(AP11="YES",IF(SUM(N(AA11),N(AB11),N(AC11))&gt;0,"SOXS","SQQQ"),"WAIT"))</f>
        <v>WAIT</v>
      </c>
      <c r="AR11" s="23" t="str">
        <f>IF(AO11="YES",IF(SUM(N(X11),N(Y11),N(Z11))&gt;0,"TQQQ","SOXL"),IF(AP11="YES",IF(SUM(N(AA11),N(AB11),N(AC11))&gt;0,"SQQQ","SOXS"),""))</f>
        <v/>
      </c>
      <c r="AS11" s="23" t="str">
        <f>IF(AQ11="WAIT","",IF(AR11="",1,0.6))</f>
        <v/>
      </c>
      <c r="AT11" s="23">
        <f>IF(AR11="",0,0.4)</f>
        <v>0</v>
      </c>
      <c r="AU11" s="23" t="str">
        <f>IF(AQ11="WAIT","WAIT",IF(AO11="YES","BULL",IF(AP11="YES","BEAR","WAIT")))</f>
        <v>WAIT</v>
      </c>
      <c r="AV11" t="str">
        <f>IF(AQ11="WAIT","Low",IF(OR(AND(AU11="BULL",ABS(SUM(N(X11),N(Y11),N(Z11)))&gt;=0.15),AND(AU11="BEAR",ABS(SUM(N(AA11),N(AB11),N(AC11)))&gt;=0.15)),"Strong",IF(OR(AND(AU11="BULL",ABS(SUM(N(X11),N(Y11),N(Z11)))&gt;=0.05),AND(AU11="BEAR",ABS(SUM(N(AA11),N(AB11),N(AC11)))&gt;=0.05)),"Moderate","Low")))</f>
        <v>Low</v>
      </c>
      <c r="AW11" t="str">
        <f>IF(AQ11="WAIT","QQQ and SMH not aligned",IF(AU11="BULL",IF(AQ11="SOXL","Bull regime; semiconductors leading","Bull regime; tech leading"),IF(AQ11="SOXS","Bear regime; semiconductors weakest","Bear regime; tech weakest")))</f>
        <v>QQQ and SMH not aligned</v>
      </c>
      <c r="AX11" t="str">
        <f>IF(AR11="WAIT","QQQ and SMH not aligned",IF(AV11="BULL",IF(AR11="SOXL","Bull regime; semiconductors leading","Bull regime; tech leading"),IF(AR11="SOXS","Bear regime; semiconductors weakest","Bear regime; tech weakest")))</f>
        <v>Bear regime; tech weakest</v>
      </c>
    </row>
    <row r="12" spans="1:50" x14ac:dyDescent="0.2">
      <c r="A12" s="12"/>
      <c r="B12" s="13"/>
      <c r="C12" s="13"/>
      <c r="D12" s="13"/>
      <c r="E12" s="13"/>
      <c r="F12" s="11" t="str">
        <f>IF(OR(E12="",E11=""),"",IF(E11=0,"",(E12/E11)-1))</f>
        <v/>
      </c>
      <c r="G12" s="13"/>
      <c r="H12" s="11" t="str">
        <f>IF(OR(G12="",G11=""),"",IF(G11=0,"",(G12/G11)-1))</f>
        <v/>
      </c>
      <c r="I12" s="13"/>
      <c r="J12" s="13"/>
      <c r="K12" s="13"/>
      <c r="L12" s="13"/>
      <c r="M12" s="23" t="str">
        <f>IF(OR(L12="",L11=""),"",IF(L11=0,"",(L12/L11)-1))</f>
        <v/>
      </c>
      <c r="N12" s="26" t="str">
        <f>IFERROR((M12/M11)-1,"")</f>
        <v/>
      </c>
      <c r="O12" s="23" t="str">
        <f>IF(OR(N12="",N11=""),"",IF(N11=0,"",(N12/N11)-1))</f>
        <v/>
      </c>
      <c r="P12" s="11" t="str">
        <f>IF(ROW()&lt;7,"",IF(OR(E12="",E9=""),"",IF(E9=0,"",(E12/E9)-1)))</f>
        <v/>
      </c>
      <c r="Q12" s="23" t="str">
        <f>IF(ROW()&lt;9,"",IF(OR(E12="",E7=""),"",IF(E7=0,"",(E12/E7)-1)))</f>
        <v/>
      </c>
      <c r="R12" s="23" t="str">
        <f>IF(ROW()&lt;7,"",IF(OR(G12="",G9=""),"",IF(G9=0,"",(G12/G9)-1)))</f>
        <v/>
      </c>
      <c r="S12" s="23" t="str">
        <f>IF(ROW()&lt;9,"",IF(OR(G12="",G7=""),"",IF(G7=0,"",(G12/G7)-1)))</f>
        <v/>
      </c>
      <c r="T12" s="23" t="str">
        <f>IF(ROW()&lt;7,"",IF(OR(L12="",L9=""),"",IF(L9=0,"",(L12/L9)-1)))</f>
        <v/>
      </c>
      <c r="U12" s="23" t="str">
        <f>IF(ROW()&lt;9,"",IF(OR(L12="",L7=""),"",IF(L7=0,"",(L12/L7)-1)))</f>
        <v/>
      </c>
      <c r="V12" s="23" t="str">
        <f>IF(ROW()&lt;7,"",IF(OR(N12="",N9=""),"",IF(N9=0,"",(N12/N9)-1)))</f>
        <v/>
      </c>
      <c r="W12" s="23" t="str">
        <f>IF(ROW()&lt;9,"",IF(OR(N12="",N7=""),"",IF(N7=0,"",(N12/N7)-1)))</f>
        <v/>
      </c>
      <c r="X12" s="23" t="str">
        <f>IF(OR(F12="",M12=""),"",F12-M12)</f>
        <v/>
      </c>
      <c r="Y12" s="23" t="str">
        <f>IF(OR(P12="",T12=""),"",P12-T12)</f>
        <v/>
      </c>
      <c r="Z12" s="23" t="str">
        <f>IF(OR(Q12="",U12=""),"",Q12-U12)</f>
        <v/>
      </c>
      <c r="AA12" s="23" t="str">
        <f>IF(OR(H12="",O12=""),"",H12-O12)</f>
        <v/>
      </c>
      <c r="AB12" s="23" t="str">
        <f>IF(OR(R12="",V12=""),"",R12-V12)</f>
        <v/>
      </c>
      <c r="AC12" s="23" t="str">
        <f>IF(OR(S12="",W12=""),"",S12-W12)</f>
        <v/>
      </c>
      <c r="AD12" s="13"/>
      <c r="AE12" s="23" t="str">
        <f>IF(OR(AD12="",AD11=""),"",IF(AD11=0,"",(AD12/AD11)-1))</f>
        <v/>
      </c>
      <c r="AF12" s="23" t="str">
        <f>IF(ROW()&lt;7,"",IF(OR(AD12="",AD9=""),"",IF(AD9=0,"",(AD12/AD9)-1)))</f>
        <v/>
      </c>
      <c r="AG12" s="23" t="str">
        <f>IF(ROW()&lt;9,"",IF(OR(AD12="",AD7=""),"",IF(AD7=0,"",(AD12/AD7)-1)))</f>
        <v/>
      </c>
      <c r="AH12" s="23" t="str">
        <f>IF(OR(AF12="",AG12=""),"",IF(AND(AF12&gt;0,AG12&gt;0),"Bull",IF(AND(AF12&lt;0,AG12&lt;0),"Bear","Mixed")))</f>
        <v/>
      </c>
      <c r="AI12" s="13"/>
      <c r="AJ12" s="13" t="str">
        <f>IF(OR(AI12="",AI11=""),"",IF(AI11=0,"",(AI12/AI11)-1))</f>
        <v/>
      </c>
      <c r="AK12" s="23" t="str">
        <f>IF(OR(AJ12="",AJ11=""),"",IF(AJ11=0,"",(AJ12/AJ11)-1))</f>
        <v/>
      </c>
      <c r="AL12" s="23" t="str">
        <f>IF(ROW()&lt;7,"",IF(OR(AJ12="",AJ9=""),"",IF(AJ9=0,"",(AJ12/AJ9)-1)))</f>
        <v/>
      </c>
      <c r="AM12" s="23" t="str">
        <f>IF(ROW()&lt;9,"",IF(OR(AJ12="",AJ7=""),"",IF(AJ7=0,"",(AJ12/AJ7)-1)))</f>
        <v/>
      </c>
      <c r="AN12" t="str">
        <f>IF(OR(AL12="",AM12=""),"",IF(AND(AL12&gt;0,AM12&gt;0),"Bull",IF(AND(AL12&lt;0,AM12&lt;0),"Bear","Mixed")))</f>
        <v/>
      </c>
      <c r="AO12" t="str">
        <f>IF(OR(AH12="",AN12=""),"",IF(AND(AH12="Bull",AN12="Bull"),"YES","NO"))</f>
        <v/>
      </c>
      <c r="AP12" t="str">
        <f>IF(OR(AH12="",AN12=""),"",IF(AND(AH12="Bear",AN12="Bear"),"YES","NO"))</f>
        <v/>
      </c>
      <c r="AQ12" t="str">
        <f>IF(AO12="YES",IF(SUM(N(X12),N(Y12),N(Z12))&gt;0,"SOXL","TQQQ"),IF(AP12="YES",IF(SUM(N(AA12),N(AB12),N(AC12))&gt;0,"SOXS","SQQQ"),"WAIT"))</f>
        <v>WAIT</v>
      </c>
      <c r="AR12" s="23" t="str">
        <f>IF(AO12="YES",IF(SUM(N(X12),N(Y12),N(Z12))&gt;0,"TQQQ","SOXL"),IF(AP12="YES",IF(SUM(N(AA12),N(AB12),N(AC12))&gt;0,"SQQQ","SOXS"),""))</f>
        <v/>
      </c>
      <c r="AS12" s="23" t="str">
        <f>IF(AQ12="WAIT","",IF(AR12="",1,0.6))</f>
        <v/>
      </c>
      <c r="AT12" s="23">
        <f>IF(AR12="",0,0.4)</f>
        <v>0</v>
      </c>
      <c r="AU12" s="23" t="str">
        <f>IF(AQ12="WAIT","WAIT",IF(AO12="YES","BULL",IF(AP12="YES","BEAR","WAIT")))</f>
        <v>WAIT</v>
      </c>
      <c r="AV12" t="str">
        <f>IF(AQ12="WAIT","Low",IF(OR(AND(AU12="BULL",ABS(SUM(N(X12),N(Y12),N(Z12)))&gt;=0.15),AND(AU12="BEAR",ABS(SUM(N(AA12),N(AB12),N(AC12)))&gt;=0.15)),"Strong",IF(OR(AND(AU12="BULL",ABS(SUM(N(X12),N(Y12),N(Z12)))&gt;=0.05),AND(AU12="BEAR",ABS(SUM(N(AA12),N(AB12),N(AC12)))&gt;=0.05)),"Moderate","Low")))</f>
        <v>Low</v>
      </c>
      <c r="AW12" t="str">
        <f>IF(AQ12="WAIT","QQQ and SMH not aligned",IF(AU12="BULL",IF(AQ12="SOXL","Bull regime; semiconductors leading","Bull regime; tech leading"),IF(AQ12="SOXS","Bear regime; semiconductors weakest","Bear regime; tech weakest")))</f>
        <v>QQQ and SMH not aligned</v>
      </c>
      <c r="AX12" t="str">
        <f>IF(AR12="WAIT","QQQ and SMH not aligned",IF(AV12="BULL",IF(AR12="SOXL","Bull regime; semiconductors leading","Bull regime; tech leading"),IF(AR12="SOXS","Bear regime; semiconductors weakest","Bear regime; tech weakest")))</f>
        <v>Bear regime; tech weakest</v>
      </c>
    </row>
    <row r="13" spans="1:50" x14ac:dyDescent="0.2">
      <c r="A13" s="12"/>
      <c r="B13" s="13"/>
      <c r="C13" s="13"/>
      <c r="D13" s="13"/>
      <c r="E13" s="13"/>
      <c r="F13" s="11" t="str">
        <f>IF(OR(E13="",E12=""),"",IF(E12=0,"",(E13/E12)-1))</f>
        <v/>
      </c>
      <c r="G13" s="13"/>
      <c r="H13" s="11" t="str">
        <f>IF(OR(G13="",G12=""),"",IF(G12=0,"",(G13/G12)-1))</f>
        <v/>
      </c>
      <c r="I13" s="13"/>
      <c r="J13" s="13"/>
      <c r="K13" s="13"/>
      <c r="L13" s="13"/>
      <c r="M13" s="23" t="str">
        <f>IF(OR(L13="",L12=""),"",IF(L12=0,"",(L13/L12)-1))</f>
        <v/>
      </c>
      <c r="N13" s="26" t="str">
        <f>IFERROR((M13/M12)-1,"")</f>
        <v/>
      </c>
      <c r="O13" s="23" t="str">
        <f>IF(OR(N13="",N12=""),"",IF(N12=0,"",(N13/N12)-1))</f>
        <v/>
      </c>
      <c r="P13" s="11" t="str">
        <f>IF(ROW()&lt;7,"",IF(OR(E13="",E10=""),"",IF(E10=0,"",(E13/E10)-1)))</f>
        <v/>
      </c>
      <c r="Q13" s="23" t="str">
        <f>IF(ROW()&lt;9,"",IF(OR(E13="",E8=""),"",IF(E8=0,"",(E13/E8)-1)))</f>
        <v/>
      </c>
      <c r="R13" s="23" t="str">
        <f>IF(ROW()&lt;7,"",IF(OR(G13="",G10=""),"",IF(G10=0,"",(G13/G10)-1)))</f>
        <v/>
      </c>
      <c r="S13" s="23" t="str">
        <f>IF(ROW()&lt;9,"",IF(OR(G13="",G8=""),"",IF(G8=0,"",(G13/G8)-1)))</f>
        <v/>
      </c>
      <c r="T13" s="23" t="str">
        <f>IF(ROW()&lt;7,"",IF(OR(L13="",L10=""),"",IF(L10=0,"",(L13/L10)-1)))</f>
        <v/>
      </c>
      <c r="U13" s="23" t="str">
        <f>IF(ROW()&lt;9,"",IF(OR(L13="",L8=""),"",IF(L8=0,"",(L13/L8)-1)))</f>
        <v/>
      </c>
      <c r="V13" s="23" t="str">
        <f>IF(ROW()&lt;7,"",IF(OR(N13="",N10=""),"",IF(N10=0,"",(N13/N10)-1)))</f>
        <v/>
      </c>
      <c r="W13" s="23" t="str">
        <f>IF(ROW()&lt;9,"",IF(OR(N13="",N8=""),"",IF(N8=0,"",(N13/N8)-1)))</f>
        <v/>
      </c>
      <c r="X13" s="23" t="str">
        <f>IF(OR(F13="",M13=""),"",F13-M13)</f>
        <v/>
      </c>
      <c r="Y13" s="23" t="str">
        <f>IF(OR(P13="",T13=""),"",P13-T13)</f>
        <v/>
      </c>
      <c r="Z13" s="23" t="str">
        <f>IF(OR(Q13="",U13=""),"",Q13-U13)</f>
        <v/>
      </c>
      <c r="AA13" s="23" t="str">
        <f>IF(OR(H13="",O13=""),"",H13-O13)</f>
        <v/>
      </c>
      <c r="AB13" s="23" t="str">
        <f>IF(OR(R13="",V13=""),"",R13-V13)</f>
        <v/>
      </c>
      <c r="AC13" s="23" t="str">
        <f>IF(OR(S13="",W13=""),"",S13-W13)</f>
        <v/>
      </c>
      <c r="AD13" s="13"/>
      <c r="AE13" s="23" t="str">
        <f>IF(OR(AD13="",AD12=""),"",IF(AD12=0,"",(AD13/AD12)-1))</f>
        <v/>
      </c>
      <c r="AF13" s="23" t="str">
        <f>IF(ROW()&lt;7,"",IF(OR(AD13="",AD10=""),"",IF(AD10=0,"",(AD13/AD10)-1)))</f>
        <v/>
      </c>
      <c r="AG13" s="23" t="str">
        <f>IF(ROW()&lt;9,"",IF(OR(AD13="",AD8=""),"",IF(AD8=0,"",(AD13/AD8)-1)))</f>
        <v/>
      </c>
      <c r="AH13" s="23" t="str">
        <f>IF(OR(AF13="",AG13=""),"",IF(AND(AF13&gt;0,AG13&gt;0),"Bull",IF(AND(AF13&lt;0,AG13&lt;0),"Bear","Mixed")))</f>
        <v/>
      </c>
      <c r="AI13" s="13"/>
      <c r="AJ13" s="13" t="str">
        <f>IF(OR(AI13="",AI12=""),"",IF(AI12=0,"",(AI13/AI12)-1))</f>
        <v/>
      </c>
      <c r="AK13" s="23" t="str">
        <f>IF(OR(AJ13="",AJ12=""),"",IF(AJ12=0,"",(AJ13/AJ12)-1))</f>
        <v/>
      </c>
      <c r="AL13" s="23" t="str">
        <f>IF(ROW()&lt;7,"",IF(OR(AJ13="",AJ10=""),"",IF(AJ10=0,"",(AJ13/AJ10)-1)))</f>
        <v/>
      </c>
      <c r="AM13" s="23" t="str">
        <f>IF(ROW()&lt;9,"",IF(OR(AJ13="",AJ8=""),"",IF(AJ8=0,"",(AJ13/AJ8)-1)))</f>
        <v/>
      </c>
      <c r="AN13" t="str">
        <f>IF(OR(AL13="",AM13=""),"",IF(AND(AL13&gt;0,AM13&gt;0),"Bull",IF(AND(AL13&lt;0,AM13&lt;0),"Bear","Mixed")))</f>
        <v/>
      </c>
      <c r="AO13" t="str">
        <f>IF(OR(AH13="",AN13=""),"",IF(AND(AH13="Bull",AN13="Bull"),"YES","NO"))</f>
        <v/>
      </c>
      <c r="AP13" t="str">
        <f>IF(OR(AH13="",AN13=""),"",IF(AND(AH13="Bear",AN13="Bear"),"YES","NO"))</f>
        <v/>
      </c>
      <c r="AQ13" t="str">
        <f>IF(AO13="YES",IF(SUM(N(X13),N(Y13),N(Z13))&gt;0,"SOXL","TQQQ"),IF(AP13="YES",IF(SUM(N(AA13),N(AB13),N(AC13))&gt;0,"SOXS","SQQQ"),"WAIT"))</f>
        <v>WAIT</v>
      </c>
      <c r="AR13" s="23" t="str">
        <f>IF(AO13="YES",IF(SUM(N(X13),N(Y13),N(Z13))&gt;0,"TQQQ","SOXL"),IF(AP13="YES",IF(SUM(N(AA13),N(AB13),N(AC13))&gt;0,"SQQQ","SOXS"),""))</f>
        <v/>
      </c>
      <c r="AS13" s="23" t="str">
        <f>IF(AQ13="WAIT","",IF(AR13="",1,0.6))</f>
        <v/>
      </c>
      <c r="AT13" s="23">
        <f>IF(AR13="",0,0.4)</f>
        <v>0</v>
      </c>
      <c r="AU13" s="23" t="str">
        <f>IF(AQ13="WAIT","WAIT",IF(AO13="YES","BULL",IF(AP13="YES","BEAR","WAIT")))</f>
        <v>WAIT</v>
      </c>
      <c r="AV13" t="str">
        <f>IF(AQ13="WAIT","Low",IF(OR(AND(AU13="BULL",ABS(SUM(N(X13),N(Y13),N(Z13)))&gt;=0.15),AND(AU13="BEAR",ABS(SUM(N(AA13),N(AB13),N(AC13)))&gt;=0.15)),"Strong",IF(OR(AND(AU13="BULL",ABS(SUM(N(X13),N(Y13),N(Z13)))&gt;=0.05),AND(AU13="BEAR",ABS(SUM(N(AA13),N(AB13),N(AC13)))&gt;=0.05)),"Moderate","Low")))</f>
        <v>Low</v>
      </c>
      <c r="AW13" t="str">
        <f>IF(AQ13="WAIT","QQQ and SMH not aligned",IF(AU13="BULL",IF(AQ13="SOXL","Bull regime; semiconductors leading","Bull regime; tech leading"),IF(AQ13="SOXS","Bear regime; semiconductors weakest","Bear regime; tech weakest")))</f>
        <v>QQQ and SMH not aligned</v>
      </c>
      <c r="AX13" t="str">
        <f>IF(AR13="WAIT","QQQ and SMH not aligned",IF(AV13="BULL",IF(AR13="SOXL","Bull regime; semiconductors leading","Bull regime; tech leading"),IF(AR13="SOXS","Bear regime; semiconductors weakest","Bear regime; tech weakest")))</f>
        <v>Bear regime; tech weakest</v>
      </c>
    </row>
    <row r="14" spans="1:50" x14ac:dyDescent="0.2">
      <c r="A14" s="12"/>
      <c r="B14" s="13"/>
      <c r="C14" s="13"/>
      <c r="D14" s="13"/>
      <c r="E14" s="13"/>
      <c r="F14" s="11" t="str">
        <f>IF(OR(E14="",E13=""),"",IF(E13=0,"",(E14/E13)-1))</f>
        <v/>
      </c>
      <c r="G14" s="13"/>
      <c r="H14" s="11" t="str">
        <f>IF(OR(G14="",G13=""),"",IF(G13=0,"",(G14/G13)-1))</f>
        <v/>
      </c>
      <c r="I14" s="13"/>
      <c r="J14" s="13"/>
      <c r="K14" s="13"/>
      <c r="L14" s="13"/>
      <c r="M14" s="23" t="str">
        <f>IF(OR(L14="",L13=""),"",IF(L13=0,"",(L14/L13)-1))</f>
        <v/>
      </c>
      <c r="N14" s="26" t="str">
        <f>IFERROR((M14/M13)-1,"")</f>
        <v/>
      </c>
      <c r="O14" s="23" t="str">
        <f>IF(OR(N14="",N13=""),"",IF(N13=0,"",(N14/N13)-1))</f>
        <v/>
      </c>
      <c r="P14" s="11" t="str">
        <f>IF(ROW()&lt;7,"",IF(OR(E14="",E11=""),"",IF(E11=0,"",(E14/E11)-1)))</f>
        <v/>
      </c>
      <c r="Q14" s="23" t="str">
        <f>IF(ROW()&lt;9,"",IF(OR(E14="",E9=""),"",IF(E9=0,"",(E14/E9)-1)))</f>
        <v/>
      </c>
      <c r="R14" s="23" t="str">
        <f>IF(ROW()&lt;7,"",IF(OR(G14="",G11=""),"",IF(G11=0,"",(G14/G11)-1)))</f>
        <v/>
      </c>
      <c r="S14" s="23" t="str">
        <f>IF(ROW()&lt;9,"",IF(OR(G14="",G9=""),"",IF(G9=0,"",(G14/G9)-1)))</f>
        <v/>
      </c>
      <c r="T14" s="23" t="str">
        <f>IF(ROW()&lt;7,"",IF(OR(L14="",L11=""),"",IF(L11=0,"",(L14/L11)-1)))</f>
        <v/>
      </c>
      <c r="U14" s="23" t="str">
        <f>IF(ROW()&lt;9,"",IF(OR(L14="",L9=""),"",IF(L9=0,"",(L14/L9)-1)))</f>
        <v/>
      </c>
      <c r="V14" s="23" t="str">
        <f>IF(ROW()&lt;7,"",IF(OR(N14="",N11=""),"",IF(N11=0,"",(N14/N11)-1)))</f>
        <v/>
      </c>
      <c r="W14" s="23" t="str">
        <f>IF(ROW()&lt;9,"",IF(OR(N14="",N9=""),"",IF(N9=0,"",(N14/N9)-1)))</f>
        <v/>
      </c>
      <c r="X14" s="23" t="str">
        <f>IF(OR(F14="",M14=""),"",F14-M14)</f>
        <v/>
      </c>
      <c r="Y14" s="23" t="str">
        <f>IF(OR(P14="",T14=""),"",P14-T14)</f>
        <v/>
      </c>
      <c r="Z14" s="23" t="str">
        <f>IF(OR(Q14="",U14=""),"",Q14-U14)</f>
        <v/>
      </c>
      <c r="AA14" s="23" t="str">
        <f>IF(OR(H14="",O14=""),"",H14-O14)</f>
        <v/>
      </c>
      <c r="AB14" s="23" t="str">
        <f>IF(OR(R14="",V14=""),"",R14-V14)</f>
        <v/>
      </c>
      <c r="AC14" s="23" t="str">
        <f>IF(OR(S14="",W14=""),"",S14-W14)</f>
        <v/>
      </c>
      <c r="AD14" s="13"/>
      <c r="AE14" s="23" t="str">
        <f>IF(OR(AD14="",AD13=""),"",IF(AD13=0,"",(AD14/AD13)-1))</f>
        <v/>
      </c>
      <c r="AF14" s="23" t="str">
        <f>IF(ROW()&lt;7,"",IF(OR(AD14="",AD11=""),"",IF(AD11=0,"",(AD14/AD11)-1)))</f>
        <v/>
      </c>
      <c r="AG14" s="23" t="str">
        <f>IF(ROW()&lt;9,"",IF(OR(AD14="",AD9=""),"",IF(AD9=0,"",(AD14/AD9)-1)))</f>
        <v/>
      </c>
      <c r="AH14" s="23" t="str">
        <f>IF(OR(AF14="",AG14=""),"",IF(AND(AF14&gt;0,AG14&gt;0),"Bull",IF(AND(AF14&lt;0,AG14&lt;0),"Bear","Mixed")))</f>
        <v/>
      </c>
      <c r="AI14" s="13"/>
      <c r="AJ14" s="13" t="str">
        <f>IF(OR(AI14="",AI13=""),"",IF(AI13=0,"",(AI14/AI13)-1))</f>
        <v/>
      </c>
      <c r="AK14" s="23" t="str">
        <f>IF(OR(AJ14="",AJ13=""),"",IF(AJ13=0,"",(AJ14/AJ13)-1))</f>
        <v/>
      </c>
      <c r="AL14" s="23" t="str">
        <f>IF(ROW()&lt;7,"",IF(OR(AJ14="",AJ11=""),"",IF(AJ11=0,"",(AJ14/AJ11)-1)))</f>
        <v/>
      </c>
      <c r="AM14" s="23" t="str">
        <f>IF(ROW()&lt;9,"",IF(OR(AJ14="",AJ9=""),"",IF(AJ9=0,"",(AJ14/AJ9)-1)))</f>
        <v/>
      </c>
      <c r="AN14" t="str">
        <f>IF(OR(AL14="",AM14=""),"",IF(AND(AL14&gt;0,AM14&gt;0),"Bull",IF(AND(AL14&lt;0,AM14&lt;0),"Bear","Mixed")))</f>
        <v/>
      </c>
      <c r="AO14" t="str">
        <f>IF(OR(AH14="",AN14=""),"",IF(AND(AH14="Bull",AN14="Bull"),"YES","NO"))</f>
        <v/>
      </c>
      <c r="AP14" t="str">
        <f>IF(OR(AH14="",AN14=""),"",IF(AND(AH14="Bear",AN14="Bear"),"YES","NO"))</f>
        <v/>
      </c>
      <c r="AQ14" t="str">
        <f>IF(AO14="YES",IF(SUM(N(X14),N(Y14),N(Z14))&gt;0,"SOXL","TQQQ"),IF(AP14="YES",IF(SUM(N(AA14),N(AB14),N(AC14))&gt;0,"SOXS","SQQQ"),"WAIT"))</f>
        <v>WAIT</v>
      </c>
      <c r="AR14" s="23" t="str">
        <f>IF(AO14="YES",IF(SUM(N(X14),N(Y14),N(Z14))&gt;0,"TQQQ","SOXL"),IF(AP14="YES",IF(SUM(N(AA14),N(AB14),N(AC14))&gt;0,"SQQQ","SOXS"),""))</f>
        <v/>
      </c>
      <c r="AS14" s="23" t="str">
        <f>IF(AQ14="WAIT","",IF(AR14="",1,0.6))</f>
        <v/>
      </c>
      <c r="AT14" s="23">
        <f>IF(AR14="",0,0.4)</f>
        <v>0</v>
      </c>
      <c r="AU14" s="23" t="str">
        <f>IF(AQ14="WAIT","WAIT",IF(AO14="YES","BULL",IF(AP14="YES","BEAR","WAIT")))</f>
        <v>WAIT</v>
      </c>
      <c r="AV14" t="str">
        <f>IF(AQ14="WAIT","Low",IF(OR(AND(AU14="BULL",ABS(SUM(N(X14),N(Y14),N(Z14)))&gt;=0.15),AND(AU14="BEAR",ABS(SUM(N(AA14),N(AB14),N(AC14)))&gt;=0.15)),"Strong",IF(OR(AND(AU14="BULL",ABS(SUM(N(X14),N(Y14),N(Z14)))&gt;=0.05),AND(AU14="BEAR",ABS(SUM(N(AA14),N(AB14),N(AC14)))&gt;=0.05)),"Moderate","Low")))</f>
        <v>Low</v>
      </c>
      <c r="AW14" t="str">
        <f>IF(AQ14="WAIT","QQQ and SMH not aligned",IF(AU14="BULL",IF(AQ14="SOXL","Bull regime; semiconductors leading","Bull regime; tech leading"),IF(AQ14="SOXS","Bear regime; semiconductors weakest","Bear regime; tech weakest")))</f>
        <v>QQQ and SMH not aligned</v>
      </c>
      <c r="AX14" t="str">
        <f>IF(AR14="WAIT","QQQ and SMH not aligned",IF(AV14="BULL",IF(AR14="SOXL","Bull regime; semiconductors leading","Bull regime; tech leading"),IF(AR14="SOXS","Bear regime; semiconductors weakest","Bear regime; tech weakest")))</f>
        <v>Bear regime; tech weakest</v>
      </c>
    </row>
    <row r="15" spans="1:50" x14ac:dyDescent="0.2">
      <c r="A15" s="12"/>
      <c r="B15" s="13"/>
      <c r="C15" s="13"/>
      <c r="D15" s="13"/>
      <c r="E15" s="13"/>
      <c r="F15" s="11" t="str">
        <f>IF(OR(E15="",E14=""),"",IF(E14=0,"",(E15/E14)-1))</f>
        <v/>
      </c>
      <c r="G15" s="13"/>
      <c r="H15" s="11" t="str">
        <f>IF(OR(G15="",G14=""),"",IF(G14=0,"",(G15/G14)-1))</f>
        <v/>
      </c>
      <c r="I15" s="13"/>
      <c r="J15" s="13"/>
      <c r="K15" s="13"/>
      <c r="L15" s="13"/>
      <c r="M15" s="23" t="str">
        <f>IF(OR(L15="",L14=""),"",IF(L14=0,"",(L15/L14)-1))</f>
        <v/>
      </c>
      <c r="N15" s="26" t="str">
        <f>IFERROR((M15/M14)-1,"")</f>
        <v/>
      </c>
      <c r="O15" s="23" t="str">
        <f>IF(OR(N15="",N14=""),"",IF(N14=0,"",(N15/N14)-1))</f>
        <v/>
      </c>
      <c r="P15" s="11" t="str">
        <f>IF(ROW()&lt;7,"",IF(OR(E15="",E12=""),"",IF(E12=0,"",(E15/E12)-1)))</f>
        <v/>
      </c>
      <c r="Q15" s="23" t="str">
        <f>IF(ROW()&lt;9,"",IF(OR(E15="",E10=""),"",IF(E10=0,"",(E15/E10)-1)))</f>
        <v/>
      </c>
      <c r="R15" s="23" t="str">
        <f>IF(ROW()&lt;7,"",IF(OR(G15="",G12=""),"",IF(G12=0,"",(G15/G12)-1)))</f>
        <v/>
      </c>
      <c r="S15" s="23" t="str">
        <f>IF(ROW()&lt;9,"",IF(OR(G15="",G10=""),"",IF(G10=0,"",(G15/G10)-1)))</f>
        <v/>
      </c>
      <c r="T15" s="23" t="str">
        <f>IF(ROW()&lt;7,"",IF(OR(L15="",L12=""),"",IF(L12=0,"",(L15/L12)-1)))</f>
        <v/>
      </c>
      <c r="U15" s="23" t="str">
        <f>IF(ROW()&lt;9,"",IF(OR(L15="",L10=""),"",IF(L10=0,"",(L15/L10)-1)))</f>
        <v/>
      </c>
      <c r="V15" s="23" t="str">
        <f>IF(ROW()&lt;7,"",IF(OR(N15="",N12=""),"",IF(N12=0,"",(N15/N12)-1)))</f>
        <v/>
      </c>
      <c r="W15" s="23" t="str">
        <f>IF(ROW()&lt;9,"",IF(OR(N15="",N10=""),"",IF(N10=0,"",(N15/N10)-1)))</f>
        <v/>
      </c>
      <c r="X15" s="23" t="str">
        <f>IF(OR(F15="",M15=""),"",F15-M15)</f>
        <v/>
      </c>
      <c r="Y15" s="23" t="str">
        <f>IF(OR(P15="",T15=""),"",P15-T15)</f>
        <v/>
      </c>
      <c r="Z15" s="23" t="str">
        <f>IF(OR(Q15="",U15=""),"",Q15-U15)</f>
        <v/>
      </c>
      <c r="AA15" s="23" t="str">
        <f>IF(OR(H15="",O15=""),"",H15-O15)</f>
        <v/>
      </c>
      <c r="AB15" s="23" t="str">
        <f>IF(OR(R15="",V15=""),"",R15-V15)</f>
        <v/>
      </c>
      <c r="AC15" s="23" t="str">
        <f>IF(OR(S15="",W15=""),"",S15-W15)</f>
        <v/>
      </c>
      <c r="AD15" s="13"/>
      <c r="AE15" s="23" t="str">
        <f>IF(OR(AD15="",AD14=""),"",IF(AD14=0,"",(AD15/AD14)-1))</f>
        <v/>
      </c>
      <c r="AF15" s="23" t="str">
        <f>IF(ROW()&lt;7,"",IF(OR(AD15="",AD12=""),"",IF(AD12=0,"",(AD15/AD12)-1)))</f>
        <v/>
      </c>
      <c r="AG15" s="23" t="str">
        <f>IF(ROW()&lt;9,"",IF(OR(AD15="",AD10=""),"",IF(AD10=0,"",(AD15/AD10)-1)))</f>
        <v/>
      </c>
      <c r="AH15" s="23" t="str">
        <f>IF(OR(AF15="",AG15=""),"",IF(AND(AF15&gt;0,AG15&gt;0),"Bull",IF(AND(AF15&lt;0,AG15&lt;0),"Bear","Mixed")))</f>
        <v/>
      </c>
      <c r="AI15" s="13"/>
      <c r="AJ15" s="13" t="str">
        <f>IF(OR(AI15="",AI14=""),"",IF(AI14=0,"",(AI15/AI14)-1))</f>
        <v/>
      </c>
      <c r="AK15" s="23" t="str">
        <f>IF(OR(AJ15="",AJ14=""),"",IF(AJ14=0,"",(AJ15/AJ14)-1))</f>
        <v/>
      </c>
      <c r="AL15" s="23" t="str">
        <f>IF(ROW()&lt;7,"",IF(OR(AJ15="",AJ12=""),"",IF(AJ12=0,"",(AJ15/AJ12)-1)))</f>
        <v/>
      </c>
      <c r="AM15" s="23" t="str">
        <f>IF(ROW()&lt;9,"",IF(OR(AJ15="",AJ10=""),"",IF(AJ10=0,"",(AJ15/AJ10)-1)))</f>
        <v/>
      </c>
      <c r="AN15" t="str">
        <f>IF(OR(AL15="",AM15=""),"",IF(AND(AL15&gt;0,AM15&gt;0),"Bull",IF(AND(AL15&lt;0,AM15&lt;0),"Bear","Mixed")))</f>
        <v/>
      </c>
      <c r="AO15" t="str">
        <f>IF(OR(AH15="",AN15=""),"",IF(AND(AH15="Bull",AN15="Bull"),"YES","NO"))</f>
        <v/>
      </c>
      <c r="AP15" t="str">
        <f>IF(OR(AH15="",AN15=""),"",IF(AND(AH15="Bear",AN15="Bear"),"YES","NO"))</f>
        <v/>
      </c>
      <c r="AQ15" t="str">
        <f>IF(AO15="YES",IF(SUM(N(X15),N(Y15),N(Z15))&gt;0,"SOXL","TQQQ"),IF(AP15="YES",IF(SUM(N(AA15),N(AB15),N(AC15))&gt;0,"SOXS","SQQQ"),"WAIT"))</f>
        <v>WAIT</v>
      </c>
      <c r="AR15" s="23" t="str">
        <f>IF(AO15="YES",IF(SUM(N(X15),N(Y15),N(Z15))&gt;0,"TQQQ","SOXL"),IF(AP15="YES",IF(SUM(N(AA15),N(AB15),N(AC15))&gt;0,"SQQQ","SOXS"),""))</f>
        <v/>
      </c>
      <c r="AS15" s="23" t="str">
        <f>IF(AQ15="WAIT","",IF(AR15="",1,0.6))</f>
        <v/>
      </c>
      <c r="AT15" s="23">
        <f>IF(AR15="",0,0.4)</f>
        <v>0</v>
      </c>
      <c r="AU15" s="23" t="str">
        <f>IF(AQ15="WAIT","WAIT",IF(AO15="YES","BULL",IF(AP15="YES","BEAR","WAIT")))</f>
        <v>WAIT</v>
      </c>
      <c r="AV15" t="str">
        <f>IF(AQ15="WAIT","Low",IF(OR(AND(AU15="BULL",ABS(SUM(N(X15),N(Y15),N(Z15)))&gt;=0.15),AND(AU15="BEAR",ABS(SUM(N(AA15),N(AB15),N(AC15)))&gt;=0.15)),"Strong",IF(OR(AND(AU15="BULL",ABS(SUM(N(X15),N(Y15),N(Z15)))&gt;=0.05),AND(AU15="BEAR",ABS(SUM(N(AA15),N(AB15),N(AC15)))&gt;=0.05)),"Moderate","Low")))</f>
        <v>Low</v>
      </c>
      <c r="AW15" t="str">
        <f>IF(AQ15="WAIT","QQQ and SMH not aligned",IF(AU15="BULL",IF(AQ15="SOXL","Bull regime; semiconductors leading","Bull regime; tech leading"),IF(AQ15="SOXS","Bear regime; semiconductors weakest","Bear regime; tech weakest")))</f>
        <v>QQQ and SMH not aligned</v>
      </c>
      <c r="AX15" t="str">
        <f>IF(AR15="WAIT","QQQ and SMH not aligned",IF(AV15="BULL",IF(AR15="SOXL","Bull regime; semiconductors leading","Bull regime; tech leading"),IF(AR15="SOXS","Bear regime; semiconductors weakest","Bear regime; tech weakest")))</f>
        <v>Bear regime; tech weakest</v>
      </c>
    </row>
    <row r="16" spans="1:50" x14ac:dyDescent="0.2">
      <c r="A16" s="12"/>
      <c r="B16" s="13"/>
      <c r="C16" s="13"/>
      <c r="D16" s="13"/>
      <c r="E16" s="13"/>
      <c r="F16" s="11" t="str">
        <f>IF(OR(E16="",E15=""),"",IF(E15=0,"",(E16/E15)-1))</f>
        <v/>
      </c>
      <c r="G16" s="13"/>
      <c r="H16" s="11" t="str">
        <f>IF(OR(G16="",G15=""),"",IF(G15=0,"",(G16/G15)-1))</f>
        <v/>
      </c>
      <c r="I16" s="13"/>
      <c r="J16" s="13"/>
      <c r="K16" s="13"/>
      <c r="L16" s="13"/>
      <c r="M16" s="23" t="str">
        <f>IF(OR(L16="",L15=""),"",IF(L15=0,"",(L16/L15)-1))</f>
        <v/>
      </c>
      <c r="N16" s="26" t="str">
        <f>IFERROR((M16/M15)-1,"")</f>
        <v/>
      </c>
      <c r="O16" s="23" t="str">
        <f>IF(OR(N16="",N15=""),"",IF(N15=0,"",(N16/N15)-1))</f>
        <v/>
      </c>
      <c r="P16" s="11" t="str">
        <f>IF(ROW()&lt;7,"",IF(OR(E16="",E13=""),"",IF(E13=0,"",(E16/E13)-1)))</f>
        <v/>
      </c>
      <c r="Q16" s="23" t="str">
        <f>IF(ROW()&lt;9,"",IF(OR(E16="",E11=""),"",IF(E11=0,"",(E16/E11)-1)))</f>
        <v/>
      </c>
      <c r="R16" s="23" t="str">
        <f>IF(ROW()&lt;7,"",IF(OR(G16="",G13=""),"",IF(G13=0,"",(G16/G13)-1)))</f>
        <v/>
      </c>
      <c r="S16" s="23" t="str">
        <f>IF(ROW()&lt;9,"",IF(OR(G16="",G11=""),"",IF(G11=0,"",(G16/G11)-1)))</f>
        <v/>
      </c>
      <c r="T16" s="23" t="str">
        <f>IF(ROW()&lt;7,"",IF(OR(L16="",L13=""),"",IF(L13=0,"",(L16/L13)-1)))</f>
        <v/>
      </c>
      <c r="U16" s="23" t="str">
        <f>IF(ROW()&lt;9,"",IF(OR(L16="",L11=""),"",IF(L11=0,"",(L16/L11)-1)))</f>
        <v/>
      </c>
      <c r="V16" s="23" t="str">
        <f>IF(ROW()&lt;7,"",IF(OR(N16="",N13=""),"",IF(N13=0,"",(N16/N13)-1)))</f>
        <v/>
      </c>
      <c r="W16" s="23" t="str">
        <f>IF(ROW()&lt;9,"",IF(OR(N16="",N11=""),"",IF(N11=0,"",(N16/N11)-1)))</f>
        <v/>
      </c>
      <c r="X16" s="23" t="str">
        <f>IF(OR(F16="",M16=""),"",F16-M16)</f>
        <v/>
      </c>
      <c r="Y16" s="23" t="str">
        <f>IF(OR(P16="",T16=""),"",P16-T16)</f>
        <v/>
      </c>
      <c r="Z16" s="23" t="str">
        <f>IF(OR(Q16="",U16=""),"",Q16-U16)</f>
        <v/>
      </c>
      <c r="AA16" s="23" t="str">
        <f>IF(OR(H16="",O16=""),"",H16-O16)</f>
        <v/>
      </c>
      <c r="AB16" s="23" t="str">
        <f>IF(OR(R16="",V16=""),"",R16-V16)</f>
        <v/>
      </c>
      <c r="AC16" s="23" t="str">
        <f>IF(OR(S16="",W16=""),"",S16-W16)</f>
        <v/>
      </c>
      <c r="AD16" s="13"/>
      <c r="AE16" s="23" t="str">
        <f>IF(OR(AD16="",AD15=""),"",IF(AD15=0,"",(AD16/AD15)-1))</f>
        <v/>
      </c>
      <c r="AF16" s="23" t="str">
        <f>IF(ROW()&lt;7,"",IF(OR(AD16="",AD13=""),"",IF(AD13=0,"",(AD16/AD13)-1)))</f>
        <v/>
      </c>
      <c r="AG16" s="23" t="str">
        <f>IF(ROW()&lt;9,"",IF(OR(AD16="",AD11=""),"",IF(AD11=0,"",(AD16/AD11)-1)))</f>
        <v/>
      </c>
      <c r="AH16" s="23" t="str">
        <f>IF(OR(AF16="",AG16=""),"",IF(AND(AF16&gt;0,AG16&gt;0),"Bull",IF(AND(AF16&lt;0,AG16&lt;0),"Bear","Mixed")))</f>
        <v/>
      </c>
      <c r="AI16" s="13"/>
      <c r="AJ16" s="13" t="str">
        <f>IF(OR(AI16="",AI15=""),"",IF(AI15=0,"",(AI16/AI15)-1))</f>
        <v/>
      </c>
      <c r="AK16" s="23" t="str">
        <f>IF(OR(AJ16="",AJ15=""),"",IF(AJ15=0,"",(AJ16/AJ15)-1))</f>
        <v/>
      </c>
      <c r="AL16" s="23" t="str">
        <f>IF(ROW()&lt;7,"",IF(OR(AJ16="",AJ13=""),"",IF(AJ13=0,"",(AJ16/AJ13)-1)))</f>
        <v/>
      </c>
      <c r="AM16" s="23" t="str">
        <f>IF(ROW()&lt;9,"",IF(OR(AJ16="",AJ11=""),"",IF(AJ11=0,"",(AJ16/AJ11)-1)))</f>
        <v/>
      </c>
      <c r="AN16" t="str">
        <f>IF(OR(AL16="",AM16=""),"",IF(AND(AL16&gt;0,AM16&gt;0),"Bull",IF(AND(AL16&lt;0,AM16&lt;0),"Bear","Mixed")))</f>
        <v/>
      </c>
      <c r="AO16" t="str">
        <f>IF(OR(AH16="",AN16=""),"",IF(AND(AH16="Bull",AN16="Bull"),"YES","NO"))</f>
        <v/>
      </c>
      <c r="AP16" t="str">
        <f>IF(OR(AH16="",AN16=""),"",IF(AND(AH16="Bear",AN16="Bear"),"YES","NO"))</f>
        <v/>
      </c>
      <c r="AQ16" t="str">
        <f>IF(AO16="YES",IF(SUM(N(X16),N(Y16),N(Z16))&gt;0,"SOXL","TQQQ"),IF(AP16="YES",IF(SUM(N(AA16),N(AB16),N(AC16))&gt;0,"SOXS","SQQQ"),"WAIT"))</f>
        <v>WAIT</v>
      </c>
      <c r="AR16" s="23" t="str">
        <f>IF(AO16="YES",IF(SUM(N(X16),N(Y16),N(Z16))&gt;0,"TQQQ","SOXL"),IF(AP16="YES",IF(SUM(N(AA16),N(AB16),N(AC16))&gt;0,"SQQQ","SOXS"),""))</f>
        <v/>
      </c>
      <c r="AS16" s="23" t="str">
        <f>IF(AQ16="WAIT","",IF(AR16="",1,0.6))</f>
        <v/>
      </c>
      <c r="AT16" s="23">
        <f>IF(AR16="",0,0.4)</f>
        <v>0</v>
      </c>
      <c r="AU16" s="23" t="str">
        <f>IF(AQ16="WAIT","WAIT",IF(AO16="YES","BULL",IF(AP16="YES","BEAR","WAIT")))</f>
        <v>WAIT</v>
      </c>
      <c r="AV16" t="str">
        <f>IF(AQ16="WAIT","Low",IF(OR(AND(AU16="BULL",ABS(SUM(N(X16),N(Y16),N(Z16)))&gt;=0.15),AND(AU16="BEAR",ABS(SUM(N(AA16),N(AB16),N(AC16)))&gt;=0.15)),"Strong",IF(OR(AND(AU16="BULL",ABS(SUM(N(X16),N(Y16),N(Z16)))&gt;=0.05),AND(AU16="BEAR",ABS(SUM(N(AA16),N(AB16),N(AC16)))&gt;=0.05)),"Moderate","Low")))</f>
        <v>Low</v>
      </c>
      <c r="AW16" t="str">
        <f>IF(AQ16="WAIT","QQQ and SMH not aligned",IF(AU16="BULL",IF(AQ16="SOXL","Bull regime; semiconductors leading","Bull regime; tech leading"),IF(AQ16="SOXS","Bear regime; semiconductors weakest","Bear regime; tech weakest")))</f>
        <v>QQQ and SMH not aligned</v>
      </c>
      <c r="AX16" t="str">
        <f>IF(AR16="WAIT","QQQ and SMH not aligned",IF(AV16="BULL",IF(AR16="SOXL","Bull regime; semiconductors leading","Bull regime; tech leading"),IF(AR16="SOXS","Bear regime; semiconductors weakest","Bear regime; tech weakest")))</f>
        <v>Bear regime; tech weakest</v>
      </c>
    </row>
    <row r="17" spans="1:50" x14ac:dyDescent="0.2">
      <c r="A17" s="12"/>
      <c r="B17" s="13"/>
      <c r="C17" s="13"/>
      <c r="D17" s="13"/>
      <c r="E17" s="13"/>
      <c r="F17" s="11" t="str">
        <f>IF(OR(E17="",E16=""),"",IF(E16=0,"",(E17/E16)-1))</f>
        <v/>
      </c>
      <c r="G17" s="13"/>
      <c r="H17" s="11" t="str">
        <f>IF(OR(G17="",G16=""),"",IF(G16=0,"",(G17/G16)-1))</f>
        <v/>
      </c>
      <c r="I17" s="13"/>
      <c r="J17" s="13"/>
      <c r="K17" s="13"/>
      <c r="L17" s="13"/>
      <c r="M17" s="23" t="str">
        <f>IF(OR(L17="",L16=""),"",IF(L16=0,"",(L17/L16)-1))</f>
        <v/>
      </c>
      <c r="N17" s="26" t="str">
        <f>IFERROR((M17/M16)-1,"")</f>
        <v/>
      </c>
      <c r="O17" s="23" t="str">
        <f>IF(OR(N17="",N16=""),"",IF(N16=0,"",(N17/N16)-1))</f>
        <v/>
      </c>
      <c r="P17" s="11" t="str">
        <f>IF(ROW()&lt;7,"",IF(OR(E17="",E14=""),"",IF(E14=0,"",(E17/E14)-1)))</f>
        <v/>
      </c>
      <c r="Q17" s="23" t="str">
        <f>IF(ROW()&lt;9,"",IF(OR(E17="",E12=""),"",IF(E12=0,"",(E17/E12)-1)))</f>
        <v/>
      </c>
      <c r="R17" s="23" t="str">
        <f>IF(ROW()&lt;7,"",IF(OR(G17="",G14=""),"",IF(G14=0,"",(G17/G14)-1)))</f>
        <v/>
      </c>
      <c r="S17" s="23" t="str">
        <f>IF(ROW()&lt;9,"",IF(OR(G17="",G12=""),"",IF(G12=0,"",(G17/G12)-1)))</f>
        <v/>
      </c>
      <c r="T17" s="23" t="str">
        <f>IF(ROW()&lt;7,"",IF(OR(L17="",L14=""),"",IF(L14=0,"",(L17/L14)-1)))</f>
        <v/>
      </c>
      <c r="U17" s="23" t="str">
        <f>IF(ROW()&lt;9,"",IF(OR(L17="",L12=""),"",IF(L12=0,"",(L17/L12)-1)))</f>
        <v/>
      </c>
      <c r="V17" s="23" t="str">
        <f>IF(ROW()&lt;7,"",IF(OR(N17="",N14=""),"",IF(N14=0,"",(N17/N14)-1)))</f>
        <v/>
      </c>
      <c r="W17" s="23" t="str">
        <f>IF(ROW()&lt;9,"",IF(OR(N17="",N12=""),"",IF(N12=0,"",(N17/N12)-1)))</f>
        <v/>
      </c>
      <c r="X17" s="23" t="str">
        <f>IF(OR(F17="",M17=""),"",F17-M17)</f>
        <v/>
      </c>
      <c r="Y17" s="23" t="str">
        <f>IF(OR(P17="",T17=""),"",P17-T17)</f>
        <v/>
      </c>
      <c r="Z17" s="23" t="str">
        <f>IF(OR(Q17="",U17=""),"",Q17-U17)</f>
        <v/>
      </c>
      <c r="AA17" s="23" t="str">
        <f>IF(OR(H17="",O17=""),"",H17-O17)</f>
        <v/>
      </c>
      <c r="AB17" s="23" t="str">
        <f>IF(OR(R17="",V17=""),"",R17-V17)</f>
        <v/>
      </c>
      <c r="AC17" s="23" t="str">
        <f>IF(OR(S17="",W17=""),"",S17-W17)</f>
        <v/>
      </c>
      <c r="AD17" s="13"/>
      <c r="AE17" s="23" t="str">
        <f>IF(OR(AD17="",AD16=""),"",IF(AD16=0,"",(AD17/AD16)-1))</f>
        <v/>
      </c>
      <c r="AF17" s="23" t="str">
        <f>IF(ROW()&lt;7,"",IF(OR(AD17="",AD14=""),"",IF(AD14=0,"",(AD17/AD14)-1)))</f>
        <v/>
      </c>
      <c r="AG17" s="23" t="str">
        <f>IF(ROW()&lt;9,"",IF(OR(AD17="",AD12=""),"",IF(AD12=0,"",(AD17/AD12)-1)))</f>
        <v/>
      </c>
      <c r="AH17" s="23" t="str">
        <f>IF(OR(AF17="",AG17=""),"",IF(AND(AF17&gt;0,AG17&gt;0),"Bull",IF(AND(AF17&lt;0,AG17&lt;0),"Bear","Mixed")))</f>
        <v/>
      </c>
      <c r="AI17" s="13"/>
      <c r="AJ17" s="13" t="str">
        <f>IF(OR(AI17="",AI16=""),"",IF(AI16=0,"",(AI17/AI16)-1))</f>
        <v/>
      </c>
      <c r="AK17" s="23" t="str">
        <f>IF(OR(AJ17="",AJ16=""),"",IF(AJ16=0,"",(AJ17/AJ16)-1))</f>
        <v/>
      </c>
      <c r="AL17" s="23" t="str">
        <f>IF(ROW()&lt;7,"",IF(OR(AJ17="",AJ14=""),"",IF(AJ14=0,"",(AJ17/AJ14)-1)))</f>
        <v/>
      </c>
      <c r="AM17" s="23" t="str">
        <f>IF(ROW()&lt;9,"",IF(OR(AJ17="",AJ12=""),"",IF(AJ12=0,"",(AJ17/AJ12)-1)))</f>
        <v/>
      </c>
      <c r="AN17" t="str">
        <f>IF(OR(AL17="",AM17=""),"",IF(AND(AL17&gt;0,AM17&gt;0),"Bull",IF(AND(AL17&lt;0,AM17&lt;0),"Bear","Mixed")))</f>
        <v/>
      </c>
      <c r="AO17" t="str">
        <f>IF(OR(AH17="",AN17=""),"",IF(AND(AH17="Bull",AN17="Bull"),"YES","NO"))</f>
        <v/>
      </c>
      <c r="AP17" t="str">
        <f>IF(OR(AH17="",AN17=""),"",IF(AND(AH17="Bear",AN17="Bear"),"YES","NO"))</f>
        <v/>
      </c>
      <c r="AQ17" t="str">
        <f>IF(AO17="YES",IF(SUM(N(X17),N(Y17),N(Z17))&gt;0,"SOXL","TQQQ"),IF(AP17="YES",IF(SUM(N(AA17),N(AB17),N(AC17))&gt;0,"SOXS","SQQQ"),"WAIT"))</f>
        <v>WAIT</v>
      </c>
      <c r="AR17" s="23" t="str">
        <f>IF(AO17="YES",IF(SUM(N(X17),N(Y17),N(Z17))&gt;0,"TQQQ","SOXL"),IF(AP17="YES",IF(SUM(N(AA17),N(AB17),N(AC17))&gt;0,"SQQQ","SOXS"),""))</f>
        <v/>
      </c>
      <c r="AS17" s="23" t="str">
        <f>IF(AQ17="WAIT","",IF(AR17="",1,0.6))</f>
        <v/>
      </c>
      <c r="AT17" s="23">
        <f>IF(AR17="",0,0.4)</f>
        <v>0</v>
      </c>
      <c r="AU17" s="23" t="str">
        <f>IF(AQ17="WAIT","WAIT",IF(AO17="YES","BULL",IF(AP17="YES","BEAR","WAIT")))</f>
        <v>WAIT</v>
      </c>
      <c r="AV17" t="str">
        <f>IF(AQ17="WAIT","Low",IF(OR(AND(AU17="BULL",ABS(SUM(N(X17),N(Y17),N(Z17)))&gt;=0.15),AND(AU17="BEAR",ABS(SUM(N(AA17),N(AB17),N(AC17)))&gt;=0.15)),"Strong",IF(OR(AND(AU17="BULL",ABS(SUM(N(X17),N(Y17),N(Z17)))&gt;=0.05),AND(AU17="BEAR",ABS(SUM(N(AA17),N(AB17),N(AC17)))&gt;=0.05)),"Moderate","Low")))</f>
        <v>Low</v>
      </c>
      <c r="AW17" t="str">
        <f>IF(AQ17="WAIT","QQQ and SMH not aligned",IF(AU17="BULL",IF(AQ17="SOXL","Bull regime; semiconductors leading","Bull regime; tech leading"),IF(AQ17="SOXS","Bear regime; semiconductors weakest","Bear regime; tech weakest")))</f>
        <v>QQQ and SMH not aligned</v>
      </c>
      <c r="AX17" t="str">
        <f>IF(AR17="WAIT","QQQ and SMH not aligned",IF(AV17="BULL",IF(AR17="SOXL","Bull regime; semiconductors leading","Bull regime; tech leading"),IF(AR17="SOXS","Bear regime; semiconductors weakest","Bear regime; tech weakest")))</f>
        <v>Bear regime; tech weakest</v>
      </c>
    </row>
    <row r="18" spans="1:50" x14ac:dyDescent="0.2">
      <c r="A18" s="12"/>
      <c r="B18" s="13"/>
      <c r="C18" s="13"/>
      <c r="D18" s="13"/>
      <c r="E18" s="13"/>
      <c r="F18" s="11" t="str">
        <f>IF(OR(E18="",E17=""),"",IF(E17=0,"",(E18/E17)-1))</f>
        <v/>
      </c>
      <c r="G18" s="13"/>
      <c r="H18" s="11" t="str">
        <f>IF(OR(G18="",G17=""),"",IF(G17=0,"",(G18/G17)-1))</f>
        <v/>
      </c>
      <c r="I18" s="13"/>
      <c r="J18" s="13"/>
      <c r="K18" s="13"/>
      <c r="L18" s="13"/>
      <c r="M18" s="23" t="str">
        <f>IF(OR(L18="",L17=""),"",IF(L17=0,"",(L18/L17)-1))</f>
        <v/>
      </c>
      <c r="N18" s="26" t="str">
        <f>IFERROR((M18/M17)-1,"")</f>
        <v/>
      </c>
      <c r="O18" s="23" t="str">
        <f>IF(OR(N18="",N17=""),"",IF(N17=0,"",(N18/N17)-1))</f>
        <v/>
      </c>
      <c r="P18" s="11" t="str">
        <f>IF(ROW()&lt;7,"",IF(OR(E18="",E15=""),"",IF(E15=0,"",(E18/E15)-1)))</f>
        <v/>
      </c>
      <c r="Q18" s="23" t="str">
        <f>IF(ROW()&lt;9,"",IF(OR(E18="",E13=""),"",IF(E13=0,"",(E18/E13)-1)))</f>
        <v/>
      </c>
      <c r="R18" s="23" t="str">
        <f>IF(ROW()&lt;7,"",IF(OR(G18="",G15=""),"",IF(G15=0,"",(G18/G15)-1)))</f>
        <v/>
      </c>
      <c r="S18" s="23" t="str">
        <f>IF(ROW()&lt;9,"",IF(OR(G18="",G13=""),"",IF(G13=0,"",(G18/G13)-1)))</f>
        <v/>
      </c>
      <c r="T18" s="23" t="str">
        <f>IF(ROW()&lt;7,"",IF(OR(L18="",L15=""),"",IF(L15=0,"",(L18/L15)-1)))</f>
        <v/>
      </c>
      <c r="U18" s="23" t="str">
        <f>IF(ROW()&lt;9,"",IF(OR(L18="",L13=""),"",IF(L13=0,"",(L18/L13)-1)))</f>
        <v/>
      </c>
      <c r="V18" s="23" t="str">
        <f>IF(ROW()&lt;7,"",IF(OR(N18="",N15=""),"",IF(N15=0,"",(N18/N15)-1)))</f>
        <v/>
      </c>
      <c r="W18" s="23" t="str">
        <f>IF(ROW()&lt;9,"",IF(OR(N18="",N13=""),"",IF(N13=0,"",(N18/N13)-1)))</f>
        <v/>
      </c>
      <c r="X18" s="23" t="str">
        <f>IF(OR(F18="",M18=""),"",F18-M18)</f>
        <v/>
      </c>
      <c r="Y18" s="23" t="str">
        <f>IF(OR(P18="",T18=""),"",P18-T18)</f>
        <v/>
      </c>
      <c r="Z18" s="23" t="str">
        <f>IF(OR(Q18="",U18=""),"",Q18-U18)</f>
        <v/>
      </c>
      <c r="AA18" s="23" t="str">
        <f>IF(OR(H18="",O18=""),"",H18-O18)</f>
        <v/>
      </c>
      <c r="AB18" s="23" t="str">
        <f>IF(OR(R18="",V18=""),"",R18-V18)</f>
        <v/>
      </c>
      <c r="AC18" s="23" t="str">
        <f>IF(OR(S18="",W18=""),"",S18-W18)</f>
        <v/>
      </c>
      <c r="AD18" s="13"/>
      <c r="AE18" s="23" t="str">
        <f>IF(OR(AD18="",AD17=""),"",IF(AD17=0,"",(AD18/AD17)-1))</f>
        <v/>
      </c>
      <c r="AF18" s="23" t="str">
        <f>IF(ROW()&lt;7,"",IF(OR(AD18="",AD15=""),"",IF(AD15=0,"",(AD18/AD15)-1)))</f>
        <v/>
      </c>
      <c r="AG18" s="23" t="str">
        <f>IF(ROW()&lt;9,"",IF(OR(AD18="",AD13=""),"",IF(AD13=0,"",(AD18/AD13)-1)))</f>
        <v/>
      </c>
      <c r="AH18" s="23" t="str">
        <f>IF(OR(AF18="",AG18=""),"",IF(AND(AF18&gt;0,AG18&gt;0),"Bull",IF(AND(AF18&lt;0,AG18&lt;0),"Bear","Mixed")))</f>
        <v/>
      </c>
      <c r="AI18" s="13"/>
      <c r="AJ18" s="13" t="str">
        <f>IF(OR(AI18="",AI17=""),"",IF(AI17=0,"",(AI18/AI17)-1))</f>
        <v/>
      </c>
      <c r="AK18" s="23" t="str">
        <f>IF(OR(AJ18="",AJ17=""),"",IF(AJ17=0,"",(AJ18/AJ17)-1))</f>
        <v/>
      </c>
      <c r="AL18" s="23" t="str">
        <f>IF(ROW()&lt;7,"",IF(OR(AJ18="",AJ15=""),"",IF(AJ15=0,"",(AJ18/AJ15)-1)))</f>
        <v/>
      </c>
      <c r="AM18" s="23" t="str">
        <f>IF(ROW()&lt;9,"",IF(OR(AJ18="",AJ13=""),"",IF(AJ13=0,"",(AJ18/AJ13)-1)))</f>
        <v/>
      </c>
      <c r="AN18" t="str">
        <f>IF(OR(AL18="",AM18=""),"",IF(AND(AL18&gt;0,AM18&gt;0),"Bull",IF(AND(AL18&lt;0,AM18&lt;0),"Bear","Mixed")))</f>
        <v/>
      </c>
      <c r="AO18" t="str">
        <f>IF(OR(AH18="",AN18=""),"",IF(AND(AH18="Bull",AN18="Bull"),"YES","NO"))</f>
        <v/>
      </c>
      <c r="AP18" t="str">
        <f>IF(OR(AH18="",AN18=""),"",IF(AND(AH18="Bear",AN18="Bear"),"YES","NO"))</f>
        <v/>
      </c>
      <c r="AQ18" t="str">
        <f>IF(AO18="YES",IF(SUM(N(X18),N(Y18),N(Z18))&gt;0,"SOXL","TQQQ"),IF(AP18="YES",IF(SUM(N(AA18),N(AB18),N(AC18))&gt;0,"SOXS","SQQQ"),"WAIT"))</f>
        <v>WAIT</v>
      </c>
      <c r="AR18" s="23" t="str">
        <f>IF(AO18="YES",IF(SUM(N(X18),N(Y18),N(Z18))&gt;0,"TQQQ","SOXL"),IF(AP18="YES",IF(SUM(N(AA18),N(AB18),N(AC18))&gt;0,"SQQQ","SOXS"),""))</f>
        <v/>
      </c>
      <c r="AS18" s="23" t="str">
        <f>IF(AQ18="WAIT","",IF(AR18="",1,0.6))</f>
        <v/>
      </c>
      <c r="AT18" s="23">
        <f>IF(AR18="",0,0.4)</f>
        <v>0</v>
      </c>
      <c r="AU18" s="23" t="str">
        <f>IF(AQ18="WAIT","WAIT",IF(AO18="YES","BULL",IF(AP18="YES","BEAR","WAIT")))</f>
        <v>WAIT</v>
      </c>
      <c r="AV18" t="str">
        <f>IF(AQ18="WAIT","Low",IF(OR(AND(AU18="BULL",ABS(SUM(N(X18),N(Y18),N(Z18)))&gt;=0.15),AND(AU18="BEAR",ABS(SUM(N(AA18),N(AB18),N(AC18)))&gt;=0.15)),"Strong",IF(OR(AND(AU18="BULL",ABS(SUM(N(X18),N(Y18),N(Z18)))&gt;=0.05),AND(AU18="BEAR",ABS(SUM(N(AA18),N(AB18),N(AC18)))&gt;=0.05)),"Moderate","Low")))</f>
        <v>Low</v>
      </c>
      <c r="AW18" t="str">
        <f>IF(AQ18="WAIT","QQQ and SMH not aligned",IF(AU18="BULL",IF(AQ18="SOXL","Bull regime; semiconductors leading","Bull regime; tech leading"),IF(AQ18="SOXS","Bear regime; semiconductors weakest","Bear regime; tech weakest")))</f>
        <v>QQQ and SMH not aligned</v>
      </c>
      <c r="AX18" t="str">
        <f>IF(AR18="WAIT","QQQ and SMH not aligned",IF(AV18="BULL",IF(AR18="SOXL","Bull regime; semiconductors leading","Bull regime; tech leading"),IF(AR18="SOXS","Bear regime; semiconductors weakest","Bear regime; tech weakest")))</f>
        <v>Bear regime; tech weakest</v>
      </c>
    </row>
    <row r="19" spans="1:50" x14ac:dyDescent="0.2">
      <c r="A19" s="12"/>
      <c r="B19" s="13"/>
      <c r="C19" s="13"/>
      <c r="D19" s="13"/>
      <c r="E19" s="13"/>
      <c r="F19" s="11" t="str">
        <f>IF(OR(E19="",E18=""),"",IF(E18=0,"",(E19/E18)-1))</f>
        <v/>
      </c>
      <c r="G19" s="13"/>
      <c r="H19" s="11" t="str">
        <f>IF(OR(G19="",G18=""),"",IF(G18=0,"",(G19/G18)-1))</f>
        <v/>
      </c>
      <c r="I19" s="13"/>
      <c r="J19" s="13"/>
      <c r="K19" s="13"/>
      <c r="L19" s="13"/>
      <c r="M19" s="23" t="str">
        <f>IF(OR(L19="",L18=""),"",IF(L18=0,"",(L19/L18)-1))</f>
        <v/>
      </c>
      <c r="N19" s="26" t="str">
        <f>IFERROR((M19/M18)-1,"")</f>
        <v/>
      </c>
      <c r="O19" s="23" t="str">
        <f>IF(OR(N19="",N18=""),"",IF(N18=0,"",(N19/N18)-1))</f>
        <v/>
      </c>
      <c r="P19" s="11" t="str">
        <f>IF(ROW()&lt;7,"",IF(OR(E19="",E16=""),"",IF(E16=0,"",(E19/E16)-1)))</f>
        <v/>
      </c>
      <c r="Q19" s="23" t="str">
        <f>IF(ROW()&lt;9,"",IF(OR(E19="",E14=""),"",IF(E14=0,"",(E19/E14)-1)))</f>
        <v/>
      </c>
      <c r="R19" s="23" t="str">
        <f>IF(ROW()&lt;7,"",IF(OR(G19="",G16=""),"",IF(G16=0,"",(G19/G16)-1)))</f>
        <v/>
      </c>
      <c r="S19" s="23" t="str">
        <f>IF(ROW()&lt;9,"",IF(OR(G19="",G14=""),"",IF(G14=0,"",(G19/G14)-1)))</f>
        <v/>
      </c>
      <c r="T19" s="23" t="str">
        <f>IF(ROW()&lt;7,"",IF(OR(L19="",L16=""),"",IF(L16=0,"",(L19/L16)-1)))</f>
        <v/>
      </c>
      <c r="U19" s="23" t="str">
        <f>IF(ROW()&lt;9,"",IF(OR(L19="",L14=""),"",IF(L14=0,"",(L19/L14)-1)))</f>
        <v/>
      </c>
      <c r="V19" s="23" t="str">
        <f>IF(ROW()&lt;7,"",IF(OR(N19="",N16=""),"",IF(N16=0,"",(N19/N16)-1)))</f>
        <v/>
      </c>
      <c r="W19" s="23" t="str">
        <f>IF(ROW()&lt;9,"",IF(OR(N19="",N14=""),"",IF(N14=0,"",(N19/N14)-1)))</f>
        <v/>
      </c>
      <c r="X19" s="23" t="str">
        <f>IF(OR(F19="",M19=""),"",F19-M19)</f>
        <v/>
      </c>
      <c r="Y19" s="23" t="str">
        <f>IF(OR(P19="",T19=""),"",P19-T19)</f>
        <v/>
      </c>
      <c r="Z19" s="23" t="str">
        <f>IF(OR(Q19="",U19=""),"",Q19-U19)</f>
        <v/>
      </c>
      <c r="AA19" s="23" t="str">
        <f>IF(OR(H19="",O19=""),"",H19-O19)</f>
        <v/>
      </c>
      <c r="AB19" s="23" t="str">
        <f>IF(OR(R19="",V19=""),"",R19-V19)</f>
        <v/>
      </c>
      <c r="AC19" s="23" t="str">
        <f>IF(OR(S19="",W19=""),"",S19-W19)</f>
        <v/>
      </c>
      <c r="AD19" s="13"/>
      <c r="AE19" s="23" t="str">
        <f>IF(OR(AD19="",AD18=""),"",IF(AD18=0,"",(AD19/AD18)-1))</f>
        <v/>
      </c>
      <c r="AF19" s="23" t="str">
        <f>IF(ROW()&lt;7,"",IF(OR(AD19="",AD16=""),"",IF(AD16=0,"",(AD19/AD16)-1)))</f>
        <v/>
      </c>
      <c r="AG19" s="23" t="str">
        <f>IF(ROW()&lt;9,"",IF(OR(AD19="",AD14=""),"",IF(AD14=0,"",(AD19/AD14)-1)))</f>
        <v/>
      </c>
      <c r="AH19" s="23" t="str">
        <f>IF(OR(AF19="",AG19=""),"",IF(AND(AF19&gt;0,AG19&gt;0),"Bull",IF(AND(AF19&lt;0,AG19&lt;0),"Bear","Mixed")))</f>
        <v/>
      </c>
      <c r="AI19" s="13"/>
      <c r="AJ19" s="13" t="str">
        <f>IF(OR(AI19="",AI18=""),"",IF(AI18=0,"",(AI19/AI18)-1))</f>
        <v/>
      </c>
      <c r="AK19" s="23" t="str">
        <f>IF(OR(AJ19="",AJ18=""),"",IF(AJ18=0,"",(AJ19/AJ18)-1))</f>
        <v/>
      </c>
      <c r="AL19" s="23" t="str">
        <f>IF(ROW()&lt;7,"",IF(OR(AJ19="",AJ16=""),"",IF(AJ16=0,"",(AJ19/AJ16)-1)))</f>
        <v/>
      </c>
      <c r="AM19" s="23" t="str">
        <f>IF(ROW()&lt;9,"",IF(OR(AJ19="",AJ14=""),"",IF(AJ14=0,"",(AJ19/AJ14)-1)))</f>
        <v/>
      </c>
      <c r="AN19" t="str">
        <f>IF(OR(AL19="",AM19=""),"",IF(AND(AL19&gt;0,AM19&gt;0),"Bull",IF(AND(AL19&lt;0,AM19&lt;0),"Bear","Mixed")))</f>
        <v/>
      </c>
      <c r="AO19" t="str">
        <f>IF(OR(AH19="",AN19=""),"",IF(AND(AH19="Bull",AN19="Bull"),"YES","NO"))</f>
        <v/>
      </c>
      <c r="AP19" t="str">
        <f>IF(OR(AH19="",AN19=""),"",IF(AND(AH19="Bear",AN19="Bear"),"YES","NO"))</f>
        <v/>
      </c>
      <c r="AQ19" t="str">
        <f>IF(AO19="YES",IF(SUM(N(X19),N(Y19),N(Z19))&gt;0,"SOXL","TQQQ"),IF(AP19="YES",IF(SUM(N(AA19),N(AB19),N(AC19))&gt;0,"SOXS","SQQQ"),"WAIT"))</f>
        <v>WAIT</v>
      </c>
      <c r="AR19" s="23" t="str">
        <f>IF(AO19="YES",IF(SUM(N(X19),N(Y19),N(Z19))&gt;0,"TQQQ","SOXL"),IF(AP19="YES",IF(SUM(N(AA19),N(AB19),N(AC19))&gt;0,"SQQQ","SOXS"),""))</f>
        <v/>
      </c>
      <c r="AS19" s="23" t="str">
        <f>IF(AQ19="WAIT","",IF(AR19="",1,0.6))</f>
        <v/>
      </c>
      <c r="AT19" s="23">
        <f>IF(AR19="",0,0.4)</f>
        <v>0</v>
      </c>
      <c r="AU19" s="23" t="str">
        <f>IF(AQ19="WAIT","WAIT",IF(AO19="YES","BULL",IF(AP19="YES","BEAR","WAIT")))</f>
        <v>WAIT</v>
      </c>
      <c r="AV19" t="str">
        <f>IF(AQ19="WAIT","Low",IF(OR(AND(AU19="BULL",ABS(SUM(N(X19),N(Y19),N(Z19)))&gt;=0.15),AND(AU19="BEAR",ABS(SUM(N(AA19),N(AB19),N(AC19)))&gt;=0.15)),"Strong",IF(OR(AND(AU19="BULL",ABS(SUM(N(X19),N(Y19),N(Z19)))&gt;=0.05),AND(AU19="BEAR",ABS(SUM(N(AA19),N(AB19),N(AC19)))&gt;=0.05)),"Moderate","Low")))</f>
        <v>Low</v>
      </c>
      <c r="AW19" t="str">
        <f>IF(AQ19="WAIT","QQQ and SMH not aligned",IF(AU19="BULL",IF(AQ19="SOXL","Bull regime; semiconductors leading","Bull regime; tech leading"),IF(AQ19="SOXS","Bear regime; semiconductors weakest","Bear regime; tech weakest")))</f>
        <v>QQQ and SMH not aligned</v>
      </c>
      <c r="AX19" t="str">
        <f>IF(AR19="WAIT","QQQ and SMH not aligned",IF(AV19="BULL",IF(AR19="SOXL","Bull regime; semiconductors leading","Bull regime; tech leading"),IF(AR19="SOXS","Bear regime; semiconductors weakest","Bear regime; tech weakest")))</f>
        <v>Bear regime; tech weakest</v>
      </c>
    </row>
    <row r="20" spans="1:50" x14ac:dyDescent="0.2">
      <c r="A20" s="12"/>
      <c r="B20" s="13"/>
      <c r="C20" s="13"/>
      <c r="D20" s="13"/>
      <c r="E20" s="13"/>
      <c r="F20" s="11" t="str">
        <f>IF(OR(E20="",E19=""),"",IF(E19=0,"",(E20/E19)-1))</f>
        <v/>
      </c>
      <c r="G20" s="13"/>
      <c r="H20" s="11" t="str">
        <f>IF(OR(G20="",G19=""),"",IF(G19=0,"",(G20/G19)-1))</f>
        <v/>
      </c>
      <c r="I20" s="13"/>
      <c r="J20" s="13"/>
      <c r="K20" s="13"/>
      <c r="L20" s="13"/>
      <c r="M20" s="23" t="str">
        <f>IF(OR(L20="",L19=""),"",IF(L19=0,"",(L20/L19)-1))</f>
        <v/>
      </c>
      <c r="N20" s="26" t="str">
        <f>IFERROR((M20/M19)-1,"")</f>
        <v/>
      </c>
      <c r="O20" s="23" t="str">
        <f>IF(OR(N20="",N19=""),"",IF(N19=0,"",(N20/N19)-1))</f>
        <v/>
      </c>
      <c r="P20" s="11" t="str">
        <f>IF(ROW()&lt;7,"",IF(OR(E20="",E17=""),"",IF(E17=0,"",(E20/E17)-1)))</f>
        <v/>
      </c>
      <c r="Q20" s="23" t="str">
        <f>IF(ROW()&lt;9,"",IF(OR(E20="",E15=""),"",IF(E15=0,"",(E20/E15)-1)))</f>
        <v/>
      </c>
      <c r="R20" s="23" t="str">
        <f>IF(ROW()&lt;7,"",IF(OR(G20="",G17=""),"",IF(G17=0,"",(G20/G17)-1)))</f>
        <v/>
      </c>
      <c r="S20" s="23" t="str">
        <f>IF(ROW()&lt;9,"",IF(OR(G20="",G15=""),"",IF(G15=0,"",(G20/G15)-1)))</f>
        <v/>
      </c>
      <c r="T20" s="23" t="str">
        <f>IF(ROW()&lt;7,"",IF(OR(L20="",L17=""),"",IF(L17=0,"",(L20/L17)-1)))</f>
        <v/>
      </c>
      <c r="U20" s="23" t="str">
        <f>IF(ROW()&lt;9,"",IF(OR(L20="",L15=""),"",IF(L15=0,"",(L20/L15)-1)))</f>
        <v/>
      </c>
      <c r="V20" s="23" t="str">
        <f>IF(ROW()&lt;7,"",IF(OR(N20="",N17=""),"",IF(N17=0,"",(N20/N17)-1)))</f>
        <v/>
      </c>
      <c r="W20" s="23" t="str">
        <f>IF(ROW()&lt;9,"",IF(OR(N20="",N15=""),"",IF(N15=0,"",(N20/N15)-1)))</f>
        <v/>
      </c>
      <c r="X20" s="23" t="str">
        <f>IF(OR(F20="",M20=""),"",F20-M20)</f>
        <v/>
      </c>
      <c r="Y20" s="23" t="str">
        <f>IF(OR(P20="",T20=""),"",P20-T20)</f>
        <v/>
      </c>
      <c r="Z20" s="23" t="str">
        <f>IF(OR(Q20="",U20=""),"",Q20-U20)</f>
        <v/>
      </c>
      <c r="AA20" s="23" t="str">
        <f>IF(OR(H20="",O20=""),"",H20-O20)</f>
        <v/>
      </c>
      <c r="AB20" s="23" t="str">
        <f>IF(OR(R20="",V20=""),"",R20-V20)</f>
        <v/>
      </c>
      <c r="AC20" s="23" t="str">
        <f>IF(OR(S20="",W20=""),"",S20-W20)</f>
        <v/>
      </c>
      <c r="AD20" s="13"/>
      <c r="AE20" s="23" t="str">
        <f>IF(OR(AD20="",AD19=""),"",IF(AD19=0,"",(AD20/AD19)-1))</f>
        <v/>
      </c>
      <c r="AF20" s="23" t="str">
        <f>IF(ROW()&lt;7,"",IF(OR(AD20="",AD17=""),"",IF(AD17=0,"",(AD20/AD17)-1)))</f>
        <v/>
      </c>
      <c r="AG20" s="23" t="str">
        <f>IF(ROW()&lt;9,"",IF(OR(AD20="",AD15=""),"",IF(AD15=0,"",(AD20/AD15)-1)))</f>
        <v/>
      </c>
      <c r="AH20" s="23" t="str">
        <f>IF(OR(AF20="",AG20=""),"",IF(AND(AF20&gt;0,AG20&gt;0),"Bull",IF(AND(AF20&lt;0,AG20&lt;0),"Bear","Mixed")))</f>
        <v/>
      </c>
      <c r="AI20" s="13"/>
      <c r="AJ20" s="13" t="str">
        <f>IF(OR(AI20="",AI19=""),"",IF(AI19=0,"",(AI20/AI19)-1))</f>
        <v/>
      </c>
      <c r="AK20" s="23" t="str">
        <f>IF(OR(AJ20="",AJ19=""),"",IF(AJ19=0,"",(AJ20/AJ19)-1))</f>
        <v/>
      </c>
      <c r="AL20" s="23" t="str">
        <f>IF(ROW()&lt;7,"",IF(OR(AJ20="",AJ17=""),"",IF(AJ17=0,"",(AJ20/AJ17)-1)))</f>
        <v/>
      </c>
      <c r="AM20" s="23" t="str">
        <f>IF(ROW()&lt;9,"",IF(OR(AJ20="",AJ15=""),"",IF(AJ15=0,"",(AJ20/AJ15)-1)))</f>
        <v/>
      </c>
      <c r="AN20" t="str">
        <f>IF(OR(AL20="",AM20=""),"",IF(AND(AL20&gt;0,AM20&gt;0),"Bull",IF(AND(AL20&lt;0,AM20&lt;0),"Bear","Mixed")))</f>
        <v/>
      </c>
      <c r="AO20" t="str">
        <f>IF(OR(AH20="",AN20=""),"",IF(AND(AH20="Bull",AN20="Bull"),"YES","NO"))</f>
        <v/>
      </c>
      <c r="AP20" t="str">
        <f>IF(OR(AH20="",AN20=""),"",IF(AND(AH20="Bear",AN20="Bear"),"YES","NO"))</f>
        <v/>
      </c>
      <c r="AQ20" t="str">
        <f>IF(AO20="YES",IF(SUM(N(X20),N(Y20),N(Z20))&gt;0,"SOXL","TQQQ"),IF(AP20="YES",IF(SUM(N(AA20),N(AB20),N(AC20))&gt;0,"SOXS","SQQQ"),"WAIT"))</f>
        <v>WAIT</v>
      </c>
      <c r="AR20" s="23" t="str">
        <f>IF(AO20="YES",IF(SUM(N(X20),N(Y20),N(Z20))&gt;0,"TQQQ","SOXL"),IF(AP20="YES",IF(SUM(N(AA20),N(AB20),N(AC20))&gt;0,"SQQQ","SOXS"),""))</f>
        <v/>
      </c>
      <c r="AS20" s="23" t="str">
        <f>IF(AQ20="WAIT","",IF(AR20="",1,0.6))</f>
        <v/>
      </c>
      <c r="AT20" s="23">
        <f>IF(AR20="",0,0.4)</f>
        <v>0</v>
      </c>
      <c r="AU20" s="23" t="str">
        <f>IF(AQ20="WAIT","WAIT",IF(AO20="YES","BULL",IF(AP20="YES","BEAR","WAIT")))</f>
        <v>WAIT</v>
      </c>
      <c r="AV20" t="str">
        <f>IF(AQ20="WAIT","Low",IF(OR(AND(AU20="BULL",ABS(SUM(N(X20),N(Y20),N(Z20)))&gt;=0.15),AND(AU20="BEAR",ABS(SUM(N(AA20),N(AB20),N(AC20)))&gt;=0.15)),"Strong",IF(OR(AND(AU20="BULL",ABS(SUM(N(X20),N(Y20),N(Z20)))&gt;=0.05),AND(AU20="BEAR",ABS(SUM(N(AA20),N(AB20),N(AC20)))&gt;=0.05)),"Moderate","Low")))</f>
        <v>Low</v>
      </c>
      <c r="AW20" t="str">
        <f>IF(AQ20="WAIT","QQQ and SMH not aligned",IF(AU20="BULL",IF(AQ20="SOXL","Bull regime; semiconductors leading","Bull regime; tech leading"),IF(AQ20="SOXS","Bear regime; semiconductors weakest","Bear regime; tech weakest")))</f>
        <v>QQQ and SMH not aligned</v>
      </c>
      <c r="AX20" t="str">
        <f>IF(AR20="WAIT","QQQ and SMH not aligned",IF(AV20="BULL",IF(AR20="SOXL","Bull regime; semiconductors leading","Bull regime; tech leading"),IF(AR20="SOXS","Bear regime; semiconductors weakest","Bear regime; tech weakest")))</f>
        <v>Bear regime; tech weakest</v>
      </c>
    </row>
    <row r="21" spans="1:50" x14ac:dyDescent="0.2">
      <c r="A21" s="12"/>
      <c r="B21" s="13"/>
      <c r="C21" s="13"/>
      <c r="D21" s="13"/>
      <c r="E21" s="13"/>
      <c r="F21" s="11" t="str">
        <f>IF(OR(E21="",E20=""),"",IF(E20=0,"",(E21/E20)-1))</f>
        <v/>
      </c>
      <c r="G21" s="13"/>
      <c r="H21" s="11" t="str">
        <f>IF(OR(G21="",G20=""),"",IF(G20=0,"",(G21/G20)-1))</f>
        <v/>
      </c>
      <c r="I21" s="13"/>
      <c r="J21" s="13"/>
      <c r="K21" s="13"/>
      <c r="L21" s="13"/>
      <c r="M21" s="23" t="str">
        <f>IF(OR(L21="",L20=""),"",IF(L20=0,"",(L21/L20)-1))</f>
        <v/>
      </c>
      <c r="N21" s="26" t="str">
        <f>IFERROR((M21/M20)-1,"")</f>
        <v/>
      </c>
      <c r="O21" s="23" t="str">
        <f>IF(OR(N21="",N20=""),"",IF(N20=0,"",(N21/N20)-1))</f>
        <v/>
      </c>
      <c r="P21" s="11" t="str">
        <f>IF(ROW()&lt;7,"",IF(OR(E21="",E18=""),"",IF(E18=0,"",(E21/E18)-1)))</f>
        <v/>
      </c>
      <c r="Q21" s="23" t="str">
        <f>IF(ROW()&lt;9,"",IF(OR(E21="",E16=""),"",IF(E16=0,"",(E21/E16)-1)))</f>
        <v/>
      </c>
      <c r="R21" s="23" t="str">
        <f>IF(ROW()&lt;7,"",IF(OR(G21="",G18=""),"",IF(G18=0,"",(G21/G18)-1)))</f>
        <v/>
      </c>
      <c r="S21" s="23" t="str">
        <f>IF(ROW()&lt;9,"",IF(OR(G21="",G16=""),"",IF(G16=0,"",(G21/G16)-1)))</f>
        <v/>
      </c>
      <c r="T21" s="23" t="str">
        <f>IF(ROW()&lt;7,"",IF(OR(L21="",L18=""),"",IF(L18=0,"",(L21/L18)-1)))</f>
        <v/>
      </c>
      <c r="U21" s="23" t="str">
        <f>IF(ROW()&lt;9,"",IF(OR(L21="",L16=""),"",IF(L16=0,"",(L21/L16)-1)))</f>
        <v/>
      </c>
      <c r="V21" s="23" t="str">
        <f>IF(ROW()&lt;7,"",IF(OR(N21="",N18=""),"",IF(N18=0,"",(N21/N18)-1)))</f>
        <v/>
      </c>
      <c r="W21" s="23" t="str">
        <f>IF(ROW()&lt;9,"",IF(OR(N21="",N16=""),"",IF(N16=0,"",(N21/N16)-1)))</f>
        <v/>
      </c>
      <c r="X21" s="23" t="str">
        <f>IF(OR(F21="",M21=""),"",F21-M21)</f>
        <v/>
      </c>
      <c r="Y21" s="23" t="str">
        <f>IF(OR(P21="",T21=""),"",P21-T21)</f>
        <v/>
      </c>
      <c r="Z21" s="23" t="str">
        <f>IF(OR(Q21="",U21=""),"",Q21-U21)</f>
        <v/>
      </c>
      <c r="AA21" s="23" t="str">
        <f>IF(OR(H21="",O21=""),"",H21-O21)</f>
        <v/>
      </c>
      <c r="AB21" s="23" t="str">
        <f>IF(OR(R21="",V21=""),"",R21-V21)</f>
        <v/>
      </c>
      <c r="AC21" s="23" t="str">
        <f>IF(OR(S21="",W21=""),"",S21-W21)</f>
        <v/>
      </c>
      <c r="AD21" s="13"/>
      <c r="AE21" s="23" t="str">
        <f>IF(OR(AD21="",AD20=""),"",IF(AD20=0,"",(AD21/AD20)-1))</f>
        <v/>
      </c>
      <c r="AF21" s="23" t="str">
        <f>IF(ROW()&lt;7,"",IF(OR(AD21="",AD18=""),"",IF(AD18=0,"",(AD21/AD18)-1)))</f>
        <v/>
      </c>
      <c r="AG21" s="23" t="str">
        <f>IF(ROW()&lt;9,"",IF(OR(AD21="",AD16=""),"",IF(AD16=0,"",(AD21/AD16)-1)))</f>
        <v/>
      </c>
      <c r="AH21" s="23" t="str">
        <f>IF(OR(AF21="",AG21=""),"",IF(AND(AF21&gt;0,AG21&gt;0),"Bull",IF(AND(AF21&lt;0,AG21&lt;0),"Bear","Mixed")))</f>
        <v/>
      </c>
      <c r="AI21" s="13"/>
      <c r="AJ21" s="13" t="str">
        <f>IF(OR(AI21="",AI20=""),"",IF(AI20=0,"",(AI21/AI20)-1))</f>
        <v/>
      </c>
      <c r="AK21" s="23" t="str">
        <f>IF(OR(AJ21="",AJ20=""),"",IF(AJ20=0,"",(AJ21/AJ20)-1))</f>
        <v/>
      </c>
      <c r="AL21" s="23" t="str">
        <f>IF(ROW()&lt;7,"",IF(OR(AJ21="",AJ18=""),"",IF(AJ18=0,"",(AJ21/AJ18)-1)))</f>
        <v/>
      </c>
      <c r="AM21" s="23" t="str">
        <f>IF(ROW()&lt;9,"",IF(OR(AJ21="",AJ16=""),"",IF(AJ16=0,"",(AJ21/AJ16)-1)))</f>
        <v/>
      </c>
      <c r="AN21" t="str">
        <f>IF(OR(AL21="",AM21=""),"",IF(AND(AL21&gt;0,AM21&gt;0),"Bull",IF(AND(AL21&lt;0,AM21&lt;0),"Bear","Mixed")))</f>
        <v/>
      </c>
      <c r="AO21" t="str">
        <f>IF(OR(AH21="",AN21=""),"",IF(AND(AH21="Bull",AN21="Bull"),"YES","NO"))</f>
        <v/>
      </c>
      <c r="AP21" t="str">
        <f>IF(OR(AH21="",AN21=""),"",IF(AND(AH21="Bear",AN21="Bear"),"YES","NO"))</f>
        <v/>
      </c>
      <c r="AQ21" t="str">
        <f>IF(AO21="YES",IF(SUM(N(X21),N(Y21),N(Z21))&gt;0,"SOXL","TQQQ"),IF(AP21="YES",IF(SUM(N(AA21),N(AB21),N(AC21))&gt;0,"SOXS","SQQQ"),"WAIT"))</f>
        <v>WAIT</v>
      </c>
      <c r="AR21" s="23" t="str">
        <f>IF(AO21="YES",IF(SUM(N(X21),N(Y21),N(Z21))&gt;0,"TQQQ","SOXL"),IF(AP21="YES",IF(SUM(N(AA21),N(AB21),N(AC21))&gt;0,"SQQQ","SOXS"),""))</f>
        <v/>
      </c>
      <c r="AS21" s="23" t="str">
        <f>IF(AQ21="WAIT","",IF(AR21="",1,0.6))</f>
        <v/>
      </c>
      <c r="AT21" s="23">
        <f>IF(AR21="",0,0.4)</f>
        <v>0</v>
      </c>
      <c r="AU21" s="23" t="str">
        <f>IF(AQ21="WAIT","WAIT",IF(AO21="YES","BULL",IF(AP21="YES","BEAR","WAIT")))</f>
        <v>WAIT</v>
      </c>
      <c r="AV21" t="str">
        <f>IF(AQ21="WAIT","Low",IF(OR(AND(AU21="BULL",ABS(SUM(N(X21),N(Y21),N(Z21)))&gt;=0.15),AND(AU21="BEAR",ABS(SUM(N(AA21),N(AB21),N(AC21)))&gt;=0.15)),"Strong",IF(OR(AND(AU21="BULL",ABS(SUM(N(X21),N(Y21),N(Z21)))&gt;=0.05),AND(AU21="BEAR",ABS(SUM(N(AA21),N(AB21),N(AC21)))&gt;=0.05)),"Moderate","Low")))</f>
        <v>Low</v>
      </c>
      <c r="AW21" t="str">
        <f>IF(AQ21="WAIT","QQQ and SMH not aligned",IF(AU21="BULL",IF(AQ21="SOXL","Bull regime; semiconductors leading","Bull regime; tech leading"),IF(AQ21="SOXS","Bear regime; semiconductors weakest","Bear regime; tech weakest")))</f>
        <v>QQQ and SMH not aligned</v>
      </c>
      <c r="AX21" t="str">
        <f>IF(AR21="WAIT","QQQ and SMH not aligned",IF(AV21="BULL",IF(AR21="SOXL","Bull regime; semiconductors leading","Bull regime; tech leading"),IF(AR21="SOXS","Bear regime; semiconductors weakest","Bear regime; tech weakest")))</f>
        <v>Bear regime; tech weakest</v>
      </c>
    </row>
    <row r="22" spans="1:50" x14ac:dyDescent="0.2">
      <c r="A22" s="12"/>
      <c r="B22" s="13"/>
      <c r="C22" s="13"/>
      <c r="D22" s="13"/>
      <c r="E22" s="13"/>
      <c r="F22" s="11" t="str">
        <f>IF(OR(E22="",E21=""),"",IF(E21=0,"",(E22/E21)-1))</f>
        <v/>
      </c>
      <c r="G22" s="13"/>
      <c r="H22" s="11" t="str">
        <f>IF(OR(G22="",G21=""),"",IF(G21=0,"",(G22/G21)-1))</f>
        <v/>
      </c>
      <c r="I22" s="13"/>
      <c r="J22" s="13"/>
      <c r="K22" s="13"/>
      <c r="L22" s="13"/>
      <c r="M22" s="23" t="str">
        <f>IF(OR(L22="",L21=""),"",IF(L21=0,"",(L22/L21)-1))</f>
        <v/>
      </c>
      <c r="N22" s="26" t="str">
        <f>IFERROR((M22/M21)-1,"")</f>
        <v/>
      </c>
      <c r="O22" s="23" t="str">
        <f>IF(OR(N22="",N21=""),"",IF(N21=0,"",(N22/N21)-1))</f>
        <v/>
      </c>
      <c r="P22" s="11" t="str">
        <f>IF(ROW()&lt;7,"",IF(OR(E22="",E19=""),"",IF(E19=0,"",(E22/E19)-1)))</f>
        <v/>
      </c>
      <c r="Q22" s="23" t="str">
        <f>IF(ROW()&lt;9,"",IF(OR(E22="",E17=""),"",IF(E17=0,"",(E22/E17)-1)))</f>
        <v/>
      </c>
      <c r="R22" s="23" t="str">
        <f>IF(ROW()&lt;7,"",IF(OR(G22="",G19=""),"",IF(G19=0,"",(G22/G19)-1)))</f>
        <v/>
      </c>
      <c r="S22" s="23" t="str">
        <f>IF(ROW()&lt;9,"",IF(OR(G22="",G17=""),"",IF(G17=0,"",(G22/G17)-1)))</f>
        <v/>
      </c>
      <c r="T22" s="23" t="str">
        <f>IF(ROW()&lt;7,"",IF(OR(L22="",L19=""),"",IF(L19=0,"",(L22/L19)-1)))</f>
        <v/>
      </c>
      <c r="U22" s="23" t="str">
        <f>IF(ROW()&lt;9,"",IF(OR(L22="",L17=""),"",IF(L17=0,"",(L22/L17)-1)))</f>
        <v/>
      </c>
      <c r="V22" s="23" t="str">
        <f>IF(ROW()&lt;7,"",IF(OR(N22="",N19=""),"",IF(N19=0,"",(N22/N19)-1)))</f>
        <v/>
      </c>
      <c r="W22" s="23" t="str">
        <f>IF(ROW()&lt;9,"",IF(OR(N22="",N17=""),"",IF(N17=0,"",(N22/N17)-1)))</f>
        <v/>
      </c>
      <c r="X22" s="23" t="str">
        <f>IF(OR(F22="",M22=""),"",F22-M22)</f>
        <v/>
      </c>
      <c r="Y22" s="23" t="str">
        <f>IF(OR(P22="",T22=""),"",P22-T22)</f>
        <v/>
      </c>
      <c r="Z22" s="23" t="str">
        <f>IF(OR(Q22="",U22=""),"",Q22-U22)</f>
        <v/>
      </c>
      <c r="AA22" s="23" t="str">
        <f>IF(OR(H22="",O22=""),"",H22-O22)</f>
        <v/>
      </c>
      <c r="AB22" s="23" t="str">
        <f>IF(OR(R22="",V22=""),"",R22-V22)</f>
        <v/>
      </c>
      <c r="AC22" s="23" t="str">
        <f>IF(OR(S22="",W22=""),"",S22-W22)</f>
        <v/>
      </c>
      <c r="AD22" s="13"/>
      <c r="AE22" s="23" t="str">
        <f>IF(OR(AD22="",AD21=""),"",IF(AD21=0,"",(AD22/AD21)-1))</f>
        <v/>
      </c>
      <c r="AF22" s="23" t="str">
        <f>IF(ROW()&lt;7,"",IF(OR(AD22="",AD19=""),"",IF(AD19=0,"",(AD22/AD19)-1)))</f>
        <v/>
      </c>
      <c r="AG22" s="23" t="str">
        <f>IF(ROW()&lt;9,"",IF(OR(AD22="",AD17=""),"",IF(AD17=0,"",(AD22/AD17)-1)))</f>
        <v/>
      </c>
      <c r="AH22" s="23" t="str">
        <f>IF(OR(AF22="",AG22=""),"",IF(AND(AF22&gt;0,AG22&gt;0),"Bull",IF(AND(AF22&lt;0,AG22&lt;0),"Bear","Mixed")))</f>
        <v/>
      </c>
      <c r="AI22" s="13"/>
      <c r="AJ22" s="13" t="str">
        <f>IF(OR(AI22="",AI21=""),"",IF(AI21=0,"",(AI22/AI21)-1))</f>
        <v/>
      </c>
      <c r="AK22" s="23" t="str">
        <f>IF(OR(AJ22="",AJ21=""),"",IF(AJ21=0,"",(AJ22/AJ21)-1))</f>
        <v/>
      </c>
      <c r="AL22" s="23" t="str">
        <f>IF(ROW()&lt;7,"",IF(OR(AJ22="",AJ19=""),"",IF(AJ19=0,"",(AJ22/AJ19)-1)))</f>
        <v/>
      </c>
      <c r="AM22" s="23" t="str">
        <f>IF(ROW()&lt;9,"",IF(OR(AJ22="",AJ17=""),"",IF(AJ17=0,"",(AJ22/AJ17)-1)))</f>
        <v/>
      </c>
      <c r="AN22" t="str">
        <f>IF(OR(AL22="",AM22=""),"",IF(AND(AL22&gt;0,AM22&gt;0),"Bull",IF(AND(AL22&lt;0,AM22&lt;0),"Bear","Mixed")))</f>
        <v/>
      </c>
      <c r="AO22" t="str">
        <f>IF(OR(AH22="",AN22=""),"",IF(AND(AH22="Bull",AN22="Bull"),"YES","NO"))</f>
        <v/>
      </c>
      <c r="AP22" t="str">
        <f>IF(OR(AH22="",AN22=""),"",IF(AND(AH22="Bear",AN22="Bear"),"YES","NO"))</f>
        <v/>
      </c>
      <c r="AQ22" t="str">
        <f>IF(AO22="YES",IF(SUM(N(X22),N(Y22),N(Z22))&gt;0,"SOXL","TQQQ"),IF(AP22="YES",IF(SUM(N(AA22),N(AB22),N(AC22))&gt;0,"SOXS","SQQQ"),"WAIT"))</f>
        <v>WAIT</v>
      </c>
      <c r="AR22" s="23" t="str">
        <f>IF(AO22="YES",IF(SUM(N(X22),N(Y22),N(Z22))&gt;0,"TQQQ","SOXL"),IF(AP22="YES",IF(SUM(N(AA22),N(AB22),N(AC22))&gt;0,"SQQQ","SOXS"),""))</f>
        <v/>
      </c>
      <c r="AS22" s="23" t="str">
        <f>IF(AQ22="WAIT","",IF(AR22="",1,0.6))</f>
        <v/>
      </c>
      <c r="AT22" s="23">
        <f>IF(AR22="",0,0.4)</f>
        <v>0</v>
      </c>
      <c r="AU22" s="23" t="str">
        <f>IF(AQ22="WAIT","WAIT",IF(AO22="YES","BULL",IF(AP22="YES","BEAR","WAIT")))</f>
        <v>WAIT</v>
      </c>
      <c r="AV22" t="str">
        <f>IF(AQ22="WAIT","Low",IF(OR(AND(AU22="BULL",ABS(SUM(N(X22),N(Y22),N(Z22)))&gt;=0.15),AND(AU22="BEAR",ABS(SUM(N(AA22),N(AB22),N(AC22)))&gt;=0.15)),"Strong",IF(OR(AND(AU22="BULL",ABS(SUM(N(X22),N(Y22),N(Z22)))&gt;=0.05),AND(AU22="BEAR",ABS(SUM(N(AA22),N(AB22),N(AC22)))&gt;=0.05)),"Moderate","Low")))</f>
        <v>Low</v>
      </c>
      <c r="AW22" t="str">
        <f>IF(AQ22="WAIT","QQQ and SMH not aligned",IF(AU22="BULL",IF(AQ22="SOXL","Bull regime; semiconductors leading","Bull regime; tech leading"),IF(AQ22="SOXS","Bear regime; semiconductors weakest","Bear regime; tech weakest")))</f>
        <v>QQQ and SMH not aligned</v>
      </c>
      <c r="AX22" t="str">
        <f>IF(AR22="WAIT","QQQ and SMH not aligned",IF(AV22="BULL",IF(AR22="SOXL","Bull regime; semiconductors leading","Bull regime; tech leading"),IF(AR22="SOXS","Bear regime; semiconductors weakest","Bear regime; tech weakest")))</f>
        <v>Bear regime; tech weakest</v>
      </c>
    </row>
    <row r="23" spans="1:50" x14ac:dyDescent="0.2">
      <c r="A23" s="12"/>
      <c r="B23" s="13"/>
      <c r="C23" s="13"/>
      <c r="D23" s="13"/>
      <c r="E23" s="13"/>
      <c r="F23" s="11" t="str">
        <f>IF(OR(E23="",E22=""),"",IF(E22=0,"",(E23/E22)-1))</f>
        <v/>
      </c>
      <c r="G23" s="13"/>
      <c r="H23" s="11" t="str">
        <f>IF(OR(G23="",G22=""),"",IF(G22=0,"",(G23/G22)-1))</f>
        <v/>
      </c>
      <c r="I23" s="13"/>
      <c r="J23" s="13"/>
      <c r="K23" s="13"/>
      <c r="L23" s="13"/>
      <c r="M23" s="23" t="str">
        <f>IF(OR(L23="",L22=""),"",IF(L22=0,"",(L23/L22)-1))</f>
        <v/>
      </c>
      <c r="N23" s="26" t="str">
        <f>IFERROR((M23/M22)-1,"")</f>
        <v/>
      </c>
      <c r="O23" s="23" t="str">
        <f>IF(OR(N23="",N22=""),"",IF(N22=0,"",(N23/N22)-1))</f>
        <v/>
      </c>
      <c r="P23" s="11" t="str">
        <f>IF(ROW()&lt;7,"",IF(OR(E23="",E20=""),"",IF(E20=0,"",(E23/E20)-1)))</f>
        <v/>
      </c>
      <c r="Q23" s="23" t="str">
        <f>IF(ROW()&lt;9,"",IF(OR(E23="",E18=""),"",IF(E18=0,"",(E23/E18)-1)))</f>
        <v/>
      </c>
      <c r="R23" s="23" t="str">
        <f>IF(ROW()&lt;7,"",IF(OR(G23="",G20=""),"",IF(G20=0,"",(G23/G20)-1)))</f>
        <v/>
      </c>
      <c r="S23" s="23" t="str">
        <f>IF(ROW()&lt;9,"",IF(OR(G23="",G18=""),"",IF(G18=0,"",(G23/G18)-1)))</f>
        <v/>
      </c>
      <c r="T23" s="23" t="str">
        <f>IF(ROW()&lt;7,"",IF(OR(L23="",L20=""),"",IF(L20=0,"",(L23/L20)-1)))</f>
        <v/>
      </c>
      <c r="U23" s="23" t="str">
        <f>IF(ROW()&lt;9,"",IF(OR(L23="",L18=""),"",IF(L18=0,"",(L23/L18)-1)))</f>
        <v/>
      </c>
      <c r="V23" s="23" t="str">
        <f>IF(ROW()&lt;7,"",IF(OR(N23="",N20=""),"",IF(N20=0,"",(N23/N20)-1)))</f>
        <v/>
      </c>
      <c r="W23" s="23" t="str">
        <f>IF(ROW()&lt;9,"",IF(OR(N23="",N18=""),"",IF(N18=0,"",(N23/N18)-1)))</f>
        <v/>
      </c>
      <c r="X23" s="23" t="str">
        <f>IF(OR(F23="",M23=""),"",F23-M23)</f>
        <v/>
      </c>
      <c r="Y23" s="23" t="str">
        <f>IF(OR(P23="",T23=""),"",P23-T23)</f>
        <v/>
      </c>
      <c r="Z23" s="23" t="str">
        <f>IF(OR(Q23="",U23=""),"",Q23-U23)</f>
        <v/>
      </c>
      <c r="AA23" s="23" t="str">
        <f>IF(OR(H23="",O23=""),"",H23-O23)</f>
        <v/>
      </c>
      <c r="AB23" s="23" t="str">
        <f>IF(OR(R23="",V23=""),"",R23-V23)</f>
        <v/>
      </c>
      <c r="AC23" s="23" t="str">
        <f>IF(OR(S23="",W23=""),"",S23-W23)</f>
        <v/>
      </c>
      <c r="AD23" s="13"/>
      <c r="AE23" s="23" t="str">
        <f>IF(OR(AD23="",AD22=""),"",IF(AD22=0,"",(AD23/AD22)-1))</f>
        <v/>
      </c>
      <c r="AF23" s="23" t="str">
        <f>IF(ROW()&lt;7,"",IF(OR(AD23="",AD20=""),"",IF(AD20=0,"",(AD23/AD20)-1)))</f>
        <v/>
      </c>
      <c r="AG23" s="23" t="str">
        <f>IF(ROW()&lt;9,"",IF(OR(AD23="",AD18=""),"",IF(AD18=0,"",(AD23/AD18)-1)))</f>
        <v/>
      </c>
      <c r="AH23" s="23" t="str">
        <f>IF(OR(AF23="",AG23=""),"",IF(AND(AF23&gt;0,AG23&gt;0),"Bull",IF(AND(AF23&lt;0,AG23&lt;0),"Bear","Mixed")))</f>
        <v/>
      </c>
      <c r="AI23" s="13"/>
      <c r="AJ23" s="13" t="str">
        <f>IF(OR(AI23="",AI22=""),"",IF(AI22=0,"",(AI23/AI22)-1))</f>
        <v/>
      </c>
      <c r="AK23" s="23" t="str">
        <f>IF(OR(AJ23="",AJ22=""),"",IF(AJ22=0,"",(AJ23/AJ22)-1))</f>
        <v/>
      </c>
      <c r="AL23" s="23" t="str">
        <f>IF(ROW()&lt;7,"",IF(OR(AJ23="",AJ20=""),"",IF(AJ20=0,"",(AJ23/AJ20)-1)))</f>
        <v/>
      </c>
      <c r="AM23" s="23" t="str">
        <f>IF(ROW()&lt;9,"",IF(OR(AJ23="",AJ18=""),"",IF(AJ18=0,"",(AJ23/AJ18)-1)))</f>
        <v/>
      </c>
      <c r="AN23" t="str">
        <f>IF(OR(AL23="",AM23=""),"",IF(AND(AL23&gt;0,AM23&gt;0),"Bull",IF(AND(AL23&lt;0,AM23&lt;0),"Bear","Mixed")))</f>
        <v/>
      </c>
      <c r="AO23" t="str">
        <f>IF(OR(AH23="",AN23=""),"",IF(AND(AH23="Bull",AN23="Bull"),"YES","NO"))</f>
        <v/>
      </c>
      <c r="AP23" t="str">
        <f>IF(OR(AH23="",AN23=""),"",IF(AND(AH23="Bear",AN23="Bear"),"YES","NO"))</f>
        <v/>
      </c>
      <c r="AQ23" t="str">
        <f>IF(AO23="YES",IF(SUM(N(X23),N(Y23),N(Z23))&gt;0,"SOXL","TQQQ"),IF(AP23="YES",IF(SUM(N(AA23),N(AB23),N(AC23))&gt;0,"SOXS","SQQQ"),"WAIT"))</f>
        <v>WAIT</v>
      </c>
      <c r="AR23" s="23" t="str">
        <f>IF(AO23="YES",IF(SUM(N(X23),N(Y23),N(Z23))&gt;0,"TQQQ","SOXL"),IF(AP23="YES",IF(SUM(N(AA23),N(AB23),N(AC23))&gt;0,"SQQQ","SOXS"),""))</f>
        <v/>
      </c>
      <c r="AS23" s="23" t="str">
        <f>IF(AQ23="WAIT","",IF(AR23="",1,0.6))</f>
        <v/>
      </c>
      <c r="AT23" s="23">
        <f>IF(AR23="",0,0.4)</f>
        <v>0</v>
      </c>
      <c r="AU23" s="23" t="str">
        <f>IF(AQ23="WAIT","WAIT",IF(AO23="YES","BULL",IF(AP23="YES","BEAR","WAIT")))</f>
        <v>WAIT</v>
      </c>
      <c r="AV23" t="str">
        <f>IF(AQ23="WAIT","Low",IF(OR(AND(AU23="BULL",ABS(SUM(N(X23),N(Y23),N(Z23)))&gt;=0.15),AND(AU23="BEAR",ABS(SUM(N(AA23),N(AB23),N(AC23)))&gt;=0.15)),"Strong",IF(OR(AND(AU23="BULL",ABS(SUM(N(X23),N(Y23),N(Z23)))&gt;=0.05),AND(AU23="BEAR",ABS(SUM(N(AA23),N(AB23),N(AC23)))&gt;=0.05)),"Moderate","Low")))</f>
        <v>Low</v>
      </c>
      <c r="AW23" t="str">
        <f>IF(AQ23="WAIT","QQQ and SMH not aligned",IF(AU23="BULL",IF(AQ23="SOXL","Bull regime; semiconductors leading","Bull regime; tech leading"),IF(AQ23="SOXS","Bear regime; semiconductors weakest","Bear regime; tech weakest")))</f>
        <v>QQQ and SMH not aligned</v>
      </c>
      <c r="AX23" t="str">
        <f>IF(AR23="WAIT","QQQ and SMH not aligned",IF(AV23="BULL",IF(AR23="SOXL","Bull regime; semiconductors leading","Bull regime; tech leading"),IF(AR23="SOXS","Bear regime; semiconductors weakest","Bear regime; tech weakest")))</f>
        <v>Bear regime; tech weakest</v>
      </c>
    </row>
    <row r="24" spans="1:50" x14ac:dyDescent="0.2">
      <c r="A24" s="12"/>
      <c r="B24" s="13"/>
      <c r="C24" s="13"/>
      <c r="D24" s="13"/>
      <c r="E24" s="13"/>
      <c r="F24" s="11" t="str">
        <f>IF(OR(E24="",E23=""),"",IF(E23=0,"",(E24/E23)-1))</f>
        <v/>
      </c>
      <c r="G24" s="13"/>
      <c r="H24" s="11" t="str">
        <f>IF(OR(G24="",G23=""),"",IF(G23=0,"",(G24/G23)-1))</f>
        <v/>
      </c>
      <c r="I24" s="13"/>
      <c r="J24" s="13"/>
      <c r="K24" s="13"/>
      <c r="L24" s="13"/>
      <c r="M24" s="23" t="str">
        <f>IF(OR(L24="",L23=""),"",IF(L23=0,"",(L24/L23)-1))</f>
        <v/>
      </c>
      <c r="N24" s="26" t="str">
        <f>IFERROR((M24/M23)-1,"")</f>
        <v/>
      </c>
      <c r="O24" s="23" t="str">
        <f>IF(OR(N24="",N23=""),"",IF(N23=0,"",(N24/N23)-1))</f>
        <v/>
      </c>
      <c r="P24" s="11" t="str">
        <f>IF(ROW()&lt;7,"",IF(OR(E24="",E21=""),"",IF(E21=0,"",(E24/E21)-1)))</f>
        <v/>
      </c>
      <c r="Q24" s="23" t="str">
        <f>IF(ROW()&lt;9,"",IF(OR(E24="",E19=""),"",IF(E19=0,"",(E24/E19)-1)))</f>
        <v/>
      </c>
      <c r="R24" s="23" t="str">
        <f>IF(ROW()&lt;7,"",IF(OR(G24="",G21=""),"",IF(G21=0,"",(G24/G21)-1)))</f>
        <v/>
      </c>
      <c r="S24" s="23" t="str">
        <f>IF(ROW()&lt;9,"",IF(OR(G24="",G19=""),"",IF(G19=0,"",(G24/G19)-1)))</f>
        <v/>
      </c>
      <c r="T24" s="23" t="str">
        <f>IF(ROW()&lt;7,"",IF(OR(L24="",L21=""),"",IF(L21=0,"",(L24/L21)-1)))</f>
        <v/>
      </c>
      <c r="U24" s="23" t="str">
        <f>IF(ROW()&lt;9,"",IF(OR(L24="",L19=""),"",IF(L19=0,"",(L24/L19)-1)))</f>
        <v/>
      </c>
      <c r="V24" s="23" t="str">
        <f>IF(ROW()&lt;7,"",IF(OR(N24="",N21=""),"",IF(N21=0,"",(N24/N21)-1)))</f>
        <v/>
      </c>
      <c r="W24" s="23" t="str">
        <f>IF(ROW()&lt;9,"",IF(OR(N24="",N19=""),"",IF(N19=0,"",(N24/N19)-1)))</f>
        <v/>
      </c>
      <c r="X24" s="23" t="str">
        <f>IF(OR(F24="",M24=""),"",F24-M24)</f>
        <v/>
      </c>
      <c r="Y24" s="23" t="str">
        <f>IF(OR(P24="",T24=""),"",P24-T24)</f>
        <v/>
      </c>
      <c r="Z24" s="23" t="str">
        <f>IF(OR(Q24="",U24=""),"",Q24-U24)</f>
        <v/>
      </c>
      <c r="AA24" s="23" t="str">
        <f>IF(OR(H24="",O24=""),"",H24-O24)</f>
        <v/>
      </c>
      <c r="AB24" s="23" t="str">
        <f>IF(OR(R24="",V24=""),"",R24-V24)</f>
        <v/>
      </c>
      <c r="AC24" s="23" t="str">
        <f>IF(OR(S24="",W24=""),"",S24-W24)</f>
        <v/>
      </c>
      <c r="AD24" s="13"/>
      <c r="AE24" s="23" t="str">
        <f>IF(OR(AD24="",AD23=""),"",IF(AD23=0,"",(AD24/AD23)-1))</f>
        <v/>
      </c>
      <c r="AF24" s="23" t="str">
        <f>IF(ROW()&lt;7,"",IF(OR(AD24="",AD21=""),"",IF(AD21=0,"",(AD24/AD21)-1)))</f>
        <v/>
      </c>
      <c r="AG24" s="23" t="str">
        <f>IF(ROW()&lt;9,"",IF(OR(AD24="",AD19=""),"",IF(AD19=0,"",(AD24/AD19)-1)))</f>
        <v/>
      </c>
      <c r="AH24" s="23" t="str">
        <f>IF(OR(AF24="",AG24=""),"",IF(AND(AF24&gt;0,AG24&gt;0),"Bull",IF(AND(AF24&lt;0,AG24&lt;0),"Bear","Mixed")))</f>
        <v/>
      </c>
      <c r="AI24" s="13"/>
      <c r="AJ24" s="13" t="str">
        <f>IF(OR(AI24="",AI23=""),"",IF(AI23=0,"",(AI24/AI23)-1))</f>
        <v/>
      </c>
      <c r="AK24" s="23" t="str">
        <f>IF(OR(AJ24="",AJ23=""),"",IF(AJ23=0,"",(AJ24/AJ23)-1))</f>
        <v/>
      </c>
      <c r="AL24" s="23" t="str">
        <f>IF(ROW()&lt;7,"",IF(OR(AJ24="",AJ21=""),"",IF(AJ21=0,"",(AJ24/AJ21)-1)))</f>
        <v/>
      </c>
      <c r="AM24" s="23" t="str">
        <f>IF(ROW()&lt;9,"",IF(OR(AJ24="",AJ19=""),"",IF(AJ19=0,"",(AJ24/AJ19)-1)))</f>
        <v/>
      </c>
      <c r="AN24" t="str">
        <f>IF(OR(AL24="",AM24=""),"",IF(AND(AL24&gt;0,AM24&gt;0),"Bull",IF(AND(AL24&lt;0,AM24&lt;0),"Bear","Mixed")))</f>
        <v/>
      </c>
      <c r="AO24" t="str">
        <f>IF(OR(AH24="",AN24=""),"",IF(AND(AH24="Bull",AN24="Bull"),"YES","NO"))</f>
        <v/>
      </c>
      <c r="AP24" t="str">
        <f>IF(OR(AH24="",AN24=""),"",IF(AND(AH24="Bear",AN24="Bear"),"YES","NO"))</f>
        <v/>
      </c>
      <c r="AQ24" t="str">
        <f>IF(AO24="YES",IF(SUM(N(X24),N(Y24),N(Z24))&gt;0,"SOXL","TQQQ"),IF(AP24="YES",IF(SUM(N(AA24),N(AB24),N(AC24))&gt;0,"SOXS","SQQQ"),"WAIT"))</f>
        <v>WAIT</v>
      </c>
      <c r="AR24" s="23" t="str">
        <f>IF(AO24="YES",IF(SUM(N(X24),N(Y24),N(Z24))&gt;0,"TQQQ","SOXL"),IF(AP24="YES",IF(SUM(N(AA24),N(AB24),N(AC24))&gt;0,"SQQQ","SOXS"),""))</f>
        <v/>
      </c>
      <c r="AS24" s="23" t="str">
        <f>IF(AQ24="WAIT","",IF(AR24="",1,0.6))</f>
        <v/>
      </c>
      <c r="AT24" s="23">
        <f>IF(AR24="",0,0.4)</f>
        <v>0</v>
      </c>
      <c r="AU24" s="23" t="str">
        <f>IF(AQ24="WAIT","WAIT",IF(AO24="YES","BULL",IF(AP24="YES","BEAR","WAIT")))</f>
        <v>WAIT</v>
      </c>
      <c r="AV24" t="str">
        <f>IF(AQ24="WAIT","Low",IF(OR(AND(AU24="BULL",ABS(SUM(N(X24),N(Y24),N(Z24)))&gt;=0.15),AND(AU24="BEAR",ABS(SUM(N(AA24),N(AB24),N(AC24)))&gt;=0.15)),"Strong",IF(OR(AND(AU24="BULL",ABS(SUM(N(X24),N(Y24),N(Z24)))&gt;=0.05),AND(AU24="BEAR",ABS(SUM(N(AA24),N(AB24),N(AC24)))&gt;=0.05)),"Moderate","Low")))</f>
        <v>Low</v>
      </c>
      <c r="AW24" t="str">
        <f>IF(AQ24="WAIT","QQQ and SMH not aligned",IF(AU24="BULL",IF(AQ24="SOXL","Bull regime; semiconductors leading","Bull regime; tech leading"),IF(AQ24="SOXS","Bear regime; semiconductors weakest","Bear regime; tech weakest")))</f>
        <v>QQQ and SMH not aligned</v>
      </c>
      <c r="AX24" t="str">
        <f>IF(AR24="WAIT","QQQ and SMH not aligned",IF(AV24="BULL",IF(AR24="SOXL","Bull regime; semiconductors leading","Bull regime; tech leading"),IF(AR24="SOXS","Bear regime; semiconductors weakest","Bear regime; tech weakest")))</f>
        <v>Bear regime; tech weakest</v>
      </c>
    </row>
    <row r="25" spans="1:50" x14ac:dyDescent="0.2">
      <c r="A25" s="12"/>
      <c r="B25" s="13"/>
      <c r="C25" s="13"/>
      <c r="D25" s="13"/>
      <c r="E25" s="13"/>
      <c r="F25" s="11" t="str">
        <f>IF(OR(E25="",E24=""),"",IF(E24=0,"",(E25/E24)-1))</f>
        <v/>
      </c>
      <c r="G25" s="13"/>
      <c r="H25" s="11" t="str">
        <f>IF(OR(G25="",G24=""),"",IF(G24=0,"",(G25/G24)-1))</f>
        <v/>
      </c>
      <c r="I25" s="13"/>
      <c r="J25" s="13"/>
      <c r="K25" s="13"/>
      <c r="L25" s="13"/>
      <c r="M25" s="23" t="str">
        <f>IF(OR(L25="",L24=""),"",IF(L24=0,"",(L25/L24)-1))</f>
        <v/>
      </c>
      <c r="N25" s="26" t="str">
        <f>IFERROR((M25/M24)-1,"")</f>
        <v/>
      </c>
      <c r="O25" s="23" t="str">
        <f>IF(OR(N25="",N24=""),"",IF(N24=0,"",(N25/N24)-1))</f>
        <v/>
      </c>
      <c r="P25" s="11" t="str">
        <f>IF(ROW()&lt;7,"",IF(OR(E25="",E22=""),"",IF(E22=0,"",(E25/E22)-1)))</f>
        <v/>
      </c>
      <c r="Q25" s="23" t="str">
        <f>IF(ROW()&lt;9,"",IF(OR(E25="",E20=""),"",IF(E20=0,"",(E25/E20)-1)))</f>
        <v/>
      </c>
      <c r="R25" s="23" t="str">
        <f>IF(ROW()&lt;7,"",IF(OR(G25="",G22=""),"",IF(G22=0,"",(G25/G22)-1)))</f>
        <v/>
      </c>
      <c r="S25" s="23" t="str">
        <f>IF(ROW()&lt;9,"",IF(OR(G25="",G20=""),"",IF(G20=0,"",(G25/G20)-1)))</f>
        <v/>
      </c>
      <c r="T25" s="23" t="str">
        <f>IF(ROW()&lt;7,"",IF(OR(L25="",L22=""),"",IF(L22=0,"",(L25/L22)-1)))</f>
        <v/>
      </c>
      <c r="U25" s="23" t="str">
        <f>IF(ROW()&lt;9,"",IF(OR(L25="",L20=""),"",IF(L20=0,"",(L25/L20)-1)))</f>
        <v/>
      </c>
      <c r="V25" s="23" t="str">
        <f>IF(ROW()&lt;7,"",IF(OR(N25="",N22=""),"",IF(N22=0,"",(N25/N22)-1)))</f>
        <v/>
      </c>
      <c r="W25" s="23" t="str">
        <f>IF(ROW()&lt;9,"",IF(OR(N25="",N20=""),"",IF(N20=0,"",(N25/N20)-1)))</f>
        <v/>
      </c>
      <c r="X25" s="23" t="str">
        <f>IF(OR(F25="",M25=""),"",F25-M25)</f>
        <v/>
      </c>
      <c r="Y25" s="23" t="str">
        <f>IF(OR(P25="",T25=""),"",P25-T25)</f>
        <v/>
      </c>
      <c r="Z25" s="23" t="str">
        <f>IF(OR(Q25="",U25=""),"",Q25-U25)</f>
        <v/>
      </c>
      <c r="AA25" s="23" t="str">
        <f>IF(OR(H25="",O25=""),"",H25-O25)</f>
        <v/>
      </c>
      <c r="AB25" s="23" t="str">
        <f>IF(OR(R25="",V25=""),"",R25-V25)</f>
        <v/>
      </c>
      <c r="AC25" s="23" t="str">
        <f>IF(OR(S25="",W25=""),"",S25-W25)</f>
        <v/>
      </c>
      <c r="AD25" s="13"/>
      <c r="AE25" s="23" t="str">
        <f>IF(OR(AD25="",AD24=""),"",IF(AD24=0,"",(AD25/AD24)-1))</f>
        <v/>
      </c>
      <c r="AF25" s="23" t="str">
        <f>IF(ROW()&lt;7,"",IF(OR(AD25="",AD22=""),"",IF(AD22=0,"",(AD25/AD22)-1)))</f>
        <v/>
      </c>
      <c r="AG25" s="23" t="str">
        <f>IF(ROW()&lt;9,"",IF(OR(AD25="",AD20=""),"",IF(AD20=0,"",(AD25/AD20)-1)))</f>
        <v/>
      </c>
      <c r="AH25" s="23" t="str">
        <f>IF(OR(AF25="",AG25=""),"",IF(AND(AF25&gt;0,AG25&gt;0),"Bull",IF(AND(AF25&lt;0,AG25&lt;0),"Bear","Mixed")))</f>
        <v/>
      </c>
      <c r="AI25" s="13"/>
      <c r="AJ25" s="13" t="str">
        <f>IF(OR(AI25="",AI24=""),"",IF(AI24=0,"",(AI25/AI24)-1))</f>
        <v/>
      </c>
      <c r="AK25" s="23" t="str">
        <f>IF(OR(AJ25="",AJ24=""),"",IF(AJ24=0,"",(AJ25/AJ24)-1))</f>
        <v/>
      </c>
      <c r="AL25" s="23" t="str">
        <f>IF(ROW()&lt;7,"",IF(OR(AJ25="",AJ22=""),"",IF(AJ22=0,"",(AJ25/AJ22)-1)))</f>
        <v/>
      </c>
      <c r="AM25" s="23" t="str">
        <f>IF(ROW()&lt;9,"",IF(OR(AJ25="",AJ20=""),"",IF(AJ20=0,"",(AJ25/AJ20)-1)))</f>
        <v/>
      </c>
      <c r="AN25" t="str">
        <f>IF(OR(AL25="",AM25=""),"",IF(AND(AL25&gt;0,AM25&gt;0),"Bull",IF(AND(AL25&lt;0,AM25&lt;0),"Bear","Mixed")))</f>
        <v/>
      </c>
      <c r="AO25" t="str">
        <f>IF(OR(AH25="",AN25=""),"",IF(AND(AH25="Bull",AN25="Bull"),"YES","NO"))</f>
        <v/>
      </c>
      <c r="AP25" t="str">
        <f>IF(OR(AH25="",AN25=""),"",IF(AND(AH25="Bear",AN25="Bear"),"YES","NO"))</f>
        <v/>
      </c>
      <c r="AQ25" t="str">
        <f>IF(AO25="YES",IF(SUM(N(X25),N(Y25),N(Z25))&gt;0,"SOXL","TQQQ"),IF(AP25="YES",IF(SUM(N(AA25),N(AB25),N(AC25))&gt;0,"SOXS","SQQQ"),"WAIT"))</f>
        <v>WAIT</v>
      </c>
      <c r="AR25" s="23" t="str">
        <f>IF(AO25="YES",IF(SUM(N(X25),N(Y25),N(Z25))&gt;0,"TQQQ","SOXL"),IF(AP25="YES",IF(SUM(N(AA25),N(AB25),N(AC25))&gt;0,"SQQQ","SOXS"),""))</f>
        <v/>
      </c>
      <c r="AS25" s="23" t="str">
        <f>IF(AQ25="WAIT","",IF(AR25="",1,0.6))</f>
        <v/>
      </c>
      <c r="AT25" s="23">
        <f>IF(AR25="",0,0.4)</f>
        <v>0</v>
      </c>
      <c r="AU25" s="23" t="str">
        <f>IF(AQ25="WAIT","WAIT",IF(AO25="YES","BULL",IF(AP25="YES","BEAR","WAIT")))</f>
        <v>WAIT</v>
      </c>
      <c r="AV25" t="str">
        <f>IF(AQ25="WAIT","Low",IF(OR(AND(AU25="BULL",ABS(SUM(N(X25),N(Y25),N(Z25)))&gt;=0.15),AND(AU25="BEAR",ABS(SUM(N(AA25),N(AB25),N(AC25)))&gt;=0.15)),"Strong",IF(OR(AND(AU25="BULL",ABS(SUM(N(X25),N(Y25),N(Z25)))&gt;=0.05),AND(AU25="BEAR",ABS(SUM(N(AA25),N(AB25),N(AC25)))&gt;=0.05)),"Moderate","Low")))</f>
        <v>Low</v>
      </c>
      <c r="AW25" t="str">
        <f>IF(AQ25="WAIT","QQQ and SMH not aligned",IF(AU25="BULL",IF(AQ25="SOXL","Bull regime; semiconductors leading","Bull regime; tech leading"),IF(AQ25="SOXS","Bear regime; semiconductors weakest","Bear regime; tech weakest")))</f>
        <v>QQQ and SMH not aligned</v>
      </c>
      <c r="AX25" t="str">
        <f>IF(AR25="WAIT","QQQ and SMH not aligned",IF(AV25="BULL",IF(AR25="SOXL","Bull regime; semiconductors leading","Bull regime; tech leading"),IF(AR25="SOXS","Bear regime; semiconductors weakest","Bear regime; tech weakest")))</f>
        <v>Bear regime; tech weakest</v>
      </c>
    </row>
    <row r="26" spans="1:50" x14ac:dyDescent="0.2">
      <c r="A26" s="12"/>
      <c r="B26" s="13"/>
      <c r="C26" s="13"/>
      <c r="D26" s="13"/>
      <c r="E26" s="13"/>
      <c r="F26" s="11" t="str">
        <f>IF(OR(E26="",E25=""),"",IF(E25=0,"",(E26/E25)-1))</f>
        <v/>
      </c>
      <c r="G26" s="13"/>
      <c r="H26" s="11" t="str">
        <f>IF(OR(G26="",G25=""),"",IF(G25=0,"",(G26/G25)-1))</f>
        <v/>
      </c>
      <c r="I26" s="13"/>
      <c r="J26" s="13"/>
      <c r="K26" s="13"/>
      <c r="L26" s="13"/>
      <c r="M26" s="23" t="str">
        <f>IF(OR(L26="",L25=""),"",IF(L25=0,"",(L26/L25)-1))</f>
        <v/>
      </c>
      <c r="N26" s="26" t="str">
        <f>IFERROR((M26/M25)-1,"")</f>
        <v/>
      </c>
      <c r="O26" s="23" t="str">
        <f>IF(OR(N26="",N25=""),"",IF(N25=0,"",(N26/N25)-1))</f>
        <v/>
      </c>
      <c r="P26" s="11" t="str">
        <f>IF(ROW()&lt;7,"",IF(OR(E26="",E23=""),"",IF(E23=0,"",(E26/E23)-1)))</f>
        <v/>
      </c>
      <c r="Q26" s="23" t="str">
        <f>IF(ROW()&lt;9,"",IF(OR(E26="",E21=""),"",IF(E21=0,"",(E26/E21)-1)))</f>
        <v/>
      </c>
      <c r="R26" s="23" t="str">
        <f>IF(ROW()&lt;7,"",IF(OR(G26="",G23=""),"",IF(G23=0,"",(G26/G23)-1)))</f>
        <v/>
      </c>
      <c r="S26" s="23" t="str">
        <f>IF(ROW()&lt;9,"",IF(OR(G26="",G21=""),"",IF(G21=0,"",(G26/G21)-1)))</f>
        <v/>
      </c>
      <c r="T26" s="23" t="str">
        <f>IF(ROW()&lt;7,"",IF(OR(L26="",L23=""),"",IF(L23=0,"",(L26/L23)-1)))</f>
        <v/>
      </c>
      <c r="U26" s="23" t="str">
        <f>IF(ROW()&lt;9,"",IF(OR(L26="",L21=""),"",IF(L21=0,"",(L26/L21)-1)))</f>
        <v/>
      </c>
      <c r="V26" s="23" t="str">
        <f>IF(ROW()&lt;7,"",IF(OR(N26="",N23=""),"",IF(N23=0,"",(N26/N23)-1)))</f>
        <v/>
      </c>
      <c r="W26" s="23" t="str">
        <f>IF(ROW()&lt;9,"",IF(OR(N26="",N21=""),"",IF(N21=0,"",(N26/N21)-1)))</f>
        <v/>
      </c>
      <c r="X26" s="23" t="str">
        <f>IF(OR(F26="",M26=""),"",F26-M26)</f>
        <v/>
      </c>
      <c r="Y26" s="23" t="str">
        <f>IF(OR(P26="",T26=""),"",P26-T26)</f>
        <v/>
      </c>
      <c r="Z26" s="23" t="str">
        <f>IF(OR(Q26="",U26=""),"",Q26-U26)</f>
        <v/>
      </c>
      <c r="AA26" s="23" t="str">
        <f>IF(OR(H26="",O26=""),"",H26-O26)</f>
        <v/>
      </c>
      <c r="AB26" s="23" t="str">
        <f>IF(OR(R26="",V26=""),"",R26-V26)</f>
        <v/>
      </c>
      <c r="AC26" s="23" t="str">
        <f>IF(OR(S26="",W26=""),"",S26-W26)</f>
        <v/>
      </c>
      <c r="AD26" s="13"/>
      <c r="AE26" s="23" t="str">
        <f>IF(OR(AD26="",AD25=""),"",IF(AD25=0,"",(AD26/AD25)-1))</f>
        <v/>
      </c>
      <c r="AF26" s="23" t="str">
        <f>IF(ROW()&lt;7,"",IF(OR(AD26="",AD23=""),"",IF(AD23=0,"",(AD26/AD23)-1)))</f>
        <v/>
      </c>
      <c r="AG26" s="23" t="str">
        <f>IF(ROW()&lt;9,"",IF(OR(AD26="",AD21=""),"",IF(AD21=0,"",(AD26/AD21)-1)))</f>
        <v/>
      </c>
      <c r="AH26" s="23" t="str">
        <f>IF(OR(AF26="",AG26=""),"",IF(AND(AF26&gt;0,AG26&gt;0),"Bull",IF(AND(AF26&lt;0,AG26&lt;0),"Bear","Mixed")))</f>
        <v/>
      </c>
      <c r="AI26" s="13"/>
      <c r="AJ26" s="13" t="str">
        <f>IF(OR(AI26="",AI25=""),"",IF(AI25=0,"",(AI26/AI25)-1))</f>
        <v/>
      </c>
      <c r="AK26" s="23" t="str">
        <f>IF(OR(AJ26="",AJ25=""),"",IF(AJ25=0,"",(AJ26/AJ25)-1))</f>
        <v/>
      </c>
      <c r="AL26" s="23" t="str">
        <f>IF(ROW()&lt;7,"",IF(OR(AJ26="",AJ23=""),"",IF(AJ23=0,"",(AJ26/AJ23)-1)))</f>
        <v/>
      </c>
      <c r="AM26" s="23" t="str">
        <f>IF(ROW()&lt;9,"",IF(OR(AJ26="",AJ21=""),"",IF(AJ21=0,"",(AJ26/AJ21)-1)))</f>
        <v/>
      </c>
      <c r="AN26" t="str">
        <f>IF(OR(AL26="",AM26=""),"",IF(AND(AL26&gt;0,AM26&gt;0),"Bull",IF(AND(AL26&lt;0,AM26&lt;0),"Bear","Mixed")))</f>
        <v/>
      </c>
      <c r="AO26" t="str">
        <f>IF(OR(AH26="",AN26=""),"",IF(AND(AH26="Bull",AN26="Bull"),"YES","NO"))</f>
        <v/>
      </c>
      <c r="AP26" t="str">
        <f>IF(OR(AH26="",AN26=""),"",IF(AND(AH26="Bear",AN26="Bear"),"YES","NO"))</f>
        <v/>
      </c>
      <c r="AQ26" t="str">
        <f>IF(AO26="YES",IF(SUM(N(X26),N(Y26),N(Z26))&gt;0,"SOXL","TQQQ"),IF(AP26="YES",IF(SUM(N(AA26),N(AB26),N(AC26))&gt;0,"SOXS","SQQQ"),"WAIT"))</f>
        <v>WAIT</v>
      </c>
      <c r="AR26" s="23" t="str">
        <f>IF(AO26="YES",IF(SUM(N(X26),N(Y26),N(Z26))&gt;0,"TQQQ","SOXL"),IF(AP26="YES",IF(SUM(N(AA26),N(AB26),N(AC26))&gt;0,"SQQQ","SOXS"),""))</f>
        <v/>
      </c>
      <c r="AS26" s="23" t="str">
        <f>IF(AQ26="WAIT","",IF(AR26="",1,0.6))</f>
        <v/>
      </c>
      <c r="AT26" s="23">
        <f>IF(AR26="",0,0.4)</f>
        <v>0</v>
      </c>
      <c r="AU26" s="23" t="str">
        <f>IF(AQ26="WAIT","WAIT",IF(AO26="YES","BULL",IF(AP26="YES","BEAR","WAIT")))</f>
        <v>WAIT</v>
      </c>
      <c r="AV26" t="str">
        <f>IF(AQ26="WAIT","Low",IF(OR(AND(AU26="BULL",ABS(SUM(N(X26),N(Y26),N(Z26)))&gt;=0.15),AND(AU26="BEAR",ABS(SUM(N(AA26),N(AB26),N(AC26)))&gt;=0.15)),"Strong",IF(OR(AND(AU26="BULL",ABS(SUM(N(X26),N(Y26),N(Z26)))&gt;=0.05),AND(AU26="BEAR",ABS(SUM(N(AA26),N(AB26),N(AC26)))&gt;=0.05)),"Moderate","Low")))</f>
        <v>Low</v>
      </c>
      <c r="AW26" t="str">
        <f>IF(AQ26="WAIT","QQQ and SMH not aligned",IF(AU26="BULL",IF(AQ26="SOXL","Bull regime; semiconductors leading","Bull regime; tech leading"),IF(AQ26="SOXS","Bear regime; semiconductors weakest","Bear regime; tech weakest")))</f>
        <v>QQQ and SMH not aligned</v>
      </c>
      <c r="AX26" t="str">
        <f>IF(AR26="WAIT","QQQ and SMH not aligned",IF(AV26="BULL",IF(AR26="SOXL","Bull regime; semiconductors leading","Bull regime; tech leading"),IF(AR26="SOXS","Bear regime; semiconductors weakest","Bear regime; tech weakest")))</f>
        <v>Bear regime; tech weakest</v>
      </c>
    </row>
    <row r="27" spans="1:50" x14ac:dyDescent="0.2">
      <c r="A27" s="12"/>
      <c r="B27" s="13"/>
      <c r="C27" s="13"/>
      <c r="D27" s="13"/>
      <c r="E27" s="13"/>
      <c r="F27" s="11" t="str">
        <f>IF(OR(E27="",E26=""),"",IF(E26=0,"",(E27/E26)-1))</f>
        <v/>
      </c>
      <c r="G27" s="13"/>
      <c r="H27" s="11" t="str">
        <f>IF(OR(G27="",G26=""),"",IF(G26=0,"",(G27/G26)-1))</f>
        <v/>
      </c>
      <c r="I27" s="13"/>
      <c r="J27" s="13"/>
      <c r="K27" s="13"/>
      <c r="L27" s="13"/>
      <c r="M27" s="23" t="str">
        <f>IF(OR(L27="",L26=""),"",IF(L26=0,"",(L27/L26)-1))</f>
        <v/>
      </c>
      <c r="N27" s="26" t="str">
        <f>IFERROR((M27/M26)-1,"")</f>
        <v/>
      </c>
      <c r="O27" s="23" t="str">
        <f>IF(OR(N27="",N26=""),"",IF(N26=0,"",(N27/N26)-1))</f>
        <v/>
      </c>
      <c r="P27" s="11" t="str">
        <f>IF(ROW()&lt;7,"",IF(OR(E27="",E24=""),"",IF(E24=0,"",(E27/E24)-1)))</f>
        <v/>
      </c>
      <c r="Q27" s="23" t="str">
        <f>IF(ROW()&lt;9,"",IF(OR(E27="",E22=""),"",IF(E22=0,"",(E27/E22)-1)))</f>
        <v/>
      </c>
      <c r="R27" s="23" t="str">
        <f>IF(ROW()&lt;7,"",IF(OR(G27="",G24=""),"",IF(G24=0,"",(G27/G24)-1)))</f>
        <v/>
      </c>
      <c r="S27" s="23" t="str">
        <f>IF(ROW()&lt;9,"",IF(OR(G27="",G22=""),"",IF(G22=0,"",(G27/G22)-1)))</f>
        <v/>
      </c>
      <c r="T27" s="23" t="str">
        <f>IF(ROW()&lt;7,"",IF(OR(L27="",L24=""),"",IF(L24=0,"",(L27/L24)-1)))</f>
        <v/>
      </c>
      <c r="U27" s="23" t="str">
        <f>IF(ROW()&lt;9,"",IF(OR(L27="",L22=""),"",IF(L22=0,"",(L27/L22)-1)))</f>
        <v/>
      </c>
      <c r="V27" s="23" t="str">
        <f>IF(ROW()&lt;7,"",IF(OR(N27="",N24=""),"",IF(N24=0,"",(N27/N24)-1)))</f>
        <v/>
      </c>
      <c r="W27" s="23" t="str">
        <f>IF(ROW()&lt;9,"",IF(OR(N27="",N22=""),"",IF(N22=0,"",(N27/N22)-1)))</f>
        <v/>
      </c>
      <c r="X27" s="23" t="str">
        <f>IF(OR(F27="",M27=""),"",F27-M27)</f>
        <v/>
      </c>
      <c r="Y27" s="23" t="str">
        <f>IF(OR(P27="",T27=""),"",P27-T27)</f>
        <v/>
      </c>
      <c r="Z27" s="23" t="str">
        <f>IF(OR(Q27="",U27=""),"",Q27-U27)</f>
        <v/>
      </c>
      <c r="AA27" s="23" t="str">
        <f>IF(OR(H27="",O27=""),"",H27-O27)</f>
        <v/>
      </c>
      <c r="AB27" s="23" t="str">
        <f>IF(OR(R27="",V27=""),"",R27-V27)</f>
        <v/>
      </c>
      <c r="AC27" s="23" t="str">
        <f>IF(OR(S27="",W27=""),"",S27-W27)</f>
        <v/>
      </c>
      <c r="AD27" s="13"/>
      <c r="AE27" s="23" t="str">
        <f>IF(OR(AD27="",AD26=""),"",IF(AD26=0,"",(AD27/AD26)-1))</f>
        <v/>
      </c>
      <c r="AF27" s="23" t="str">
        <f>IF(ROW()&lt;7,"",IF(OR(AD27="",AD24=""),"",IF(AD24=0,"",(AD27/AD24)-1)))</f>
        <v/>
      </c>
      <c r="AG27" s="23" t="str">
        <f>IF(ROW()&lt;9,"",IF(OR(AD27="",AD22=""),"",IF(AD22=0,"",(AD27/AD22)-1)))</f>
        <v/>
      </c>
      <c r="AH27" s="23" t="str">
        <f>IF(OR(AF27="",AG27=""),"",IF(AND(AF27&gt;0,AG27&gt;0),"Bull",IF(AND(AF27&lt;0,AG27&lt;0),"Bear","Mixed")))</f>
        <v/>
      </c>
      <c r="AI27" s="13"/>
      <c r="AJ27" s="13" t="str">
        <f>IF(OR(AI27="",AI26=""),"",IF(AI26=0,"",(AI27/AI26)-1))</f>
        <v/>
      </c>
      <c r="AK27" s="23" t="str">
        <f>IF(OR(AJ27="",AJ26=""),"",IF(AJ26=0,"",(AJ27/AJ26)-1))</f>
        <v/>
      </c>
      <c r="AL27" s="23" t="str">
        <f>IF(ROW()&lt;7,"",IF(OR(AJ27="",AJ24=""),"",IF(AJ24=0,"",(AJ27/AJ24)-1)))</f>
        <v/>
      </c>
      <c r="AM27" s="23" t="str">
        <f>IF(ROW()&lt;9,"",IF(OR(AJ27="",AJ22=""),"",IF(AJ22=0,"",(AJ27/AJ22)-1)))</f>
        <v/>
      </c>
      <c r="AN27" t="str">
        <f>IF(OR(AL27="",AM27=""),"",IF(AND(AL27&gt;0,AM27&gt;0),"Bull",IF(AND(AL27&lt;0,AM27&lt;0),"Bear","Mixed")))</f>
        <v/>
      </c>
      <c r="AO27" t="str">
        <f>IF(OR(AH27="",AN27=""),"",IF(AND(AH27="Bull",AN27="Bull"),"YES","NO"))</f>
        <v/>
      </c>
      <c r="AP27" t="str">
        <f>IF(OR(AH27="",AN27=""),"",IF(AND(AH27="Bear",AN27="Bear"),"YES","NO"))</f>
        <v/>
      </c>
      <c r="AQ27" t="str">
        <f>IF(AO27="YES",IF(SUM(N(X27),N(Y27),N(Z27))&gt;0,"SOXL","TQQQ"),IF(AP27="YES",IF(SUM(N(AA27),N(AB27),N(AC27))&gt;0,"SOXS","SQQQ"),"WAIT"))</f>
        <v>WAIT</v>
      </c>
      <c r="AR27" s="23" t="str">
        <f>IF(AO27="YES",IF(SUM(N(X27),N(Y27),N(Z27))&gt;0,"TQQQ","SOXL"),IF(AP27="YES",IF(SUM(N(AA27),N(AB27),N(AC27))&gt;0,"SQQQ","SOXS"),""))</f>
        <v/>
      </c>
      <c r="AS27" s="23" t="str">
        <f>IF(AQ27="WAIT","",IF(AR27="",1,0.6))</f>
        <v/>
      </c>
      <c r="AT27" s="23">
        <f>IF(AR27="",0,0.4)</f>
        <v>0</v>
      </c>
      <c r="AU27" s="23" t="str">
        <f>IF(AQ27="WAIT","WAIT",IF(AO27="YES","BULL",IF(AP27="YES","BEAR","WAIT")))</f>
        <v>WAIT</v>
      </c>
      <c r="AV27" t="str">
        <f>IF(AQ27="WAIT","Low",IF(OR(AND(AU27="BULL",ABS(SUM(N(X27),N(Y27),N(Z27)))&gt;=0.15),AND(AU27="BEAR",ABS(SUM(N(AA27),N(AB27),N(AC27)))&gt;=0.15)),"Strong",IF(OR(AND(AU27="BULL",ABS(SUM(N(X27),N(Y27),N(Z27)))&gt;=0.05),AND(AU27="BEAR",ABS(SUM(N(AA27),N(AB27),N(AC27)))&gt;=0.05)),"Moderate","Low")))</f>
        <v>Low</v>
      </c>
      <c r="AW27" t="str">
        <f>IF(AQ27="WAIT","QQQ and SMH not aligned",IF(AU27="BULL",IF(AQ27="SOXL","Bull regime; semiconductors leading","Bull regime; tech leading"),IF(AQ27="SOXS","Bear regime; semiconductors weakest","Bear regime; tech weakest")))</f>
        <v>QQQ and SMH not aligned</v>
      </c>
      <c r="AX27" t="str">
        <f>IF(AR27="WAIT","QQQ and SMH not aligned",IF(AV27="BULL",IF(AR27="SOXL","Bull regime; semiconductors leading","Bull regime; tech leading"),IF(AR27="SOXS","Bear regime; semiconductors weakest","Bear regime; tech weakest")))</f>
        <v>Bear regime; tech weakest</v>
      </c>
    </row>
    <row r="28" spans="1:50" x14ac:dyDescent="0.2">
      <c r="A28" s="12"/>
      <c r="B28" s="13"/>
      <c r="C28" s="13"/>
      <c r="D28" s="13"/>
      <c r="E28" s="13"/>
      <c r="F28" s="11" t="str">
        <f>IF(OR(E28="",E27=""),"",IF(E27=0,"",(E28/E27)-1))</f>
        <v/>
      </c>
      <c r="G28" s="13"/>
      <c r="H28" s="11" t="str">
        <f>IF(OR(G28="",G27=""),"",IF(G27=0,"",(G28/G27)-1))</f>
        <v/>
      </c>
      <c r="I28" s="13"/>
      <c r="J28" s="13"/>
      <c r="K28" s="13"/>
      <c r="L28" s="13"/>
      <c r="M28" s="23" t="str">
        <f>IF(OR(L28="",L27=""),"",IF(L27=0,"",(L28/L27)-1))</f>
        <v/>
      </c>
      <c r="N28" s="26" t="str">
        <f>IFERROR((M28/M27)-1,"")</f>
        <v/>
      </c>
      <c r="O28" s="23" t="str">
        <f>IF(OR(N28="",N27=""),"",IF(N27=0,"",(N28/N27)-1))</f>
        <v/>
      </c>
      <c r="P28" s="11" t="str">
        <f>IF(ROW()&lt;7,"",IF(OR(E28="",E25=""),"",IF(E25=0,"",(E28/E25)-1)))</f>
        <v/>
      </c>
      <c r="Q28" s="23" t="str">
        <f>IF(ROW()&lt;9,"",IF(OR(E28="",E23=""),"",IF(E23=0,"",(E28/E23)-1)))</f>
        <v/>
      </c>
      <c r="R28" s="23" t="str">
        <f>IF(ROW()&lt;7,"",IF(OR(G28="",G25=""),"",IF(G25=0,"",(G28/G25)-1)))</f>
        <v/>
      </c>
      <c r="S28" s="23" t="str">
        <f>IF(ROW()&lt;9,"",IF(OR(G28="",G23=""),"",IF(G23=0,"",(G28/G23)-1)))</f>
        <v/>
      </c>
      <c r="T28" s="23" t="str">
        <f>IF(ROW()&lt;7,"",IF(OR(L28="",L25=""),"",IF(L25=0,"",(L28/L25)-1)))</f>
        <v/>
      </c>
      <c r="U28" s="23" t="str">
        <f>IF(ROW()&lt;9,"",IF(OR(L28="",L23=""),"",IF(L23=0,"",(L28/L23)-1)))</f>
        <v/>
      </c>
      <c r="V28" s="23" t="str">
        <f>IF(ROW()&lt;7,"",IF(OR(N28="",N25=""),"",IF(N25=0,"",(N28/N25)-1)))</f>
        <v/>
      </c>
      <c r="W28" s="23" t="str">
        <f>IF(ROW()&lt;9,"",IF(OR(N28="",N23=""),"",IF(N23=0,"",(N28/N23)-1)))</f>
        <v/>
      </c>
      <c r="X28" s="23" t="str">
        <f>IF(OR(F28="",M28=""),"",F28-M28)</f>
        <v/>
      </c>
      <c r="Y28" s="23" t="str">
        <f>IF(OR(P28="",T28=""),"",P28-T28)</f>
        <v/>
      </c>
      <c r="Z28" s="23" t="str">
        <f>IF(OR(Q28="",U28=""),"",Q28-U28)</f>
        <v/>
      </c>
      <c r="AA28" s="23" t="str">
        <f>IF(OR(H28="",O28=""),"",H28-O28)</f>
        <v/>
      </c>
      <c r="AB28" s="23" t="str">
        <f>IF(OR(R28="",V28=""),"",R28-V28)</f>
        <v/>
      </c>
      <c r="AC28" s="23" t="str">
        <f>IF(OR(S28="",W28=""),"",S28-W28)</f>
        <v/>
      </c>
      <c r="AD28" s="13"/>
      <c r="AE28" s="23" t="str">
        <f>IF(OR(AD28="",AD27=""),"",IF(AD27=0,"",(AD28/AD27)-1))</f>
        <v/>
      </c>
      <c r="AF28" s="23" t="str">
        <f>IF(ROW()&lt;7,"",IF(OR(AD28="",AD25=""),"",IF(AD25=0,"",(AD28/AD25)-1)))</f>
        <v/>
      </c>
      <c r="AG28" s="23" t="str">
        <f>IF(ROW()&lt;9,"",IF(OR(AD28="",AD23=""),"",IF(AD23=0,"",(AD28/AD23)-1)))</f>
        <v/>
      </c>
      <c r="AH28" s="23" t="str">
        <f>IF(OR(AF28="",AG28=""),"",IF(AND(AF28&gt;0,AG28&gt;0),"Bull",IF(AND(AF28&lt;0,AG28&lt;0),"Bear","Mixed")))</f>
        <v/>
      </c>
      <c r="AI28" s="13"/>
      <c r="AJ28" s="13" t="str">
        <f>IF(OR(AI28="",AI27=""),"",IF(AI27=0,"",(AI28/AI27)-1))</f>
        <v/>
      </c>
      <c r="AK28" s="23" t="str">
        <f>IF(OR(AJ28="",AJ27=""),"",IF(AJ27=0,"",(AJ28/AJ27)-1))</f>
        <v/>
      </c>
      <c r="AL28" s="23" t="str">
        <f>IF(ROW()&lt;7,"",IF(OR(AJ28="",AJ25=""),"",IF(AJ25=0,"",(AJ28/AJ25)-1)))</f>
        <v/>
      </c>
      <c r="AM28" s="23" t="str">
        <f>IF(ROW()&lt;9,"",IF(OR(AJ28="",AJ23=""),"",IF(AJ23=0,"",(AJ28/AJ23)-1)))</f>
        <v/>
      </c>
      <c r="AN28" t="str">
        <f>IF(OR(AL28="",AM28=""),"",IF(AND(AL28&gt;0,AM28&gt;0),"Bull",IF(AND(AL28&lt;0,AM28&lt;0),"Bear","Mixed")))</f>
        <v/>
      </c>
      <c r="AO28" t="str">
        <f>IF(OR(AH28="",AN28=""),"",IF(AND(AH28="Bull",AN28="Bull"),"YES","NO"))</f>
        <v/>
      </c>
      <c r="AP28" t="str">
        <f>IF(OR(AH28="",AN28=""),"",IF(AND(AH28="Bear",AN28="Bear"),"YES","NO"))</f>
        <v/>
      </c>
      <c r="AQ28" t="str">
        <f>IF(AO28="YES",IF(SUM(N(X28),N(Y28),N(Z28))&gt;0,"SOXL","TQQQ"),IF(AP28="YES",IF(SUM(N(AA28),N(AB28),N(AC28))&gt;0,"SOXS","SQQQ"),"WAIT"))</f>
        <v>WAIT</v>
      </c>
      <c r="AR28" s="23" t="str">
        <f>IF(AO28="YES",IF(SUM(N(X28),N(Y28),N(Z28))&gt;0,"TQQQ","SOXL"),IF(AP28="YES",IF(SUM(N(AA28),N(AB28),N(AC28))&gt;0,"SQQQ","SOXS"),""))</f>
        <v/>
      </c>
      <c r="AS28" s="23" t="str">
        <f>IF(AQ28="WAIT","",IF(AR28="",1,0.6))</f>
        <v/>
      </c>
      <c r="AT28" s="23">
        <f>IF(AR28="",0,0.4)</f>
        <v>0</v>
      </c>
      <c r="AU28" s="23" t="str">
        <f>IF(AQ28="WAIT","WAIT",IF(AO28="YES","BULL",IF(AP28="YES","BEAR","WAIT")))</f>
        <v>WAIT</v>
      </c>
      <c r="AV28" t="str">
        <f>IF(AQ28="WAIT","Low",IF(OR(AND(AU28="BULL",ABS(SUM(N(X28),N(Y28),N(Z28)))&gt;=0.15),AND(AU28="BEAR",ABS(SUM(N(AA28),N(AB28),N(AC28)))&gt;=0.15)),"Strong",IF(OR(AND(AU28="BULL",ABS(SUM(N(X28),N(Y28),N(Z28)))&gt;=0.05),AND(AU28="BEAR",ABS(SUM(N(AA28),N(AB28),N(AC28)))&gt;=0.05)),"Moderate","Low")))</f>
        <v>Low</v>
      </c>
      <c r="AW28" t="str">
        <f>IF(AQ28="WAIT","QQQ and SMH not aligned",IF(AU28="BULL",IF(AQ28="SOXL","Bull regime; semiconductors leading","Bull regime; tech leading"),IF(AQ28="SOXS","Bear regime; semiconductors weakest","Bear regime; tech weakest")))</f>
        <v>QQQ and SMH not aligned</v>
      </c>
      <c r="AX28" t="str">
        <f>IF(AR28="WAIT","QQQ and SMH not aligned",IF(AV28="BULL",IF(AR28="SOXL","Bull regime; semiconductors leading","Bull regime; tech leading"),IF(AR28="SOXS","Bear regime; semiconductors weakest","Bear regime; tech weakest")))</f>
        <v>Bear regime; tech weakest</v>
      </c>
    </row>
    <row r="29" spans="1:50" x14ac:dyDescent="0.2">
      <c r="A29" s="12"/>
      <c r="B29" s="13"/>
      <c r="C29" s="13"/>
      <c r="D29" s="13"/>
      <c r="E29" s="13"/>
      <c r="F29" s="11" t="str">
        <f>IF(OR(E29="",E28=""),"",IF(E28=0,"",(E29/E28)-1))</f>
        <v/>
      </c>
      <c r="G29" s="13"/>
      <c r="H29" s="11" t="str">
        <f>IF(OR(G29="",G28=""),"",IF(G28=0,"",(G29/G28)-1))</f>
        <v/>
      </c>
      <c r="I29" s="13"/>
      <c r="J29" s="13"/>
      <c r="K29" s="13"/>
      <c r="L29" s="13"/>
      <c r="M29" s="23" t="str">
        <f>IF(OR(L29="",L28=""),"",IF(L28=0,"",(L29/L28)-1))</f>
        <v/>
      </c>
      <c r="N29" s="26" t="str">
        <f>IFERROR((M29/M28)-1,"")</f>
        <v/>
      </c>
      <c r="O29" s="23" t="str">
        <f>IF(OR(N29="",N28=""),"",IF(N28=0,"",(N29/N28)-1))</f>
        <v/>
      </c>
      <c r="P29" s="11" t="str">
        <f>IF(ROW()&lt;7,"",IF(OR(E29="",E26=""),"",IF(E26=0,"",(E29/E26)-1)))</f>
        <v/>
      </c>
      <c r="Q29" s="23" t="str">
        <f>IF(ROW()&lt;9,"",IF(OR(E29="",E24=""),"",IF(E24=0,"",(E29/E24)-1)))</f>
        <v/>
      </c>
      <c r="R29" s="23" t="str">
        <f>IF(ROW()&lt;7,"",IF(OR(G29="",G26=""),"",IF(G26=0,"",(G29/G26)-1)))</f>
        <v/>
      </c>
      <c r="S29" s="23" t="str">
        <f>IF(ROW()&lt;9,"",IF(OR(G29="",G24=""),"",IF(G24=0,"",(G29/G24)-1)))</f>
        <v/>
      </c>
      <c r="T29" s="23" t="str">
        <f>IF(ROW()&lt;7,"",IF(OR(L29="",L26=""),"",IF(L26=0,"",(L29/L26)-1)))</f>
        <v/>
      </c>
      <c r="U29" s="23" t="str">
        <f>IF(ROW()&lt;9,"",IF(OR(L29="",L24=""),"",IF(L24=0,"",(L29/L24)-1)))</f>
        <v/>
      </c>
      <c r="V29" s="23" t="str">
        <f>IF(ROW()&lt;7,"",IF(OR(N29="",N26=""),"",IF(N26=0,"",(N29/N26)-1)))</f>
        <v/>
      </c>
      <c r="W29" s="23" t="str">
        <f>IF(ROW()&lt;9,"",IF(OR(N29="",N24=""),"",IF(N24=0,"",(N29/N24)-1)))</f>
        <v/>
      </c>
      <c r="X29" s="23" t="str">
        <f>IF(OR(F29="",M29=""),"",F29-M29)</f>
        <v/>
      </c>
      <c r="Y29" s="23" t="str">
        <f>IF(OR(P29="",T29=""),"",P29-T29)</f>
        <v/>
      </c>
      <c r="Z29" s="23" t="str">
        <f>IF(OR(Q29="",U29=""),"",Q29-U29)</f>
        <v/>
      </c>
      <c r="AA29" s="23" t="str">
        <f>IF(OR(H29="",O29=""),"",H29-O29)</f>
        <v/>
      </c>
      <c r="AB29" s="23" t="str">
        <f>IF(OR(R29="",V29=""),"",R29-V29)</f>
        <v/>
      </c>
      <c r="AC29" s="23" t="str">
        <f>IF(OR(S29="",W29=""),"",S29-W29)</f>
        <v/>
      </c>
      <c r="AD29" s="13"/>
      <c r="AE29" s="23" t="str">
        <f>IF(OR(AD29="",AD28=""),"",IF(AD28=0,"",(AD29/AD28)-1))</f>
        <v/>
      </c>
      <c r="AF29" s="23" t="str">
        <f>IF(ROW()&lt;7,"",IF(OR(AD29="",AD26=""),"",IF(AD26=0,"",(AD29/AD26)-1)))</f>
        <v/>
      </c>
      <c r="AG29" s="23" t="str">
        <f>IF(ROW()&lt;9,"",IF(OR(AD29="",AD24=""),"",IF(AD24=0,"",(AD29/AD24)-1)))</f>
        <v/>
      </c>
      <c r="AH29" s="23" t="str">
        <f>IF(OR(AF29="",AG29=""),"",IF(AND(AF29&gt;0,AG29&gt;0),"Bull",IF(AND(AF29&lt;0,AG29&lt;0),"Bear","Mixed")))</f>
        <v/>
      </c>
      <c r="AI29" s="13"/>
      <c r="AJ29" s="13" t="str">
        <f>IF(OR(AI29="",AI28=""),"",IF(AI28=0,"",(AI29/AI28)-1))</f>
        <v/>
      </c>
      <c r="AK29" s="23" t="str">
        <f>IF(OR(AJ29="",AJ28=""),"",IF(AJ28=0,"",(AJ29/AJ28)-1))</f>
        <v/>
      </c>
      <c r="AL29" s="23" t="str">
        <f>IF(ROW()&lt;7,"",IF(OR(AJ29="",AJ26=""),"",IF(AJ26=0,"",(AJ29/AJ26)-1)))</f>
        <v/>
      </c>
      <c r="AM29" s="23" t="str">
        <f>IF(ROW()&lt;9,"",IF(OR(AJ29="",AJ24=""),"",IF(AJ24=0,"",(AJ29/AJ24)-1)))</f>
        <v/>
      </c>
      <c r="AN29" t="str">
        <f>IF(OR(AL29="",AM29=""),"",IF(AND(AL29&gt;0,AM29&gt;0),"Bull",IF(AND(AL29&lt;0,AM29&lt;0),"Bear","Mixed")))</f>
        <v/>
      </c>
      <c r="AO29" t="str">
        <f>IF(OR(AH29="",AN29=""),"",IF(AND(AH29="Bull",AN29="Bull"),"YES","NO"))</f>
        <v/>
      </c>
      <c r="AP29" t="str">
        <f>IF(OR(AH29="",AN29=""),"",IF(AND(AH29="Bear",AN29="Bear"),"YES","NO"))</f>
        <v/>
      </c>
      <c r="AQ29" t="str">
        <f>IF(AO29="YES",IF(SUM(N(X29),N(Y29),N(Z29))&gt;0,"SOXL","TQQQ"),IF(AP29="YES",IF(SUM(N(AA29),N(AB29),N(AC29))&gt;0,"SOXS","SQQQ"),"WAIT"))</f>
        <v>WAIT</v>
      </c>
      <c r="AR29" s="23" t="str">
        <f>IF(AO29="YES",IF(SUM(N(X29),N(Y29),N(Z29))&gt;0,"TQQQ","SOXL"),IF(AP29="YES",IF(SUM(N(AA29),N(AB29),N(AC29))&gt;0,"SQQQ","SOXS"),""))</f>
        <v/>
      </c>
      <c r="AS29" s="23" t="str">
        <f>IF(AQ29="WAIT","",IF(AR29="",1,0.6))</f>
        <v/>
      </c>
      <c r="AT29" s="23">
        <f>IF(AR29="",0,0.4)</f>
        <v>0</v>
      </c>
      <c r="AU29" s="23" t="str">
        <f>IF(AQ29="WAIT","WAIT",IF(AO29="YES","BULL",IF(AP29="YES","BEAR","WAIT")))</f>
        <v>WAIT</v>
      </c>
      <c r="AV29" t="str">
        <f>IF(AQ29="WAIT","Low",IF(OR(AND(AU29="BULL",ABS(SUM(N(X29),N(Y29),N(Z29)))&gt;=0.15),AND(AU29="BEAR",ABS(SUM(N(AA29),N(AB29),N(AC29)))&gt;=0.15)),"Strong",IF(OR(AND(AU29="BULL",ABS(SUM(N(X29),N(Y29),N(Z29)))&gt;=0.05),AND(AU29="BEAR",ABS(SUM(N(AA29),N(AB29),N(AC29)))&gt;=0.05)),"Moderate","Low")))</f>
        <v>Low</v>
      </c>
      <c r="AW29" t="str">
        <f>IF(AQ29="WAIT","QQQ and SMH not aligned",IF(AU29="BULL",IF(AQ29="SOXL","Bull regime; semiconductors leading","Bull regime; tech leading"),IF(AQ29="SOXS","Bear regime; semiconductors weakest","Bear regime; tech weakest")))</f>
        <v>QQQ and SMH not aligned</v>
      </c>
      <c r="AX29" t="str">
        <f>IF(AR29="WAIT","QQQ and SMH not aligned",IF(AV29="BULL",IF(AR29="SOXL","Bull regime; semiconductors leading","Bull regime; tech leading"),IF(AR29="SOXS","Bear regime; semiconductors weakest","Bear regime; tech weakest")))</f>
        <v>Bear regime; tech weakest</v>
      </c>
    </row>
    <row r="30" spans="1:50" x14ac:dyDescent="0.2">
      <c r="A30" s="12"/>
      <c r="B30" s="13"/>
      <c r="C30" s="13"/>
      <c r="D30" s="13"/>
      <c r="E30" s="13"/>
      <c r="F30" s="11" t="str">
        <f>IF(OR(E30="",E29=""),"",IF(E29=0,"",(E30/E29)-1))</f>
        <v/>
      </c>
      <c r="G30" s="13"/>
      <c r="H30" s="11" t="str">
        <f>IF(OR(G30="",G29=""),"",IF(G29=0,"",(G30/G29)-1))</f>
        <v/>
      </c>
      <c r="I30" s="13"/>
      <c r="J30" s="13"/>
      <c r="K30" s="13"/>
      <c r="L30" s="13"/>
      <c r="M30" s="23" t="str">
        <f>IF(OR(L30="",L29=""),"",IF(L29=0,"",(L30/L29)-1))</f>
        <v/>
      </c>
      <c r="N30" s="26" t="str">
        <f>IFERROR((M30/M29)-1,"")</f>
        <v/>
      </c>
      <c r="O30" s="23" t="str">
        <f>IF(OR(N30="",N29=""),"",IF(N29=0,"",(N30/N29)-1))</f>
        <v/>
      </c>
      <c r="P30" s="11" t="str">
        <f>IF(ROW()&lt;7,"",IF(OR(E30="",E27=""),"",IF(E27=0,"",(E30/E27)-1)))</f>
        <v/>
      </c>
      <c r="Q30" s="23" t="str">
        <f>IF(ROW()&lt;9,"",IF(OR(E30="",E25=""),"",IF(E25=0,"",(E30/E25)-1)))</f>
        <v/>
      </c>
      <c r="R30" s="23" t="str">
        <f>IF(ROW()&lt;7,"",IF(OR(G30="",G27=""),"",IF(G27=0,"",(G30/G27)-1)))</f>
        <v/>
      </c>
      <c r="S30" s="23" t="str">
        <f>IF(ROW()&lt;9,"",IF(OR(G30="",G25=""),"",IF(G25=0,"",(G30/G25)-1)))</f>
        <v/>
      </c>
      <c r="T30" s="23" t="str">
        <f>IF(ROW()&lt;7,"",IF(OR(L30="",L27=""),"",IF(L27=0,"",(L30/L27)-1)))</f>
        <v/>
      </c>
      <c r="U30" s="23" t="str">
        <f>IF(ROW()&lt;9,"",IF(OR(L30="",L25=""),"",IF(L25=0,"",(L30/L25)-1)))</f>
        <v/>
      </c>
      <c r="V30" s="23" t="str">
        <f>IF(ROW()&lt;7,"",IF(OR(N30="",N27=""),"",IF(N27=0,"",(N30/N27)-1)))</f>
        <v/>
      </c>
      <c r="W30" s="23" t="str">
        <f>IF(ROW()&lt;9,"",IF(OR(N30="",N25=""),"",IF(N25=0,"",(N30/N25)-1)))</f>
        <v/>
      </c>
      <c r="X30" s="23" t="str">
        <f>IF(OR(F30="",M30=""),"",F30-M30)</f>
        <v/>
      </c>
      <c r="Y30" s="23" t="str">
        <f>IF(OR(P30="",T30=""),"",P30-T30)</f>
        <v/>
      </c>
      <c r="Z30" s="23" t="str">
        <f>IF(OR(Q30="",U30=""),"",Q30-U30)</f>
        <v/>
      </c>
      <c r="AA30" s="23" t="str">
        <f>IF(OR(H30="",O30=""),"",H30-O30)</f>
        <v/>
      </c>
      <c r="AB30" s="23" t="str">
        <f>IF(OR(R30="",V30=""),"",R30-V30)</f>
        <v/>
      </c>
      <c r="AC30" s="23" t="str">
        <f>IF(OR(S30="",W30=""),"",S30-W30)</f>
        <v/>
      </c>
      <c r="AD30" s="13"/>
      <c r="AE30" s="23" t="str">
        <f>IF(OR(AD30="",AD29=""),"",IF(AD29=0,"",(AD30/AD29)-1))</f>
        <v/>
      </c>
      <c r="AF30" s="23" t="str">
        <f>IF(ROW()&lt;7,"",IF(OR(AD30="",AD27=""),"",IF(AD27=0,"",(AD30/AD27)-1)))</f>
        <v/>
      </c>
      <c r="AG30" s="23" t="str">
        <f>IF(ROW()&lt;9,"",IF(OR(AD30="",AD25=""),"",IF(AD25=0,"",(AD30/AD25)-1)))</f>
        <v/>
      </c>
      <c r="AH30" s="23" t="str">
        <f>IF(OR(AF30="",AG30=""),"",IF(AND(AF30&gt;0,AG30&gt;0),"Bull",IF(AND(AF30&lt;0,AG30&lt;0),"Bear","Mixed")))</f>
        <v/>
      </c>
      <c r="AI30" s="13"/>
      <c r="AJ30" s="13" t="str">
        <f>IF(OR(AI30="",AI29=""),"",IF(AI29=0,"",(AI30/AI29)-1))</f>
        <v/>
      </c>
      <c r="AK30" s="23" t="str">
        <f>IF(OR(AJ30="",AJ29=""),"",IF(AJ29=0,"",(AJ30/AJ29)-1))</f>
        <v/>
      </c>
      <c r="AL30" s="23" t="str">
        <f>IF(ROW()&lt;7,"",IF(OR(AJ30="",AJ27=""),"",IF(AJ27=0,"",(AJ30/AJ27)-1)))</f>
        <v/>
      </c>
      <c r="AM30" s="23" t="str">
        <f>IF(ROW()&lt;9,"",IF(OR(AJ30="",AJ25=""),"",IF(AJ25=0,"",(AJ30/AJ25)-1)))</f>
        <v/>
      </c>
      <c r="AN30" t="str">
        <f>IF(OR(AL30="",AM30=""),"",IF(AND(AL30&gt;0,AM30&gt;0),"Bull",IF(AND(AL30&lt;0,AM30&lt;0),"Bear","Mixed")))</f>
        <v/>
      </c>
      <c r="AO30" t="str">
        <f>IF(OR(AH30="",AN30=""),"",IF(AND(AH30="Bull",AN30="Bull"),"YES","NO"))</f>
        <v/>
      </c>
      <c r="AP30" t="str">
        <f>IF(OR(AH30="",AN30=""),"",IF(AND(AH30="Bear",AN30="Bear"),"YES","NO"))</f>
        <v/>
      </c>
      <c r="AQ30" t="str">
        <f>IF(AO30="YES",IF(SUM(N(X30),N(Y30),N(Z30))&gt;0,"SOXL","TQQQ"),IF(AP30="YES",IF(SUM(N(AA30),N(AB30),N(AC30))&gt;0,"SOXS","SQQQ"),"WAIT"))</f>
        <v>WAIT</v>
      </c>
      <c r="AR30" s="23" t="str">
        <f>IF(AO30="YES",IF(SUM(N(X30),N(Y30),N(Z30))&gt;0,"TQQQ","SOXL"),IF(AP30="YES",IF(SUM(N(AA30),N(AB30),N(AC30))&gt;0,"SQQQ","SOXS"),""))</f>
        <v/>
      </c>
      <c r="AS30" s="23" t="str">
        <f>IF(AQ30="WAIT","",IF(AR30="",1,0.6))</f>
        <v/>
      </c>
      <c r="AT30" s="23">
        <f>IF(AR30="",0,0.4)</f>
        <v>0</v>
      </c>
      <c r="AU30" s="23" t="str">
        <f>IF(AQ30="WAIT","WAIT",IF(AO30="YES","BULL",IF(AP30="YES","BEAR","WAIT")))</f>
        <v>WAIT</v>
      </c>
      <c r="AV30" t="str">
        <f>IF(AQ30="WAIT","Low",IF(OR(AND(AU30="BULL",ABS(SUM(N(X30),N(Y30),N(Z30)))&gt;=0.15),AND(AU30="BEAR",ABS(SUM(N(AA30),N(AB30),N(AC30)))&gt;=0.15)),"Strong",IF(OR(AND(AU30="BULL",ABS(SUM(N(X30),N(Y30),N(Z30)))&gt;=0.05),AND(AU30="BEAR",ABS(SUM(N(AA30),N(AB30),N(AC30)))&gt;=0.05)),"Moderate","Low")))</f>
        <v>Low</v>
      </c>
      <c r="AW30" t="str">
        <f>IF(AQ30="WAIT","QQQ and SMH not aligned",IF(AU30="BULL",IF(AQ30="SOXL","Bull regime; semiconductors leading","Bull regime; tech leading"),IF(AQ30="SOXS","Bear regime; semiconductors weakest","Bear regime; tech weakest")))</f>
        <v>QQQ and SMH not aligned</v>
      </c>
      <c r="AX30" t="str">
        <f>IF(AR30="WAIT","QQQ and SMH not aligned",IF(AV30="BULL",IF(AR30="SOXL","Bull regime; semiconductors leading","Bull regime; tech leading"),IF(AR30="SOXS","Bear regime; semiconductors weakest","Bear regime; tech weakest")))</f>
        <v>Bear regime; tech weakest</v>
      </c>
    </row>
    <row r="31" spans="1:50" x14ac:dyDescent="0.2">
      <c r="A31" s="12"/>
      <c r="B31" s="13"/>
      <c r="C31" s="13"/>
      <c r="D31" s="13"/>
      <c r="E31" s="13"/>
      <c r="F31" s="11" t="str">
        <f>IF(OR(E31="",E30=""),"",IF(E30=0,"",(E31/E30)-1))</f>
        <v/>
      </c>
      <c r="G31" s="13"/>
      <c r="H31" s="11" t="str">
        <f>IF(OR(G31="",G30=""),"",IF(G30=0,"",(G31/G30)-1))</f>
        <v/>
      </c>
      <c r="I31" s="13"/>
      <c r="J31" s="13"/>
      <c r="K31" s="13"/>
      <c r="L31" s="13"/>
      <c r="M31" s="23" t="str">
        <f>IF(OR(L31="",L30=""),"",IF(L30=0,"",(L31/L30)-1))</f>
        <v/>
      </c>
      <c r="N31" s="26" t="str">
        <f>IFERROR((M31/M30)-1,"")</f>
        <v/>
      </c>
      <c r="O31" s="23" t="str">
        <f>IF(OR(N31="",N30=""),"",IF(N30=0,"",(N31/N30)-1))</f>
        <v/>
      </c>
      <c r="P31" s="11" t="str">
        <f>IF(ROW()&lt;7,"",IF(OR(E31="",E28=""),"",IF(E28=0,"",(E31/E28)-1)))</f>
        <v/>
      </c>
      <c r="Q31" s="23" t="str">
        <f>IF(ROW()&lt;9,"",IF(OR(E31="",E26=""),"",IF(E26=0,"",(E31/E26)-1)))</f>
        <v/>
      </c>
      <c r="R31" s="23" t="str">
        <f>IF(ROW()&lt;7,"",IF(OR(G31="",G28=""),"",IF(G28=0,"",(G31/G28)-1)))</f>
        <v/>
      </c>
      <c r="S31" s="23" t="str">
        <f>IF(ROW()&lt;9,"",IF(OR(G31="",G26=""),"",IF(G26=0,"",(G31/G26)-1)))</f>
        <v/>
      </c>
      <c r="T31" s="23" t="str">
        <f>IF(ROW()&lt;7,"",IF(OR(L31="",L28=""),"",IF(L28=0,"",(L31/L28)-1)))</f>
        <v/>
      </c>
      <c r="U31" s="23" t="str">
        <f>IF(ROW()&lt;9,"",IF(OR(L31="",L26=""),"",IF(L26=0,"",(L31/L26)-1)))</f>
        <v/>
      </c>
      <c r="V31" s="23" t="str">
        <f>IF(ROW()&lt;7,"",IF(OR(N31="",N28=""),"",IF(N28=0,"",(N31/N28)-1)))</f>
        <v/>
      </c>
      <c r="W31" s="23" t="str">
        <f>IF(ROW()&lt;9,"",IF(OR(N31="",N26=""),"",IF(N26=0,"",(N31/N26)-1)))</f>
        <v/>
      </c>
      <c r="X31" s="23" t="str">
        <f>IF(OR(F31="",M31=""),"",F31-M31)</f>
        <v/>
      </c>
      <c r="Y31" s="23" t="str">
        <f>IF(OR(P31="",T31=""),"",P31-T31)</f>
        <v/>
      </c>
      <c r="Z31" s="23" t="str">
        <f>IF(OR(Q31="",U31=""),"",Q31-U31)</f>
        <v/>
      </c>
      <c r="AA31" s="23" t="str">
        <f>IF(OR(H31="",O31=""),"",H31-O31)</f>
        <v/>
      </c>
      <c r="AB31" s="23" t="str">
        <f>IF(OR(R31="",V31=""),"",R31-V31)</f>
        <v/>
      </c>
      <c r="AC31" s="23" t="str">
        <f>IF(OR(S31="",W31=""),"",S31-W31)</f>
        <v/>
      </c>
      <c r="AD31" s="13"/>
      <c r="AE31" s="23" t="str">
        <f>IF(OR(AD31="",AD30=""),"",IF(AD30=0,"",(AD31/AD30)-1))</f>
        <v/>
      </c>
      <c r="AF31" s="23" t="str">
        <f>IF(ROW()&lt;7,"",IF(OR(AD31="",AD28=""),"",IF(AD28=0,"",(AD31/AD28)-1)))</f>
        <v/>
      </c>
      <c r="AG31" s="23" t="str">
        <f>IF(ROW()&lt;9,"",IF(OR(AD31="",AD26=""),"",IF(AD26=0,"",(AD31/AD26)-1)))</f>
        <v/>
      </c>
      <c r="AH31" s="23" t="str">
        <f>IF(OR(AF31="",AG31=""),"",IF(AND(AF31&gt;0,AG31&gt;0),"Bull",IF(AND(AF31&lt;0,AG31&lt;0),"Bear","Mixed")))</f>
        <v/>
      </c>
      <c r="AI31" s="13"/>
      <c r="AJ31" s="13" t="str">
        <f>IF(OR(AI31="",AI30=""),"",IF(AI30=0,"",(AI31/AI30)-1))</f>
        <v/>
      </c>
      <c r="AK31" s="23" t="str">
        <f>IF(OR(AJ31="",AJ30=""),"",IF(AJ30=0,"",(AJ31/AJ30)-1))</f>
        <v/>
      </c>
      <c r="AL31" s="23" t="str">
        <f>IF(ROW()&lt;7,"",IF(OR(AJ31="",AJ28=""),"",IF(AJ28=0,"",(AJ31/AJ28)-1)))</f>
        <v/>
      </c>
      <c r="AM31" s="23" t="str">
        <f>IF(ROW()&lt;9,"",IF(OR(AJ31="",AJ26=""),"",IF(AJ26=0,"",(AJ31/AJ26)-1)))</f>
        <v/>
      </c>
      <c r="AN31" t="str">
        <f>IF(OR(AL31="",AM31=""),"",IF(AND(AL31&gt;0,AM31&gt;0),"Bull",IF(AND(AL31&lt;0,AM31&lt;0),"Bear","Mixed")))</f>
        <v/>
      </c>
      <c r="AO31" t="str">
        <f>IF(OR(AH31="",AN31=""),"",IF(AND(AH31="Bull",AN31="Bull"),"YES","NO"))</f>
        <v/>
      </c>
      <c r="AP31" t="str">
        <f>IF(OR(AH31="",AN31=""),"",IF(AND(AH31="Bear",AN31="Bear"),"YES","NO"))</f>
        <v/>
      </c>
      <c r="AQ31" t="str">
        <f>IF(AO31="YES",IF(SUM(N(X31),N(Y31),N(Z31))&gt;0,"SOXL","TQQQ"),IF(AP31="YES",IF(SUM(N(AA31),N(AB31),N(AC31))&gt;0,"SOXS","SQQQ"),"WAIT"))</f>
        <v>WAIT</v>
      </c>
      <c r="AR31" s="23" t="str">
        <f>IF(AO31="YES",IF(SUM(N(X31),N(Y31),N(Z31))&gt;0,"TQQQ","SOXL"),IF(AP31="YES",IF(SUM(N(AA31),N(AB31),N(AC31))&gt;0,"SQQQ","SOXS"),""))</f>
        <v/>
      </c>
      <c r="AS31" s="23" t="str">
        <f>IF(AQ31="WAIT","",IF(AR31="",1,0.6))</f>
        <v/>
      </c>
      <c r="AT31" s="23">
        <f>IF(AR31="",0,0.4)</f>
        <v>0</v>
      </c>
      <c r="AU31" s="23" t="str">
        <f>IF(AQ31="WAIT","WAIT",IF(AO31="YES","BULL",IF(AP31="YES","BEAR","WAIT")))</f>
        <v>WAIT</v>
      </c>
      <c r="AV31" t="str">
        <f>IF(AQ31="WAIT","Low",IF(OR(AND(AU31="BULL",ABS(SUM(N(X31),N(Y31),N(Z31)))&gt;=0.15),AND(AU31="BEAR",ABS(SUM(N(AA31),N(AB31),N(AC31)))&gt;=0.15)),"Strong",IF(OR(AND(AU31="BULL",ABS(SUM(N(X31),N(Y31),N(Z31)))&gt;=0.05),AND(AU31="BEAR",ABS(SUM(N(AA31),N(AB31),N(AC31)))&gt;=0.05)),"Moderate","Low")))</f>
        <v>Low</v>
      </c>
      <c r="AW31" t="str">
        <f>IF(AQ31="WAIT","QQQ and SMH not aligned",IF(AU31="BULL",IF(AQ31="SOXL","Bull regime; semiconductors leading","Bull regime; tech leading"),IF(AQ31="SOXS","Bear regime; semiconductors weakest","Bear regime; tech weakest")))</f>
        <v>QQQ and SMH not aligned</v>
      </c>
      <c r="AX31" t="str">
        <f>IF(AR31="WAIT","QQQ and SMH not aligned",IF(AV31="BULL",IF(AR31="SOXL","Bull regime; semiconductors leading","Bull regime; tech leading"),IF(AR31="SOXS","Bear regime; semiconductors weakest","Bear regime; tech weakest")))</f>
        <v>Bear regime; tech weakest</v>
      </c>
    </row>
    <row r="32" spans="1:50" x14ac:dyDescent="0.2">
      <c r="A32" s="12"/>
      <c r="B32" s="13"/>
      <c r="C32" s="13"/>
      <c r="D32" s="13"/>
      <c r="E32" s="13"/>
      <c r="F32" s="11" t="str">
        <f>IF(OR(E32="",E31=""),"",IF(E31=0,"",(E32/E31)-1))</f>
        <v/>
      </c>
      <c r="G32" s="13"/>
      <c r="H32" s="11" t="str">
        <f>IF(OR(G32="",G31=""),"",IF(G31=0,"",(G32/G31)-1))</f>
        <v/>
      </c>
      <c r="I32" s="13"/>
      <c r="J32" s="13"/>
      <c r="K32" s="13"/>
      <c r="L32" s="13"/>
      <c r="M32" s="23" t="str">
        <f>IF(OR(L32="",L31=""),"",IF(L31=0,"",(L32/L31)-1))</f>
        <v/>
      </c>
      <c r="N32" s="26" t="str">
        <f>IFERROR((M32/M31)-1,"")</f>
        <v/>
      </c>
      <c r="O32" s="23" t="str">
        <f>IF(OR(N32="",N31=""),"",IF(N31=0,"",(N32/N31)-1))</f>
        <v/>
      </c>
      <c r="P32" s="11" t="str">
        <f>IF(ROW()&lt;7,"",IF(OR(E32="",E29=""),"",IF(E29=0,"",(E32/E29)-1)))</f>
        <v/>
      </c>
      <c r="Q32" s="23" t="str">
        <f>IF(ROW()&lt;9,"",IF(OR(E32="",E27=""),"",IF(E27=0,"",(E32/E27)-1)))</f>
        <v/>
      </c>
      <c r="R32" s="23" t="str">
        <f>IF(ROW()&lt;7,"",IF(OR(G32="",G29=""),"",IF(G29=0,"",(G32/G29)-1)))</f>
        <v/>
      </c>
      <c r="S32" s="23" t="str">
        <f>IF(ROW()&lt;9,"",IF(OR(G32="",G27=""),"",IF(G27=0,"",(G32/G27)-1)))</f>
        <v/>
      </c>
      <c r="T32" s="23" t="str">
        <f>IF(ROW()&lt;7,"",IF(OR(L32="",L29=""),"",IF(L29=0,"",(L32/L29)-1)))</f>
        <v/>
      </c>
      <c r="U32" s="23" t="str">
        <f>IF(ROW()&lt;9,"",IF(OR(L32="",L27=""),"",IF(L27=0,"",(L32/L27)-1)))</f>
        <v/>
      </c>
      <c r="V32" s="23" t="str">
        <f>IF(ROW()&lt;7,"",IF(OR(N32="",N29=""),"",IF(N29=0,"",(N32/N29)-1)))</f>
        <v/>
      </c>
      <c r="W32" s="23" t="str">
        <f>IF(ROW()&lt;9,"",IF(OR(N32="",N27=""),"",IF(N27=0,"",(N32/N27)-1)))</f>
        <v/>
      </c>
      <c r="X32" s="23" t="str">
        <f>IF(OR(F32="",M32=""),"",F32-M32)</f>
        <v/>
      </c>
      <c r="Y32" s="23" t="str">
        <f>IF(OR(P32="",T32=""),"",P32-T32)</f>
        <v/>
      </c>
      <c r="Z32" s="23" t="str">
        <f>IF(OR(Q32="",U32=""),"",Q32-U32)</f>
        <v/>
      </c>
      <c r="AA32" s="23" t="str">
        <f>IF(OR(H32="",O32=""),"",H32-O32)</f>
        <v/>
      </c>
      <c r="AB32" s="23" t="str">
        <f>IF(OR(R32="",V32=""),"",R32-V32)</f>
        <v/>
      </c>
      <c r="AC32" s="23" t="str">
        <f>IF(OR(S32="",W32=""),"",S32-W32)</f>
        <v/>
      </c>
      <c r="AD32" s="13"/>
      <c r="AE32" s="23" t="str">
        <f>IF(OR(AD32="",AD31=""),"",IF(AD31=0,"",(AD32/AD31)-1))</f>
        <v/>
      </c>
      <c r="AF32" s="23" t="str">
        <f>IF(ROW()&lt;7,"",IF(OR(AD32="",AD29=""),"",IF(AD29=0,"",(AD32/AD29)-1)))</f>
        <v/>
      </c>
      <c r="AG32" s="23" t="str">
        <f>IF(ROW()&lt;9,"",IF(OR(AD32="",AD27=""),"",IF(AD27=0,"",(AD32/AD27)-1)))</f>
        <v/>
      </c>
      <c r="AH32" s="23" t="str">
        <f>IF(OR(AF32="",AG32=""),"",IF(AND(AF32&gt;0,AG32&gt;0),"Bull",IF(AND(AF32&lt;0,AG32&lt;0),"Bear","Mixed")))</f>
        <v/>
      </c>
      <c r="AI32" s="13"/>
      <c r="AJ32" s="13" t="str">
        <f>IF(OR(AI32="",AI31=""),"",IF(AI31=0,"",(AI32/AI31)-1))</f>
        <v/>
      </c>
      <c r="AK32" s="23" t="str">
        <f>IF(OR(AJ32="",AJ31=""),"",IF(AJ31=0,"",(AJ32/AJ31)-1))</f>
        <v/>
      </c>
      <c r="AL32" s="23" t="str">
        <f>IF(ROW()&lt;7,"",IF(OR(AJ32="",AJ29=""),"",IF(AJ29=0,"",(AJ32/AJ29)-1)))</f>
        <v/>
      </c>
      <c r="AM32" s="23" t="str">
        <f>IF(ROW()&lt;9,"",IF(OR(AJ32="",AJ27=""),"",IF(AJ27=0,"",(AJ32/AJ27)-1)))</f>
        <v/>
      </c>
      <c r="AN32" t="str">
        <f>IF(OR(AL32="",AM32=""),"",IF(AND(AL32&gt;0,AM32&gt;0),"Bull",IF(AND(AL32&lt;0,AM32&lt;0),"Bear","Mixed")))</f>
        <v/>
      </c>
      <c r="AO32" t="str">
        <f>IF(OR(AH32="",AN32=""),"",IF(AND(AH32="Bull",AN32="Bull"),"YES","NO"))</f>
        <v/>
      </c>
      <c r="AP32" t="str">
        <f>IF(OR(AH32="",AN32=""),"",IF(AND(AH32="Bear",AN32="Bear"),"YES","NO"))</f>
        <v/>
      </c>
      <c r="AQ32" t="str">
        <f>IF(AO32="YES",IF(SUM(N(X32),N(Y32),N(Z32))&gt;0,"SOXL","TQQQ"),IF(AP32="YES",IF(SUM(N(AA32),N(AB32),N(AC32))&gt;0,"SOXS","SQQQ"),"WAIT"))</f>
        <v>WAIT</v>
      </c>
      <c r="AR32" s="23" t="str">
        <f>IF(AO32="YES",IF(SUM(N(X32),N(Y32),N(Z32))&gt;0,"TQQQ","SOXL"),IF(AP32="YES",IF(SUM(N(AA32),N(AB32),N(AC32))&gt;0,"SQQQ","SOXS"),""))</f>
        <v/>
      </c>
      <c r="AS32" s="23" t="str">
        <f>IF(AQ32="WAIT","",IF(AR32="",1,0.6))</f>
        <v/>
      </c>
      <c r="AT32" s="23">
        <f>IF(AR32="",0,0.4)</f>
        <v>0</v>
      </c>
      <c r="AU32" s="23" t="str">
        <f>IF(AQ32="WAIT","WAIT",IF(AO32="YES","BULL",IF(AP32="YES","BEAR","WAIT")))</f>
        <v>WAIT</v>
      </c>
      <c r="AV32" t="str">
        <f>IF(AQ32="WAIT","Low",IF(OR(AND(AU32="BULL",ABS(SUM(N(X32),N(Y32),N(Z32)))&gt;=0.15),AND(AU32="BEAR",ABS(SUM(N(AA32),N(AB32),N(AC32)))&gt;=0.15)),"Strong",IF(OR(AND(AU32="BULL",ABS(SUM(N(X32),N(Y32),N(Z32)))&gt;=0.05),AND(AU32="BEAR",ABS(SUM(N(AA32),N(AB32),N(AC32)))&gt;=0.05)),"Moderate","Low")))</f>
        <v>Low</v>
      </c>
      <c r="AW32" t="str">
        <f>IF(AQ32="WAIT","QQQ and SMH not aligned",IF(AU32="BULL",IF(AQ32="SOXL","Bull regime; semiconductors leading","Bull regime; tech leading"),IF(AQ32="SOXS","Bear regime; semiconductors weakest","Bear regime; tech weakest")))</f>
        <v>QQQ and SMH not aligned</v>
      </c>
      <c r="AX32" t="str">
        <f>IF(AR32="WAIT","QQQ and SMH not aligned",IF(AV32="BULL",IF(AR32="SOXL","Bull regime; semiconductors leading","Bull regime; tech leading"),IF(AR32="SOXS","Bear regime; semiconductors weakest","Bear regime; tech weakest")))</f>
        <v>Bear regime; tech weakest</v>
      </c>
    </row>
    <row r="33" spans="1:50" x14ac:dyDescent="0.2">
      <c r="A33" s="12"/>
      <c r="B33" s="13"/>
      <c r="C33" s="13"/>
      <c r="D33" s="13"/>
      <c r="E33" s="13"/>
      <c r="F33" s="11" t="str">
        <f>IF(OR(E33="",E32=""),"",IF(E32=0,"",(E33/E32)-1))</f>
        <v/>
      </c>
      <c r="G33" s="13"/>
      <c r="H33" s="11" t="str">
        <f>IF(OR(G33="",G32=""),"",IF(G32=0,"",(G33/G32)-1))</f>
        <v/>
      </c>
      <c r="I33" s="13"/>
      <c r="J33" s="13"/>
      <c r="K33" s="13"/>
      <c r="L33" s="13"/>
      <c r="M33" s="23" t="str">
        <f>IF(OR(L33="",L32=""),"",IF(L32=0,"",(L33/L32)-1))</f>
        <v/>
      </c>
      <c r="N33" s="26" t="str">
        <f>IFERROR((M33/M32)-1,"")</f>
        <v/>
      </c>
      <c r="O33" s="23" t="str">
        <f>IF(OR(N33="",N32=""),"",IF(N32=0,"",(N33/N32)-1))</f>
        <v/>
      </c>
      <c r="P33" s="11" t="str">
        <f>IF(ROW()&lt;7,"",IF(OR(E33="",E30=""),"",IF(E30=0,"",(E33/E30)-1)))</f>
        <v/>
      </c>
      <c r="Q33" s="23" t="str">
        <f>IF(ROW()&lt;9,"",IF(OR(E33="",E28=""),"",IF(E28=0,"",(E33/E28)-1)))</f>
        <v/>
      </c>
      <c r="R33" s="23" t="str">
        <f>IF(ROW()&lt;7,"",IF(OR(G33="",G30=""),"",IF(G30=0,"",(G33/G30)-1)))</f>
        <v/>
      </c>
      <c r="S33" s="23" t="str">
        <f>IF(ROW()&lt;9,"",IF(OR(G33="",G28=""),"",IF(G28=0,"",(G33/G28)-1)))</f>
        <v/>
      </c>
      <c r="T33" s="23" t="str">
        <f>IF(ROW()&lt;7,"",IF(OR(L33="",L30=""),"",IF(L30=0,"",(L33/L30)-1)))</f>
        <v/>
      </c>
      <c r="U33" s="23" t="str">
        <f>IF(ROW()&lt;9,"",IF(OR(L33="",L28=""),"",IF(L28=0,"",(L33/L28)-1)))</f>
        <v/>
      </c>
      <c r="V33" s="23" t="str">
        <f>IF(ROW()&lt;7,"",IF(OR(N33="",N30=""),"",IF(N30=0,"",(N33/N30)-1)))</f>
        <v/>
      </c>
      <c r="W33" s="23" t="str">
        <f>IF(ROW()&lt;9,"",IF(OR(N33="",N28=""),"",IF(N28=0,"",(N33/N28)-1)))</f>
        <v/>
      </c>
      <c r="X33" s="23" t="str">
        <f>IF(OR(F33="",M33=""),"",F33-M33)</f>
        <v/>
      </c>
      <c r="Y33" s="23" t="str">
        <f>IF(OR(P33="",T33=""),"",P33-T33)</f>
        <v/>
      </c>
      <c r="Z33" s="23" t="str">
        <f>IF(OR(Q33="",U33=""),"",Q33-U33)</f>
        <v/>
      </c>
      <c r="AA33" s="23" t="str">
        <f>IF(OR(H33="",O33=""),"",H33-O33)</f>
        <v/>
      </c>
      <c r="AB33" s="23" t="str">
        <f>IF(OR(R33="",V33=""),"",R33-V33)</f>
        <v/>
      </c>
      <c r="AC33" s="23" t="str">
        <f>IF(OR(S33="",W33=""),"",S33-W33)</f>
        <v/>
      </c>
      <c r="AD33" s="13"/>
      <c r="AE33" s="23" t="str">
        <f>IF(OR(AD33="",AD32=""),"",IF(AD32=0,"",(AD33/AD32)-1))</f>
        <v/>
      </c>
      <c r="AF33" s="23" t="str">
        <f>IF(ROW()&lt;7,"",IF(OR(AD33="",AD30=""),"",IF(AD30=0,"",(AD33/AD30)-1)))</f>
        <v/>
      </c>
      <c r="AG33" s="23" t="str">
        <f>IF(ROW()&lt;9,"",IF(OR(AD33="",AD28=""),"",IF(AD28=0,"",(AD33/AD28)-1)))</f>
        <v/>
      </c>
      <c r="AH33" s="23" t="str">
        <f>IF(OR(AF33="",AG33=""),"",IF(AND(AF33&gt;0,AG33&gt;0),"Bull",IF(AND(AF33&lt;0,AG33&lt;0),"Bear","Mixed")))</f>
        <v/>
      </c>
      <c r="AI33" s="13"/>
      <c r="AJ33" s="13" t="str">
        <f>IF(OR(AI33="",AI32=""),"",IF(AI32=0,"",(AI33/AI32)-1))</f>
        <v/>
      </c>
      <c r="AK33" s="23" t="str">
        <f>IF(OR(AJ33="",AJ32=""),"",IF(AJ32=0,"",(AJ33/AJ32)-1))</f>
        <v/>
      </c>
      <c r="AL33" s="23" t="str">
        <f>IF(ROW()&lt;7,"",IF(OR(AJ33="",AJ30=""),"",IF(AJ30=0,"",(AJ33/AJ30)-1)))</f>
        <v/>
      </c>
      <c r="AM33" s="23" t="str">
        <f>IF(ROW()&lt;9,"",IF(OR(AJ33="",AJ28=""),"",IF(AJ28=0,"",(AJ33/AJ28)-1)))</f>
        <v/>
      </c>
      <c r="AN33" t="str">
        <f>IF(OR(AL33="",AM33=""),"",IF(AND(AL33&gt;0,AM33&gt;0),"Bull",IF(AND(AL33&lt;0,AM33&lt;0),"Bear","Mixed")))</f>
        <v/>
      </c>
      <c r="AO33" t="str">
        <f>IF(OR(AH33="",AN33=""),"",IF(AND(AH33="Bull",AN33="Bull"),"YES","NO"))</f>
        <v/>
      </c>
      <c r="AP33" t="str">
        <f>IF(OR(AH33="",AN33=""),"",IF(AND(AH33="Bear",AN33="Bear"),"YES","NO"))</f>
        <v/>
      </c>
      <c r="AQ33" t="str">
        <f>IF(AO33="YES",IF(SUM(N(X33),N(Y33),N(Z33))&gt;0,"SOXL","TQQQ"),IF(AP33="YES",IF(SUM(N(AA33),N(AB33),N(AC33))&gt;0,"SOXS","SQQQ"),"WAIT"))</f>
        <v>WAIT</v>
      </c>
      <c r="AR33" s="23" t="str">
        <f>IF(AO33="YES",IF(SUM(N(X33),N(Y33),N(Z33))&gt;0,"TQQQ","SOXL"),IF(AP33="YES",IF(SUM(N(AA33),N(AB33),N(AC33))&gt;0,"SQQQ","SOXS"),""))</f>
        <v/>
      </c>
      <c r="AS33" s="23" t="str">
        <f>IF(AQ33="WAIT","",IF(AR33="",1,0.6))</f>
        <v/>
      </c>
      <c r="AT33" s="23">
        <f>IF(AR33="",0,0.4)</f>
        <v>0</v>
      </c>
      <c r="AU33" s="23" t="str">
        <f>IF(AQ33="WAIT","WAIT",IF(AO33="YES","BULL",IF(AP33="YES","BEAR","WAIT")))</f>
        <v>WAIT</v>
      </c>
      <c r="AV33" t="str">
        <f>IF(AQ33="WAIT","Low",IF(OR(AND(AU33="BULL",ABS(SUM(N(X33),N(Y33),N(Z33)))&gt;=0.15),AND(AU33="BEAR",ABS(SUM(N(AA33),N(AB33),N(AC33)))&gt;=0.15)),"Strong",IF(OR(AND(AU33="BULL",ABS(SUM(N(X33),N(Y33),N(Z33)))&gt;=0.05),AND(AU33="BEAR",ABS(SUM(N(AA33),N(AB33),N(AC33)))&gt;=0.05)),"Moderate","Low")))</f>
        <v>Low</v>
      </c>
      <c r="AW33" t="str">
        <f>IF(AQ33="WAIT","QQQ and SMH not aligned",IF(AU33="BULL",IF(AQ33="SOXL","Bull regime; semiconductors leading","Bull regime; tech leading"),IF(AQ33="SOXS","Bear regime; semiconductors weakest","Bear regime; tech weakest")))</f>
        <v>QQQ and SMH not aligned</v>
      </c>
      <c r="AX33" t="str">
        <f>IF(AR33="WAIT","QQQ and SMH not aligned",IF(AV33="BULL",IF(AR33="SOXL","Bull regime; semiconductors leading","Bull regime; tech leading"),IF(AR33="SOXS","Bear regime; semiconductors weakest","Bear regime; tech weakest")))</f>
        <v>Bear regime; tech weakest</v>
      </c>
    </row>
    <row r="34" spans="1:50" x14ac:dyDescent="0.2">
      <c r="A34" s="12"/>
      <c r="B34" s="13"/>
      <c r="C34" s="13"/>
      <c r="D34" s="13"/>
      <c r="E34" s="13"/>
      <c r="F34" s="11" t="str">
        <f>IF(OR(E34="",E33=""),"",IF(E33=0,"",(E34/E33)-1))</f>
        <v/>
      </c>
      <c r="G34" s="13"/>
      <c r="H34" s="11" t="str">
        <f>IF(OR(G34="",G33=""),"",IF(G33=0,"",(G34/G33)-1))</f>
        <v/>
      </c>
      <c r="I34" s="13"/>
      <c r="J34" s="13"/>
      <c r="K34" s="13"/>
      <c r="L34" s="13"/>
      <c r="M34" s="23" t="str">
        <f>IF(OR(L34="",L33=""),"",IF(L33=0,"",(L34/L33)-1))</f>
        <v/>
      </c>
      <c r="N34" s="26" t="str">
        <f>IFERROR((M34/M33)-1,"")</f>
        <v/>
      </c>
      <c r="O34" s="23" t="str">
        <f>IF(OR(N34="",N33=""),"",IF(N33=0,"",(N34/N33)-1))</f>
        <v/>
      </c>
      <c r="P34" s="11" t="str">
        <f>IF(ROW()&lt;7,"",IF(OR(E34="",E31=""),"",IF(E31=0,"",(E34/E31)-1)))</f>
        <v/>
      </c>
      <c r="Q34" s="23" t="str">
        <f>IF(ROW()&lt;9,"",IF(OR(E34="",E29=""),"",IF(E29=0,"",(E34/E29)-1)))</f>
        <v/>
      </c>
      <c r="R34" s="23" t="str">
        <f>IF(ROW()&lt;7,"",IF(OR(G34="",G31=""),"",IF(G31=0,"",(G34/G31)-1)))</f>
        <v/>
      </c>
      <c r="S34" s="23" t="str">
        <f>IF(ROW()&lt;9,"",IF(OR(G34="",G29=""),"",IF(G29=0,"",(G34/G29)-1)))</f>
        <v/>
      </c>
      <c r="T34" s="23" t="str">
        <f>IF(ROW()&lt;7,"",IF(OR(L34="",L31=""),"",IF(L31=0,"",(L34/L31)-1)))</f>
        <v/>
      </c>
      <c r="U34" s="23" t="str">
        <f>IF(ROW()&lt;9,"",IF(OR(L34="",L29=""),"",IF(L29=0,"",(L34/L29)-1)))</f>
        <v/>
      </c>
      <c r="V34" s="23" t="str">
        <f>IF(ROW()&lt;7,"",IF(OR(N34="",N31=""),"",IF(N31=0,"",(N34/N31)-1)))</f>
        <v/>
      </c>
      <c r="W34" s="23" t="str">
        <f>IF(ROW()&lt;9,"",IF(OR(N34="",N29=""),"",IF(N29=0,"",(N34/N29)-1)))</f>
        <v/>
      </c>
      <c r="X34" s="23" t="str">
        <f>IF(OR(F34="",M34=""),"",F34-M34)</f>
        <v/>
      </c>
      <c r="Y34" s="23" t="str">
        <f>IF(OR(P34="",T34=""),"",P34-T34)</f>
        <v/>
      </c>
      <c r="Z34" s="23" t="str">
        <f>IF(OR(Q34="",U34=""),"",Q34-U34)</f>
        <v/>
      </c>
      <c r="AA34" s="23" t="str">
        <f>IF(OR(H34="",O34=""),"",H34-O34)</f>
        <v/>
      </c>
      <c r="AB34" s="23" t="str">
        <f>IF(OR(R34="",V34=""),"",R34-V34)</f>
        <v/>
      </c>
      <c r="AC34" s="23" t="str">
        <f>IF(OR(S34="",W34=""),"",S34-W34)</f>
        <v/>
      </c>
      <c r="AD34" s="13"/>
      <c r="AE34" s="23" t="str">
        <f>IF(OR(AD34="",AD33=""),"",IF(AD33=0,"",(AD34/AD33)-1))</f>
        <v/>
      </c>
      <c r="AF34" s="23" t="str">
        <f>IF(ROW()&lt;7,"",IF(OR(AD34="",AD31=""),"",IF(AD31=0,"",(AD34/AD31)-1)))</f>
        <v/>
      </c>
      <c r="AG34" s="23" t="str">
        <f>IF(ROW()&lt;9,"",IF(OR(AD34="",AD29=""),"",IF(AD29=0,"",(AD34/AD29)-1)))</f>
        <v/>
      </c>
      <c r="AH34" s="23" t="str">
        <f>IF(OR(AF34="",AG34=""),"",IF(AND(AF34&gt;0,AG34&gt;0),"Bull",IF(AND(AF34&lt;0,AG34&lt;0),"Bear","Mixed")))</f>
        <v/>
      </c>
      <c r="AI34" s="13"/>
      <c r="AJ34" s="13" t="str">
        <f>IF(OR(AI34="",AI33=""),"",IF(AI33=0,"",(AI34/AI33)-1))</f>
        <v/>
      </c>
      <c r="AK34" s="23" t="str">
        <f>IF(OR(AJ34="",AJ33=""),"",IF(AJ33=0,"",(AJ34/AJ33)-1))</f>
        <v/>
      </c>
      <c r="AL34" s="23" t="str">
        <f>IF(ROW()&lt;7,"",IF(OR(AJ34="",AJ31=""),"",IF(AJ31=0,"",(AJ34/AJ31)-1)))</f>
        <v/>
      </c>
      <c r="AM34" s="23" t="str">
        <f>IF(ROW()&lt;9,"",IF(OR(AJ34="",AJ29=""),"",IF(AJ29=0,"",(AJ34/AJ29)-1)))</f>
        <v/>
      </c>
      <c r="AN34" t="str">
        <f>IF(OR(AL34="",AM34=""),"",IF(AND(AL34&gt;0,AM34&gt;0),"Bull",IF(AND(AL34&lt;0,AM34&lt;0),"Bear","Mixed")))</f>
        <v/>
      </c>
      <c r="AO34" t="str">
        <f>IF(OR(AH34="",AN34=""),"",IF(AND(AH34="Bull",AN34="Bull"),"YES","NO"))</f>
        <v/>
      </c>
      <c r="AP34" t="str">
        <f>IF(OR(AH34="",AN34=""),"",IF(AND(AH34="Bear",AN34="Bear"),"YES","NO"))</f>
        <v/>
      </c>
      <c r="AQ34" t="str">
        <f>IF(AO34="YES",IF(SUM(N(X34),N(Y34),N(Z34))&gt;0,"SOXL","TQQQ"),IF(AP34="YES",IF(SUM(N(AA34),N(AB34),N(AC34))&gt;0,"SOXS","SQQQ"),"WAIT"))</f>
        <v>WAIT</v>
      </c>
      <c r="AR34" s="23" t="str">
        <f>IF(AO34="YES",IF(SUM(N(X34),N(Y34),N(Z34))&gt;0,"TQQQ","SOXL"),IF(AP34="YES",IF(SUM(N(AA34),N(AB34),N(AC34))&gt;0,"SQQQ","SOXS"),""))</f>
        <v/>
      </c>
      <c r="AS34" s="23" t="str">
        <f>IF(AQ34="WAIT","",IF(AR34="",1,0.6))</f>
        <v/>
      </c>
      <c r="AT34" s="23">
        <f>IF(AR34="",0,0.4)</f>
        <v>0</v>
      </c>
      <c r="AU34" s="23" t="str">
        <f>IF(AQ34="WAIT","WAIT",IF(AO34="YES","BULL",IF(AP34="YES","BEAR","WAIT")))</f>
        <v>WAIT</v>
      </c>
      <c r="AV34" t="str">
        <f>IF(AQ34="WAIT","Low",IF(OR(AND(AU34="BULL",ABS(SUM(N(X34),N(Y34),N(Z34)))&gt;=0.15),AND(AU34="BEAR",ABS(SUM(N(AA34),N(AB34),N(AC34)))&gt;=0.15)),"Strong",IF(OR(AND(AU34="BULL",ABS(SUM(N(X34),N(Y34),N(Z34)))&gt;=0.05),AND(AU34="BEAR",ABS(SUM(N(AA34),N(AB34),N(AC34)))&gt;=0.05)),"Moderate","Low")))</f>
        <v>Low</v>
      </c>
      <c r="AW34" t="str">
        <f>IF(AQ34="WAIT","QQQ and SMH not aligned",IF(AU34="BULL",IF(AQ34="SOXL","Bull regime; semiconductors leading","Bull regime; tech leading"),IF(AQ34="SOXS","Bear regime; semiconductors weakest","Bear regime; tech weakest")))</f>
        <v>QQQ and SMH not aligned</v>
      </c>
      <c r="AX34" t="str">
        <f>IF(AR34="WAIT","QQQ and SMH not aligned",IF(AV34="BULL",IF(AR34="SOXL","Bull regime; semiconductors leading","Bull regime; tech leading"),IF(AR34="SOXS","Bear regime; semiconductors weakest","Bear regime; tech weakest")))</f>
        <v>Bear regime; tech weakest</v>
      </c>
    </row>
    <row r="35" spans="1:50" x14ac:dyDescent="0.2">
      <c r="A35" s="12"/>
      <c r="B35" s="13"/>
      <c r="C35" s="13"/>
      <c r="D35" s="13"/>
      <c r="E35" s="13"/>
      <c r="F35" s="11" t="str">
        <f>IF(OR(E35="",E34=""),"",IF(E34=0,"",(E35/E34)-1))</f>
        <v/>
      </c>
      <c r="G35" s="13"/>
      <c r="H35" s="11" t="str">
        <f>IF(OR(G35="",G34=""),"",IF(G34=0,"",(G35/G34)-1))</f>
        <v/>
      </c>
      <c r="I35" s="13"/>
      <c r="J35" s="13"/>
      <c r="K35" s="13"/>
      <c r="L35" s="13"/>
      <c r="M35" s="23" t="str">
        <f>IF(OR(L35="",L34=""),"",IF(L34=0,"",(L35/L34)-1))</f>
        <v/>
      </c>
      <c r="N35" s="26" t="str">
        <f>IFERROR((M35/M34)-1,"")</f>
        <v/>
      </c>
      <c r="O35" s="23" t="str">
        <f>IF(OR(N35="",N34=""),"",IF(N34=0,"",(N35/N34)-1))</f>
        <v/>
      </c>
      <c r="P35" s="11" t="str">
        <f>IF(ROW()&lt;7,"",IF(OR(E35="",E32=""),"",IF(E32=0,"",(E35/E32)-1)))</f>
        <v/>
      </c>
      <c r="Q35" s="23" t="str">
        <f>IF(ROW()&lt;9,"",IF(OR(E35="",E30=""),"",IF(E30=0,"",(E35/E30)-1)))</f>
        <v/>
      </c>
      <c r="R35" s="23" t="str">
        <f>IF(ROW()&lt;7,"",IF(OR(G35="",G32=""),"",IF(G32=0,"",(G35/G32)-1)))</f>
        <v/>
      </c>
      <c r="S35" s="23" t="str">
        <f>IF(ROW()&lt;9,"",IF(OR(G35="",G30=""),"",IF(G30=0,"",(G35/G30)-1)))</f>
        <v/>
      </c>
      <c r="T35" s="23" t="str">
        <f>IF(ROW()&lt;7,"",IF(OR(L35="",L32=""),"",IF(L32=0,"",(L35/L32)-1)))</f>
        <v/>
      </c>
      <c r="U35" s="23" t="str">
        <f>IF(ROW()&lt;9,"",IF(OR(L35="",L30=""),"",IF(L30=0,"",(L35/L30)-1)))</f>
        <v/>
      </c>
      <c r="V35" s="23" t="str">
        <f>IF(ROW()&lt;7,"",IF(OR(N35="",N32=""),"",IF(N32=0,"",(N35/N32)-1)))</f>
        <v/>
      </c>
      <c r="W35" s="23" t="str">
        <f>IF(ROW()&lt;9,"",IF(OR(N35="",N30=""),"",IF(N30=0,"",(N35/N30)-1)))</f>
        <v/>
      </c>
      <c r="X35" s="23" t="str">
        <f>IF(OR(F35="",M35=""),"",F35-M35)</f>
        <v/>
      </c>
      <c r="Y35" s="23" t="str">
        <f>IF(OR(P35="",T35=""),"",P35-T35)</f>
        <v/>
      </c>
      <c r="Z35" s="23" t="str">
        <f>IF(OR(Q35="",U35=""),"",Q35-U35)</f>
        <v/>
      </c>
      <c r="AA35" s="23" t="str">
        <f>IF(OR(H35="",O35=""),"",H35-O35)</f>
        <v/>
      </c>
      <c r="AB35" s="23" t="str">
        <f>IF(OR(R35="",V35=""),"",R35-V35)</f>
        <v/>
      </c>
      <c r="AC35" s="23" t="str">
        <f>IF(OR(S35="",W35=""),"",S35-W35)</f>
        <v/>
      </c>
      <c r="AD35" s="13"/>
      <c r="AE35" s="23" t="str">
        <f>IF(OR(AD35="",AD34=""),"",IF(AD34=0,"",(AD35/AD34)-1))</f>
        <v/>
      </c>
      <c r="AF35" s="23" t="str">
        <f>IF(ROW()&lt;7,"",IF(OR(AD35="",AD32=""),"",IF(AD32=0,"",(AD35/AD32)-1)))</f>
        <v/>
      </c>
      <c r="AG35" s="23" t="str">
        <f>IF(ROW()&lt;9,"",IF(OR(AD35="",AD30=""),"",IF(AD30=0,"",(AD35/AD30)-1)))</f>
        <v/>
      </c>
      <c r="AH35" s="23" t="str">
        <f>IF(OR(AF35="",AG35=""),"",IF(AND(AF35&gt;0,AG35&gt;0),"Bull",IF(AND(AF35&lt;0,AG35&lt;0),"Bear","Mixed")))</f>
        <v/>
      </c>
      <c r="AI35" s="13"/>
      <c r="AJ35" s="13" t="str">
        <f>IF(OR(AI35="",AI34=""),"",IF(AI34=0,"",(AI35/AI34)-1))</f>
        <v/>
      </c>
      <c r="AK35" s="23" t="str">
        <f>IF(OR(AJ35="",AJ34=""),"",IF(AJ34=0,"",(AJ35/AJ34)-1))</f>
        <v/>
      </c>
      <c r="AL35" s="23" t="str">
        <f>IF(ROW()&lt;7,"",IF(OR(AJ35="",AJ32=""),"",IF(AJ32=0,"",(AJ35/AJ32)-1)))</f>
        <v/>
      </c>
      <c r="AM35" s="23" t="str">
        <f>IF(ROW()&lt;9,"",IF(OR(AJ35="",AJ30=""),"",IF(AJ30=0,"",(AJ35/AJ30)-1)))</f>
        <v/>
      </c>
      <c r="AN35" t="str">
        <f>IF(OR(AL35="",AM35=""),"",IF(AND(AL35&gt;0,AM35&gt;0),"Bull",IF(AND(AL35&lt;0,AM35&lt;0),"Bear","Mixed")))</f>
        <v/>
      </c>
      <c r="AO35" t="str">
        <f>IF(OR(AH35="",AN35=""),"",IF(AND(AH35="Bull",AN35="Bull"),"YES","NO"))</f>
        <v/>
      </c>
      <c r="AP35" t="str">
        <f>IF(OR(AH35="",AN35=""),"",IF(AND(AH35="Bear",AN35="Bear"),"YES","NO"))</f>
        <v/>
      </c>
      <c r="AQ35" t="str">
        <f>IF(AO35="YES",IF(SUM(N(X35),N(Y35),N(Z35))&gt;0,"SOXL","TQQQ"),IF(AP35="YES",IF(SUM(N(AA35),N(AB35),N(AC35))&gt;0,"SOXS","SQQQ"),"WAIT"))</f>
        <v>WAIT</v>
      </c>
      <c r="AR35" s="23" t="str">
        <f>IF(AO35="YES",IF(SUM(N(X35),N(Y35),N(Z35))&gt;0,"TQQQ","SOXL"),IF(AP35="YES",IF(SUM(N(AA35),N(AB35),N(AC35))&gt;0,"SQQQ","SOXS"),""))</f>
        <v/>
      </c>
      <c r="AS35" s="23" t="str">
        <f>IF(AQ35="WAIT","",IF(AR35="",1,0.6))</f>
        <v/>
      </c>
      <c r="AT35" s="23">
        <f>IF(AR35="",0,0.4)</f>
        <v>0</v>
      </c>
      <c r="AU35" s="23" t="str">
        <f>IF(AQ35="WAIT","WAIT",IF(AO35="YES","BULL",IF(AP35="YES","BEAR","WAIT")))</f>
        <v>WAIT</v>
      </c>
      <c r="AV35" t="str">
        <f>IF(AQ35="WAIT","Low",IF(OR(AND(AU35="BULL",ABS(SUM(N(X35),N(Y35),N(Z35)))&gt;=0.15),AND(AU35="BEAR",ABS(SUM(N(AA35),N(AB35),N(AC35)))&gt;=0.15)),"Strong",IF(OR(AND(AU35="BULL",ABS(SUM(N(X35),N(Y35),N(Z35)))&gt;=0.05),AND(AU35="BEAR",ABS(SUM(N(AA35),N(AB35),N(AC35)))&gt;=0.05)),"Moderate","Low")))</f>
        <v>Low</v>
      </c>
      <c r="AW35" t="str">
        <f>IF(AQ35="WAIT","QQQ and SMH not aligned",IF(AU35="BULL",IF(AQ35="SOXL","Bull regime; semiconductors leading","Bull regime; tech leading"),IF(AQ35="SOXS","Bear regime; semiconductors weakest","Bear regime; tech weakest")))</f>
        <v>QQQ and SMH not aligned</v>
      </c>
      <c r="AX35" t="str">
        <f>IF(AR35="WAIT","QQQ and SMH not aligned",IF(AV35="BULL",IF(AR35="SOXL","Bull regime; semiconductors leading","Bull regime; tech leading"),IF(AR35="SOXS","Bear regime; semiconductors weakest","Bear regime; tech weakest")))</f>
        <v>Bear regime; tech weakest</v>
      </c>
    </row>
    <row r="36" spans="1:50" x14ac:dyDescent="0.2">
      <c r="A36" s="12"/>
      <c r="B36" s="13"/>
      <c r="C36" s="13"/>
      <c r="D36" s="13"/>
      <c r="E36" s="13"/>
      <c r="F36" s="11" t="str">
        <f>IF(OR(E36="",E35=""),"",IF(E35=0,"",(E36/E35)-1))</f>
        <v/>
      </c>
      <c r="G36" s="13"/>
      <c r="H36" s="11" t="str">
        <f>IF(OR(G36="",G35=""),"",IF(G35=0,"",(G36/G35)-1))</f>
        <v/>
      </c>
      <c r="I36" s="13"/>
      <c r="J36" s="13"/>
      <c r="K36" s="13"/>
      <c r="L36" s="13"/>
      <c r="M36" s="23" t="str">
        <f>IF(OR(L36="",L35=""),"",IF(L35=0,"",(L36/L35)-1))</f>
        <v/>
      </c>
      <c r="N36" s="26" t="str">
        <f>IFERROR((M36/M35)-1,"")</f>
        <v/>
      </c>
      <c r="O36" s="23" t="str">
        <f>IF(OR(N36="",N35=""),"",IF(N35=0,"",(N36/N35)-1))</f>
        <v/>
      </c>
      <c r="P36" s="11" t="str">
        <f>IF(ROW()&lt;7,"",IF(OR(E36="",E33=""),"",IF(E33=0,"",(E36/E33)-1)))</f>
        <v/>
      </c>
      <c r="Q36" s="23" t="str">
        <f>IF(ROW()&lt;9,"",IF(OR(E36="",E31=""),"",IF(E31=0,"",(E36/E31)-1)))</f>
        <v/>
      </c>
      <c r="R36" s="23" t="str">
        <f>IF(ROW()&lt;7,"",IF(OR(G36="",G33=""),"",IF(G33=0,"",(G36/G33)-1)))</f>
        <v/>
      </c>
      <c r="S36" s="23" t="str">
        <f>IF(ROW()&lt;9,"",IF(OR(G36="",G31=""),"",IF(G31=0,"",(G36/G31)-1)))</f>
        <v/>
      </c>
      <c r="T36" s="23" t="str">
        <f>IF(ROW()&lt;7,"",IF(OR(L36="",L33=""),"",IF(L33=0,"",(L36/L33)-1)))</f>
        <v/>
      </c>
      <c r="U36" s="23" t="str">
        <f>IF(ROW()&lt;9,"",IF(OR(L36="",L31=""),"",IF(L31=0,"",(L36/L31)-1)))</f>
        <v/>
      </c>
      <c r="V36" s="23" t="str">
        <f>IF(ROW()&lt;7,"",IF(OR(N36="",N33=""),"",IF(N33=0,"",(N36/N33)-1)))</f>
        <v/>
      </c>
      <c r="W36" s="23" t="str">
        <f>IF(ROW()&lt;9,"",IF(OR(N36="",N31=""),"",IF(N31=0,"",(N36/N31)-1)))</f>
        <v/>
      </c>
      <c r="X36" s="23" t="str">
        <f>IF(OR(F36="",M36=""),"",F36-M36)</f>
        <v/>
      </c>
      <c r="Y36" s="23" t="str">
        <f>IF(OR(P36="",T36=""),"",P36-T36)</f>
        <v/>
      </c>
      <c r="Z36" s="23" t="str">
        <f>IF(OR(Q36="",U36=""),"",Q36-U36)</f>
        <v/>
      </c>
      <c r="AA36" s="23" t="str">
        <f>IF(OR(H36="",O36=""),"",H36-O36)</f>
        <v/>
      </c>
      <c r="AB36" s="23" t="str">
        <f>IF(OR(R36="",V36=""),"",R36-V36)</f>
        <v/>
      </c>
      <c r="AC36" s="23" t="str">
        <f>IF(OR(S36="",W36=""),"",S36-W36)</f>
        <v/>
      </c>
      <c r="AD36" s="13"/>
      <c r="AE36" s="23" t="str">
        <f>IF(OR(AD36="",AD35=""),"",IF(AD35=0,"",(AD36/AD35)-1))</f>
        <v/>
      </c>
      <c r="AF36" s="23" t="str">
        <f>IF(ROW()&lt;7,"",IF(OR(AD36="",AD33=""),"",IF(AD33=0,"",(AD36/AD33)-1)))</f>
        <v/>
      </c>
      <c r="AG36" s="23" t="str">
        <f>IF(ROW()&lt;9,"",IF(OR(AD36="",AD31=""),"",IF(AD31=0,"",(AD36/AD31)-1)))</f>
        <v/>
      </c>
      <c r="AH36" s="23" t="str">
        <f>IF(OR(AF36="",AG36=""),"",IF(AND(AF36&gt;0,AG36&gt;0),"Bull",IF(AND(AF36&lt;0,AG36&lt;0),"Bear","Mixed")))</f>
        <v/>
      </c>
      <c r="AI36" s="13"/>
      <c r="AJ36" s="13" t="str">
        <f>IF(OR(AI36="",AI35=""),"",IF(AI35=0,"",(AI36/AI35)-1))</f>
        <v/>
      </c>
      <c r="AK36" s="23" t="str">
        <f>IF(OR(AJ36="",AJ35=""),"",IF(AJ35=0,"",(AJ36/AJ35)-1))</f>
        <v/>
      </c>
      <c r="AL36" s="23" t="str">
        <f>IF(ROW()&lt;7,"",IF(OR(AJ36="",AJ33=""),"",IF(AJ33=0,"",(AJ36/AJ33)-1)))</f>
        <v/>
      </c>
      <c r="AM36" s="23" t="str">
        <f>IF(ROW()&lt;9,"",IF(OR(AJ36="",AJ31=""),"",IF(AJ31=0,"",(AJ36/AJ31)-1)))</f>
        <v/>
      </c>
      <c r="AN36" t="str">
        <f>IF(OR(AL36="",AM36=""),"",IF(AND(AL36&gt;0,AM36&gt;0),"Bull",IF(AND(AL36&lt;0,AM36&lt;0),"Bear","Mixed")))</f>
        <v/>
      </c>
      <c r="AO36" t="str">
        <f>IF(OR(AH36="",AN36=""),"",IF(AND(AH36="Bull",AN36="Bull"),"YES","NO"))</f>
        <v/>
      </c>
      <c r="AP36" t="str">
        <f>IF(OR(AH36="",AN36=""),"",IF(AND(AH36="Bear",AN36="Bear"),"YES","NO"))</f>
        <v/>
      </c>
      <c r="AQ36" t="str">
        <f>IF(AO36="YES",IF(SUM(N(X36),N(Y36),N(Z36))&gt;0,"SOXL","TQQQ"),IF(AP36="YES",IF(SUM(N(AA36),N(AB36),N(AC36))&gt;0,"SOXS","SQQQ"),"WAIT"))</f>
        <v>WAIT</v>
      </c>
      <c r="AR36" s="23" t="str">
        <f>IF(AO36="YES",IF(SUM(N(X36),N(Y36),N(Z36))&gt;0,"TQQQ","SOXL"),IF(AP36="YES",IF(SUM(N(AA36),N(AB36),N(AC36))&gt;0,"SQQQ","SOXS"),""))</f>
        <v/>
      </c>
      <c r="AS36" s="23" t="str">
        <f>IF(AQ36="WAIT","",IF(AR36="",1,0.6))</f>
        <v/>
      </c>
      <c r="AT36" s="23">
        <f>IF(AR36="",0,0.4)</f>
        <v>0</v>
      </c>
      <c r="AU36" s="23" t="str">
        <f>IF(AQ36="WAIT","WAIT",IF(AO36="YES","BULL",IF(AP36="YES","BEAR","WAIT")))</f>
        <v>WAIT</v>
      </c>
      <c r="AV36" t="str">
        <f>IF(AQ36="WAIT","Low",IF(OR(AND(AU36="BULL",ABS(SUM(N(X36),N(Y36),N(Z36)))&gt;=0.15),AND(AU36="BEAR",ABS(SUM(N(AA36),N(AB36),N(AC36)))&gt;=0.15)),"Strong",IF(OR(AND(AU36="BULL",ABS(SUM(N(X36),N(Y36),N(Z36)))&gt;=0.05),AND(AU36="BEAR",ABS(SUM(N(AA36),N(AB36),N(AC36)))&gt;=0.05)),"Moderate","Low")))</f>
        <v>Low</v>
      </c>
      <c r="AW36" t="str">
        <f>IF(AQ36="WAIT","QQQ and SMH not aligned",IF(AU36="BULL",IF(AQ36="SOXL","Bull regime; semiconductors leading","Bull regime; tech leading"),IF(AQ36="SOXS","Bear regime; semiconductors weakest","Bear regime; tech weakest")))</f>
        <v>QQQ and SMH not aligned</v>
      </c>
      <c r="AX36" t="str">
        <f>IF(AR36="WAIT","QQQ and SMH not aligned",IF(AV36="BULL",IF(AR36="SOXL","Bull regime; semiconductors leading","Bull regime; tech leading"),IF(AR36="SOXS","Bear regime; semiconductors weakest","Bear regime; tech weakest")))</f>
        <v>Bear regime; tech weakest</v>
      </c>
    </row>
    <row r="37" spans="1:50" x14ac:dyDescent="0.2">
      <c r="A37" s="12"/>
      <c r="B37" s="13"/>
      <c r="C37" s="13"/>
      <c r="D37" s="13"/>
      <c r="E37" s="13"/>
      <c r="F37" s="11" t="str">
        <f>IF(OR(E37="",E36=""),"",IF(E36=0,"",(E37/E36)-1))</f>
        <v/>
      </c>
      <c r="G37" s="13"/>
      <c r="H37" s="11" t="str">
        <f>IF(OR(G37="",G36=""),"",IF(G36=0,"",(G37/G36)-1))</f>
        <v/>
      </c>
      <c r="I37" s="13"/>
      <c r="J37" s="13"/>
      <c r="K37" s="13"/>
      <c r="L37" s="13"/>
      <c r="M37" s="23" t="str">
        <f>IF(OR(L37="",L36=""),"",IF(L36=0,"",(L37/L36)-1))</f>
        <v/>
      </c>
      <c r="N37" s="26" t="str">
        <f>IFERROR((M37/M36)-1,"")</f>
        <v/>
      </c>
      <c r="O37" s="23" t="str">
        <f>IF(OR(N37="",N36=""),"",IF(N36=0,"",(N37/N36)-1))</f>
        <v/>
      </c>
      <c r="P37" s="11" t="str">
        <f>IF(ROW()&lt;7,"",IF(OR(E37="",E34=""),"",IF(E34=0,"",(E37/E34)-1)))</f>
        <v/>
      </c>
      <c r="Q37" s="23" t="str">
        <f>IF(ROW()&lt;9,"",IF(OR(E37="",E32=""),"",IF(E32=0,"",(E37/E32)-1)))</f>
        <v/>
      </c>
      <c r="R37" s="23" t="str">
        <f>IF(ROW()&lt;7,"",IF(OR(G37="",G34=""),"",IF(G34=0,"",(G37/G34)-1)))</f>
        <v/>
      </c>
      <c r="S37" s="23" t="str">
        <f>IF(ROW()&lt;9,"",IF(OR(G37="",G32=""),"",IF(G32=0,"",(G37/G32)-1)))</f>
        <v/>
      </c>
      <c r="T37" s="23" t="str">
        <f>IF(ROW()&lt;7,"",IF(OR(L37="",L34=""),"",IF(L34=0,"",(L37/L34)-1)))</f>
        <v/>
      </c>
      <c r="U37" s="23" t="str">
        <f>IF(ROW()&lt;9,"",IF(OR(L37="",L32=""),"",IF(L32=0,"",(L37/L32)-1)))</f>
        <v/>
      </c>
      <c r="V37" s="23" t="str">
        <f>IF(ROW()&lt;7,"",IF(OR(N37="",N34=""),"",IF(N34=0,"",(N37/N34)-1)))</f>
        <v/>
      </c>
      <c r="W37" s="23" t="str">
        <f>IF(ROW()&lt;9,"",IF(OR(N37="",N32=""),"",IF(N32=0,"",(N37/N32)-1)))</f>
        <v/>
      </c>
      <c r="X37" s="23" t="str">
        <f>IF(OR(F37="",M37=""),"",F37-M37)</f>
        <v/>
      </c>
      <c r="Y37" s="23" t="str">
        <f>IF(OR(P37="",T37=""),"",P37-T37)</f>
        <v/>
      </c>
      <c r="Z37" s="23" t="str">
        <f>IF(OR(Q37="",U37=""),"",Q37-U37)</f>
        <v/>
      </c>
      <c r="AA37" s="23" t="str">
        <f>IF(OR(H37="",O37=""),"",H37-O37)</f>
        <v/>
      </c>
      <c r="AB37" s="23" t="str">
        <f>IF(OR(R37="",V37=""),"",R37-V37)</f>
        <v/>
      </c>
      <c r="AC37" s="23" t="str">
        <f>IF(OR(S37="",W37=""),"",S37-W37)</f>
        <v/>
      </c>
      <c r="AD37" s="13"/>
      <c r="AE37" s="23" t="str">
        <f>IF(OR(AD37="",AD36=""),"",IF(AD36=0,"",(AD37/AD36)-1))</f>
        <v/>
      </c>
      <c r="AF37" s="23" t="str">
        <f>IF(ROW()&lt;7,"",IF(OR(AD37="",AD34=""),"",IF(AD34=0,"",(AD37/AD34)-1)))</f>
        <v/>
      </c>
      <c r="AG37" s="23" t="str">
        <f>IF(ROW()&lt;9,"",IF(OR(AD37="",AD32=""),"",IF(AD32=0,"",(AD37/AD32)-1)))</f>
        <v/>
      </c>
      <c r="AH37" s="23" t="str">
        <f>IF(OR(AF37="",AG37=""),"",IF(AND(AF37&gt;0,AG37&gt;0),"Bull",IF(AND(AF37&lt;0,AG37&lt;0),"Bear","Mixed")))</f>
        <v/>
      </c>
      <c r="AI37" s="13"/>
      <c r="AJ37" s="13" t="str">
        <f>IF(OR(AI37="",AI36=""),"",IF(AI36=0,"",(AI37/AI36)-1))</f>
        <v/>
      </c>
      <c r="AK37" s="23" t="str">
        <f>IF(OR(AJ37="",AJ36=""),"",IF(AJ36=0,"",(AJ37/AJ36)-1))</f>
        <v/>
      </c>
      <c r="AL37" s="23" t="str">
        <f>IF(ROW()&lt;7,"",IF(OR(AJ37="",AJ34=""),"",IF(AJ34=0,"",(AJ37/AJ34)-1)))</f>
        <v/>
      </c>
      <c r="AM37" s="23" t="str">
        <f>IF(ROW()&lt;9,"",IF(OR(AJ37="",AJ32=""),"",IF(AJ32=0,"",(AJ37/AJ32)-1)))</f>
        <v/>
      </c>
      <c r="AN37" t="str">
        <f>IF(OR(AL37="",AM37=""),"",IF(AND(AL37&gt;0,AM37&gt;0),"Bull",IF(AND(AL37&lt;0,AM37&lt;0),"Bear","Mixed")))</f>
        <v/>
      </c>
      <c r="AO37" t="str">
        <f>IF(OR(AH37="",AN37=""),"",IF(AND(AH37="Bull",AN37="Bull"),"YES","NO"))</f>
        <v/>
      </c>
      <c r="AP37" t="str">
        <f>IF(OR(AH37="",AN37=""),"",IF(AND(AH37="Bear",AN37="Bear"),"YES","NO"))</f>
        <v/>
      </c>
      <c r="AQ37" t="str">
        <f>IF(AO37="YES",IF(SUM(N(X37),N(Y37),N(Z37))&gt;0,"SOXL","TQQQ"),IF(AP37="YES",IF(SUM(N(AA37),N(AB37),N(AC37))&gt;0,"SOXS","SQQQ"),"WAIT"))</f>
        <v>WAIT</v>
      </c>
      <c r="AR37" s="23" t="str">
        <f>IF(AO37="YES",IF(SUM(N(X37),N(Y37),N(Z37))&gt;0,"TQQQ","SOXL"),IF(AP37="YES",IF(SUM(N(AA37),N(AB37),N(AC37))&gt;0,"SQQQ","SOXS"),""))</f>
        <v/>
      </c>
      <c r="AS37" s="23" t="str">
        <f>IF(AQ37="WAIT","",IF(AR37="",1,0.6))</f>
        <v/>
      </c>
      <c r="AT37" s="23">
        <f>IF(AR37="",0,0.4)</f>
        <v>0</v>
      </c>
      <c r="AU37" s="23" t="str">
        <f>IF(AQ37="WAIT","WAIT",IF(AO37="YES","BULL",IF(AP37="YES","BEAR","WAIT")))</f>
        <v>WAIT</v>
      </c>
      <c r="AV37" t="str">
        <f>IF(AQ37="WAIT","Low",IF(OR(AND(AU37="BULL",ABS(SUM(N(X37),N(Y37),N(Z37)))&gt;=0.15),AND(AU37="BEAR",ABS(SUM(N(AA37),N(AB37),N(AC37)))&gt;=0.15)),"Strong",IF(OR(AND(AU37="BULL",ABS(SUM(N(X37),N(Y37),N(Z37)))&gt;=0.05),AND(AU37="BEAR",ABS(SUM(N(AA37),N(AB37),N(AC37)))&gt;=0.05)),"Moderate","Low")))</f>
        <v>Low</v>
      </c>
      <c r="AW37" t="str">
        <f>IF(AQ37="WAIT","QQQ and SMH not aligned",IF(AU37="BULL",IF(AQ37="SOXL","Bull regime; semiconductors leading","Bull regime; tech leading"),IF(AQ37="SOXS","Bear regime; semiconductors weakest","Bear regime; tech weakest")))</f>
        <v>QQQ and SMH not aligned</v>
      </c>
      <c r="AX37" t="str">
        <f>IF(AR37="WAIT","QQQ and SMH not aligned",IF(AV37="BULL",IF(AR37="SOXL","Bull regime; semiconductors leading","Bull regime; tech leading"),IF(AR37="SOXS","Bear regime; semiconductors weakest","Bear regime; tech weakest")))</f>
        <v>Bear regime; tech weakest</v>
      </c>
    </row>
    <row r="38" spans="1:50" x14ac:dyDescent="0.2">
      <c r="A38" s="12"/>
      <c r="B38" s="13"/>
      <c r="C38" s="13"/>
      <c r="D38" s="13"/>
      <c r="E38" s="13"/>
      <c r="F38" s="11" t="str">
        <f>IF(OR(E38="",E37=""),"",IF(E37=0,"",(E38/E37)-1))</f>
        <v/>
      </c>
      <c r="G38" s="13"/>
      <c r="H38" s="11" t="str">
        <f>IF(OR(G38="",G37=""),"",IF(G37=0,"",(G38/G37)-1))</f>
        <v/>
      </c>
      <c r="I38" s="13"/>
      <c r="J38" s="13"/>
      <c r="K38" s="13"/>
      <c r="L38" s="13"/>
      <c r="M38" s="23" t="str">
        <f>IF(OR(L38="",L37=""),"",IF(L37=0,"",(L38/L37)-1))</f>
        <v/>
      </c>
      <c r="N38" s="26" t="str">
        <f>IFERROR((M38/M37)-1,"")</f>
        <v/>
      </c>
      <c r="O38" s="23" t="str">
        <f>IF(OR(N38="",N37=""),"",IF(N37=0,"",(N38/N37)-1))</f>
        <v/>
      </c>
      <c r="P38" s="11" t="str">
        <f>IF(ROW()&lt;7,"",IF(OR(E38="",E35=""),"",IF(E35=0,"",(E38/E35)-1)))</f>
        <v/>
      </c>
      <c r="Q38" s="23" t="str">
        <f>IF(ROW()&lt;9,"",IF(OR(E38="",E33=""),"",IF(E33=0,"",(E38/E33)-1)))</f>
        <v/>
      </c>
      <c r="R38" s="23" t="str">
        <f>IF(ROW()&lt;7,"",IF(OR(G38="",G35=""),"",IF(G35=0,"",(G38/G35)-1)))</f>
        <v/>
      </c>
      <c r="S38" s="23" t="str">
        <f>IF(ROW()&lt;9,"",IF(OR(G38="",G33=""),"",IF(G33=0,"",(G38/G33)-1)))</f>
        <v/>
      </c>
      <c r="T38" s="23" t="str">
        <f>IF(ROW()&lt;7,"",IF(OR(L38="",L35=""),"",IF(L35=0,"",(L38/L35)-1)))</f>
        <v/>
      </c>
      <c r="U38" s="23" t="str">
        <f>IF(ROW()&lt;9,"",IF(OR(L38="",L33=""),"",IF(L33=0,"",(L38/L33)-1)))</f>
        <v/>
      </c>
      <c r="V38" s="23" t="str">
        <f>IF(ROW()&lt;7,"",IF(OR(N38="",N35=""),"",IF(N35=0,"",(N38/N35)-1)))</f>
        <v/>
      </c>
      <c r="W38" s="23" t="str">
        <f>IF(ROW()&lt;9,"",IF(OR(N38="",N33=""),"",IF(N33=0,"",(N38/N33)-1)))</f>
        <v/>
      </c>
      <c r="X38" s="23" t="str">
        <f>IF(OR(F38="",M38=""),"",F38-M38)</f>
        <v/>
      </c>
      <c r="Y38" s="23" t="str">
        <f>IF(OR(P38="",T38=""),"",P38-T38)</f>
        <v/>
      </c>
      <c r="Z38" s="23" t="str">
        <f>IF(OR(Q38="",U38=""),"",Q38-U38)</f>
        <v/>
      </c>
      <c r="AA38" s="23" t="str">
        <f>IF(OR(H38="",O38=""),"",H38-O38)</f>
        <v/>
      </c>
      <c r="AB38" s="23" t="str">
        <f>IF(OR(R38="",V38=""),"",R38-V38)</f>
        <v/>
      </c>
      <c r="AC38" s="23" t="str">
        <f>IF(OR(S38="",W38=""),"",S38-W38)</f>
        <v/>
      </c>
      <c r="AD38" s="13"/>
      <c r="AE38" s="23" t="str">
        <f>IF(OR(AD38="",AD37=""),"",IF(AD37=0,"",(AD38/AD37)-1))</f>
        <v/>
      </c>
      <c r="AF38" s="23" t="str">
        <f>IF(ROW()&lt;7,"",IF(OR(AD38="",AD35=""),"",IF(AD35=0,"",(AD38/AD35)-1)))</f>
        <v/>
      </c>
      <c r="AG38" s="23" t="str">
        <f>IF(ROW()&lt;9,"",IF(OR(AD38="",AD33=""),"",IF(AD33=0,"",(AD38/AD33)-1)))</f>
        <v/>
      </c>
      <c r="AH38" s="23" t="str">
        <f>IF(OR(AF38="",AG38=""),"",IF(AND(AF38&gt;0,AG38&gt;0),"Bull",IF(AND(AF38&lt;0,AG38&lt;0),"Bear","Mixed")))</f>
        <v/>
      </c>
      <c r="AI38" s="13"/>
      <c r="AJ38" s="13" t="str">
        <f>IF(OR(AI38="",AI37=""),"",IF(AI37=0,"",(AI38/AI37)-1))</f>
        <v/>
      </c>
      <c r="AK38" s="23" t="str">
        <f>IF(OR(AJ38="",AJ37=""),"",IF(AJ37=0,"",(AJ38/AJ37)-1))</f>
        <v/>
      </c>
      <c r="AL38" s="23" t="str">
        <f>IF(ROW()&lt;7,"",IF(OR(AJ38="",AJ35=""),"",IF(AJ35=0,"",(AJ38/AJ35)-1)))</f>
        <v/>
      </c>
      <c r="AM38" s="23" t="str">
        <f>IF(ROW()&lt;9,"",IF(OR(AJ38="",AJ33=""),"",IF(AJ33=0,"",(AJ38/AJ33)-1)))</f>
        <v/>
      </c>
      <c r="AN38" t="str">
        <f>IF(OR(AL38="",AM38=""),"",IF(AND(AL38&gt;0,AM38&gt;0),"Bull",IF(AND(AL38&lt;0,AM38&lt;0),"Bear","Mixed")))</f>
        <v/>
      </c>
      <c r="AO38" t="str">
        <f>IF(OR(AH38="",AN38=""),"",IF(AND(AH38="Bull",AN38="Bull"),"YES","NO"))</f>
        <v/>
      </c>
      <c r="AP38" t="str">
        <f>IF(OR(AH38="",AN38=""),"",IF(AND(AH38="Bear",AN38="Bear"),"YES","NO"))</f>
        <v/>
      </c>
      <c r="AQ38" t="str">
        <f>IF(AO38="YES",IF(SUM(N(X38),N(Y38),N(Z38))&gt;0,"SOXL","TQQQ"),IF(AP38="YES",IF(SUM(N(AA38),N(AB38),N(AC38))&gt;0,"SOXS","SQQQ"),"WAIT"))</f>
        <v>WAIT</v>
      </c>
      <c r="AR38" s="23" t="str">
        <f>IF(AO38="YES",IF(SUM(N(X38),N(Y38),N(Z38))&gt;0,"TQQQ","SOXL"),IF(AP38="YES",IF(SUM(N(AA38),N(AB38),N(AC38))&gt;0,"SQQQ","SOXS"),""))</f>
        <v/>
      </c>
      <c r="AS38" s="23" t="str">
        <f>IF(AQ38="WAIT","",IF(AR38="",1,0.6))</f>
        <v/>
      </c>
      <c r="AT38" s="23">
        <f>IF(AR38="",0,0.4)</f>
        <v>0</v>
      </c>
      <c r="AU38" s="23" t="str">
        <f>IF(AQ38="WAIT","WAIT",IF(AO38="YES","BULL",IF(AP38="YES","BEAR","WAIT")))</f>
        <v>WAIT</v>
      </c>
      <c r="AV38" t="str">
        <f>IF(AQ38="WAIT","Low",IF(OR(AND(AU38="BULL",ABS(SUM(N(X38),N(Y38),N(Z38)))&gt;=0.15),AND(AU38="BEAR",ABS(SUM(N(AA38),N(AB38),N(AC38)))&gt;=0.15)),"Strong",IF(OR(AND(AU38="BULL",ABS(SUM(N(X38),N(Y38),N(Z38)))&gt;=0.05),AND(AU38="BEAR",ABS(SUM(N(AA38),N(AB38),N(AC38)))&gt;=0.05)),"Moderate","Low")))</f>
        <v>Low</v>
      </c>
      <c r="AW38" t="str">
        <f>IF(AQ38="WAIT","QQQ and SMH not aligned",IF(AU38="BULL",IF(AQ38="SOXL","Bull regime; semiconductors leading","Bull regime; tech leading"),IF(AQ38="SOXS","Bear regime; semiconductors weakest","Bear regime; tech weakest")))</f>
        <v>QQQ and SMH not aligned</v>
      </c>
      <c r="AX38" t="str">
        <f>IF(AR38="WAIT","QQQ and SMH not aligned",IF(AV38="BULL",IF(AR38="SOXL","Bull regime; semiconductors leading","Bull regime; tech leading"),IF(AR38="SOXS","Bear regime; semiconductors weakest","Bear regime; tech weakest")))</f>
        <v>Bear regime; tech weakest</v>
      </c>
    </row>
    <row r="39" spans="1:50" x14ac:dyDescent="0.2">
      <c r="A39" s="12"/>
      <c r="B39" s="13"/>
      <c r="C39" s="13"/>
      <c r="D39" s="13"/>
      <c r="E39" s="13"/>
      <c r="F39" s="11" t="str">
        <f>IF(OR(E39="",E38=""),"",IF(E38=0,"",(E39/E38)-1))</f>
        <v/>
      </c>
      <c r="G39" s="13"/>
      <c r="H39" s="11" t="str">
        <f>IF(OR(G39="",G38=""),"",IF(G38=0,"",(G39/G38)-1))</f>
        <v/>
      </c>
      <c r="I39" s="13"/>
      <c r="J39" s="13"/>
      <c r="K39" s="13"/>
      <c r="L39" s="13"/>
      <c r="M39" s="23" t="str">
        <f>IF(OR(L39="",L38=""),"",IF(L38=0,"",(L39/L38)-1))</f>
        <v/>
      </c>
      <c r="N39" s="26" t="str">
        <f>IFERROR((M39/M38)-1,"")</f>
        <v/>
      </c>
      <c r="O39" s="23" t="str">
        <f>IF(OR(N39="",N38=""),"",IF(N38=0,"",(N39/N38)-1))</f>
        <v/>
      </c>
      <c r="P39" s="11" t="str">
        <f>IF(ROW()&lt;7,"",IF(OR(E39="",E36=""),"",IF(E36=0,"",(E39/E36)-1)))</f>
        <v/>
      </c>
      <c r="Q39" s="23" t="str">
        <f>IF(ROW()&lt;9,"",IF(OR(E39="",E34=""),"",IF(E34=0,"",(E39/E34)-1)))</f>
        <v/>
      </c>
      <c r="R39" s="23" t="str">
        <f>IF(ROW()&lt;7,"",IF(OR(G39="",G36=""),"",IF(G36=0,"",(G39/G36)-1)))</f>
        <v/>
      </c>
      <c r="S39" s="23" t="str">
        <f>IF(ROW()&lt;9,"",IF(OR(G39="",G34=""),"",IF(G34=0,"",(G39/G34)-1)))</f>
        <v/>
      </c>
      <c r="T39" s="23" t="str">
        <f>IF(ROW()&lt;7,"",IF(OR(L39="",L36=""),"",IF(L36=0,"",(L39/L36)-1)))</f>
        <v/>
      </c>
      <c r="U39" s="23" t="str">
        <f>IF(ROW()&lt;9,"",IF(OR(L39="",L34=""),"",IF(L34=0,"",(L39/L34)-1)))</f>
        <v/>
      </c>
      <c r="V39" s="23" t="str">
        <f>IF(ROW()&lt;7,"",IF(OR(N39="",N36=""),"",IF(N36=0,"",(N39/N36)-1)))</f>
        <v/>
      </c>
      <c r="W39" s="23" t="str">
        <f>IF(ROW()&lt;9,"",IF(OR(N39="",N34=""),"",IF(N34=0,"",(N39/N34)-1)))</f>
        <v/>
      </c>
      <c r="X39" s="23" t="str">
        <f>IF(OR(F39="",M39=""),"",F39-M39)</f>
        <v/>
      </c>
      <c r="Y39" s="23" t="str">
        <f>IF(OR(P39="",T39=""),"",P39-T39)</f>
        <v/>
      </c>
      <c r="Z39" s="23" t="str">
        <f>IF(OR(Q39="",U39=""),"",Q39-U39)</f>
        <v/>
      </c>
      <c r="AA39" s="23" t="str">
        <f>IF(OR(H39="",O39=""),"",H39-O39)</f>
        <v/>
      </c>
      <c r="AB39" s="23" t="str">
        <f>IF(OR(R39="",V39=""),"",R39-V39)</f>
        <v/>
      </c>
      <c r="AC39" s="23" t="str">
        <f>IF(OR(S39="",W39=""),"",S39-W39)</f>
        <v/>
      </c>
      <c r="AD39" s="13"/>
      <c r="AE39" s="23" t="str">
        <f>IF(OR(AD39="",AD38=""),"",IF(AD38=0,"",(AD39/AD38)-1))</f>
        <v/>
      </c>
      <c r="AF39" s="23" t="str">
        <f>IF(ROW()&lt;7,"",IF(OR(AD39="",AD36=""),"",IF(AD36=0,"",(AD39/AD36)-1)))</f>
        <v/>
      </c>
      <c r="AG39" s="23" t="str">
        <f>IF(ROW()&lt;9,"",IF(OR(AD39="",AD34=""),"",IF(AD34=0,"",(AD39/AD34)-1)))</f>
        <v/>
      </c>
      <c r="AH39" s="23" t="str">
        <f>IF(OR(AF39="",AG39=""),"",IF(AND(AF39&gt;0,AG39&gt;0),"Bull",IF(AND(AF39&lt;0,AG39&lt;0),"Bear","Mixed")))</f>
        <v/>
      </c>
      <c r="AI39" s="13"/>
      <c r="AJ39" s="13" t="str">
        <f>IF(OR(AI39="",AI38=""),"",IF(AI38=0,"",(AI39/AI38)-1))</f>
        <v/>
      </c>
      <c r="AK39" s="23" t="str">
        <f>IF(OR(AJ39="",AJ38=""),"",IF(AJ38=0,"",(AJ39/AJ38)-1))</f>
        <v/>
      </c>
      <c r="AL39" s="23" t="str">
        <f>IF(ROW()&lt;7,"",IF(OR(AJ39="",AJ36=""),"",IF(AJ36=0,"",(AJ39/AJ36)-1)))</f>
        <v/>
      </c>
      <c r="AM39" s="23" t="str">
        <f>IF(ROW()&lt;9,"",IF(OR(AJ39="",AJ34=""),"",IF(AJ34=0,"",(AJ39/AJ34)-1)))</f>
        <v/>
      </c>
      <c r="AN39" t="str">
        <f>IF(OR(AL39="",AM39=""),"",IF(AND(AL39&gt;0,AM39&gt;0),"Bull",IF(AND(AL39&lt;0,AM39&lt;0),"Bear","Mixed")))</f>
        <v/>
      </c>
      <c r="AO39" t="str">
        <f>IF(OR(AH39="",AN39=""),"",IF(AND(AH39="Bull",AN39="Bull"),"YES","NO"))</f>
        <v/>
      </c>
      <c r="AP39" t="str">
        <f>IF(OR(AH39="",AN39=""),"",IF(AND(AH39="Bear",AN39="Bear"),"YES","NO"))</f>
        <v/>
      </c>
      <c r="AQ39" t="str">
        <f>IF(AO39="YES",IF(SUM(N(X39),N(Y39),N(Z39))&gt;0,"SOXL","TQQQ"),IF(AP39="YES",IF(SUM(N(AA39),N(AB39),N(AC39))&gt;0,"SOXS","SQQQ"),"WAIT"))</f>
        <v>WAIT</v>
      </c>
      <c r="AR39" s="23" t="str">
        <f>IF(AO39="YES",IF(SUM(N(X39),N(Y39),N(Z39))&gt;0,"TQQQ","SOXL"),IF(AP39="YES",IF(SUM(N(AA39),N(AB39),N(AC39))&gt;0,"SQQQ","SOXS"),""))</f>
        <v/>
      </c>
      <c r="AS39" s="23" t="str">
        <f>IF(AQ39="WAIT","",IF(AR39="",1,0.6))</f>
        <v/>
      </c>
      <c r="AT39" s="23">
        <f>IF(AR39="",0,0.4)</f>
        <v>0</v>
      </c>
      <c r="AU39" s="23" t="str">
        <f>IF(AQ39="WAIT","WAIT",IF(AO39="YES","BULL",IF(AP39="YES","BEAR","WAIT")))</f>
        <v>WAIT</v>
      </c>
      <c r="AV39" t="str">
        <f>IF(AQ39="WAIT","Low",IF(OR(AND(AU39="BULL",ABS(SUM(N(X39),N(Y39),N(Z39)))&gt;=0.15),AND(AU39="BEAR",ABS(SUM(N(AA39),N(AB39),N(AC39)))&gt;=0.15)),"Strong",IF(OR(AND(AU39="BULL",ABS(SUM(N(X39),N(Y39),N(Z39)))&gt;=0.05),AND(AU39="BEAR",ABS(SUM(N(AA39),N(AB39),N(AC39)))&gt;=0.05)),"Moderate","Low")))</f>
        <v>Low</v>
      </c>
      <c r="AW39" t="str">
        <f>IF(AQ39="WAIT","QQQ and SMH not aligned",IF(AU39="BULL",IF(AQ39="SOXL","Bull regime; semiconductors leading","Bull regime; tech leading"),IF(AQ39="SOXS","Bear regime; semiconductors weakest","Bear regime; tech weakest")))</f>
        <v>QQQ and SMH not aligned</v>
      </c>
      <c r="AX39" t="str">
        <f>IF(AR39="WAIT","QQQ and SMH not aligned",IF(AV39="BULL",IF(AR39="SOXL","Bull regime; semiconductors leading","Bull regime; tech leading"),IF(AR39="SOXS","Bear regime; semiconductors weakest","Bear regime; tech weakest")))</f>
        <v>Bear regime; tech weakest</v>
      </c>
    </row>
    <row r="40" spans="1:50" x14ac:dyDescent="0.2">
      <c r="A40" s="12"/>
      <c r="B40" s="13"/>
      <c r="C40" s="13"/>
      <c r="D40" s="13"/>
      <c r="E40" s="13"/>
      <c r="F40" s="11" t="str">
        <f>IF(OR(E40="",E39=""),"",IF(E39=0,"",(E40/E39)-1))</f>
        <v/>
      </c>
      <c r="G40" s="13"/>
      <c r="H40" s="11" t="str">
        <f>IF(OR(G40="",G39=""),"",IF(G39=0,"",(G40/G39)-1))</f>
        <v/>
      </c>
      <c r="I40" s="13"/>
      <c r="J40" s="13"/>
      <c r="K40" s="13"/>
      <c r="L40" s="13"/>
      <c r="M40" s="23" t="str">
        <f>IF(OR(L40="",L39=""),"",IF(L39=0,"",(L40/L39)-1))</f>
        <v/>
      </c>
      <c r="N40" s="26" t="str">
        <f>IFERROR((M40/M39)-1,"")</f>
        <v/>
      </c>
      <c r="O40" s="23" t="str">
        <f>IF(OR(N40="",N39=""),"",IF(N39=0,"",(N40/N39)-1))</f>
        <v/>
      </c>
      <c r="P40" s="11" t="str">
        <f>IF(ROW()&lt;7,"",IF(OR(E40="",E37=""),"",IF(E37=0,"",(E40/E37)-1)))</f>
        <v/>
      </c>
      <c r="Q40" s="23" t="str">
        <f>IF(ROW()&lt;9,"",IF(OR(E40="",E35=""),"",IF(E35=0,"",(E40/E35)-1)))</f>
        <v/>
      </c>
      <c r="R40" s="23" t="str">
        <f>IF(ROW()&lt;7,"",IF(OR(G40="",G37=""),"",IF(G37=0,"",(G40/G37)-1)))</f>
        <v/>
      </c>
      <c r="S40" s="23" t="str">
        <f>IF(ROW()&lt;9,"",IF(OR(G40="",G35=""),"",IF(G35=0,"",(G40/G35)-1)))</f>
        <v/>
      </c>
      <c r="T40" s="23" t="str">
        <f>IF(ROW()&lt;7,"",IF(OR(L40="",L37=""),"",IF(L37=0,"",(L40/L37)-1)))</f>
        <v/>
      </c>
      <c r="U40" s="23" t="str">
        <f>IF(ROW()&lt;9,"",IF(OR(L40="",L35=""),"",IF(L35=0,"",(L40/L35)-1)))</f>
        <v/>
      </c>
      <c r="V40" s="23" t="str">
        <f>IF(ROW()&lt;7,"",IF(OR(N40="",N37=""),"",IF(N37=0,"",(N40/N37)-1)))</f>
        <v/>
      </c>
      <c r="W40" s="23" t="str">
        <f>IF(ROW()&lt;9,"",IF(OR(N40="",N35=""),"",IF(N35=0,"",(N40/N35)-1)))</f>
        <v/>
      </c>
      <c r="X40" s="23" t="str">
        <f>IF(OR(F40="",M40=""),"",F40-M40)</f>
        <v/>
      </c>
      <c r="Y40" s="23" t="str">
        <f>IF(OR(P40="",T40=""),"",P40-T40)</f>
        <v/>
      </c>
      <c r="Z40" s="23" t="str">
        <f>IF(OR(Q40="",U40=""),"",Q40-U40)</f>
        <v/>
      </c>
      <c r="AA40" s="23" t="str">
        <f>IF(OR(H40="",O40=""),"",H40-O40)</f>
        <v/>
      </c>
      <c r="AB40" s="23" t="str">
        <f>IF(OR(R40="",V40=""),"",R40-V40)</f>
        <v/>
      </c>
      <c r="AC40" s="23" t="str">
        <f>IF(OR(S40="",W40=""),"",S40-W40)</f>
        <v/>
      </c>
      <c r="AD40" s="13"/>
      <c r="AE40" s="23" t="str">
        <f>IF(OR(AD40="",AD39=""),"",IF(AD39=0,"",(AD40/AD39)-1))</f>
        <v/>
      </c>
      <c r="AF40" s="23" t="str">
        <f>IF(ROW()&lt;7,"",IF(OR(AD40="",AD37=""),"",IF(AD37=0,"",(AD40/AD37)-1)))</f>
        <v/>
      </c>
      <c r="AG40" s="23" t="str">
        <f>IF(ROW()&lt;9,"",IF(OR(AD40="",AD35=""),"",IF(AD35=0,"",(AD40/AD35)-1)))</f>
        <v/>
      </c>
      <c r="AH40" s="23" t="str">
        <f>IF(OR(AF40="",AG40=""),"",IF(AND(AF40&gt;0,AG40&gt;0),"Bull",IF(AND(AF40&lt;0,AG40&lt;0),"Bear","Mixed")))</f>
        <v/>
      </c>
      <c r="AI40" s="13"/>
      <c r="AJ40" s="13" t="str">
        <f>IF(OR(AI40="",AI39=""),"",IF(AI39=0,"",(AI40/AI39)-1))</f>
        <v/>
      </c>
      <c r="AK40" s="23" t="str">
        <f>IF(OR(AJ40="",AJ39=""),"",IF(AJ39=0,"",(AJ40/AJ39)-1))</f>
        <v/>
      </c>
      <c r="AL40" s="23" t="str">
        <f>IF(ROW()&lt;7,"",IF(OR(AJ40="",AJ37=""),"",IF(AJ37=0,"",(AJ40/AJ37)-1)))</f>
        <v/>
      </c>
      <c r="AM40" s="23" t="str">
        <f>IF(ROW()&lt;9,"",IF(OR(AJ40="",AJ35=""),"",IF(AJ35=0,"",(AJ40/AJ35)-1)))</f>
        <v/>
      </c>
      <c r="AN40" t="str">
        <f>IF(OR(AL40="",AM40=""),"",IF(AND(AL40&gt;0,AM40&gt;0),"Bull",IF(AND(AL40&lt;0,AM40&lt;0),"Bear","Mixed")))</f>
        <v/>
      </c>
      <c r="AO40" t="str">
        <f>IF(OR(AH40="",AN40=""),"",IF(AND(AH40="Bull",AN40="Bull"),"YES","NO"))</f>
        <v/>
      </c>
      <c r="AP40" t="str">
        <f>IF(OR(AH40="",AN40=""),"",IF(AND(AH40="Bear",AN40="Bear"),"YES","NO"))</f>
        <v/>
      </c>
      <c r="AQ40" t="str">
        <f>IF(AO40="YES",IF(SUM(N(X40),N(Y40),N(Z40))&gt;0,"SOXL","TQQQ"),IF(AP40="YES",IF(SUM(N(AA40),N(AB40),N(AC40))&gt;0,"SOXS","SQQQ"),"WAIT"))</f>
        <v>WAIT</v>
      </c>
      <c r="AR40" s="23" t="str">
        <f>IF(AO40="YES",IF(SUM(N(X40),N(Y40),N(Z40))&gt;0,"TQQQ","SOXL"),IF(AP40="YES",IF(SUM(N(AA40),N(AB40),N(AC40))&gt;0,"SQQQ","SOXS"),""))</f>
        <v/>
      </c>
      <c r="AS40" s="23" t="str">
        <f>IF(AQ40="WAIT","",IF(AR40="",1,0.6))</f>
        <v/>
      </c>
      <c r="AT40" s="23">
        <f>IF(AR40="",0,0.4)</f>
        <v>0</v>
      </c>
      <c r="AU40" s="23" t="str">
        <f>IF(AQ40="WAIT","WAIT",IF(AO40="YES","BULL",IF(AP40="YES","BEAR","WAIT")))</f>
        <v>WAIT</v>
      </c>
      <c r="AV40" t="str">
        <f>IF(AQ40="WAIT","Low",IF(OR(AND(AU40="BULL",ABS(SUM(N(X40),N(Y40),N(Z40)))&gt;=0.15),AND(AU40="BEAR",ABS(SUM(N(AA40),N(AB40),N(AC40)))&gt;=0.15)),"Strong",IF(OR(AND(AU40="BULL",ABS(SUM(N(X40),N(Y40),N(Z40)))&gt;=0.05),AND(AU40="BEAR",ABS(SUM(N(AA40),N(AB40),N(AC40)))&gt;=0.05)),"Moderate","Low")))</f>
        <v>Low</v>
      </c>
      <c r="AW40" t="str">
        <f>IF(AQ40="WAIT","QQQ and SMH not aligned",IF(AU40="BULL",IF(AQ40="SOXL","Bull regime; semiconductors leading","Bull regime; tech leading"),IF(AQ40="SOXS","Bear regime; semiconductors weakest","Bear regime; tech weakest")))</f>
        <v>QQQ and SMH not aligned</v>
      </c>
      <c r="AX40" t="str">
        <f>IF(AR40="WAIT","QQQ and SMH not aligned",IF(AV40="BULL",IF(AR40="SOXL","Bull regime; semiconductors leading","Bull regime; tech leading"),IF(AR40="SOXS","Bear regime; semiconductors weakest","Bear regime; tech weakest")))</f>
        <v>Bear regime; tech weakest</v>
      </c>
    </row>
    <row r="41" spans="1:50" x14ac:dyDescent="0.2">
      <c r="A41" s="12"/>
      <c r="B41" s="13"/>
      <c r="C41" s="13"/>
      <c r="D41" s="13"/>
      <c r="E41" s="13"/>
      <c r="F41" s="11" t="str">
        <f>IF(OR(E41="",E40=""),"",IF(E40=0,"",(E41/E40)-1))</f>
        <v/>
      </c>
      <c r="G41" s="13"/>
      <c r="H41" s="11" t="str">
        <f>IF(OR(G41="",G40=""),"",IF(G40=0,"",(G41/G40)-1))</f>
        <v/>
      </c>
      <c r="I41" s="13"/>
      <c r="J41" s="13"/>
      <c r="K41" s="13"/>
      <c r="L41" s="13"/>
      <c r="M41" s="23" t="str">
        <f>IF(OR(L41="",L40=""),"",IF(L40=0,"",(L41/L40)-1))</f>
        <v/>
      </c>
      <c r="N41" s="26" t="str">
        <f>IFERROR((M41/M40)-1,"")</f>
        <v/>
      </c>
      <c r="O41" s="23" t="str">
        <f>IF(OR(N41="",N40=""),"",IF(N40=0,"",(N41/N40)-1))</f>
        <v/>
      </c>
      <c r="P41" s="11" t="str">
        <f>IF(ROW()&lt;7,"",IF(OR(E41="",E38=""),"",IF(E38=0,"",(E41/E38)-1)))</f>
        <v/>
      </c>
      <c r="Q41" s="23" t="str">
        <f>IF(ROW()&lt;9,"",IF(OR(E41="",E36=""),"",IF(E36=0,"",(E41/E36)-1)))</f>
        <v/>
      </c>
      <c r="R41" s="23" t="str">
        <f>IF(ROW()&lt;7,"",IF(OR(G41="",G38=""),"",IF(G38=0,"",(G41/G38)-1)))</f>
        <v/>
      </c>
      <c r="S41" s="23" t="str">
        <f>IF(ROW()&lt;9,"",IF(OR(G41="",G36=""),"",IF(G36=0,"",(G41/G36)-1)))</f>
        <v/>
      </c>
      <c r="T41" s="23" t="str">
        <f>IF(ROW()&lt;7,"",IF(OR(L41="",L38=""),"",IF(L38=0,"",(L41/L38)-1)))</f>
        <v/>
      </c>
      <c r="U41" s="23" t="str">
        <f>IF(ROW()&lt;9,"",IF(OR(L41="",L36=""),"",IF(L36=0,"",(L41/L36)-1)))</f>
        <v/>
      </c>
      <c r="V41" s="23" t="str">
        <f>IF(ROW()&lt;7,"",IF(OR(N41="",N38=""),"",IF(N38=0,"",(N41/N38)-1)))</f>
        <v/>
      </c>
      <c r="W41" s="23" t="str">
        <f>IF(ROW()&lt;9,"",IF(OR(N41="",N36=""),"",IF(N36=0,"",(N41/N36)-1)))</f>
        <v/>
      </c>
      <c r="X41" s="23" t="str">
        <f>IF(OR(F41="",M41=""),"",F41-M41)</f>
        <v/>
      </c>
      <c r="Y41" s="23" t="str">
        <f>IF(OR(P41="",T41=""),"",P41-T41)</f>
        <v/>
      </c>
      <c r="Z41" s="23" t="str">
        <f>IF(OR(Q41="",U41=""),"",Q41-U41)</f>
        <v/>
      </c>
      <c r="AA41" s="23" t="str">
        <f>IF(OR(H41="",O41=""),"",H41-O41)</f>
        <v/>
      </c>
      <c r="AB41" s="23" t="str">
        <f>IF(OR(R41="",V41=""),"",R41-V41)</f>
        <v/>
      </c>
      <c r="AC41" s="23" t="str">
        <f>IF(OR(S41="",W41=""),"",S41-W41)</f>
        <v/>
      </c>
      <c r="AD41" s="13"/>
      <c r="AE41" s="23" t="str">
        <f>IF(OR(AD41="",AD40=""),"",IF(AD40=0,"",(AD41/AD40)-1))</f>
        <v/>
      </c>
      <c r="AF41" s="23" t="str">
        <f>IF(ROW()&lt;7,"",IF(OR(AD41="",AD38=""),"",IF(AD38=0,"",(AD41/AD38)-1)))</f>
        <v/>
      </c>
      <c r="AG41" s="23" t="str">
        <f>IF(ROW()&lt;9,"",IF(OR(AD41="",AD36=""),"",IF(AD36=0,"",(AD41/AD36)-1)))</f>
        <v/>
      </c>
      <c r="AH41" s="23" t="str">
        <f>IF(OR(AF41="",AG41=""),"",IF(AND(AF41&gt;0,AG41&gt;0),"Bull",IF(AND(AF41&lt;0,AG41&lt;0),"Bear","Mixed")))</f>
        <v/>
      </c>
      <c r="AI41" s="13"/>
      <c r="AJ41" s="13" t="str">
        <f>IF(OR(AI41="",AI40=""),"",IF(AI40=0,"",(AI41/AI40)-1))</f>
        <v/>
      </c>
      <c r="AK41" s="23" t="str">
        <f>IF(OR(AJ41="",AJ40=""),"",IF(AJ40=0,"",(AJ41/AJ40)-1))</f>
        <v/>
      </c>
      <c r="AL41" s="23" t="str">
        <f>IF(ROW()&lt;7,"",IF(OR(AJ41="",AJ38=""),"",IF(AJ38=0,"",(AJ41/AJ38)-1)))</f>
        <v/>
      </c>
      <c r="AM41" s="23" t="str">
        <f>IF(ROW()&lt;9,"",IF(OR(AJ41="",AJ36=""),"",IF(AJ36=0,"",(AJ41/AJ36)-1)))</f>
        <v/>
      </c>
      <c r="AN41" t="str">
        <f>IF(OR(AL41="",AM41=""),"",IF(AND(AL41&gt;0,AM41&gt;0),"Bull",IF(AND(AL41&lt;0,AM41&lt;0),"Bear","Mixed")))</f>
        <v/>
      </c>
      <c r="AO41" t="str">
        <f>IF(OR(AH41="",AN41=""),"",IF(AND(AH41="Bull",AN41="Bull"),"YES","NO"))</f>
        <v/>
      </c>
      <c r="AP41" t="str">
        <f>IF(OR(AH41="",AN41=""),"",IF(AND(AH41="Bear",AN41="Bear"),"YES","NO"))</f>
        <v/>
      </c>
      <c r="AQ41" t="str">
        <f>IF(AO41="YES",IF(SUM(N(X41),N(Y41),N(Z41))&gt;0,"SOXL","TQQQ"),IF(AP41="YES",IF(SUM(N(AA41),N(AB41),N(AC41))&gt;0,"SOXS","SQQQ"),"WAIT"))</f>
        <v>WAIT</v>
      </c>
      <c r="AR41" s="23" t="str">
        <f>IF(AO41="YES",IF(SUM(N(X41),N(Y41),N(Z41))&gt;0,"TQQQ","SOXL"),IF(AP41="YES",IF(SUM(N(AA41),N(AB41),N(AC41))&gt;0,"SQQQ","SOXS"),""))</f>
        <v/>
      </c>
      <c r="AS41" s="23" t="str">
        <f>IF(AQ41="WAIT","",IF(AR41="",1,0.6))</f>
        <v/>
      </c>
      <c r="AT41" s="23">
        <f>IF(AR41="",0,0.4)</f>
        <v>0</v>
      </c>
      <c r="AU41" s="23" t="str">
        <f>IF(AQ41="WAIT","WAIT",IF(AO41="YES","BULL",IF(AP41="YES","BEAR","WAIT")))</f>
        <v>WAIT</v>
      </c>
      <c r="AV41" t="str">
        <f>IF(AQ41="WAIT","Low",IF(OR(AND(AU41="BULL",ABS(SUM(N(X41),N(Y41),N(Z41)))&gt;=0.15),AND(AU41="BEAR",ABS(SUM(N(AA41),N(AB41),N(AC41)))&gt;=0.15)),"Strong",IF(OR(AND(AU41="BULL",ABS(SUM(N(X41),N(Y41),N(Z41)))&gt;=0.05),AND(AU41="BEAR",ABS(SUM(N(AA41),N(AB41),N(AC41)))&gt;=0.05)),"Moderate","Low")))</f>
        <v>Low</v>
      </c>
      <c r="AW41" t="str">
        <f>IF(AQ41="WAIT","QQQ and SMH not aligned",IF(AU41="BULL",IF(AQ41="SOXL","Bull regime; semiconductors leading","Bull regime; tech leading"),IF(AQ41="SOXS","Bear regime; semiconductors weakest","Bear regime; tech weakest")))</f>
        <v>QQQ and SMH not aligned</v>
      </c>
      <c r="AX41" t="str">
        <f>IF(AR41="WAIT","QQQ and SMH not aligned",IF(AV41="BULL",IF(AR41="SOXL","Bull regime; semiconductors leading","Bull regime; tech leading"),IF(AR41="SOXS","Bear regime; semiconductors weakest","Bear regime; tech weakest")))</f>
        <v>Bear regime; tech weakest</v>
      </c>
    </row>
    <row r="42" spans="1:50" x14ac:dyDescent="0.2">
      <c r="A42" s="12"/>
      <c r="B42" s="13"/>
      <c r="C42" s="13"/>
      <c r="D42" s="13"/>
      <c r="E42" s="13"/>
      <c r="F42" s="11" t="str">
        <f>IF(OR(E42="",E41=""),"",IF(E41=0,"",(E42/E41)-1))</f>
        <v/>
      </c>
      <c r="G42" s="13"/>
      <c r="H42" s="11" t="str">
        <f>IF(OR(G42="",G41=""),"",IF(G41=0,"",(G42/G41)-1))</f>
        <v/>
      </c>
      <c r="I42" s="13"/>
      <c r="J42" s="13"/>
      <c r="K42" s="13"/>
      <c r="L42" s="13"/>
      <c r="M42" s="23" t="str">
        <f>IF(OR(L42="",L41=""),"",IF(L41=0,"",(L42/L41)-1))</f>
        <v/>
      </c>
      <c r="N42" s="26" t="str">
        <f>IFERROR((M42/M41)-1,"")</f>
        <v/>
      </c>
      <c r="O42" s="23" t="str">
        <f>IF(OR(N42="",N41=""),"",IF(N41=0,"",(N42/N41)-1))</f>
        <v/>
      </c>
      <c r="P42" s="11" t="str">
        <f>IF(ROW()&lt;7,"",IF(OR(E42="",E39=""),"",IF(E39=0,"",(E42/E39)-1)))</f>
        <v/>
      </c>
      <c r="Q42" s="23" t="str">
        <f>IF(ROW()&lt;9,"",IF(OR(E42="",E37=""),"",IF(E37=0,"",(E42/E37)-1)))</f>
        <v/>
      </c>
      <c r="R42" s="23" t="str">
        <f>IF(ROW()&lt;7,"",IF(OR(G42="",G39=""),"",IF(G39=0,"",(G42/G39)-1)))</f>
        <v/>
      </c>
      <c r="S42" s="23" t="str">
        <f>IF(ROW()&lt;9,"",IF(OR(G42="",G37=""),"",IF(G37=0,"",(G42/G37)-1)))</f>
        <v/>
      </c>
      <c r="T42" s="23" t="str">
        <f>IF(ROW()&lt;7,"",IF(OR(L42="",L39=""),"",IF(L39=0,"",(L42/L39)-1)))</f>
        <v/>
      </c>
      <c r="U42" s="23" t="str">
        <f>IF(ROW()&lt;9,"",IF(OR(L42="",L37=""),"",IF(L37=0,"",(L42/L37)-1)))</f>
        <v/>
      </c>
      <c r="V42" s="23" t="str">
        <f>IF(ROW()&lt;7,"",IF(OR(N42="",N39=""),"",IF(N39=0,"",(N42/N39)-1)))</f>
        <v/>
      </c>
      <c r="W42" s="23" t="str">
        <f>IF(ROW()&lt;9,"",IF(OR(N42="",N37=""),"",IF(N37=0,"",(N42/N37)-1)))</f>
        <v/>
      </c>
      <c r="X42" s="23" t="str">
        <f>IF(OR(F42="",M42=""),"",F42-M42)</f>
        <v/>
      </c>
      <c r="Y42" s="23" t="str">
        <f>IF(OR(P42="",T42=""),"",P42-T42)</f>
        <v/>
      </c>
      <c r="Z42" s="23" t="str">
        <f>IF(OR(Q42="",U42=""),"",Q42-U42)</f>
        <v/>
      </c>
      <c r="AA42" s="23" t="str">
        <f>IF(OR(H42="",O42=""),"",H42-O42)</f>
        <v/>
      </c>
      <c r="AB42" s="23" t="str">
        <f>IF(OR(R42="",V42=""),"",R42-V42)</f>
        <v/>
      </c>
      <c r="AC42" s="23" t="str">
        <f>IF(OR(S42="",W42=""),"",S42-W42)</f>
        <v/>
      </c>
      <c r="AD42" s="13"/>
      <c r="AE42" s="23" t="str">
        <f>IF(OR(AD42="",AD41=""),"",IF(AD41=0,"",(AD42/AD41)-1))</f>
        <v/>
      </c>
      <c r="AF42" s="23" t="str">
        <f>IF(ROW()&lt;7,"",IF(OR(AD42="",AD39=""),"",IF(AD39=0,"",(AD42/AD39)-1)))</f>
        <v/>
      </c>
      <c r="AG42" s="23" t="str">
        <f>IF(ROW()&lt;9,"",IF(OR(AD42="",AD37=""),"",IF(AD37=0,"",(AD42/AD37)-1)))</f>
        <v/>
      </c>
      <c r="AH42" s="23" t="str">
        <f>IF(OR(AF42="",AG42=""),"",IF(AND(AF42&gt;0,AG42&gt;0),"Bull",IF(AND(AF42&lt;0,AG42&lt;0),"Bear","Mixed")))</f>
        <v/>
      </c>
      <c r="AI42" s="13"/>
      <c r="AJ42" s="13" t="str">
        <f>IF(OR(AI42="",AI41=""),"",IF(AI41=0,"",(AI42/AI41)-1))</f>
        <v/>
      </c>
      <c r="AK42" s="23" t="str">
        <f>IF(OR(AJ42="",AJ41=""),"",IF(AJ41=0,"",(AJ42/AJ41)-1))</f>
        <v/>
      </c>
      <c r="AL42" s="23" t="str">
        <f>IF(ROW()&lt;7,"",IF(OR(AJ42="",AJ39=""),"",IF(AJ39=0,"",(AJ42/AJ39)-1)))</f>
        <v/>
      </c>
      <c r="AM42" s="23" t="str">
        <f>IF(ROW()&lt;9,"",IF(OR(AJ42="",AJ37=""),"",IF(AJ37=0,"",(AJ42/AJ37)-1)))</f>
        <v/>
      </c>
      <c r="AN42" t="str">
        <f>IF(OR(AL42="",AM42=""),"",IF(AND(AL42&gt;0,AM42&gt;0),"Bull",IF(AND(AL42&lt;0,AM42&lt;0),"Bear","Mixed")))</f>
        <v/>
      </c>
      <c r="AO42" t="str">
        <f>IF(OR(AH42="",AN42=""),"",IF(AND(AH42="Bull",AN42="Bull"),"YES","NO"))</f>
        <v/>
      </c>
      <c r="AP42" t="str">
        <f>IF(OR(AH42="",AN42=""),"",IF(AND(AH42="Bear",AN42="Bear"),"YES","NO"))</f>
        <v/>
      </c>
      <c r="AQ42" t="str">
        <f>IF(AO42="YES",IF(SUM(N(X42),N(Y42),N(Z42))&gt;0,"SOXL","TQQQ"),IF(AP42="YES",IF(SUM(N(AA42),N(AB42),N(AC42))&gt;0,"SOXS","SQQQ"),"WAIT"))</f>
        <v>WAIT</v>
      </c>
      <c r="AR42" s="23" t="str">
        <f>IF(AO42="YES",IF(SUM(N(X42),N(Y42),N(Z42))&gt;0,"TQQQ","SOXL"),IF(AP42="YES",IF(SUM(N(AA42),N(AB42),N(AC42))&gt;0,"SQQQ","SOXS"),""))</f>
        <v/>
      </c>
      <c r="AS42" s="23" t="str">
        <f>IF(AQ42="WAIT","",IF(AR42="",1,0.6))</f>
        <v/>
      </c>
      <c r="AT42" s="23">
        <f>IF(AR42="",0,0.4)</f>
        <v>0</v>
      </c>
      <c r="AU42" s="23" t="str">
        <f>IF(AQ42="WAIT","WAIT",IF(AO42="YES","BULL",IF(AP42="YES","BEAR","WAIT")))</f>
        <v>WAIT</v>
      </c>
      <c r="AV42" t="str">
        <f>IF(AQ42="WAIT","Low",IF(OR(AND(AU42="BULL",ABS(SUM(N(X42),N(Y42),N(Z42)))&gt;=0.15),AND(AU42="BEAR",ABS(SUM(N(AA42),N(AB42),N(AC42)))&gt;=0.15)),"Strong",IF(OR(AND(AU42="BULL",ABS(SUM(N(X42),N(Y42),N(Z42)))&gt;=0.05),AND(AU42="BEAR",ABS(SUM(N(AA42),N(AB42),N(AC42)))&gt;=0.05)),"Moderate","Low")))</f>
        <v>Low</v>
      </c>
      <c r="AW42" t="str">
        <f>IF(AQ42="WAIT","QQQ and SMH not aligned",IF(AU42="BULL",IF(AQ42="SOXL","Bull regime; semiconductors leading","Bull regime; tech leading"),IF(AQ42="SOXS","Bear regime; semiconductors weakest","Bear regime; tech weakest")))</f>
        <v>QQQ and SMH not aligned</v>
      </c>
      <c r="AX42" t="str">
        <f>IF(AR42="WAIT","QQQ and SMH not aligned",IF(AV42="BULL",IF(AR42="SOXL","Bull regime; semiconductors leading","Bull regime; tech leading"),IF(AR42="SOXS","Bear regime; semiconductors weakest","Bear regime; tech weakest")))</f>
        <v>Bear regime; tech weakest</v>
      </c>
    </row>
    <row r="43" spans="1:50" x14ac:dyDescent="0.2">
      <c r="A43" s="12"/>
      <c r="B43" s="13"/>
      <c r="C43" s="13"/>
      <c r="D43" s="13"/>
      <c r="E43" s="13"/>
      <c r="F43" s="11" t="str">
        <f>IF(OR(E43="",E42=""),"",IF(E42=0,"",(E43/E42)-1))</f>
        <v/>
      </c>
      <c r="G43" s="13"/>
      <c r="H43" s="11" t="str">
        <f>IF(OR(G43="",G42=""),"",IF(G42=0,"",(G43/G42)-1))</f>
        <v/>
      </c>
      <c r="I43" s="13"/>
      <c r="J43" s="13"/>
      <c r="K43" s="13"/>
      <c r="L43" s="13"/>
      <c r="M43" s="23" t="str">
        <f>IF(OR(L43="",L42=""),"",IF(L42=0,"",(L43/L42)-1))</f>
        <v/>
      </c>
      <c r="N43" s="26" t="str">
        <f>IFERROR((M43/M42)-1,"")</f>
        <v/>
      </c>
      <c r="O43" s="23" t="str">
        <f>IF(OR(N43="",N42=""),"",IF(N42=0,"",(N43/N42)-1))</f>
        <v/>
      </c>
      <c r="P43" s="11" t="str">
        <f>IF(ROW()&lt;7,"",IF(OR(E43="",E40=""),"",IF(E40=0,"",(E43/E40)-1)))</f>
        <v/>
      </c>
      <c r="Q43" s="23" t="str">
        <f>IF(ROW()&lt;9,"",IF(OR(E43="",E38=""),"",IF(E38=0,"",(E43/E38)-1)))</f>
        <v/>
      </c>
      <c r="R43" s="23" t="str">
        <f>IF(ROW()&lt;7,"",IF(OR(G43="",G40=""),"",IF(G40=0,"",(G43/G40)-1)))</f>
        <v/>
      </c>
      <c r="S43" s="23" t="str">
        <f>IF(ROW()&lt;9,"",IF(OR(G43="",G38=""),"",IF(G38=0,"",(G43/G38)-1)))</f>
        <v/>
      </c>
      <c r="T43" s="23" t="str">
        <f>IF(ROW()&lt;7,"",IF(OR(L43="",L40=""),"",IF(L40=0,"",(L43/L40)-1)))</f>
        <v/>
      </c>
      <c r="U43" s="23" t="str">
        <f>IF(ROW()&lt;9,"",IF(OR(L43="",L38=""),"",IF(L38=0,"",(L43/L38)-1)))</f>
        <v/>
      </c>
      <c r="V43" s="23" t="str">
        <f>IF(ROW()&lt;7,"",IF(OR(N43="",N40=""),"",IF(N40=0,"",(N43/N40)-1)))</f>
        <v/>
      </c>
      <c r="W43" s="23" t="str">
        <f>IF(ROW()&lt;9,"",IF(OR(N43="",N38=""),"",IF(N38=0,"",(N43/N38)-1)))</f>
        <v/>
      </c>
      <c r="X43" s="23" t="str">
        <f>IF(OR(F43="",M43=""),"",F43-M43)</f>
        <v/>
      </c>
      <c r="Y43" s="23" t="str">
        <f>IF(OR(P43="",T43=""),"",P43-T43)</f>
        <v/>
      </c>
      <c r="Z43" s="23" t="str">
        <f>IF(OR(Q43="",U43=""),"",Q43-U43)</f>
        <v/>
      </c>
      <c r="AA43" s="23" t="str">
        <f>IF(OR(H43="",O43=""),"",H43-O43)</f>
        <v/>
      </c>
      <c r="AB43" s="23" t="str">
        <f>IF(OR(R43="",V43=""),"",R43-V43)</f>
        <v/>
      </c>
      <c r="AC43" s="23" t="str">
        <f>IF(OR(S43="",W43=""),"",S43-W43)</f>
        <v/>
      </c>
      <c r="AD43" s="13"/>
      <c r="AE43" s="23" t="str">
        <f>IF(OR(AD43="",AD42=""),"",IF(AD42=0,"",(AD43/AD42)-1))</f>
        <v/>
      </c>
      <c r="AF43" s="23" t="str">
        <f>IF(ROW()&lt;7,"",IF(OR(AD43="",AD40=""),"",IF(AD40=0,"",(AD43/AD40)-1)))</f>
        <v/>
      </c>
      <c r="AG43" s="23" t="str">
        <f>IF(ROW()&lt;9,"",IF(OR(AD43="",AD38=""),"",IF(AD38=0,"",(AD43/AD38)-1)))</f>
        <v/>
      </c>
      <c r="AH43" s="23" t="str">
        <f>IF(OR(AF43="",AG43=""),"",IF(AND(AF43&gt;0,AG43&gt;0),"Bull",IF(AND(AF43&lt;0,AG43&lt;0),"Bear","Mixed")))</f>
        <v/>
      </c>
      <c r="AI43" s="13"/>
      <c r="AJ43" s="13" t="str">
        <f>IF(OR(AI43="",AI42=""),"",IF(AI42=0,"",(AI43/AI42)-1))</f>
        <v/>
      </c>
      <c r="AK43" s="23" t="str">
        <f>IF(OR(AJ43="",AJ42=""),"",IF(AJ42=0,"",(AJ43/AJ42)-1))</f>
        <v/>
      </c>
      <c r="AL43" s="23" t="str">
        <f>IF(ROW()&lt;7,"",IF(OR(AJ43="",AJ40=""),"",IF(AJ40=0,"",(AJ43/AJ40)-1)))</f>
        <v/>
      </c>
      <c r="AM43" s="23" t="str">
        <f>IF(ROW()&lt;9,"",IF(OR(AJ43="",AJ38=""),"",IF(AJ38=0,"",(AJ43/AJ38)-1)))</f>
        <v/>
      </c>
      <c r="AN43" t="str">
        <f>IF(OR(AL43="",AM43=""),"",IF(AND(AL43&gt;0,AM43&gt;0),"Bull",IF(AND(AL43&lt;0,AM43&lt;0),"Bear","Mixed")))</f>
        <v/>
      </c>
      <c r="AO43" t="str">
        <f>IF(OR(AH43="",AN43=""),"",IF(AND(AH43="Bull",AN43="Bull"),"YES","NO"))</f>
        <v/>
      </c>
      <c r="AP43" t="str">
        <f>IF(OR(AH43="",AN43=""),"",IF(AND(AH43="Bear",AN43="Bear"),"YES","NO"))</f>
        <v/>
      </c>
      <c r="AQ43" t="str">
        <f>IF(AO43="YES",IF(SUM(N(X43),N(Y43),N(Z43))&gt;0,"SOXL","TQQQ"),IF(AP43="YES",IF(SUM(N(AA43),N(AB43),N(AC43))&gt;0,"SOXS","SQQQ"),"WAIT"))</f>
        <v>WAIT</v>
      </c>
      <c r="AR43" s="23" t="str">
        <f>IF(AO43="YES",IF(SUM(N(X43),N(Y43),N(Z43))&gt;0,"TQQQ","SOXL"),IF(AP43="YES",IF(SUM(N(AA43),N(AB43),N(AC43))&gt;0,"SQQQ","SOXS"),""))</f>
        <v/>
      </c>
      <c r="AS43" s="23" t="str">
        <f>IF(AQ43="WAIT","",IF(AR43="",1,0.6))</f>
        <v/>
      </c>
      <c r="AT43" s="23">
        <f>IF(AR43="",0,0.4)</f>
        <v>0</v>
      </c>
      <c r="AU43" s="23" t="str">
        <f>IF(AQ43="WAIT","WAIT",IF(AO43="YES","BULL",IF(AP43="YES","BEAR","WAIT")))</f>
        <v>WAIT</v>
      </c>
      <c r="AV43" t="str">
        <f>IF(AQ43="WAIT","Low",IF(OR(AND(AU43="BULL",ABS(SUM(N(X43),N(Y43),N(Z43)))&gt;=0.15),AND(AU43="BEAR",ABS(SUM(N(AA43),N(AB43),N(AC43)))&gt;=0.15)),"Strong",IF(OR(AND(AU43="BULL",ABS(SUM(N(X43),N(Y43),N(Z43)))&gt;=0.05),AND(AU43="BEAR",ABS(SUM(N(AA43),N(AB43),N(AC43)))&gt;=0.05)),"Moderate","Low")))</f>
        <v>Low</v>
      </c>
      <c r="AW43" t="str">
        <f>IF(AQ43="WAIT","QQQ and SMH not aligned",IF(AU43="BULL",IF(AQ43="SOXL","Bull regime; semiconductors leading","Bull regime; tech leading"),IF(AQ43="SOXS","Bear regime; semiconductors weakest","Bear regime; tech weakest")))</f>
        <v>QQQ and SMH not aligned</v>
      </c>
      <c r="AX43" t="str">
        <f>IF(AR43="WAIT","QQQ and SMH not aligned",IF(AV43="BULL",IF(AR43="SOXL","Bull regime; semiconductors leading","Bull regime; tech leading"),IF(AR43="SOXS","Bear regime; semiconductors weakest","Bear regime; tech weakest")))</f>
        <v>Bear regime; tech weakest</v>
      </c>
    </row>
    <row r="44" spans="1:50" x14ac:dyDescent="0.2">
      <c r="A44" s="12"/>
      <c r="B44" s="13"/>
      <c r="C44" s="13"/>
      <c r="D44" s="13"/>
      <c r="E44" s="13"/>
      <c r="F44" s="11" t="str">
        <f>IF(OR(E44="",E43=""),"",IF(E43=0,"",(E44/E43)-1))</f>
        <v/>
      </c>
      <c r="G44" s="13"/>
      <c r="H44" s="11" t="str">
        <f>IF(OR(G44="",G43=""),"",IF(G43=0,"",(G44/G43)-1))</f>
        <v/>
      </c>
      <c r="I44" s="13"/>
      <c r="J44" s="13"/>
      <c r="K44" s="13"/>
      <c r="L44" s="13"/>
      <c r="M44" s="23" t="str">
        <f>IF(OR(L44="",L43=""),"",IF(L43=0,"",(L44/L43)-1))</f>
        <v/>
      </c>
      <c r="N44" s="26" t="str">
        <f>IFERROR((M44/M43)-1,"")</f>
        <v/>
      </c>
      <c r="O44" s="23" t="str">
        <f>IF(OR(N44="",N43=""),"",IF(N43=0,"",(N44/N43)-1))</f>
        <v/>
      </c>
      <c r="P44" s="11" t="str">
        <f>IF(ROW()&lt;7,"",IF(OR(E44="",E41=""),"",IF(E41=0,"",(E44/E41)-1)))</f>
        <v/>
      </c>
      <c r="Q44" s="23" t="str">
        <f>IF(ROW()&lt;9,"",IF(OR(E44="",E39=""),"",IF(E39=0,"",(E44/E39)-1)))</f>
        <v/>
      </c>
      <c r="R44" s="23" t="str">
        <f>IF(ROW()&lt;7,"",IF(OR(G44="",G41=""),"",IF(G41=0,"",(G44/G41)-1)))</f>
        <v/>
      </c>
      <c r="S44" s="23" t="str">
        <f>IF(ROW()&lt;9,"",IF(OR(G44="",G39=""),"",IF(G39=0,"",(G44/G39)-1)))</f>
        <v/>
      </c>
      <c r="T44" s="23" t="str">
        <f>IF(ROW()&lt;7,"",IF(OR(L44="",L41=""),"",IF(L41=0,"",(L44/L41)-1)))</f>
        <v/>
      </c>
      <c r="U44" s="23" t="str">
        <f>IF(ROW()&lt;9,"",IF(OR(L44="",L39=""),"",IF(L39=0,"",(L44/L39)-1)))</f>
        <v/>
      </c>
      <c r="V44" s="23" t="str">
        <f>IF(ROW()&lt;7,"",IF(OR(N44="",N41=""),"",IF(N41=0,"",(N44/N41)-1)))</f>
        <v/>
      </c>
      <c r="W44" s="23" t="str">
        <f>IF(ROW()&lt;9,"",IF(OR(N44="",N39=""),"",IF(N39=0,"",(N44/N39)-1)))</f>
        <v/>
      </c>
      <c r="X44" s="23" t="str">
        <f>IF(OR(F44="",M44=""),"",F44-M44)</f>
        <v/>
      </c>
      <c r="Y44" s="23" t="str">
        <f>IF(OR(P44="",T44=""),"",P44-T44)</f>
        <v/>
      </c>
      <c r="Z44" s="23" t="str">
        <f>IF(OR(Q44="",U44=""),"",Q44-U44)</f>
        <v/>
      </c>
      <c r="AA44" s="23" t="str">
        <f>IF(OR(H44="",O44=""),"",H44-O44)</f>
        <v/>
      </c>
      <c r="AB44" s="23" t="str">
        <f>IF(OR(R44="",V44=""),"",R44-V44)</f>
        <v/>
      </c>
      <c r="AC44" s="23" t="str">
        <f>IF(OR(S44="",W44=""),"",S44-W44)</f>
        <v/>
      </c>
      <c r="AD44" s="13"/>
      <c r="AE44" s="23" t="str">
        <f>IF(OR(AD44="",AD43=""),"",IF(AD43=0,"",(AD44/AD43)-1))</f>
        <v/>
      </c>
      <c r="AF44" s="23" t="str">
        <f>IF(ROW()&lt;7,"",IF(OR(AD44="",AD41=""),"",IF(AD41=0,"",(AD44/AD41)-1)))</f>
        <v/>
      </c>
      <c r="AG44" s="23" t="str">
        <f>IF(ROW()&lt;9,"",IF(OR(AD44="",AD39=""),"",IF(AD39=0,"",(AD44/AD39)-1)))</f>
        <v/>
      </c>
      <c r="AH44" s="23" t="str">
        <f>IF(OR(AF44="",AG44=""),"",IF(AND(AF44&gt;0,AG44&gt;0),"Bull",IF(AND(AF44&lt;0,AG44&lt;0),"Bear","Mixed")))</f>
        <v/>
      </c>
      <c r="AI44" s="13"/>
      <c r="AJ44" s="13" t="str">
        <f>IF(OR(AI44="",AI43=""),"",IF(AI43=0,"",(AI44/AI43)-1))</f>
        <v/>
      </c>
      <c r="AK44" s="23" t="str">
        <f>IF(OR(AJ44="",AJ43=""),"",IF(AJ43=0,"",(AJ44/AJ43)-1))</f>
        <v/>
      </c>
      <c r="AL44" s="23" t="str">
        <f>IF(ROW()&lt;7,"",IF(OR(AJ44="",AJ41=""),"",IF(AJ41=0,"",(AJ44/AJ41)-1)))</f>
        <v/>
      </c>
      <c r="AM44" s="23" t="str">
        <f>IF(ROW()&lt;9,"",IF(OR(AJ44="",AJ39=""),"",IF(AJ39=0,"",(AJ44/AJ39)-1)))</f>
        <v/>
      </c>
      <c r="AN44" t="str">
        <f>IF(OR(AL44="",AM44=""),"",IF(AND(AL44&gt;0,AM44&gt;0),"Bull",IF(AND(AL44&lt;0,AM44&lt;0),"Bear","Mixed")))</f>
        <v/>
      </c>
      <c r="AO44" t="str">
        <f>IF(OR(AH44="",AN44=""),"",IF(AND(AH44="Bull",AN44="Bull"),"YES","NO"))</f>
        <v/>
      </c>
      <c r="AP44" t="str">
        <f>IF(OR(AH44="",AN44=""),"",IF(AND(AH44="Bear",AN44="Bear"),"YES","NO"))</f>
        <v/>
      </c>
      <c r="AQ44" t="str">
        <f>IF(AO44="YES",IF(SUM(N(X44),N(Y44),N(Z44))&gt;0,"SOXL","TQQQ"),IF(AP44="YES",IF(SUM(N(AA44),N(AB44),N(AC44))&gt;0,"SOXS","SQQQ"),"WAIT"))</f>
        <v>WAIT</v>
      </c>
      <c r="AR44" s="23" t="str">
        <f>IF(AO44="YES",IF(SUM(N(X44),N(Y44),N(Z44))&gt;0,"TQQQ","SOXL"),IF(AP44="YES",IF(SUM(N(AA44),N(AB44),N(AC44))&gt;0,"SQQQ","SOXS"),""))</f>
        <v/>
      </c>
      <c r="AS44" s="23" t="str">
        <f>IF(AQ44="WAIT","",IF(AR44="",1,0.6))</f>
        <v/>
      </c>
      <c r="AT44" s="23">
        <f>IF(AR44="",0,0.4)</f>
        <v>0</v>
      </c>
      <c r="AU44" s="23" t="str">
        <f>IF(AQ44="WAIT","WAIT",IF(AO44="YES","BULL",IF(AP44="YES","BEAR","WAIT")))</f>
        <v>WAIT</v>
      </c>
      <c r="AV44" t="str">
        <f>IF(AQ44="WAIT","Low",IF(OR(AND(AU44="BULL",ABS(SUM(N(X44),N(Y44),N(Z44)))&gt;=0.15),AND(AU44="BEAR",ABS(SUM(N(AA44),N(AB44),N(AC44)))&gt;=0.15)),"Strong",IF(OR(AND(AU44="BULL",ABS(SUM(N(X44),N(Y44),N(Z44)))&gt;=0.05),AND(AU44="BEAR",ABS(SUM(N(AA44),N(AB44),N(AC44)))&gt;=0.05)),"Moderate","Low")))</f>
        <v>Low</v>
      </c>
      <c r="AW44" t="str">
        <f>IF(AQ44="WAIT","QQQ and SMH not aligned",IF(AU44="BULL",IF(AQ44="SOXL","Bull regime; semiconductors leading","Bull regime; tech leading"),IF(AQ44="SOXS","Bear regime; semiconductors weakest","Bear regime; tech weakest")))</f>
        <v>QQQ and SMH not aligned</v>
      </c>
      <c r="AX44" t="str">
        <f>IF(AR44="WAIT","QQQ and SMH not aligned",IF(AV44="BULL",IF(AR44="SOXL","Bull regime; semiconductors leading","Bull regime; tech leading"),IF(AR44="SOXS","Bear regime; semiconductors weakest","Bear regime; tech weakest")))</f>
        <v>Bear regime; tech weakest</v>
      </c>
    </row>
    <row r="45" spans="1:50" x14ac:dyDescent="0.2">
      <c r="A45" s="12"/>
      <c r="B45" s="13"/>
      <c r="C45" s="13"/>
      <c r="D45" s="13"/>
      <c r="E45" s="13"/>
      <c r="F45" s="11" t="str">
        <f>IF(OR(E45="",E44=""),"",IF(E44=0,"",(E45/E44)-1))</f>
        <v/>
      </c>
      <c r="G45" s="13"/>
      <c r="H45" s="11" t="str">
        <f>IF(OR(G45="",G44=""),"",IF(G44=0,"",(G45/G44)-1))</f>
        <v/>
      </c>
      <c r="I45" s="13"/>
      <c r="J45" s="13"/>
      <c r="K45" s="13"/>
      <c r="L45" s="13"/>
      <c r="M45" s="23" t="str">
        <f>IF(OR(L45="",L44=""),"",IF(L44=0,"",(L45/L44)-1))</f>
        <v/>
      </c>
      <c r="N45" s="26" t="str">
        <f>IFERROR((M45/M44)-1,"")</f>
        <v/>
      </c>
      <c r="O45" s="23" t="str">
        <f>IF(OR(N45="",N44=""),"",IF(N44=0,"",(N45/N44)-1))</f>
        <v/>
      </c>
      <c r="P45" s="11" t="str">
        <f>IF(ROW()&lt;7,"",IF(OR(E45="",E42=""),"",IF(E42=0,"",(E45/E42)-1)))</f>
        <v/>
      </c>
      <c r="Q45" s="23" t="str">
        <f>IF(ROW()&lt;9,"",IF(OR(E45="",E40=""),"",IF(E40=0,"",(E45/E40)-1)))</f>
        <v/>
      </c>
      <c r="R45" s="23" t="str">
        <f>IF(ROW()&lt;7,"",IF(OR(G45="",G42=""),"",IF(G42=0,"",(G45/G42)-1)))</f>
        <v/>
      </c>
      <c r="S45" s="23" t="str">
        <f>IF(ROW()&lt;9,"",IF(OR(G45="",G40=""),"",IF(G40=0,"",(G45/G40)-1)))</f>
        <v/>
      </c>
      <c r="T45" s="23" t="str">
        <f>IF(ROW()&lt;7,"",IF(OR(L45="",L42=""),"",IF(L42=0,"",(L45/L42)-1)))</f>
        <v/>
      </c>
      <c r="U45" s="23" t="str">
        <f>IF(ROW()&lt;9,"",IF(OR(L45="",L40=""),"",IF(L40=0,"",(L45/L40)-1)))</f>
        <v/>
      </c>
      <c r="V45" s="23" t="str">
        <f>IF(ROW()&lt;7,"",IF(OR(N45="",N42=""),"",IF(N42=0,"",(N45/N42)-1)))</f>
        <v/>
      </c>
      <c r="W45" s="23" t="str">
        <f>IF(ROW()&lt;9,"",IF(OR(N45="",N40=""),"",IF(N40=0,"",(N45/N40)-1)))</f>
        <v/>
      </c>
      <c r="X45" s="23" t="str">
        <f>IF(OR(F45="",M45=""),"",F45-M45)</f>
        <v/>
      </c>
      <c r="Y45" s="23" t="str">
        <f>IF(OR(P45="",T45=""),"",P45-T45)</f>
        <v/>
      </c>
      <c r="Z45" s="23" t="str">
        <f>IF(OR(Q45="",U45=""),"",Q45-U45)</f>
        <v/>
      </c>
      <c r="AA45" s="23" t="str">
        <f>IF(OR(H45="",O45=""),"",H45-O45)</f>
        <v/>
      </c>
      <c r="AB45" s="23" t="str">
        <f>IF(OR(R45="",V45=""),"",R45-V45)</f>
        <v/>
      </c>
      <c r="AC45" s="23" t="str">
        <f>IF(OR(S45="",W45=""),"",S45-W45)</f>
        <v/>
      </c>
      <c r="AD45" s="13"/>
      <c r="AE45" s="23" t="str">
        <f>IF(OR(AD45="",AD44=""),"",IF(AD44=0,"",(AD45/AD44)-1))</f>
        <v/>
      </c>
      <c r="AF45" s="23" t="str">
        <f>IF(ROW()&lt;7,"",IF(OR(AD45="",AD42=""),"",IF(AD42=0,"",(AD45/AD42)-1)))</f>
        <v/>
      </c>
      <c r="AG45" s="23" t="str">
        <f>IF(ROW()&lt;9,"",IF(OR(AD45="",AD40=""),"",IF(AD40=0,"",(AD45/AD40)-1)))</f>
        <v/>
      </c>
      <c r="AH45" s="23" t="str">
        <f>IF(OR(AF45="",AG45=""),"",IF(AND(AF45&gt;0,AG45&gt;0),"Bull",IF(AND(AF45&lt;0,AG45&lt;0),"Bear","Mixed")))</f>
        <v/>
      </c>
      <c r="AI45" s="13"/>
      <c r="AJ45" s="13" t="str">
        <f>IF(OR(AI45="",AI44=""),"",IF(AI44=0,"",(AI45/AI44)-1))</f>
        <v/>
      </c>
      <c r="AK45" s="23" t="str">
        <f>IF(OR(AJ45="",AJ44=""),"",IF(AJ44=0,"",(AJ45/AJ44)-1))</f>
        <v/>
      </c>
      <c r="AL45" s="23" t="str">
        <f>IF(ROW()&lt;7,"",IF(OR(AJ45="",AJ42=""),"",IF(AJ42=0,"",(AJ45/AJ42)-1)))</f>
        <v/>
      </c>
      <c r="AM45" s="23" t="str">
        <f>IF(ROW()&lt;9,"",IF(OR(AJ45="",AJ40=""),"",IF(AJ40=0,"",(AJ45/AJ40)-1)))</f>
        <v/>
      </c>
      <c r="AN45" t="str">
        <f>IF(OR(AL45="",AM45=""),"",IF(AND(AL45&gt;0,AM45&gt;0),"Bull",IF(AND(AL45&lt;0,AM45&lt;0),"Bear","Mixed")))</f>
        <v/>
      </c>
      <c r="AO45" t="str">
        <f>IF(OR(AH45="",AN45=""),"",IF(AND(AH45="Bull",AN45="Bull"),"YES","NO"))</f>
        <v/>
      </c>
      <c r="AP45" t="str">
        <f>IF(OR(AH45="",AN45=""),"",IF(AND(AH45="Bear",AN45="Bear"),"YES","NO"))</f>
        <v/>
      </c>
      <c r="AQ45" t="str">
        <f>IF(AO45="YES",IF(SUM(N(X45),N(Y45),N(Z45))&gt;0,"SOXL","TQQQ"),IF(AP45="YES",IF(SUM(N(AA45),N(AB45),N(AC45))&gt;0,"SOXS","SQQQ"),"WAIT"))</f>
        <v>WAIT</v>
      </c>
      <c r="AR45" s="23" t="str">
        <f>IF(AO45="YES",IF(SUM(N(X45),N(Y45),N(Z45))&gt;0,"TQQQ","SOXL"),IF(AP45="YES",IF(SUM(N(AA45),N(AB45),N(AC45))&gt;0,"SQQQ","SOXS"),""))</f>
        <v/>
      </c>
      <c r="AS45" s="23" t="str">
        <f>IF(AQ45="WAIT","",IF(AR45="",1,0.6))</f>
        <v/>
      </c>
      <c r="AT45" s="23">
        <f>IF(AR45="",0,0.4)</f>
        <v>0</v>
      </c>
      <c r="AU45" s="23" t="str">
        <f>IF(AQ45="WAIT","WAIT",IF(AO45="YES","BULL",IF(AP45="YES","BEAR","WAIT")))</f>
        <v>WAIT</v>
      </c>
      <c r="AV45" t="str">
        <f>IF(AQ45="WAIT","Low",IF(OR(AND(AU45="BULL",ABS(SUM(N(X45),N(Y45),N(Z45)))&gt;=0.15),AND(AU45="BEAR",ABS(SUM(N(AA45),N(AB45),N(AC45)))&gt;=0.15)),"Strong",IF(OR(AND(AU45="BULL",ABS(SUM(N(X45),N(Y45),N(Z45)))&gt;=0.05),AND(AU45="BEAR",ABS(SUM(N(AA45),N(AB45),N(AC45)))&gt;=0.05)),"Moderate","Low")))</f>
        <v>Low</v>
      </c>
      <c r="AW45" t="str">
        <f>IF(AQ45="WAIT","QQQ and SMH not aligned",IF(AU45="BULL",IF(AQ45="SOXL","Bull regime; semiconductors leading","Bull regime; tech leading"),IF(AQ45="SOXS","Bear regime; semiconductors weakest","Bear regime; tech weakest")))</f>
        <v>QQQ and SMH not aligned</v>
      </c>
      <c r="AX45" t="str">
        <f>IF(AR45="WAIT","QQQ and SMH not aligned",IF(AV45="BULL",IF(AR45="SOXL","Bull regime; semiconductors leading","Bull regime; tech leading"),IF(AR45="SOXS","Bear regime; semiconductors weakest","Bear regime; tech weakest")))</f>
        <v>Bear regime; tech weakest</v>
      </c>
    </row>
    <row r="46" spans="1:50" x14ac:dyDescent="0.2">
      <c r="A46" s="12"/>
      <c r="B46" s="13"/>
      <c r="C46" s="13"/>
      <c r="D46" s="13"/>
      <c r="E46" s="13"/>
      <c r="F46" s="11" t="str">
        <f>IF(OR(E46="",E45=""),"",IF(E45=0,"",(E46/E45)-1))</f>
        <v/>
      </c>
      <c r="G46" s="13"/>
      <c r="H46" s="11" t="str">
        <f>IF(OR(G46="",G45=""),"",IF(G45=0,"",(G46/G45)-1))</f>
        <v/>
      </c>
      <c r="I46" s="13"/>
      <c r="J46" s="13"/>
      <c r="K46" s="13"/>
      <c r="L46" s="13"/>
      <c r="M46" s="23" t="str">
        <f>IF(OR(L46="",L45=""),"",IF(L45=0,"",(L46/L45)-1))</f>
        <v/>
      </c>
      <c r="N46" s="26" t="str">
        <f>IFERROR((M46/M45)-1,"")</f>
        <v/>
      </c>
      <c r="O46" s="23" t="str">
        <f>IF(OR(N46="",N45=""),"",IF(N45=0,"",(N46/N45)-1))</f>
        <v/>
      </c>
      <c r="P46" s="11" t="str">
        <f>IF(ROW()&lt;7,"",IF(OR(E46="",E43=""),"",IF(E43=0,"",(E46/E43)-1)))</f>
        <v/>
      </c>
      <c r="Q46" s="23" t="str">
        <f>IF(ROW()&lt;9,"",IF(OR(E46="",E41=""),"",IF(E41=0,"",(E46/E41)-1)))</f>
        <v/>
      </c>
      <c r="R46" s="23" t="str">
        <f>IF(ROW()&lt;7,"",IF(OR(G46="",G43=""),"",IF(G43=0,"",(G46/G43)-1)))</f>
        <v/>
      </c>
      <c r="S46" s="23" t="str">
        <f>IF(ROW()&lt;9,"",IF(OR(G46="",G41=""),"",IF(G41=0,"",(G46/G41)-1)))</f>
        <v/>
      </c>
      <c r="T46" s="23" t="str">
        <f>IF(ROW()&lt;7,"",IF(OR(L46="",L43=""),"",IF(L43=0,"",(L46/L43)-1)))</f>
        <v/>
      </c>
      <c r="U46" s="23" t="str">
        <f>IF(ROW()&lt;9,"",IF(OR(L46="",L41=""),"",IF(L41=0,"",(L46/L41)-1)))</f>
        <v/>
      </c>
      <c r="V46" s="23" t="str">
        <f>IF(ROW()&lt;7,"",IF(OR(N46="",N43=""),"",IF(N43=0,"",(N46/N43)-1)))</f>
        <v/>
      </c>
      <c r="W46" s="23" t="str">
        <f>IF(ROW()&lt;9,"",IF(OR(N46="",N41=""),"",IF(N41=0,"",(N46/N41)-1)))</f>
        <v/>
      </c>
      <c r="X46" s="23" t="str">
        <f>IF(OR(F46="",M46=""),"",F46-M46)</f>
        <v/>
      </c>
      <c r="Y46" s="23" t="str">
        <f>IF(OR(P46="",T46=""),"",P46-T46)</f>
        <v/>
      </c>
      <c r="Z46" s="23" t="str">
        <f>IF(OR(Q46="",U46=""),"",Q46-U46)</f>
        <v/>
      </c>
      <c r="AA46" s="23" t="str">
        <f>IF(OR(H46="",O46=""),"",H46-O46)</f>
        <v/>
      </c>
      <c r="AB46" s="23" t="str">
        <f>IF(OR(R46="",V46=""),"",R46-V46)</f>
        <v/>
      </c>
      <c r="AC46" s="23" t="str">
        <f>IF(OR(S46="",W46=""),"",S46-W46)</f>
        <v/>
      </c>
      <c r="AD46" s="13"/>
      <c r="AE46" s="23" t="str">
        <f>IF(OR(AD46="",AD45=""),"",IF(AD45=0,"",(AD46/AD45)-1))</f>
        <v/>
      </c>
      <c r="AF46" s="23" t="str">
        <f>IF(ROW()&lt;7,"",IF(OR(AD46="",AD43=""),"",IF(AD43=0,"",(AD46/AD43)-1)))</f>
        <v/>
      </c>
      <c r="AG46" s="23" t="str">
        <f>IF(ROW()&lt;9,"",IF(OR(AD46="",AD41=""),"",IF(AD41=0,"",(AD46/AD41)-1)))</f>
        <v/>
      </c>
      <c r="AH46" s="23" t="str">
        <f>IF(OR(AF46="",AG46=""),"",IF(AND(AF46&gt;0,AG46&gt;0),"Bull",IF(AND(AF46&lt;0,AG46&lt;0),"Bear","Mixed")))</f>
        <v/>
      </c>
      <c r="AI46" s="13"/>
      <c r="AJ46" s="13" t="str">
        <f>IF(OR(AI46="",AI45=""),"",IF(AI45=0,"",(AI46/AI45)-1))</f>
        <v/>
      </c>
      <c r="AK46" s="23" t="str">
        <f>IF(OR(AJ46="",AJ45=""),"",IF(AJ45=0,"",(AJ46/AJ45)-1))</f>
        <v/>
      </c>
      <c r="AL46" s="23" t="str">
        <f>IF(ROW()&lt;7,"",IF(OR(AJ46="",AJ43=""),"",IF(AJ43=0,"",(AJ46/AJ43)-1)))</f>
        <v/>
      </c>
      <c r="AM46" s="23" t="str">
        <f>IF(ROW()&lt;9,"",IF(OR(AJ46="",AJ41=""),"",IF(AJ41=0,"",(AJ46/AJ41)-1)))</f>
        <v/>
      </c>
      <c r="AN46" t="str">
        <f>IF(OR(AL46="",AM46=""),"",IF(AND(AL46&gt;0,AM46&gt;0),"Bull",IF(AND(AL46&lt;0,AM46&lt;0),"Bear","Mixed")))</f>
        <v/>
      </c>
      <c r="AO46" t="str">
        <f>IF(OR(AH46="",AN46=""),"",IF(AND(AH46="Bull",AN46="Bull"),"YES","NO"))</f>
        <v/>
      </c>
      <c r="AP46" t="str">
        <f>IF(OR(AH46="",AN46=""),"",IF(AND(AH46="Bear",AN46="Bear"),"YES","NO"))</f>
        <v/>
      </c>
      <c r="AQ46" t="str">
        <f>IF(AO46="YES",IF(SUM(N(X46),N(Y46),N(Z46))&gt;0,"SOXL","TQQQ"),IF(AP46="YES",IF(SUM(N(AA46),N(AB46),N(AC46))&gt;0,"SOXS","SQQQ"),"WAIT"))</f>
        <v>WAIT</v>
      </c>
      <c r="AR46" s="23" t="str">
        <f>IF(AO46="YES",IF(SUM(N(X46),N(Y46),N(Z46))&gt;0,"TQQQ","SOXL"),IF(AP46="YES",IF(SUM(N(AA46),N(AB46),N(AC46))&gt;0,"SQQQ","SOXS"),""))</f>
        <v/>
      </c>
      <c r="AS46" s="23" t="str">
        <f>IF(AQ46="WAIT","",IF(AR46="",1,0.6))</f>
        <v/>
      </c>
      <c r="AT46" s="23">
        <f>IF(AR46="",0,0.4)</f>
        <v>0</v>
      </c>
      <c r="AU46" s="23" t="str">
        <f>IF(AQ46="WAIT","WAIT",IF(AO46="YES","BULL",IF(AP46="YES","BEAR","WAIT")))</f>
        <v>WAIT</v>
      </c>
      <c r="AV46" t="str">
        <f>IF(AQ46="WAIT","Low",IF(OR(AND(AU46="BULL",ABS(SUM(N(X46),N(Y46),N(Z46)))&gt;=0.15),AND(AU46="BEAR",ABS(SUM(N(AA46),N(AB46),N(AC46)))&gt;=0.15)),"Strong",IF(OR(AND(AU46="BULL",ABS(SUM(N(X46),N(Y46),N(Z46)))&gt;=0.05),AND(AU46="BEAR",ABS(SUM(N(AA46),N(AB46),N(AC46)))&gt;=0.05)),"Moderate","Low")))</f>
        <v>Low</v>
      </c>
      <c r="AW46" t="str">
        <f>IF(AQ46="WAIT","QQQ and SMH not aligned",IF(AU46="BULL",IF(AQ46="SOXL","Bull regime; semiconductors leading","Bull regime; tech leading"),IF(AQ46="SOXS","Bear regime; semiconductors weakest","Bear regime; tech weakest")))</f>
        <v>QQQ and SMH not aligned</v>
      </c>
      <c r="AX46" t="str">
        <f>IF(AR46="WAIT","QQQ and SMH not aligned",IF(AV46="BULL",IF(AR46="SOXL","Bull regime; semiconductors leading","Bull regime; tech leading"),IF(AR46="SOXS","Bear regime; semiconductors weakest","Bear regime; tech weakest")))</f>
        <v>Bear regime; tech weakest</v>
      </c>
    </row>
    <row r="47" spans="1:50" x14ac:dyDescent="0.2">
      <c r="A47" s="12"/>
      <c r="B47" s="13"/>
      <c r="C47" s="13"/>
      <c r="D47" s="13"/>
      <c r="E47" s="13"/>
      <c r="F47" s="11" t="str">
        <f>IF(OR(E47="",E46=""),"",IF(E46=0,"",(E47/E46)-1))</f>
        <v/>
      </c>
      <c r="G47" s="13"/>
      <c r="H47" s="11" t="str">
        <f>IF(OR(G47="",G46=""),"",IF(G46=0,"",(G47/G46)-1))</f>
        <v/>
      </c>
      <c r="I47" s="13"/>
      <c r="J47" s="13"/>
      <c r="K47" s="13"/>
      <c r="L47" s="13"/>
      <c r="M47" s="23" t="str">
        <f>IF(OR(L47="",L46=""),"",IF(L46=0,"",(L47/L46)-1))</f>
        <v/>
      </c>
      <c r="N47" s="26" t="str">
        <f>IFERROR((M47/M46)-1,"")</f>
        <v/>
      </c>
      <c r="O47" s="23" t="str">
        <f>IF(OR(N47="",N46=""),"",IF(N46=0,"",(N47/N46)-1))</f>
        <v/>
      </c>
      <c r="P47" s="11" t="str">
        <f>IF(ROW()&lt;7,"",IF(OR(E47="",E44=""),"",IF(E44=0,"",(E47/E44)-1)))</f>
        <v/>
      </c>
      <c r="Q47" s="23" t="str">
        <f>IF(ROW()&lt;9,"",IF(OR(E47="",E42=""),"",IF(E42=0,"",(E47/E42)-1)))</f>
        <v/>
      </c>
      <c r="R47" s="23" t="str">
        <f>IF(ROW()&lt;7,"",IF(OR(G47="",G44=""),"",IF(G44=0,"",(G47/G44)-1)))</f>
        <v/>
      </c>
      <c r="S47" s="23" t="str">
        <f>IF(ROW()&lt;9,"",IF(OR(G47="",G42=""),"",IF(G42=0,"",(G47/G42)-1)))</f>
        <v/>
      </c>
      <c r="T47" s="23" t="str">
        <f>IF(ROW()&lt;7,"",IF(OR(L47="",L44=""),"",IF(L44=0,"",(L47/L44)-1)))</f>
        <v/>
      </c>
      <c r="U47" s="23" t="str">
        <f>IF(ROW()&lt;9,"",IF(OR(L47="",L42=""),"",IF(L42=0,"",(L47/L42)-1)))</f>
        <v/>
      </c>
      <c r="V47" s="23" t="str">
        <f>IF(ROW()&lt;7,"",IF(OR(N47="",N44=""),"",IF(N44=0,"",(N47/N44)-1)))</f>
        <v/>
      </c>
      <c r="W47" s="23" t="str">
        <f>IF(ROW()&lt;9,"",IF(OR(N47="",N42=""),"",IF(N42=0,"",(N47/N42)-1)))</f>
        <v/>
      </c>
      <c r="X47" s="23" t="str">
        <f>IF(OR(F47="",M47=""),"",F47-M47)</f>
        <v/>
      </c>
      <c r="Y47" s="23" t="str">
        <f>IF(OR(P47="",T47=""),"",P47-T47)</f>
        <v/>
      </c>
      <c r="Z47" s="23" t="str">
        <f>IF(OR(Q47="",U47=""),"",Q47-U47)</f>
        <v/>
      </c>
      <c r="AA47" s="23" t="str">
        <f>IF(OR(H47="",O47=""),"",H47-O47)</f>
        <v/>
      </c>
      <c r="AB47" s="23" t="str">
        <f>IF(OR(R47="",V47=""),"",R47-V47)</f>
        <v/>
      </c>
      <c r="AC47" s="23" t="str">
        <f>IF(OR(S47="",W47=""),"",S47-W47)</f>
        <v/>
      </c>
      <c r="AD47" s="13"/>
      <c r="AE47" s="23" t="str">
        <f>IF(OR(AD47="",AD46=""),"",IF(AD46=0,"",(AD47/AD46)-1))</f>
        <v/>
      </c>
      <c r="AF47" s="23" t="str">
        <f>IF(ROW()&lt;7,"",IF(OR(AD47="",AD44=""),"",IF(AD44=0,"",(AD47/AD44)-1)))</f>
        <v/>
      </c>
      <c r="AG47" s="23" t="str">
        <f>IF(ROW()&lt;9,"",IF(OR(AD47="",AD42=""),"",IF(AD42=0,"",(AD47/AD42)-1)))</f>
        <v/>
      </c>
      <c r="AH47" s="23" t="str">
        <f>IF(OR(AF47="",AG47=""),"",IF(AND(AF47&gt;0,AG47&gt;0),"Bull",IF(AND(AF47&lt;0,AG47&lt;0),"Bear","Mixed")))</f>
        <v/>
      </c>
      <c r="AI47" s="13"/>
      <c r="AJ47" s="13" t="str">
        <f>IF(OR(AI47="",AI46=""),"",IF(AI46=0,"",(AI47/AI46)-1))</f>
        <v/>
      </c>
      <c r="AK47" s="23" t="str">
        <f>IF(OR(AJ47="",AJ46=""),"",IF(AJ46=0,"",(AJ47/AJ46)-1))</f>
        <v/>
      </c>
      <c r="AL47" s="23" t="str">
        <f>IF(ROW()&lt;7,"",IF(OR(AJ47="",AJ44=""),"",IF(AJ44=0,"",(AJ47/AJ44)-1)))</f>
        <v/>
      </c>
      <c r="AM47" s="23" t="str">
        <f>IF(ROW()&lt;9,"",IF(OR(AJ47="",AJ42=""),"",IF(AJ42=0,"",(AJ47/AJ42)-1)))</f>
        <v/>
      </c>
      <c r="AN47" t="str">
        <f>IF(OR(AL47="",AM47=""),"",IF(AND(AL47&gt;0,AM47&gt;0),"Bull",IF(AND(AL47&lt;0,AM47&lt;0),"Bear","Mixed")))</f>
        <v/>
      </c>
      <c r="AO47" t="str">
        <f>IF(OR(AH47="",AN47=""),"",IF(AND(AH47="Bull",AN47="Bull"),"YES","NO"))</f>
        <v/>
      </c>
      <c r="AP47" t="str">
        <f>IF(OR(AH47="",AN47=""),"",IF(AND(AH47="Bear",AN47="Bear"),"YES","NO"))</f>
        <v/>
      </c>
      <c r="AQ47" t="str">
        <f>IF(AO47="YES",IF(SUM(N(X47),N(Y47),N(Z47))&gt;0,"SOXL","TQQQ"),IF(AP47="YES",IF(SUM(N(AA47),N(AB47),N(AC47))&gt;0,"SOXS","SQQQ"),"WAIT"))</f>
        <v>WAIT</v>
      </c>
      <c r="AR47" s="23" t="str">
        <f>IF(AO47="YES",IF(SUM(N(X47),N(Y47),N(Z47))&gt;0,"TQQQ","SOXL"),IF(AP47="YES",IF(SUM(N(AA47),N(AB47),N(AC47))&gt;0,"SQQQ","SOXS"),""))</f>
        <v/>
      </c>
      <c r="AS47" s="23" t="str">
        <f>IF(AQ47="WAIT","",IF(AR47="",1,0.6))</f>
        <v/>
      </c>
      <c r="AT47" s="23">
        <f>IF(AR47="",0,0.4)</f>
        <v>0</v>
      </c>
      <c r="AU47" s="23" t="str">
        <f>IF(AQ47="WAIT","WAIT",IF(AO47="YES","BULL",IF(AP47="YES","BEAR","WAIT")))</f>
        <v>WAIT</v>
      </c>
      <c r="AV47" t="str">
        <f>IF(AQ47="WAIT","Low",IF(OR(AND(AU47="BULL",ABS(SUM(N(X47),N(Y47),N(Z47)))&gt;=0.15),AND(AU47="BEAR",ABS(SUM(N(AA47),N(AB47),N(AC47)))&gt;=0.15)),"Strong",IF(OR(AND(AU47="BULL",ABS(SUM(N(X47),N(Y47),N(Z47)))&gt;=0.05),AND(AU47="BEAR",ABS(SUM(N(AA47),N(AB47),N(AC47)))&gt;=0.05)),"Moderate","Low")))</f>
        <v>Low</v>
      </c>
      <c r="AW47" t="str">
        <f>IF(AQ47="WAIT","QQQ and SMH not aligned",IF(AU47="BULL",IF(AQ47="SOXL","Bull regime; semiconductors leading","Bull regime; tech leading"),IF(AQ47="SOXS","Bear regime; semiconductors weakest","Bear regime; tech weakest")))</f>
        <v>QQQ and SMH not aligned</v>
      </c>
      <c r="AX47" t="str">
        <f>IF(AR47="WAIT","QQQ and SMH not aligned",IF(AV47="BULL",IF(AR47="SOXL","Bull regime; semiconductors leading","Bull regime; tech leading"),IF(AR47="SOXS","Bear regime; semiconductors weakest","Bear regime; tech weakest")))</f>
        <v>Bear regime; tech weakest</v>
      </c>
    </row>
    <row r="48" spans="1:50" x14ac:dyDescent="0.2">
      <c r="A48" s="12"/>
      <c r="B48" s="13"/>
      <c r="C48" s="13"/>
      <c r="D48" s="13"/>
      <c r="E48" s="13"/>
      <c r="F48" s="11" t="str">
        <f>IF(OR(E48="",E47=""),"",IF(E47=0,"",(E48/E47)-1))</f>
        <v/>
      </c>
      <c r="G48" s="13"/>
      <c r="H48" s="11" t="str">
        <f>IF(OR(G48="",G47=""),"",IF(G47=0,"",(G48/G47)-1))</f>
        <v/>
      </c>
      <c r="I48" s="13"/>
      <c r="J48" s="13"/>
      <c r="K48" s="13"/>
      <c r="L48" s="13"/>
      <c r="M48" s="23" t="str">
        <f>IF(OR(L48="",L47=""),"",IF(L47=0,"",(L48/L47)-1))</f>
        <v/>
      </c>
      <c r="N48" s="26" t="str">
        <f>IFERROR((M48/M47)-1,"")</f>
        <v/>
      </c>
      <c r="O48" s="23" t="str">
        <f>IF(OR(N48="",N47=""),"",IF(N47=0,"",(N48/N47)-1))</f>
        <v/>
      </c>
      <c r="P48" s="11" t="str">
        <f>IF(ROW()&lt;7,"",IF(OR(E48="",E45=""),"",IF(E45=0,"",(E48/E45)-1)))</f>
        <v/>
      </c>
      <c r="Q48" s="23" t="str">
        <f>IF(ROW()&lt;9,"",IF(OR(E48="",E43=""),"",IF(E43=0,"",(E48/E43)-1)))</f>
        <v/>
      </c>
      <c r="R48" s="23" t="str">
        <f>IF(ROW()&lt;7,"",IF(OR(G48="",G45=""),"",IF(G45=0,"",(G48/G45)-1)))</f>
        <v/>
      </c>
      <c r="S48" s="23" t="str">
        <f>IF(ROW()&lt;9,"",IF(OR(G48="",G43=""),"",IF(G43=0,"",(G48/G43)-1)))</f>
        <v/>
      </c>
      <c r="T48" s="23" t="str">
        <f>IF(ROW()&lt;7,"",IF(OR(L48="",L45=""),"",IF(L45=0,"",(L48/L45)-1)))</f>
        <v/>
      </c>
      <c r="U48" s="23" t="str">
        <f>IF(ROW()&lt;9,"",IF(OR(L48="",L43=""),"",IF(L43=0,"",(L48/L43)-1)))</f>
        <v/>
      </c>
      <c r="V48" s="23" t="str">
        <f>IF(ROW()&lt;7,"",IF(OR(N48="",N45=""),"",IF(N45=0,"",(N48/N45)-1)))</f>
        <v/>
      </c>
      <c r="W48" s="23" t="str">
        <f>IF(ROW()&lt;9,"",IF(OR(N48="",N43=""),"",IF(N43=0,"",(N48/N43)-1)))</f>
        <v/>
      </c>
      <c r="X48" s="23" t="str">
        <f>IF(OR(F48="",M48=""),"",F48-M48)</f>
        <v/>
      </c>
      <c r="Y48" s="23" t="str">
        <f>IF(OR(P48="",T48=""),"",P48-T48)</f>
        <v/>
      </c>
      <c r="Z48" s="23" t="str">
        <f>IF(OR(Q48="",U48=""),"",Q48-U48)</f>
        <v/>
      </c>
      <c r="AA48" s="23" t="str">
        <f>IF(OR(H48="",O48=""),"",H48-O48)</f>
        <v/>
      </c>
      <c r="AB48" s="23" t="str">
        <f>IF(OR(R48="",V48=""),"",R48-V48)</f>
        <v/>
      </c>
      <c r="AC48" s="23" t="str">
        <f>IF(OR(S48="",W48=""),"",S48-W48)</f>
        <v/>
      </c>
      <c r="AD48" s="13"/>
      <c r="AE48" s="23" t="str">
        <f>IF(OR(AD48="",AD47=""),"",IF(AD47=0,"",(AD48/AD47)-1))</f>
        <v/>
      </c>
      <c r="AF48" s="23" t="str">
        <f>IF(ROW()&lt;7,"",IF(OR(AD48="",AD45=""),"",IF(AD45=0,"",(AD48/AD45)-1)))</f>
        <v/>
      </c>
      <c r="AG48" s="23" t="str">
        <f>IF(ROW()&lt;9,"",IF(OR(AD48="",AD43=""),"",IF(AD43=0,"",(AD48/AD43)-1)))</f>
        <v/>
      </c>
      <c r="AH48" s="23" t="str">
        <f>IF(OR(AF48="",AG48=""),"",IF(AND(AF48&gt;0,AG48&gt;0),"Bull",IF(AND(AF48&lt;0,AG48&lt;0),"Bear","Mixed")))</f>
        <v/>
      </c>
      <c r="AI48" s="13"/>
      <c r="AJ48" s="13" t="str">
        <f>IF(OR(AI48="",AI47=""),"",IF(AI47=0,"",(AI48/AI47)-1))</f>
        <v/>
      </c>
      <c r="AK48" s="23" t="str">
        <f>IF(OR(AJ48="",AJ47=""),"",IF(AJ47=0,"",(AJ48/AJ47)-1))</f>
        <v/>
      </c>
      <c r="AL48" s="23" t="str">
        <f>IF(ROW()&lt;7,"",IF(OR(AJ48="",AJ45=""),"",IF(AJ45=0,"",(AJ48/AJ45)-1)))</f>
        <v/>
      </c>
      <c r="AM48" s="23" t="str">
        <f>IF(ROW()&lt;9,"",IF(OR(AJ48="",AJ43=""),"",IF(AJ43=0,"",(AJ48/AJ43)-1)))</f>
        <v/>
      </c>
      <c r="AN48" t="str">
        <f>IF(OR(AL48="",AM48=""),"",IF(AND(AL48&gt;0,AM48&gt;0),"Bull",IF(AND(AL48&lt;0,AM48&lt;0),"Bear","Mixed")))</f>
        <v/>
      </c>
      <c r="AO48" t="str">
        <f>IF(OR(AH48="",AN48=""),"",IF(AND(AH48="Bull",AN48="Bull"),"YES","NO"))</f>
        <v/>
      </c>
      <c r="AP48" t="str">
        <f>IF(OR(AH48="",AN48=""),"",IF(AND(AH48="Bear",AN48="Bear"),"YES","NO"))</f>
        <v/>
      </c>
      <c r="AQ48" t="str">
        <f>IF(AO48="YES",IF(SUM(N(X48),N(Y48),N(Z48))&gt;0,"SOXL","TQQQ"),IF(AP48="YES",IF(SUM(N(AA48),N(AB48),N(AC48))&gt;0,"SOXS","SQQQ"),"WAIT"))</f>
        <v>WAIT</v>
      </c>
      <c r="AR48" s="23" t="str">
        <f>IF(AO48="YES",IF(SUM(N(X48),N(Y48),N(Z48))&gt;0,"TQQQ","SOXL"),IF(AP48="YES",IF(SUM(N(AA48),N(AB48),N(AC48))&gt;0,"SQQQ","SOXS"),""))</f>
        <v/>
      </c>
      <c r="AS48" s="23" t="str">
        <f>IF(AQ48="WAIT","",IF(AR48="",1,0.6))</f>
        <v/>
      </c>
      <c r="AT48" s="23">
        <f>IF(AR48="",0,0.4)</f>
        <v>0</v>
      </c>
      <c r="AU48" s="23" t="str">
        <f>IF(AQ48="WAIT","WAIT",IF(AO48="YES","BULL",IF(AP48="YES","BEAR","WAIT")))</f>
        <v>WAIT</v>
      </c>
      <c r="AV48" t="str">
        <f>IF(AQ48="WAIT","Low",IF(OR(AND(AU48="BULL",ABS(SUM(N(X48),N(Y48),N(Z48)))&gt;=0.15),AND(AU48="BEAR",ABS(SUM(N(AA48),N(AB48),N(AC48)))&gt;=0.15)),"Strong",IF(OR(AND(AU48="BULL",ABS(SUM(N(X48),N(Y48),N(Z48)))&gt;=0.05),AND(AU48="BEAR",ABS(SUM(N(AA48),N(AB48),N(AC48)))&gt;=0.05)),"Moderate","Low")))</f>
        <v>Low</v>
      </c>
      <c r="AW48" t="str">
        <f>IF(AQ48="WAIT","QQQ and SMH not aligned",IF(AU48="BULL",IF(AQ48="SOXL","Bull regime; semiconductors leading","Bull regime; tech leading"),IF(AQ48="SOXS","Bear regime; semiconductors weakest","Bear regime; tech weakest")))</f>
        <v>QQQ and SMH not aligned</v>
      </c>
      <c r="AX48" t="str">
        <f>IF(AR48="WAIT","QQQ and SMH not aligned",IF(AV48="BULL",IF(AR48="SOXL","Bull regime; semiconductors leading","Bull regime; tech leading"),IF(AR48="SOXS","Bear regime; semiconductors weakest","Bear regime; tech weakest")))</f>
        <v>Bear regime; tech weakest</v>
      </c>
    </row>
    <row r="49" spans="1:50" x14ac:dyDescent="0.2">
      <c r="A49" s="12"/>
      <c r="B49" s="13"/>
      <c r="C49" s="13"/>
      <c r="D49" s="13"/>
      <c r="E49" s="13"/>
      <c r="F49" s="11" t="str">
        <f>IF(OR(E49="",E48=""),"",IF(E48=0,"",(E49/E48)-1))</f>
        <v/>
      </c>
      <c r="G49" s="13"/>
      <c r="H49" s="11" t="str">
        <f>IF(OR(G49="",G48=""),"",IF(G48=0,"",(G49/G48)-1))</f>
        <v/>
      </c>
      <c r="I49" s="13"/>
      <c r="J49" s="13"/>
      <c r="K49" s="13"/>
      <c r="L49" s="13"/>
      <c r="M49" s="23" t="str">
        <f>IF(OR(L49="",L48=""),"",IF(L48=0,"",(L49/L48)-1))</f>
        <v/>
      </c>
      <c r="N49" s="26" t="str">
        <f>IFERROR((M49/M48)-1,"")</f>
        <v/>
      </c>
      <c r="O49" s="23" t="str">
        <f>IF(OR(N49="",N48=""),"",IF(N48=0,"",(N49/N48)-1))</f>
        <v/>
      </c>
      <c r="P49" s="11" t="str">
        <f>IF(ROW()&lt;7,"",IF(OR(E49="",E46=""),"",IF(E46=0,"",(E49/E46)-1)))</f>
        <v/>
      </c>
      <c r="Q49" s="23" t="str">
        <f>IF(ROW()&lt;9,"",IF(OR(E49="",E44=""),"",IF(E44=0,"",(E49/E44)-1)))</f>
        <v/>
      </c>
      <c r="R49" s="23" t="str">
        <f>IF(ROW()&lt;7,"",IF(OR(G49="",G46=""),"",IF(G46=0,"",(G49/G46)-1)))</f>
        <v/>
      </c>
      <c r="S49" s="23" t="str">
        <f>IF(ROW()&lt;9,"",IF(OR(G49="",G44=""),"",IF(G44=0,"",(G49/G44)-1)))</f>
        <v/>
      </c>
      <c r="T49" s="23" t="str">
        <f>IF(ROW()&lt;7,"",IF(OR(L49="",L46=""),"",IF(L46=0,"",(L49/L46)-1)))</f>
        <v/>
      </c>
      <c r="U49" s="23" t="str">
        <f>IF(ROW()&lt;9,"",IF(OR(L49="",L44=""),"",IF(L44=0,"",(L49/L44)-1)))</f>
        <v/>
      </c>
      <c r="V49" s="23" t="str">
        <f>IF(ROW()&lt;7,"",IF(OR(N49="",N46=""),"",IF(N46=0,"",(N49/N46)-1)))</f>
        <v/>
      </c>
      <c r="W49" s="23" t="str">
        <f>IF(ROW()&lt;9,"",IF(OR(N49="",N44=""),"",IF(N44=0,"",(N49/N44)-1)))</f>
        <v/>
      </c>
      <c r="X49" s="23" t="str">
        <f>IF(OR(F49="",M49=""),"",F49-M49)</f>
        <v/>
      </c>
      <c r="Y49" s="23" t="str">
        <f>IF(OR(P49="",T49=""),"",P49-T49)</f>
        <v/>
      </c>
      <c r="Z49" s="23" t="str">
        <f>IF(OR(Q49="",U49=""),"",Q49-U49)</f>
        <v/>
      </c>
      <c r="AA49" s="23" t="str">
        <f>IF(OR(H49="",O49=""),"",H49-O49)</f>
        <v/>
      </c>
      <c r="AB49" s="23" t="str">
        <f>IF(OR(R49="",V49=""),"",R49-V49)</f>
        <v/>
      </c>
      <c r="AC49" s="23" t="str">
        <f>IF(OR(S49="",W49=""),"",S49-W49)</f>
        <v/>
      </c>
      <c r="AD49" s="13"/>
      <c r="AE49" s="23" t="str">
        <f>IF(OR(AD49="",AD48=""),"",IF(AD48=0,"",(AD49/AD48)-1))</f>
        <v/>
      </c>
      <c r="AF49" s="23" t="str">
        <f>IF(ROW()&lt;7,"",IF(OR(AD49="",AD46=""),"",IF(AD46=0,"",(AD49/AD46)-1)))</f>
        <v/>
      </c>
      <c r="AG49" s="23" t="str">
        <f>IF(ROW()&lt;9,"",IF(OR(AD49="",AD44=""),"",IF(AD44=0,"",(AD49/AD44)-1)))</f>
        <v/>
      </c>
      <c r="AH49" s="23" t="str">
        <f>IF(OR(AF49="",AG49=""),"",IF(AND(AF49&gt;0,AG49&gt;0),"Bull",IF(AND(AF49&lt;0,AG49&lt;0),"Bear","Mixed")))</f>
        <v/>
      </c>
      <c r="AI49" s="13"/>
      <c r="AJ49" s="13" t="str">
        <f>IF(OR(AI49="",AI48=""),"",IF(AI48=0,"",(AI49/AI48)-1))</f>
        <v/>
      </c>
      <c r="AK49" s="23" t="str">
        <f>IF(OR(AJ49="",AJ48=""),"",IF(AJ48=0,"",(AJ49/AJ48)-1))</f>
        <v/>
      </c>
      <c r="AL49" s="23" t="str">
        <f>IF(ROW()&lt;7,"",IF(OR(AJ49="",AJ46=""),"",IF(AJ46=0,"",(AJ49/AJ46)-1)))</f>
        <v/>
      </c>
      <c r="AM49" s="23" t="str">
        <f>IF(ROW()&lt;9,"",IF(OR(AJ49="",AJ44=""),"",IF(AJ44=0,"",(AJ49/AJ44)-1)))</f>
        <v/>
      </c>
      <c r="AN49" t="str">
        <f>IF(OR(AL49="",AM49=""),"",IF(AND(AL49&gt;0,AM49&gt;0),"Bull",IF(AND(AL49&lt;0,AM49&lt;0),"Bear","Mixed")))</f>
        <v/>
      </c>
      <c r="AO49" t="str">
        <f>IF(OR(AH49="",AN49=""),"",IF(AND(AH49="Bull",AN49="Bull"),"YES","NO"))</f>
        <v/>
      </c>
      <c r="AP49" t="str">
        <f>IF(OR(AH49="",AN49=""),"",IF(AND(AH49="Bear",AN49="Bear"),"YES","NO"))</f>
        <v/>
      </c>
      <c r="AQ49" t="str">
        <f>IF(AO49="YES",IF(SUM(N(X49),N(Y49),N(Z49))&gt;0,"SOXL","TQQQ"),IF(AP49="YES",IF(SUM(N(AA49),N(AB49),N(AC49))&gt;0,"SOXS","SQQQ"),"WAIT"))</f>
        <v>WAIT</v>
      </c>
      <c r="AR49" s="23" t="str">
        <f>IF(AO49="YES",IF(SUM(N(X49),N(Y49),N(Z49))&gt;0,"TQQQ","SOXL"),IF(AP49="YES",IF(SUM(N(AA49),N(AB49),N(AC49))&gt;0,"SQQQ","SOXS"),""))</f>
        <v/>
      </c>
      <c r="AS49" s="23" t="str">
        <f>IF(AQ49="WAIT","",IF(AR49="",1,0.6))</f>
        <v/>
      </c>
      <c r="AT49" s="23">
        <f>IF(AR49="",0,0.4)</f>
        <v>0</v>
      </c>
      <c r="AU49" s="23" t="str">
        <f>IF(AQ49="WAIT","WAIT",IF(AO49="YES","BULL",IF(AP49="YES","BEAR","WAIT")))</f>
        <v>WAIT</v>
      </c>
      <c r="AV49" t="str">
        <f>IF(AQ49="WAIT","Low",IF(OR(AND(AU49="BULL",ABS(SUM(N(X49),N(Y49),N(Z49)))&gt;=0.15),AND(AU49="BEAR",ABS(SUM(N(AA49),N(AB49),N(AC49)))&gt;=0.15)),"Strong",IF(OR(AND(AU49="BULL",ABS(SUM(N(X49),N(Y49),N(Z49)))&gt;=0.05),AND(AU49="BEAR",ABS(SUM(N(AA49),N(AB49),N(AC49)))&gt;=0.05)),"Moderate","Low")))</f>
        <v>Low</v>
      </c>
      <c r="AW49" t="str">
        <f>IF(AQ49="WAIT","QQQ and SMH not aligned",IF(AU49="BULL",IF(AQ49="SOXL","Bull regime; semiconductors leading","Bull regime; tech leading"),IF(AQ49="SOXS","Bear regime; semiconductors weakest","Bear regime; tech weakest")))</f>
        <v>QQQ and SMH not aligned</v>
      </c>
      <c r="AX49" t="str">
        <f>IF(AR49="WAIT","QQQ and SMH not aligned",IF(AV49="BULL",IF(AR49="SOXL","Bull regime; semiconductors leading","Bull regime; tech leading"),IF(AR49="SOXS","Bear regime; semiconductors weakest","Bear regime; tech weakest")))</f>
        <v>Bear regime; tech weakest</v>
      </c>
    </row>
    <row r="50" spans="1:50" x14ac:dyDescent="0.2">
      <c r="A50" s="12"/>
      <c r="B50" s="13"/>
      <c r="C50" s="13"/>
      <c r="D50" s="13"/>
      <c r="E50" s="13"/>
      <c r="F50" s="11" t="str">
        <f>IF(OR(E50="",E49=""),"",IF(E49=0,"",(E50/E49)-1))</f>
        <v/>
      </c>
      <c r="G50" s="13"/>
      <c r="H50" s="11" t="str">
        <f>IF(OR(G50="",G49=""),"",IF(G49=0,"",(G50/G49)-1))</f>
        <v/>
      </c>
      <c r="I50" s="13"/>
      <c r="J50" s="13"/>
      <c r="K50" s="13"/>
      <c r="L50" s="13"/>
      <c r="M50" s="23" t="str">
        <f>IF(OR(L50="",L49=""),"",IF(L49=0,"",(L50/L49)-1))</f>
        <v/>
      </c>
      <c r="N50" s="26" t="str">
        <f>IFERROR((M50/M49)-1,"")</f>
        <v/>
      </c>
      <c r="O50" s="23" t="str">
        <f>IF(OR(N50="",N49=""),"",IF(N49=0,"",(N50/N49)-1))</f>
        <v/>
      </c>
      <c r="P50" s="11" t="str">
        <f>IF(ROW()&lt;7,"",IF(OR(E50="",E47=""),"",IF(E47=0,"",(E50/E47)-1)))</f>
        <v/>
      </c>
      <c r="Q50" s="23" t="str">
        <f>IF(ROW()&lt;9,"",IF(OR(E50="",E45=""),"",IF(E45=0,"",(E50/E45)-1)))</f>
        <v/>
      </c>
      <c r="R50" s="23" t="str">
        <f>IF(ROW()&lt;7,"",IF(OR(G50="",G47=""),"",IF(G47=0,"",(G50/G47)-1)))</f>
        <v/>
      </c>
      <c r="S50" s="23" t="str">
        <f>IF(ROW()&lt;9,"",IF(OR(G50="",G45=""),"",IF(G45=0,"",(G50/G45)-1)))</f>
        <v/>
      </c>
      <c r="T50" s="23" t="str">
        <f>IF(ROW()&lt;7,"",IF(OR(L50="",L47=""),"",IF(L47=0,"",(L50/L47)-1)))</f>
        <v/>
      </c>
      <c r="U50" s="23" t="str">
        <f>IF(ROW()&lt;9,"",IF(OR(L50="",L45=""),"",IF(L45=0,"",(L50/L45)-1)))</f>
        <v/>
      </c>
      <c r="V50" s="23" t="str">
        <f>IF(ROW()&lt;7,"",IF(OR(N50="",N47=""),"",IF(N47=0,"",(N50/N47)-1)))</f>
        <v/>
      </c>
      <c r="W50" s="23" t="str">
        <f>IF(ROW()&lt;9,"",IF(OR(N50="",N45=""),"",IF(N45=0,"",(N50/N45)-1)))</f>
        <v/>
      </c>
      <c r="X50" s="23" t="str">
        <f>IF(OR(F50="",M50=""),"",F50-M50)</f>
        <v/>
      </c>
      <c r="Y50" s="23" t="str">
        <f>IF(OR(P50="",T50=""),"",P50-T50)</f>
        <v/>
      </c>
      <c r="Z50" s="23" t="str">
        <f>IF(OR(Q50="",U50=""),"",Q50-U50)</f>
        <v/>
      </c>
      <c r="AA50" s="23" t="str">
        <f>IF(OR(H50="",O50=""),"",H50-O50)</f>
        <v/>
      </c>
      <c r="AB50" s="23" t="str">
        <f>IF(OR(R50="",V50=""),"",R50-V50)</f>
        <v/>
      </c>
      <c r="AC50" s="23" t="str">
        <f>IF(OR(S50="",W50=""),"",S50-W50)</f>
        <v/>
      </c>
      <c r="AD50" s="13"/>
      <c r="AE50" s="23" t="str">
        <f>IF(OR(AD50="",AD49=""),"",IF(AD49=0,"",(AD50/AD49)-1))</f>
        <v/>
      </c>
      <c r="AF50" s="23" t="str">
        <f>IF(ROW()&lt;7,"",IF(OR(AD50="",AD47=""),"",IF(AD47=0,"",(AD50/AD47)-1)))</f>
        <v/>
      </c>
      <c r="AG50" s="23" t="str">
        <f>IF(ROW()&lt;9,"",IF(OR(AD50="",AD45=""),"",IF(AD45=0,"",(AD50/AD45)-1)))</f>
        <v/>
      </c>
      <c r="AH50" s="23" t="str">
        <f>IF(OR(AF50="",AG50=""),"",IF(AND(AF50&gt;0,AG50&gt;0),"Bull",IF(AND(AF50&lt;0,AG50&lt;0),"Bear","Mixed")))</f>
        <v/>
      </c>
      <c r="AI50" s="13"/>
      <c r="AJ50" s="13" t="str">
        <f>IF(OR(AI50="",AI49=""),"",IF(AI49=0,"",(AI50/AI49)-1))</f>
        <v/>
      </c>
      <c r="AK50" s="23" t="str">
        <f>IF(OR(AJ50="",AJ49=""),"",IF(AJ49=0,"",(AJ50/AJ49)-1))</f>
        <v/>
      </c>
      <c r="AL50" s="23" t="str">
        <f>IF(ROW()&lt;7,"",IF(OR(AJ50="",AJ47=""),"",IF(AJ47=0,"",(AJ50/AJ47)-1)))</f>
        <v/>
      </c>
      <c r="AM50" s="23" t="str">
        <f>IF(ROW()&lt;9,"",IF(OR(AJ50="",AJ45=""),"",IF(AJ45=0,"",(AJ50/AJ45)-1)))</f>
        <v/>
      </c>
      <c r="AN50" t="str">
        <f>IF(OR(AL50="",AM50=""),"",IF(AND(AL50&gt;0,AM50&gt;0),"Bull",IF(AND(AL50&lt;0,AM50&lt;0),"Bear","Mixed")))</f>
        <v/>
      </c>
      <c r="AO50" t="str">
        <f>IF(OR(AH50="",AN50=""),"",IF(AND(AH50="Bull",AN50="Bull"),"YES","NO"))</f>
        <v/>
      </c>
      <c r="AP50" t="str">
        <f>IF(OR(AH50="",AN50=""),"",IF(AND(AH50="Bear",AN50="Bear"),"YES","NO"))</f>
        <v/>
      </c>
      <c r="AQ50" t="str">
        <f>IF(AO50="YES",IF(SUM(N(X50),N(Y50),N(Z50))&gt;0,"SOXL","TQQQ"),IF(AP50="YES",IF(SUM(N(AA50),N(AB50),N(AC50))&gt;0,"SOXS","SQQQ"),"WAIT"))</f>
        <v>WAIT</v>
      </c>
      <c r="AR50" s="23" t="str">
        <f>IF(AO50="YES",IF(SUM(N(X50),N(Y50),N(Z50))&gt;0,"TQQQ","SOXL"),IF(AP50="YES",IF(SUM(N(AA50),N(AB50),N(AC50))&gt;0,"SQQQ","SOXS"),""))</f>
        <v/>
      </c>
      <c r="AS50" s="23" t="str">
        <f>IF(AQ50="WAIT","",IF(AR50="",1,0.6))</f>
        <v/>
      </c>
      <c r="AT50" s="23">
        <f>IF(AR50="",0,0.4)</f>
        <v>0</v>
      </c>
      <c r="AU50" s="23" t="str">
        <f>IF(AQ50="WAIT","WAIT",IF(AO50="YES","BULL",IF(AP50="YES","BEAR","WAIT")))</f>
        <v>WAIT</v>
      </c>
      <c r="AV50" t="str">
        <f>IF(AQ50="WAIT","Low",IF(OR(AND(AU50="BULL",ABS(SUM(N(X50),N(Y50),N(Z50)))&gt;=0.15),AND(AU50="BEAR",ABS(SUM(N(AA50),N(AB50),N(AC50)))&gt;=0.15)),"Strong",IF(OR(AND(AU50="BULL",ABS(SUM(N(X50),N(Y50),N(Z50)))&gt;=0.05),AND(AU50="BEAR",ABS(SUM(N(AA50),N(AB50),N(AC50)))&gt;=0.05)),"Moderate","Low")))</f>
        <v>Low</v>
      </c>
      <c r="AW50" t="str">
        <f>IF(AQ50="WAIT","QQQ and SMH not aligned",IF(AU50="BULL",IF(AQ50="SOXL","Bull regime; semiconductors leading","Bull regime; tech leading"),IF(AQ50="SOXS","Bear regime; semiconductors weakest","Bear regime; tech weakest")))</f>
        <v>QQQ and SMH not aligned</v>
      </c>
      <c r="AX50" t="str">
        <f>IF(AR50="WAIT","QQQ and SMH not aligned",IF(AV50="BULL",IF(AR50="SOXL","Bull regime; semiconductors leading","Bull regime; tech leading"),IF(AR50="SOXS","Bear regime; semiconductors weakest","Bear regime; tech weakest")))</f>
        <v>Bear regime; tech weakest</v>
      </c>
    </row>
    <row r="51" spans="1:50" x14ac:dyDescent="0.2">
      <c r="A51" s="12"/>
      <c r="B51" s="13"/>
      <c r="C51" s="13"/>
      <c r="D51" s="13"/>
      <c r="E51" s="13"/>
      <c r="F51" s="11" t="str">
        <f>IF(OR(E51="",E50=""),"",IF(E50=0,"",(E51/E50)-1))</f>
        <v/>
      </c>
      <c r="G51" s="13"/>
      <c r="H51" s="11" t="str">
        <f>IF(OR(G51="",G50=""),"",IF(G50=0,"",(G51/G50)-1))</f>
        <v/>
      </c>
      <c r="I51" s="13"/>
      <c r="J51" s="13"/>
      <c r="K51" s="13"/>
      <c r="L51" s="13"/>
      <c r="M51" s="23" t="str">
        <f>IF(OR(L51="",L50=""),"",IF(L50=0,"",(L51/L50)-1))</f>
        <v/>
      </c>
      <c r="N51" s="26" t="str">
        <f>IFERROR((M51/M50)-1,"")</f>
        <v/>
      </c>
      <c r="O51" s="23" t="str">
        <f>IF(OR(N51="",N50=""),"",IF(N50=0,"",(N51/N50)-1))</f>
        <v/>
      </c>
      <c r="P51" s="11" t="str">
        <f>IF(ROW()&lt;7,"",IF(OR(E51="",E48=""),"",IF(E48=0,"",(E51/E48)-1)))</f>
        <v/>
      </c>
      <c r="Q51" s="23" t="str">
        <f>IF(ROW()&lt;9,"",IF(OR(E51="",E46=""),"",IF(E46=0,"",(E51/E46)-1)))</f>
        <v/>
      </c>
      <c r="R51" s="23" t="str">
        <f>IF(ROW()&lt;7,"",IF(OR(G51="",G48=""),"",IF(G48=0,"",(G51/G48)-1)))</f>
        <v/>
      </c>
      <c r="S51" s="23" t="str">
        <f>IF(ROW()&lt;9,"",IF(OR(G51="",G46=""),"",IF(G46=0,"",(G51/G46)-1)))</f>
        <v/>
      </c>
      <c r="T51" s="23" t="str">
        <f>IF(ROW()&lt;7,"",IF(OR(L51="",L48=""),"",IF(L48=0,"",(L51/L48)-1)))</f>
        <v/>
      </c>
      <c r="U51" s="23" t="str">
        <f>IF(ROW()&lt;9,"",IF(OR(L51="",L46=""),"",IF(L46=0,"",(L51/L46)-1)))</f>
        <v/>
      </c>
      <c r="V51" s="23" t="str">
        <f>IF(ROW()&lt;7,"",IF(OR(N51="",N48=""),"",IF(N48=0,"",(N51/N48)-1)))</f>
        <v/>
      </c>
      <c r="W51" s="23" t="str">
        <f>IF(ROW()&lt;9,"",IF(OR(N51="",N46=""),"",IF(N46=0,"",(N51/N46)-1)))</f>
        <v/>
      </c>
      <c r="X51" s="23" t="str">
        <f>IF(OR(F51="",M51=""),"",F51-M51)</f>
        <v/>
      </c>
      <c r="Y51" s="23" t="str">
        <f>IF(OR(P51="",T51=""),"",P51-T51)</f>
        <v/>
      </c>
      <c r="Z51" s="23" t="str">
        <f>IF(OR(Q51="",U51=""),"",Q51-U51)</f>
        <v/>
      </c>
      <c r="AA51" s="23" t="str">
        <f>IF(OR(H51="",O51=""),"",H51-O51)</f>
        <v/>
      </c>
      <c r="AB51" s="23" t="str">
        <f>IF(OR(R51="",V51=""),"",R51-V51)</f>
        <v/>
      </c>
      <c r="AC51" s="23" t="str">
        <f>IF(OR(S51="",W51=""),"",S51-W51)</f>
        <v/>
      </c>
      <c r="AD51" s="13"/>
      <c r="AE51" s="23" t="str">
        <f>IF(OR(AD51="",AD50=""),"",IF(AD50=0,"",(AD51/AD50)-1))</f>
        <v/>
      </c>
      <c r="AF51" s="23" t="str">
        <f>IF(ROW()&lt;7,"",IF(OR(AD51="",AD48=""),"",IF(AD48=0,"",(AD51/AD48)-1)))</f>
        <v/>
      </c>
      <c r="AG51" s="23" t="str">
        <f>IF(ROW()&lt;9,"",IF(OR(AD51="",AD46=""),"",IF(AD46=0,"",(AD51/AD46)-1)))</f>
        <v/>
      </c>
      <c r="AH51" s="23" t="str">
        <f>IF(OR(AF51="",AG51=""),"",IF(AND(AF51&gt;0,AG51&gt;0),"Bull",IF(AND(AF51&lt;0,AG51&lt;0),"Bear","Mixed")))</f>
        <v/>
      </c>
      <c r="AI51" s="13"/>
      <c r="AJ51" s="13" t="str">
        <f>IF(OR(AI51="",AI50=""),"",IF(AI50=0,"",(AI51/AI50)-1))</f>
        <v/>
      </c>
      <c r="AK51" s="23" t="str">
        <f>IF(OR(AJ51="",AJ50=""),"",IF(AJ50=0,"",(AJ51/AJ50)-1))</f>
        <v/>
      </c>
      <c r="AL51" s="23" t="str">
        <f>IF(ROW()&lt;7,"",IF(OR(AJ51="",AJ48=""),"",IF(AJ48=0,"",(AJ51/AJ48)-1)))</f>
        <v/>
      </c>
      <c r="AM51" s="23" t="str">
        <f>IF(ROW()&lt;9,"",IF(OR(AJ51="",AJ46=""),"",IF(AJ46=0,"",(AJ51/AJ46)-1)))</f>
        <v/>
      </c>
      <c r="AN51" t="str">
        <f>IF(OR(AL51="",AM51=""),"",IF(AND(AL51&gt;0,AM51&gt;0),"Bull",IF(AND(AL51&lt;0,AM51&lt;0),"Bear","Mixed")))</f>
        <v/>
      </c>
      <c r="AO51" t="str">
        <f>IF(OR(AH51="",AN51=""),"",IF(AND(AH51="Bull",AN51="Bull"),"YES","NO"))</f>
        <v/>
      </c>
      <c r="AP51" t="str">
        <f>IF(OR(AH51="",AN51=""),"",IF(AND(AH51="Bear",AN51="Bear"),"YES","NO"))</f>
        <v/>
      </c>
      <c r="AQ51" t="str">
        <f>IF(AO51="YES",IF(SUM(N(X51),N(Y51),N(Z51))&gt;0,"SOXL","TQQQ"),IF(AP51="YES",IF(SUM(N(AA51),N(AB51),N(AC51))&gt;0,"SOXS","SQQQ"),"WAIT"))</f>
        <v>WAIT</v>
      </c>
      <c r="AR51" s="23" t="str">
        <f>IF(AO51="YES",IF(SUM(N(X51),N(Y51),N(Z51))&gt;0,"TQQQ","SOXL"),IF(AP51="YES",IF(SUM(N(AA51),N(AB51),N(AC51))&gt;0,"SQQQ","SOXS"),""))</f>
        <v/>
      </c>
      <c r="AS51" s="23" t="str">
        <f>IF(AQ51="WAIT","",IF(AR51="",1,0.6))</f>
        <v/>
      </c>
      <c r="AT51" s="23">
        <f>IF(AR51="",0,0.4)</f>
        <v>0</v>
      </c>
      <c r="AU51" s="23" t="str">
        <f>IF(AQ51="WAIT","WAIT",IF(AO51="YES","BULL",IF(AP51="YES","BEAR","WAIT")))</f>
        <v>WAIT</v>
      </c>
      <c r="AV51" t="str">
        <f>IF(AQ51="WAIT","Low",IF(OR(AND(AU51="BULL",ABS(SUM(N(X51),N(Y51),N(Z51)))&gt;=0.15),AND(AU51="BEAR",ABS(SUM(N(AA51),N(AB51),N(AC51)))&gt;=0.15)),"Strong",IF(OR(AND(AU51="BULL",ABS(SUM(N(X51),N(Y51),N(Z51)))&gt;=0.05),AND(AU51="BEAR",ABS(SUM(N(AA51),N(AB51),N(AC51)))&gt;=0.05)),"Moderate","Low")))</f>
        <v>Low</v>
      </c>
      <c r="AW51" t="str">
        <f>IF(AQ51="WAIT","QQQ and SMH not aligned",IF(AU51="BULL",IF(AQ51="SOXL","Bull regime; semiconductors leading","Bull regime; tech leading"),IF(AQ51="SOXS","Bear regime; semiconductors weakest","Bear regime; tech weakest")))</f>
        <v>QQQ and SMH not aligned</v>
      </c>
      <c r="AX51" t="str">
        <f>IF(AR51="WAIT","QQQ and SMH not aligned",IF(AV51="BULL",IF(AR51="SOXL","Bull regime; semiconductors leading","Bull regime; tech leading"),IF(AR51="SOXS","Bear regime; semiconductors weakest","Bear regime; tech weakest")))</f>
        <v>Bear regime; tech weakest</v>
      </c>
    </row>
    <row r="52" spans="1:50" x14ac:dyDescent="0.2">
      <c r="A52" s="12"/>
      <c r="B52" s="13"/>
      <c r="C52" s="13"/>
      <c r="D52" s="13"/>
      <c r="E52" s="13"/>
      <c r="F52" s="11" t="str">
        <f>IF(OR(E52="",E51=""),"",IF(E51=0,"",(E52/E51)-1))</f>
        <v/>
      </c>
      <c r="G52" s="13"/>
      <c r="H52" s="11" t="str">
        <f>IF(OR(G52="",G51=""),"",IF(G51=0,"",(G52/G51)-1))</f>
        <v/>
      </c>
      <c r="I52" s="13"/>
      <c r="J52" s="13"/>
      <c r="K52" s="13"/>
      <c r="L52" s="13"/>
      <c r="M52" s="23" t="str">
        <f>IF(OR(L52="",L51=""),"",IF(L51=0,"",(L52/L51)-1))</f>
        <v/>
      </c>
      <c r="N52" s="26" t="str">
        <f>IFERROR((M52/M51)-1,"")</f>
        <v/>
      </c>
      <c r="O52" s="23" t="str">
        <f>IF(OR(N52="",N51=""),"",IF(N51=0,"",(N52/N51)-1))</f>
        <v/>
      </c>
      <c r="P52" s="11" t="str">
        <f>IF(ROW()&lt;7,"",IF(OR(E52="",E49=""),"",IF(E49=0,"",(E52/E49)-1)))</f>
        <v/>
      </c>
      <c r="Q52" s="23" t="str">
        <f>IF(ROW()&lt;9,"",IF(OR(E52="",E47=""),"",IF(E47=0,"",(E52/E47)-1)))</f>
        <v/>
      </c>
      <c r="R52" s="23" t="str">
        <f>IF(ROW()&lt;7,"",IF(OR(G52="",G49=""),"",IF(G49=0,"",(G52/G49)-1)))</f>
        <v/>
      </c>
      <c r="S52" s="23" t="str">
        <f>IF(ROW()&lt;9,"",IF(OR(G52="",G47=""),"",IF(G47=0,"",(G52/G47)-1)))</f>
        <v/>
      </c>
      <c r="T52" s="23" t="str">
        <f>IF(ROW()&lt;7,"",IF(OR(L52="",L49=""),"",IF(L49=0,"",(L52/L49)-1)))</f>
        <v/>
      </c>
      <c r="U52" s="23" t="str">
        <f>IF(ROW()&lt;9,"",IF(OR(L52="",L47=""),"",IF(L47=0,"",(L52/L47)-1)))</f>
        <v/>
      </c>
      <c r="V52" s="23" t="str">
        <f>IF(ROW()&lt;7,"",IF(OR(N52="",N49=""),"",IF(N49=0,"",(N52/N49)-1)))</f>
        <v/>
      </c>
      <c r="W52" s="23" t="str">
        <f>IF(ROW()&lt;9,"",IF(OR(N52="",N47=""),"",IF(N47=0,"",(N52/N47)-1)))</f>
        <v/>
      </c>
      <c r="X52" s="23" t="str">
        <f>IF(OR(F52="",M52=""),"",F52-M52)</f>
        <v/>
      </c>
      <c r="Y52" s="23" t="str">
        <f>IF(OR(P52="",T52=""),"",P52-T52)</f>
        <v/>
      </c>
      <c r="Z52" s="23" t="str">
        <f>IF(OR(Q52="",U52=""),"",Q52-U52)</f>
        <v/>
      </c>
      <c r="AA52" s="23" t="str">
        <f>IF(OR(H52="",O52=""),"",H52-O52)</f>
        <v/>
      </c>
      <c r="AB52" s="23" t="str">
        <f>IF(OR(R52="",V52=""),"",R52-V52)</f>
        <v/>
      </c>
      <c r="AC52" s="23" t="str">
        <f>IF(OR(S52="",W52=""),"",S52-W52)</f>
        <v/>
      </c>
      <c r="AD52" s="13"/>
      <c r="AE52" s="23" t="str">
        <f>IF(OR(AD52="",AD51=""),"",IF(AD51=0,"",(AD52/AD51)-1))</f>
        <v/>
      </c>
      <c r="AF52" s="23" t="str">
        <f>IF(ROW()&lt;7,"",IF(OR(AD52="",AD49=""),"",IF(AD49=0,"",(AD52/AD49)-1)))</f>
        <v/>
      </c>
      <c r="AG52" s="23" t="str">
        <f>IF(ROW()&lt;9,"",IF(OR(AD52="",AD47=""),"",IF(AD47=0,"",(AD52/AD47)-1)))</f>
        <v/>
      </c>
      <c r="AH52" s="23" t="str">
        <f>IF(OR(AF52="",AG52=""),"",IF(AND(AF52&gt;0,AG52&gt;0),"Bull",IF(AND(AF52&lt;0,AG52&lt;0),"Bear","Mixed")))</f>
        <v/>
      </c>
      <c r="AI52" s="13"/>
      <c r="AJ52" s="13" t="str">
        <f>IF(OR(AI52="",AI51=""),"",IF(AI51=0,"",(AI52/AI51)-1))</f>
        <v/>
      </c>
      <c r="AK52" s="23" t="str">
        <f>IF(OR(AJ52="",AJ51=""),"",IF(AJ51=0,"",(AJ52/AJ51)-1))</f>
        <v/>
      </c>
      <c r="AL52" s="23" t="str">
        <f>IF(ROW()&lt;7,"",IF(OR(AJ52="",AJ49=""),"",IF(AJ49=0,"",(AJ52/AJ49)-1)))</f>
        <v/>
      </c>
      <c r="AM52" s="23" t="str">
        <f>IF(ROW()&lt;9,"",IF(OR(AJ52="",AJ47=""),"",IF(AJ47=0,"",(AJ52/AJ47)-1)))</f>
        <v/>
      </c>
      <c r="AN52" t="str">
        <f>IF(OR(AL52="",AM52=""),"",IF(AND(AL52&gt;0,AM52&gt;0),"Bull",IF(AND(AL52&lt;0,AM52&lt;0),"Bear","Mixed")))</f>
        <v/>
      </c>
      <c r="AO52" t="str">
        <f>IF(OR(AH52="",AN52=""),"",IF(AND(AH52="Bull",AN52="Bull"),"YES","NO"))</f>
        <v/>
      </c>
      <c r="AP52" t="str">
        <f>IF(OR(AH52="",AN52=""),"",IF(AND(AH52="Bear",AN52="Bear"),"YES","NO"))</f>
        <v/>
      </c>
      <c r="AQ52" t="str">
        <f>IF(AO52="YES",IF(SUM(N(X52),N(Y52),N(Z52))&gt;0,"SOXL","TQQQ"),IF(AP52="YES",IF(SUM(N(AA52),N(AB52),N(AC52))&gt;0,"SOXS","SQQQ"),"WAIT"))</f>
        <v>WAIT</v>
      </c>
      <c r="AR52" s="23" t="str">
        <f>IF(AO52="YES",IF(SUM(N(X52),N(Y52),N(Z52))&gt;0,"TQQQ","SOXL"),IF(AP52="YES",IF(SUM(N(AA52),N(AB52),N(AC52))&gt;0,"SQQQ","SOXS"),""))</f>
        <v/>
      </c>
      <c r="AS52" s="23" t="str">
        <f>IF(AQ52="WAIT","",IF(AR52="",1,0.6))</f>
        <v/>
      </c>
      <c r="AT52" s="23">
        <f>IF(AR52="",0,0.4)</f>
        <v>0</v>
      </c>
      <c r="AU52" s="23" t="str">
        <f>IF(AQ52="WAIT","WAIT",IF(AO52="YES","BULL",IF(AP52="YES","BEAR","WAIT")))</f>
        <v>WAIT</v>
      </c>
      <c r="AV52" t="str">
        <f>IF(AQ52="WAIT","Low",IF(OR(AND(AU52="BULL",ABS(SUM(N(X52),N(Y52),N(Z52)))&gt;=0.15),AND(AU52="BEAR",ABS(SUM(N(AA52),N(AB52),N(AC52)))&gt;=0.15)),"Strong",IF(OR(AND(AU52="BULL",ABS(SUM(N(X52),N(Y52),N(Z52)))&gt;=0.05),AND(AU52="BEAR",ABS(SUM(N(AA52),N(AB52),N(AC52)))&gt;=0.05)),"Moderate","Low")))</f>
        <v>Low</v>
      </c>
      <c r="AW52" t="str">
        <f>IF(AQ52="WAIT","QQQ and SMH not aligned",IF(AU52="BULL",IF(AQ52="SOXL","Bull regime; semiconductors leading","Bull regime; tech leading"),IF(AQ52="SOXS","Bear regime; semiconductors weakest","Bear regime; tech weakest")))</f>
        <v>QQQ and SMH not aligned</v>
      </c>
      <c r="AX52" t="str">
        <f>IF(AR52="WAIT","QQQ and SMH not aligned",IF(AV52="BULL",IF(AR52="SOXL","Bull regime; semiconductors leading","Bull regime; tech leading"),IF(AR52="SOXS","Bear regime; semiconductors weakest","Bear regime; tech weakest")))</f>
        <v>Bear regime; tech weakest</v>
      </c>
    </row>
    <row r="53" spans="1:50" x14ac:dyDescent="0.2">
      <c r="A53" s="12"/>
      <c r="B53" s="13"/>
      <c r="C53" s="13"/>
      <c r="D53" s="13"/>
      <c r="E53" s="13"/>
      <c r="F53" s="11" t="str">
        <f>IF(OR(E53="",E52=""),"",IF(E52=0,"",(E53/E52)-1))</f>
        <v/>
      </c>
      <c r="G53" s="13"/>
      <c r="H53" s="11" t="str">
        <f>IF(OR(G53="",G52=""),"",IF(G52=0,"",(G53/G52)-1))</f>
        <v/>
      </c>
      <c r="I53" s="13"/>
      <c r="J53" s="13"/>
      <c r="K53" s="13"/>
      <c r="L53" s="13"/>
      <c r="M53" s="23" t="str">
        <f>IF(OR(L53="",L52=""),"",IF(L52=0,"",(L53/L52)-1))</f>
        <v/>
      </c>
      <c r="N53" s="26" t="str">
        <f>IFERROR((M53/M52)-1,"")</f>
        <v/>
      </c>
      <c r="O53" s="23" t="str">
        <f>IF(OR(N53="",N52=""),"",IF(N52=0,"",(N53/N52)-1))</f>
        <v/>
      </c>
      <c r="P53" s="11" t="str">
        <f>IF(ROW()&lt;7,"",IF(OR(E53="",E50=""),"",IF(E50=0,"",(E53/E50)-1)))</f>
        <v/>
      </c>
      <c r="Q53" s="23" t="str">
        <f>IF(ROW()&lt;9,"",IF(OR(E53="",E48=""),"",IF(E48=0,"",(E53/E48)-1)))</f>
        <v/>
      </c>
      <c r="R53" s="23" t="str">
        <f>IF(ROW()&lt;7,"",IF(OR(G53="",G50=""),"",IF(G50=0,"",(G53/G50)-1)))</f>
        <v/>
      </c>
      <c r="S53" s="23" t="str">
        <f>IF(ROW()&lt;9,"",IF(OR(G53="",G48=""),"",IF(G48=0,"",(G53/G48)-1)))</f>
        <v/>
      </c>
      <c r="T53" s="23" t="str">
        <f>IF(ROW()&lt;7,"",IF(OR(L53="",L50=""),"",IF(L50=0,"",(L53/L50)-1)))</f>
        <v/>
      </c>
      <c r="U53" s="23" t="str">
        <f>IF(ROW()&lt;9,"",IF(OR(L53="",L48=""),"",IF(L48=0,"",(L53/L48)-1)))</f>
        <v/>
      </c>
      <c r="V53" s="23" t="str">
        <f>IF(ROW()&lt;7,"",IF(OR(N53="",N50=""),"",IF(N50=0,"",(N53/N50)-1)))</f>
        <v/>
      </c>
      <c r="W53" s="23" t="str">
        <f>IF(ROW()&lt;9,"",IF(OR(N53="",N48=""),"",IF(N48=0,"",(N53/N48)-1)))</f>
        <v/>
      </c>
      <c r="X53" s="23" t="str">
        <f>IF(OR(F53="",M53=""),"",F53-M53)</f>
        <v/>
      </c>
      <c r="Y53" s="23" t="str">
        <f>IF(OR(P53="",T53=""),"",P53-T53)</f>
        <v/>
      </c>
      <c r="Z53" s="23" t="str">
        <f>IF(OR(Q53="",U53=""),"",Q53-U53)</f>
        <v/>
      </c>
      <c r="AA53" s="23" t="str">
        <f>IF(OR(H53="",O53=""),"",H53-O53)</f>
        <v/>
      </c>
      <c r="AB53" s="23" t="str">
        <f>IF(OR(R53="",V53=""),"",R53-V53)</f>
        <v/>
      </c>
      <c r="AC53" s="23" t="str">
        <f>IF(OR(S53="",W53=""),"",S53-W53)</f>
        <v/>
      </c>
      <c r="AD53" s="13"/>
      <c r="AE53" s="23" t="str">
        <f>IF(OR(AD53="",AD52=""),"",IF(AD52=0,"",(AD53/AD52)-1))</f>
        <v/>
      </c>
      <c r="AF53" s="23" t="str">
        <f>IF(ROW()&lt;7,"",IF(OR(AD53="",AD50=""),"",IF(AD50=0,"",(AD53/AD50)-1)))</f>
        <v/>
      </c>
      <c r="AG53" s="23" t="str">
        <f>IF(ROW()&lt;9,"",IF(OR(AD53="",AD48=""),"",IF(AD48=0,"",(AD53/AD48)-1)))</f>
        <v/>
      </c>
      <c r="AH53" s="23" t="str">
        <f>IF(OR(AF53="",AG53=""),"",IF(AND(AF53&gt;0,AG53&gt;0),"Bull",IF(AND(AF53&lt;0,AG53&lt;0),"Bear","Mixed")))</f>
        <v/>
      </c>
      <c r="AI53" s="13"/>
      <c r="AJ53" s="13" t="str">
        <f>IF(OR(AI53="",AI52=""),"",IF(AI52=0,"",(AI53/AI52)-1))</f>
        <v/>
      </c>
      <c r="AK53" s="23" t="str">
        <f>IF(OR(AJ53="",AJ52=""),"",IF(AJ52=0,"",(AJ53/AJ52)-1))</f>
        <v/>
      </c>
      <c r="AL53" s="23" t="str">
        <f>IF(ROW()&lt;7,"",IF(OR(AJ53="",AJ50=""),"",IF(AJ50=0,"",(AJ53/AJ50)-1)))</f>
        <v/>
      </c>
      <c r="AM53" s="23" t="str">
        <f>IF(ROW()&lt;9,"",IF(OR(AJ53="",AJ48=""),"",IF(AJ48=0,"",(AJ53/AJ48)-1)))</f>
        <v/>
      </c>
      <c r="AN53" t="str">
        <f>IF(OR(AL53="",AM53=""),"",IF(AND(AL53&gt;0,AM53&gt;0),"Bull",IF(AND(AL53&lt;0,AM53&lt;0),"Bear","Mixed")))</f>
        <v/>
      </c>
      <c r="AO53" t="str">
        <f>IF(OR(AH53="",AN53=""),"",IF(AND(AH53="Bull",AN53="Bull"),"YES","NO"))</f>
        <v/>
      </c>
      <c r="AP53" t="str">
        <f>IF(OR(AH53="",AN53=""),"",IF(AND(AH53="Bear",AN53="Bear"),"YES","NO"))</f>
        <v/>
      </c>
      <c r="AQ53" t="str">
        <f>IF(AO53="YES",IF(SUM(N(X53),N(Y53),N(Z53))&gt;0,"SOXL","TQQQ"),IF(AP53="YES",IF(SUM(N(AA53),N(AB53),N(AC53))&gt;0,"SOXS","SQQQ"),"WAIT"))</f>
        <v>WAIT</v>
      </c>
      <c r="AR53" s="23" t="str">
        <f>IF(AO53="YES",IF(SUM(N(X53),N(Y53),N(Z53))&gt;0,"TQQQ","SOXL"),IF(AP53="YES",IF(SUM(N(AA53),N(AB53),N(AC53))&gt;0,"SQQQ","SOXS"),""))</f>
        <v/>
      </c>
      <c r="AS53" s="23" t="str">
        <f>IF(AQ53="WAIT","",IF(AR53="",1,0.6))</f>
        <v/>
      </c>
      <c r="AT53" s="23">
        <f>IF(AR53="",0,0.4)</f>
        <v>0</v>
      </c>
      <c r="AU53" s="23" t="str">
        <f>IF(AQ53="WAIT","WAIT",IF(AO53="YES","BULL",IF(AP53="YES","BEAR","WAIT")))</f>
        <v>WAIT</v>
      </c>
      <c r="AV53" t="str">
        <f>IF(AQ53="WAIT","Low",IF(OR(AND(AU53="BULL",ABS(SUM(N(X53),N(Y53),N(Z53)))&gt;=0.15),AND(AU53="BEAR",ABS(SUM(N(AA53),N(AB53),N(AC53)))&gt;=0.15)),"Strong",IF(OR(AND(AU53="BULL",ABS(SUM(N(X53),N(Y53),N(Z53)))&gt;=0.05),AND(AU53="BEAR",ABS(SUM(N(AA53),N(AB53),N(AC53)))&gt;=0.05)),"Moderate","Low")))</f>
        <v>Low</v>
      </c>
      <c r="AW53" t="str">
        <f>IF(AQ53="WAIT","QQQ and SMH not aligned",IF(AU53="BULL",IF(AQ53="SOXL","Bull regime; semiconductors leading","Bull regime; tech leading"),IF(AQ53="SOXS","Bear regime; semiconductors weakest","Bear regime; tech weakest")))</f>
        <v>QQQ and SMH not aligned</v>
      </c>
      <c r="AX53" t="str">
        <f>IF(AR53="WAIT","QQQ and SMH not aligned",IF(AV53="BULL",IF(AR53="SOXL","Bull regime; semiconductors leading","Bull regime; tech leading"),IF(AR53="SOXS","Bear regime; semiconductors weakest","Bear regime; tech weakest")))</f>
        <v>Bear regime; tech weakest</v>
      </c>
    </row>
    <row r="54" spans="1:50" x14ac:dyDescent="0.2">
      <c r="A54" s="12"/>
      <c r="B54" s="13"/>
      <c r="C54" s="13"/>
      <c r="D54" s="13"/>
      <c r="E54" s="13"/>
      <c r="F54" s="11" t="str">
        <f>IF(OR(E54="",E53=""),"",IF(E53=0,"",(E54/E53)-1))</f>
        <v/>
      </c>
      <c r="G54" s="13"/>
      <c r="H54" s="11" t="str">
        <f>IF(OR(G54="",G53=""),"",IF(G53=0,"",(G54/G53)-1))</f>
        <v/>
      </c>
      <c r="I54" s="13"/>
      <c r="J54" s="13"/>
      <c r="K54" s="13"/>
      <c r="L54" s="13"/>
      <c r="M54" s="23" t="str">
        <f>IF(OR(L54="",L53=""),"",IF(L53=0,"",(L54/L53)-1))</f>
        <v/>
      </c>
      <c r="N54" s="26" t="str">
        <f>IFERROR((M54/M53)-1,"")</f>
        <v/>
      </c>
      <c r="O54" s="23" t="str">
        <f>IF(OR(N54="",N53=""),"",IF(N53=0,"",(N54/N53)-1))</f>
        <v/>
      </c>
      <c r="P54" s="11" t="str">
        <f>IF(ROW()&lt;7,"",IF(OR(E54="",E51=""),"",IF(E51=0,"",(E54/E51)-1)))</f>
        <v/>
      </c>
      <c r="Q54" s="23" t="str">
        <f>IF(ROW()&lt;9,"",IF(OR(E54="",E49=""),"",IF(E49=0,"",(E54/E49)-1)))</f>
        <v/>
      </c>
      <c r="R54" s="23" t="str">
        <f>IF(ROW()&lt;7,"",IF(OR(G54="",G51=""),"",IF(G51=0,"",(G54/G51)-1)))</f>
        <v/>
      </c>
      <c r="S54" s="23" t="str">
        <f>IF(ROW()&lt;9,"",IF(OR(G54="",G49=""),"",IF(G49=0,"",(G54/G49)-1)))</f>
        <v/>
      </c>
      <c r="T54" s="23" t="str">
        <f>IF(ROW()&lt;7,"",IF(OR(L54="",L51=""),"",IF(L51=0,"",(L54/L51)-1)))</f>
        <v/>
      </c>
      <c r="U54" s="23" t="str">
        <f>IF(ROW()&lt;9,"",IF(OR(L54="",L49=""),"",IF(L49=0,"",(L54/L49)-1)))</f>
        <v/>
      </c>
      <c r="V54" s="23" t="str">
        <f>IF(ROW()&lt;7,"",IF(OR(N54="",N51=""),"",IF(N51=0,"",(N54/N51)-1)))</f>
        <v/>
      </c>
      <c r="W54" s="23" t="str">
        <f>IF(ROW()&lt;9,"",IF(OR(N54="",N49=""),"",IF(N49=0,"",(N54/N49)-1)))</f>
        <v/>
      </c>
      <c r="X54" s="23" t="str">
        <f>IF(OR(F54="",M54=""),"",F54-M54)</f>
        <v/>
      </c>
      <c r="Y54" s="23" t="str">
        <f>IF(OR(P54="",T54=""),"",P54-T54)</f>
        <v/>
      </c>
      <c r="Z54" s="23" t="str">
        <f>IF(OR(Q54="",U54=""),"",Q54-U54)</f>
        <v/>
      </c>
      <c r="AA54" s="23" t="str">
        <f>IF(OR(H54="",O54=""),"",H54-O54)</f>
        <v/>
      </c>
      <c r="AB54" s="23" t="str">
        <f>IF(OR(R54="",V54=""),"",R54-V54)</f>
        <v/>
      </c>
      <c r="AC54" s="23" t="str">
        <f>IF(OR(S54="",W54=""),"",S54-W54)</f>
        <v/>
      </c>
      <c r="AD54" s="13"/>
      <c r="AE54" s="23" t="str">
        <f>IF(OR(AD54="",AD53=""),"",IF(AD53=0,"",(AD54/AD53)-1))</f>
        <v/>
      </c>
      <c r="AF54" s="23" t="str">
        <f>IF(ROW()&lt;7,"",IF(OR(AD54="",AD51=""),"",IF(AD51=0,"",(AD54/AD51)-1)))</f>
        <v/>
      </c>
      <c r="AG54" s="23" t="str">
        <f>IF(ROW()&lt;9,"",IF(OR(AD54="",AD49=""),"",IF(AD49=0,"",(AD54/AD49)-1)))</f>
        <v/>
      </c>
      <c r="AH54" s="23" t="str">
        <f>IF(OR(AF54="",AG54=""),"",IF(AND(AF54&gt;0,AG54&gt;0),"Bull",IF(AND(AF54&lt;0,AG54&lt;0),"Bear","Mixed")))</f>
        <v/>
      </c>
      <c r="AI54" s="13"/>
      <c r="AJ54" s="13" t="str">
        <f>IF(OR(AI54="",AI53=""),"",IF(AI53=0,"",(AI54/AI53)-1))</f>
        <v/>
      </c>
      <c r="AK54" s="23" t="str">
        <f>IF(OR(AJ54="",AJ53=""),"",IF(AJ53=0,"",(AJ54/AJ53)-1))</f>
        <v/>
      </c>
      <c r="AL54" s="23" t="str">
        <f>IF(ROW()&lt;7,"",IF(OR(AJ54="",AJ51=""),"",IF(AJ51=0,"",(AJ54/AJ51)-1)))</f>
        <v/>
      </c>
      <c r="AM54" s="23" t="str">
        <f>IF(ROW()&lt;9,"",IF(OR(AJ54="",AJ49=""),"",IF(AJ49=0,"",(AJ54/AJ49)-1)))</f>
        <v/>
      </c>
      <c r="AN54" t="str">
        <f>IF(OR(AL54="",AM54=""),"",IF(AND(AL54&gt;0,AM54&gt;0),"Bull",IF(AND(AL54&lt;0,AM54&lt;0),"Bear","Mixed")))</f>
        <v/>
      </c>
      <c r="AO54" t="str">
        <f>IF(OR(AH54="",AN54=""),"",IF(AND(AH54="Bull",AN54="Bull"),"YES","NO"))</f>
        <v/>
      </c>
      <c r="AP54" t="str">
        <f>IF(OR(AH54="",AN54=""),"",IF(AND(AH54="Bear",AN54="Bear"),"YES","NO"))</f>
        <v/>
      </c>
      <c r="AQ54" t="str">
        <f>IF(AO54="YES",IF(SUM(N(X54),N(Y54),N(Z54))&gt;0,"SOXL","TQQQ"),IF(AP54="YES",IF(SUM(N(AA54),N(AB54),N(AC54))&gt;0,"SOXS","SQQQ"),"WAIT"))</f>
        <v>WAIT</v>
      </c>
      <c r="AR54" s="23" t="str">
        <f>IF(AO54="YES",IF(SUM(N(X54),N(Y54),N(Z54))&gt;0,"TQQQ","SOXL"),IF(AP54="YES",IF(SUM(N(AA54),N(AB54),N(AC54))&gt;0,"SQQQ","SOXS"),""))</f>
        <v/>
      </c>
      <c r="AS54" s="23" t="str">
        <f>IF(AQ54="WAIT","",IF(AR54="",1,0.6))</f>
        <v/>
      </c>
      <c r="AT54" s="23">
        <f>IF(AR54="",0,0.4)</f>
        <v>0</v>
      </c>
      <c r="AU54" s="23" t="str">
        <f>IF(AQ54="WAIT","WAIT",IF(AO54="YES","BULL",IF(AP54="YES","BEAR","WAIT")))</f>
        <v>WAIT</v>
      </c>
      <c r="AV54" t="str">
        <f>IF(AQ54="WAIT","Low",IF(OR(AND(AU54="BULL",ABS(SUM(N(X54),N(Y54),N(Z54)))&gt;=0.15),AND(AU54="BEAR",ABS(SUM(N(AA54),N(AB54),N(AC54)))&gt;=0.15)),"Strong",IF(OR(AND(AU54="BULL",ABS(SUM(N(X54),N(Y54),N(Z54)))&gt;=0.05),AND(AU54="BEAR",ABS(SUM(N(AA54),N(AB54),N(AC54)))&gt;=0.05)),"Moderate","Low")))</f>
        <v>Low</v>
      </c>
      <c r="AW54" t="str">
        <f>IF(AQ54="WAIT","QQQ and SMH not aligned",IF(AU54="BULL",IF(AQ54="SOXL","Bull regime; semiconductors leading","Bull regime; tech leading"),IF(AQ54="SOXS","Bear regime; semiconductors weakest","Bear regime; tech weakest")))</f>
        <v>QQQ and SMH not aligned</v>
      </c>
      <c r="AX54" t="str">
        <f>IF(AR54="WAIT","QQQ and SMH not aligned",IF(AV54="BULL",IF(AR54="SOXL","Bull regime; semiconductors leading","Bull regime; tech leading"),IF(AR54="SOXS","Bear regime; semiconductors weakest","Bear regime; tech weakest")))</f>
        <v>Bear regime; tech weakest</v>
      </c>
    </row>
    <row r="55" spans="1:50" x14ac:dyDescent="0.2">
      <c r="A55" s="12"/>
      <c r="B55" s="13"/>
      <c r="C55" s="13"/>
      <c r="D55" s="13"/>
      <c r="E55" s="13"/>
      <c r="F55" s="11" t="str">
        <f>IF(OR(E55="",E54=""),"",IF(E54=0,"",(E55/E54)-1))</f>
        <v/>
      </c>
      <c r="G55" s="13"/>
      <c r="H55" s="11" t="str">
        <f>IF(OR(G55="",G54=""),"",IF(G54=0,"",(G55/G54)-1))</f>
        <v/>
      </c>
      <c r="I55" s="13"/>
      <c r="J55" s="13"/>
      <c r="K55" s="13"/>
      <c r="L55" s="13"/>
      <c r="M55" s="23" t="str">
        <f>IF(OR(L55="",L54=""),"",IF(L54=0,"",(L55/L54)-1))</f>
        <v/>
      </c>
      <c r="N55" s="26" t="str">
        <f>IFERROR((M55/M54)-1,"")</f>
        <v/>
      </c>
      <c r="O55" s="23" t="str">
        <f>IF(OR(N55="",N54=""),"",IF(N54=0,"",(N55/N54)-1))</f>
        <v/>
      </c>
      <c r="P55" s="11" t="str">
        <f>IF(ROW()&lt;7,"",IF(OR(E55="",E52=""),"",IF(E52=0,"",(E55/E52)-1)))</f>
        <v/>
      </c>
      <c r="Q55" s="23" t="str">
        <f>IF(ROW()&lt;9,"",IF(OR(E55="",E50=""),"",IF(E50=0,"",(E55/E50)-1)))</f>
        <v/>
      </c>
      <c r="R55" s="23" t="str">
        <f>IF(ROW()&lt;7,"",IF(OR(G55="",G52=""),"",IF(G52=0,"",(G55/G52)-1)))</f>
        <v/>
      </c>
      <c r="S55" s="23" t="str">
        <f>IF(ROW()&lt;9,"",IF(OR(G55="",G50=""),"",IF(G50=0,"",(G55/G50)-1)))</f>
        <v/>
      </c>
      <c r="T55" s="23" t="str">
        <f>IF(ROW()&lt;7,"",IF(OR(L55="",L52=""),"",IF(L52=0,"",(L55/L52)-1)))</f>
        <v/>
      </c>
      <c r="U55" s="23" t="str">
        <f>IF(ROW()&lt;9,"",IF(OR(L55="",L50=""),"",IF(L50=0,"",(L55/L50)-1)))</f>
        <v/>
      </c>
      <c r="V55" s="23" t="str">
        <f>IF(ROW()&lt;7,"",IF(OR(N55="",N52=""),"",IF(N52=0,"",(N55/N52)-1)))</f>
        <v/>
      </c>
      <c r="W55" s="23" t="str">
        <f>IF(ROW()&lt;9,"",IF(OR(N55="",N50=""),"",IF(N50=0,"",(N55/N50)-1)))</f>
        <v/>
      </c>
      <c r="X55" s="23" t="str">
        <f>IF(OR(F55="",M55=""),"",F55-M55)</f>
        <v/>
      </c>
      <c r="Y55" s="23" t="str">
        <f>IF(OR(P55="",T55=""),"",P55-T55)</f>
        <v/>
      </c>
      <c r="Z55" s="23" t="str">
        <f>IF(OR(Q55="",U55=""),"",Q55-U55)</f>
        <v/>
      </c>
      <c r="AA55" s="23" t="str">
        <f>IF(OR(H55="",O55=""),"",H55-O55)</f>
        <v/>
      </c>
      <c r="AB55" s="23" t="str">
        <f>IF(OR(R55="",V55=""),"",R55-V55)</f>
        <v/>
      </c>
      <c r="AC55" s="23" t="str">
        <f>IF(OR(S55="",W55=""),"",S55-W55)</f>
        <v/>
      </c>
      <c r="AD55" s="13"/>
      <c r="AE55" s="23" t="str">
        <f>IF(OR(AD55="",AD54=""),"",IF(AD54=0,"",(AD55/AD54)-1))</f>
        <v/>
      </c>
      <c r="AF55" s="23" t="str">
        <f>IF(ROW()&lt;7,"",IF(OR(AD55="",AD52=""),"",IF(AD52=0,"",(AD55/AD52)-1)))</f>
        <v/>
      </c>
      <c r="AG55" s="23" t="str">
        <f>IF(ROW()&lt;9,"",IF(OR(AD55="",AD50=""),"",IF(AD50=0,"",(AD55/AD50)-1)))</f>
        <v/>
      </c>
      <c r="AH55" s="23" t="str">
        <f>IF(OR(AF55="",AG55=""),"",IF(AND(AF55&gt;0,AG55&gt;0),"Bull",IF(AND(AF55&lt;0,AG55&lt;0),"Bear","Mixed")))</f>
        <v/>
      </c>
      <c r="AI55" s="13"/>
      <c r="AJ55" s="13" t="str">
        <f>IF(OR(AI55="",AI54=""),"",IF(AI54=0,"",(AI55/AI54)-1))</f>
        <v/>
      </c>
      <c r="AK55" s="23" t="str">
        <f>IF(OR(AJ55="",AJ54=""),"",IF(AJ54=0,"",(AJ55/AJ54)-1))</f>
        <v/>
      </c>
      <c r="AL55" s="23" t="str">
        <f>IF(ROW()&lt;7,"",IF(OR(AJ55="",AJ52=""),"",IF(AJ52=0,"",(AJ55/AJ52)-1)))</f>
        <v/>
      </c>
      <c r="AM55" s="23" t="str">
        <f>IF(ROW()&lt;9,"",IF(OR(AJ55="",AJ50=""),"",IF(AJ50=0,"",(AJ55/AJ50)-1)))</f>
        <v/>
      </c>
      <c r="AN55" t="str">
        <f>IF(OR(AL55="",AM55=""),"",IF(AND(AL55&gt;0,AM55&gt;0),"Bull",IF(AND(AL55&lt;0,AM55&lt;0),"Bear","Mixed")))</f>
        <v/>
      </c>
      <c r="AO55" t="str">
        <f>IF(OR(AH55="",AN55=""),"",IF(AND(AH55="Bull",AN55="Bull"),"YES","NO"))</f>
        <v/>
      </c>
      <c r="AP55" t="str">
        <f>IF(OR(AH55="",AN55=""),"",IF(AND(AH55="Bear",AN55="Bear"),"YES","NO"))</f>
        <v/>
      </c>
      <c r="AQ55" t="str">
        <f>IF(AO55="YES",IF(SUM(N(X55),N(Y55),N(Z55))&gt;0,"SOXL","TQQQ"),IF(AP55="YES",IF(SUM(N(AA55),N(AB55),N(AC55))&gt;0,"SOXS","SQQQ"),"WAIT"))</f>
        <v>WAIT</v>
      </c>
      <c r="AR55" s="23" t="str">
        <f>IF(AO55="YES",IF(SUM(N(X55),N(Y55),N(Z55))&gt;0,"TQQQ","SOXL"),IF(AP55="YES",IF(SUM(N(AA55),N(AB55),N(AC55))&gt;0,"SQQQ","SOXS"),""))</f>
        <v/>
      </c>
      <c r="AS55" s="23" t="str">
        <f>IF(AQ55="WAIT","",IF(AR55="",1,0.6))</f>
        <v/>
      </c>
      <c r="AT55" s="23">
        <f>IF(AR55="",0,0.4)</f>
        <v>0</v>
      </c>
      <c r="AU55" s="23" t="str">
        <f>IF(AQ55="WAIT","WAIT",IF(AO55="YES","BULL",IF(AP55="YES","BEAR","WAIT")))</f>
        <v>WAIT</v>
      </c>
      <c r="AV55" t="str">
        <f>IF(AQ55="WAIT","Low",IF(OR(AND(AU55="BULL",ABS(SUM(N(X55),N(Y55),N(Z55)))&gt;=0.15),AND(AU55="BEAR",ABS(SUM(N(AA55),N(AB55),N(AC55)))&gt;=0.15)),"Strong",IF(OR(AND(AU55="BULL",ABS(SUM(N(X55),N(Y55),N(Z55)))&gt;=0.05),AND(AU55="BEAR",ABS(SUM(N(AA55),N(AB55),N(AC55)))&gt;=0.05)),"Moderate","Low")))</f>
        <v>Low</v>
      </c>
      <c r="AW55" t="str">
        <f>IF(AQ55="WAIT","QQQ and SMH not aligned",IF(AU55="BULL",IF(AQ55="SOXL","Bull regime; semiconductors leading","Bull regime; tech leading"),IF(AQ55="SOXS","Bear regime; semiconductors weakest","Bear regime; tech weakest")))</f>
        <v>QQQ and SMH not aligned</v>
      </c>
      <c r="AX55" t="str">
        <f>IF(AR55="WAIT","QQQ and SMH not aligned",IF(AV55="BULL",IF(AR55="SOXL","Bull regime; semiconductors leading","Bull regime; tech leading"),IF(AR55="SOXS","Bear regime; semiconductors weakest","Bear regime; tech weakest")))</f>
        <v>Bear regime; tech weakest</v>
      </c>
    </row>
    <row r="56" spans="1:50" x14ac:dyDescent="0.2">
      <c r="A56" s="12"/>
      <c r="B56" s="13"/>
      <c r="C56" s="13"/>
      <c r="D56" s="13"/>
      <c r="E56" s="13"/>
      <c r="F56" s="11" t="str">
        <f>IF(OR(E56="",E55=""),"",IF(E55=0,"",(E56/E55)-1))</f>
        <v/>
      </c>
      <c r="G56" s="13"/>
      <c r="H56" s="11" t="str">
        <f>IF(OR(G56="",G55=""),"",IF(G55=0,"",(G56/G55)-1))</f>
        <v/>
      </c>
      <c r="I56" s="13"/>
      <c r="J56" s="13"/>
      <c r="K56" s="13"/>
      <c r="L56" s="13"/>
      <c r="M56" s="23" t="str">
        <f>IF(OR(L56="",L55=""),"",IF(L55=0,"",(L56/L55)-1))</f>
        <v/>
      </c>
      <c r="N56" s="26" t="str">
        <f>IFERROR((M56/M55)-1,"")</f>
        <v/>
      </c>
      <c r="O56" s="23" t="str">
        <f>IF(OR(N56="",N55=""),"",IF(N55=0,"",(N56/N55)-1))</f>
        <v/>
      </c>
      <c r="P56" s="11" t="str">
        <f>IF(ROW()&lt;7,"",IF(OR(E56="",E53=""),"",IF(E53=0,"",(E56/E53)-1)))</f>
        <v/>
      </c>
      <c r="Q56" s="23" t="str">
        <f>IF(ROW()&lt;9,"",IF(OR(E56="",E51=""),"",IF(E51=0,"",(E56/E51)-1)))</f>
        <v/>
      </c>
      <c r="R56" s="23" t="str">
        <f>IF(ROW()&lt;7,"",IF(OR(G56="",G53=""),"",IF(G53=0,"",(G56/G53)-1)))</f>
        <v/>
      </c>
      <c r="S56" s="23" t="str">
        <f>IF(ROW()&lt;9,"",IF(OR(G56="",G51=""),"",IF(G51=0,"",(G56/G51)-1)))</f>
        <v/>
      </c>
      <c r="T56" s="23" t="str">
        <f>IF(ROW()&lt;7,"",IF(OR(L56="",L53=""),"",IF(L53=0,"",(L56/L53)-1)))</f>
        <v/>
      </c>
      <c r="U56" s="23" t="str">
        <f>IF(ROW()&lt;9,"",IF(OR(L56="",L51=""),"",IF(L51=0,"",(L56/L51)-1)))</f>
        <v/>
      </c>
      <c r="V56" s="23" t="str">
        <f>IF(ROW()&lt;7,"",IF(OR(N56="",N53=""),"",IF(N53=0,"",(N56/N53)-1)))</f>
        <v/>
      </c>
      <c r="W56" s="23" t="str">
        <f>IF(ROW()&lt;9,"",IF(OR(N56="",N51=""),"",IF(N51=0,"",(N56/N51)-1)))</f>
        <v/>
      </c>
      <c r="X56" s="23" t="str">
        <f>IF(OR(F56="",M56=""),"",F56-M56)</f>
        <v/>
      </c>
      <c r="Y56" s="23" t="str">
        <f>IF(OR(P56="",T56=""),"",P56-T56)</f>
        <v/>
      </c>
      <c r="Z56" s="23" t="str">
        <f>IF(OR(Q56="",U56=""),"",Q56-U56)</f>
        <v/>
      </c>
      <c r="AA56" s="23" t="str">
        <f>IF(OR(H56="",O56=""),"",H56-O56)</f>
        <v/>
      </c>
      <c r="AB56" s="23" t="str">
        <f>IF(OR(R56="",V56=""),"",R56-V56)</f>
        <v/>
      </c>
      <c r="AC56" s="23" t="str">
        <f>IF(OR(S56="",W56=""),"",S56-W56)</f>
        <v/>
      </c>
      <c r="AD56" s="13"/>
      <c r="AE56" s="23" t="str">
        <f>IF(OR(AD56="",AD55=""),"",IF(AD55=0,"",(AD56/AD55)-1))</f>
        <v/>
      </c>
      <c r="AF56" s="23" t="str">
        <f>IF(ROW()&lt;7,"",IF(OR(AD56="",AD53=""),"",IF(AD53=0,"",(AD56/AD53)-1)))</f>
        <v/>
      </c>
      <c r="AG56" s="23" t="str">
        <f>IF(ROW()&lt;9,"",IF(OR(AD56="",AD51=""),"",IF(AD51=0,"",(AD56/AD51)-1)))</f>
        <v/>
      </c>
      <c r="AH56" s="23" t="str">
        <f>IF(OR(AF56="",AG56=""),"",IF(AND(AF56&gt;0,AG56&gt;0),"Bull",IF(AND(AF56&lt;0,AG56&lt;0),"Bear","Mixed")))</f>
        <v/>
      </c>
      <c r="AI56" s="13"/>
      <c r="AJ56" s="13" t="str">
        <f>IF(OR(AI56="",AI55=""),"",IF(AI55=0,"",(AI56/AI55)-1))</f>
        <v/>
      </c>
      <c r="AK56" s="23" t="str">
        <f>IF(OR(AJ56="",AJ55=""),"",IF(AJ55=0,"",(AJ56/AJ55)-1))</f>
        <v/>
      </c>
      <c r="AL56" s="23" t="str">
        <f>IF(ROW()&lt;7,"",IF(OR(AJ56="",AJ53=""),"",IF(AJ53=0,"",(AJ56/AJ53)-1)))</f>
        <v/>
      </c>
      <c r="AM56" s="23" t="str">
        <f>IF(ROW()&lt;9,"",IF(OR(AJ56="",AJ51=""),"",IF(AJ51=0,"",(AJ56/AJ51)-1)))</f>
        <v/>
      </c>
      <c r="AN56" t="str">
        <f>IF(OR(AL56="",AM56=""),"",IF(AND(AL56&gt;0,AM56&gt;0),"Bull",IF(AND(AL56&lt;0,AM56&lt;0),"Bear","Mixed")))</f>
        <v/>
      </c>
      <c r="AO56" t="str">
        <f>IF(OR(AH56="",AN56=""),"",IF(AND(AH56="Bull",AN56="Bull"),"YES","NO"))</f>
        <v/>
      </c>
      <c r="AP56" t="str">
        <f>IF(OR(AH56="",AN56=""),"",IF(AND(AH56="Bear",AN56="Bear"),"YES","NO"))</f>
        <v/>
      </c>
      <c r="AQ56" t="str">
        <f>IF(AO56="YES",IF(SUM(N(X56),N(Y56),N(Z56))&gt;0,"SOXL","TQQQ"),IF(AP56="YES",IF(SUM(N(AA56),N(AB56),N(AC56))&gt;0,"SOXS","SQQQ"),"WAIT"))</f>
        <v>WAIT</v>
      </c>
      <c r="AR56" s="23" t="str">
        <f>IF(AO56="YES",IF(SUM(N(X56),N(Y56),N(Z56))&gt;0,"TQQQ","SOXL"),IF(AP56="YES",IF(SUM(N(AA56),N(AB56),N(AC56))&gt;0,"SQQQ","SOXS"),""))</f>
        <v/>
      </c>
      <c r="AS56" s="23" t="str">
        <f>IF(AQ56="WAIT","",IF(AR56="",1,0.6))</f>
        <v/>
      </c>
      <c r="AT56" s="23">
        <f>IF(AR56="",0,0.4)</f>
        <v>0</v>
      </c>
      <c r="AU56" s="23" t="str">
        <f>IF(AQ56="WAIT","WAIT",IF(AO56="YES","BULL",IF(AP56="YES","BEAR","WAIT")))</f>
        <v>WAIT</v>
      </c>
      <c r="AV56" t="str">
        <f>IF(AQ56="WAIT","Low",IF(OR(AND(AU56="BULL",ABS(SUM(N(X56),N(Y56),N(Z56)))&gt;=0.15),AND(AU56="BEAR",ABS(SUM(N(AA56),N(AB56),N(AC56)))&gt;=0.15)),"Strong",IF(OR(AND(AU56="BULL",ABS(SUM(N(X56),N(Y56),N(Z56)))&gt;=0.05),AND(AU56="BEAR",ABS(SUM(N(AA56),N(AB56),N(AC56)))&gt;=0.05)),"Moderate","Low")))</f>
        <v>Low</v>
      </c>
      <c r="AW56" t="str">
        <f>IF(AQ56="WAIT","QQQ and SMH not aligned",IF(AU56="BULL",IF(AQ56="SOXL","Bull regime; semiconductors leading","Bull regime; tech leading"),IF(AQ56="SOXS","Bear regime; semiconductors weakest","Bear regime; tech weakest")))</f>
        <v>QQQ and SMH not aligned</v>
      </c>
      <c r="AX56" t="str">
        <f>IF(AR56="WAIT","QQQ and SMH not aligned",IF(AV56="BULL",IF(AR56="SOXL","Bull regime; semiconductors leading","Bull regime; tech leading"),IF(AR56="SOXS","Bear regime; semiconductors weakest","Bear regime; tech weakest")))</f>
        <v>Bear regime; tech weakest</v>
      </c>
    </row>
    <row r="57" spans="1:50" x14ac:dyDescent="0.2">
      <c r="A57" s="12"/>
      <c r="B57" s="13"/>
      <c r="C57" s="13"/>
      <c r="D57" s="13"/>
      <c r="E57" s="13"/>
      <c r="F57" s="11" t="str">
        <f>IF(OR(E57="",E56=""),"",IF(E56=0,"",(E57/E56)-1))</f>
        <v/>
      </c>
      <c r="G57" s="13"/>
      <c r="H57" s="11" t="str">
        <f>IF(OR(G57="",G56=""),"",IF(G56=0,"",(G57/G56)-1))</f>
        <v/>
      </c>
      <c r="I57" s="13"/>
      <c r="J57" s="13"/>
      <c r="K57" s="13"/>
      <c r="L57" s="13"/>
      <c r="M57" s="23" t="str">
        <f>IF(OR(L57="",L56=""),"",IF(L56=0,"",(L57/L56)-1))</f>
        <v/>
      </c>
      <c r="N57" s="26" t="str">
        <f>IFERROR((M57/M56)-1,"")</f>
        <v/>
      </c>
      <c r="O57" s="23" t="str">
        <f>IF(OR(N57="",N56=""),"",IF(N56=0,"",(N57/N56)-1))</f>
        <v/>
      </c>
      <c r="P57" s="11" t="str">
        <f>IF(ROW()&lt;7,"",IF(OR(E57="",E54=""),"",IF(E54=0,"",(E57/E54)-1)))</f>
        <v/>
      </c>
      <c r="Q57" s="23" t="str">
        <f>IF(ROW()&lt;9,"",IF(OR(E57="",E52=""),"",IF(E52=0,"",(E57/E52)-1)))</f>
        <v/>
      </c>
      <c r="R57" s="23" t="str">
        <f>IF(ROW()&lt;7,"",IF(OR(G57="",G54=""),"",IF(G54=0,"",(G57/G54)-1)))</f>
        <v/>
      </c>
      <c r="S57" s="23" t="str">
        <f>IF(ROW()&lt;9,"",IF(OR(G57="",G52=""),"",IF(G52=0,"",(G57/G52)-1)))</f>
        <v/>
      </c>
      <c r="T57" s="23" t="str">
        <f>IF(ROW()&lt;7,"",IF(OR(L57="",L54=""),"",IF(L54=0,"",(L57/L54)-1)))</f>
        <v/>
      </c>
      <c r="U57" s="23" t="str">
        <f>IF(ROW()&lt;9,"",IF(OR(L57="",L52=""),"",IF(L52=0,"",(L57/L52)-1)))</f>
        <v/>
      </c>
      <c r="V57" s="23" t="str">
        <f>IF(ROW()&lt;7,"",IF(OR(N57="",N54=""),"",IF(N54=0,"",(N57/N54)-1)))</f>
        <v/>
      </c>
      <c r="W57" s="23" t="str">
        <f>IF(ROW()&lt;9,"",IF(OR(N57="",N52=""),"",IF(N52=0,"",(N57/N52)-1)))</f>
        <v/>
      </c>
      <c r="X57" s="23" t="str">
        <f>IF(OR(F57="",M57=""),"",F57-M57)</f>
        <v/>
      </c>
      <c r="Y57" s="23" t="str">
        <f>IF(OR(P57="",T57=""),"",P57-T57)</f>
        <v/>
      </c>
      <c r="Z57" s="23" t="str">
        <f>IF(OR(Q57="",U57=""),"",Q57-U57)</f>
        <v/>
      </c>
      <c r="AA57" s="23" t="str">
        <f>IF(OR(H57="",O57=""),"",H57-O57)</f>
        <v/>
      </c>
      <c r="AB57" s="23" t="str">
        <f>IF(OR(R57="",V57=""),"",R57-V57)</f>
        <v/>
      </c>
      <c r="AC57" s="23" t="str">
        <f>IF(OR(S57="",W57=""),"",S57-W57)</f>
        <v/>
      </c>
      <c r="AD57" s="13"/>
      <c r="AE57" s="23" t="str">
        <f>IF(OR(AD57="",AD56=""),"",IF(AD56=0,"",(AD57/AD56)-1))</f>
        <v/>
      </c>
      <c r="AF57" s="23" t="str">
        <f>IF(ROW()&lt;7,"",IF(OR(AD57="",AD54=""),"",IF(AD54=0,"",(AD57/AD54)-1)))</f>
        <v/>
      </c>
      <c r="AG57" s="23" t="str">
        <f>IF(ROW()&lt;9,"",IF(OR(AD57="",AD52=""),"",IF(AD52=0,"",(AD57/AD52)-1)))</f>
        <v/>
      </c>
      <c r="AH57" s="23" t="str">
        <f>IF(OR(AF57="",AG57=""),"",IF(AND(AF57&gt;0,AG57&gt;0),"Bull",IF(AND(AF57&lt;0,AG57&lt;0),"Bear","Mixed")))</f>
        <v/>
      </c>
      <c r="AI57" s="13"/>
      <c r="AJ57" s="13" t="str">
        <f>IF(OR(AI57="",AI56=""),"",IF(AI56=0,"",(AI57/AI56)-1))</f>
        <v/>
      </c>
      <c r="AK57" s="23" t="str">
        <f>IF(OR(AJ57="",AJ56=""),"",IF(AJ56=0,"",(AJ57/AJ56)-1))</f>
        <v/>
      </c>
      <c r="AL57" s="23" t="str">
        <f>IF(ROW()&lt;7,"",IF(OR(AJ57="",AJ54=""),"",IF(AJ54=0,"",(AJ57/AJ54)-1)))</f>
        <v/>
      </c>
      <c r="AM57" s="23" t="str">
        <f>IF(ROW()&lt;9,"",IF(OR(AJ57="",AJ52=""),"",IF(AJ52=0,"",(AJ57/AJ52)-1)))</f>
        <v/>
      </c>
      <c r="AN57" t="str">
        <f>IF(OR(AL57="",AM57=""),"",IF(AND(AL57&gt;0,AM57&gt;0),"Bull",IF(AND(AL57&lt;0,AM57&lt;0),"Bear","Mixed")))</f>
        <v/>
      </c>
      <c r="AO57" t="str">
        <f>IF(OR(AH57="",AN57=""),"",IF(AND(AH57="Bull",AN57="Bull"),"YES","NO"))</f>
        <v/>
      </c>
      <c r="AP57" t="str">
        <f>IF(OR(AH57="",AN57=""),"",IF(AND(AH57="Bear",AN57="Bear"),"YES","NO"))</f>
        <v/>
      </c>
      <c r="AQ57" t="str">
        <f>IF(AO57="YES",IF(SUM(N(X57),N(Y57),N(Z57))&gt;0,"SOXL","TQQQ"),IF(AP57="YES",IF(SUM(N(AA57),N(AB57),N(AC57))&gt;0,"SOXS","SQQQ"),"WAIT"))</f>
        <v>WAIT</v>
      </c>
      <c r="AR57" s="23" t="str">
        <f>IF(AO57="YES",IF(SUM(N(X57),N(Y57),N(Z57))&gt;0,"TQQQ","SOXL"),IF(AP57="YES",IF(SUM(N(AA57),N(AB57),N(AC57))&gt;0,"SQQQ","SOXS"),""))</f>
        <v/>
      </c>
      <c r="AS57" s="23" t="str">
        <f>IF(AQ57="WAIT","",IF(AR57="",1,0.6))</f>
        <v/>
      </c>
      <c r="AT57" s="23">
        <f>IF(AR57="",0,0.4)</f>
        <v>0</v>
      </c>
      <c r="AU57" s="23" t="str">
        <f>IF(AQ57="WAIT","WAIT",IF(AO57="YES","BULL",IF(AP57="YES","BEAR","WAIT")))</f>
        <v>WAIT</v>
      </c>
      <c r="AV57" t="str">
        <f>IF(AQ57="WAIT","Low",IF(OR(AND(AU57="BULL",ABS(SUM(N(X57),N(Y57),N(Z57)))&gt;=0.15),AND(AU57="BEAR",ABS(SUM(N(AA57),N(AB57),N(AC57)))&gt;=0.15)),"Strong",IF(OR(AND(AU57="BULL",ABS(SUM(N(X57),N(Y57),N(Z57)))&gt;=0.05),AND(AU57="BEAR",ABS(SUM(N(AA57),N(AB57),N(AC57)))&gt;=0.05)),"Moderate","Low")))</f>
        <v>Low</v>
      </c>
      <c r="AW57" t="str">
        <f>IF(AQ57="WAIT","QQQ and SMH not aligned",IF(AU57="BULL",IF(AQ57="SOXL","Bull regime; semiconductors leading","Bull regime; tech leading"),IF(AQ57="SOXS","Bear regime; semiconductors weakest","Bear regime; tech weakest")))</f>
        <v>QQQ and SMH not aligned</v>
      </c>
      <c r="AX57" t="str">
        <f>IF(AR57="WAIT","QQQ and SMH not aligned",IF(AV57="BULL",IF(AR57="SOXL","Bull regime; semiconductors leading","Bull regime; tech leading"),IF(AR57="SOXS","Bear regime; semiconductors weakest","Bear regime; tech weakest")))</f>
        <v>Bear regime; tech weakest</v>
      </c>
    </row>
    <row r="58" spans="1:50" x14ac:dyDescent="0.2">
      <c r="A58" s="12"/>
      <c r="B58" s="13"/>
      <c r="C58" s="13"/>
      <c r="D58" s="13"/>
      <c r="E58" s="13"/>
      <c r="F58" s="11" t="str">
        <f>IF(OR(E58="",E57=""),"",IF(E57=0,"",(E58/E57)-1))</f>
        <v/>
      </c>
      <c r="G58" s="13"/>
      <c r="H58" s="11" t="str">
        <f>IF(OR(G58="",G57=""),"",IF(G57=0,"",(G58/G57)-1))</f>
        <v/>
      </c>
      <c r="I58" s="13"/>
      <c r="J58" s="13"/>
      <c r="K58" s="13"/>
      <c r="L58" s="13"/>
      <c r="M58" s="23" t="str">
        <f>IF(OR(L58="",L57=""),"",IF(L57=0,"",(L58/L57)-1))</f>
        <v/>
      </c>
      <c r="N58" s="26" t="str">
        <f>IFERROR((M58/M57)-1,"")</f>
        <v/>
      </c>
      <c r="O58" s="23" t="str">
        <f>IF(OR(N58="",N57=""),"",IF(N57=0,"",(N58/N57)-1))</f>
        <v/>
      </c>
      <c r="P58" s="11" t="str">
        <f>IF(ROW()&lt;7,"",IF(OR(E58="",E55=""),"",IF(E55=0,"",(E58/E55)-1)))</f>
        <v/>
      </c>
      <c r="Q58" s="23" t="str">
        <f>IF(ROW()&lt;9,"",IF(OR(E58="",E53=""),"",IF(E53=0,"",(E58/E53)-1)))</f>
        <v/>
      </c>
      <c r="R58" s="23" t="str">
        <f>IF(ROW()&lt;7,"",IF(OR(G58="",G55=""),"",IF(G55=0,"",(G58/G55)-1)))</f>
        <v/>
      </c>
      <c r="S58" s="23" t="str">
        <f>IF(ROW()&lt;9,"",IF(OR(G58="",G53=""),"",IF(G53=0,"",(G58/G53)-1)))</f>
        <v/>
      </c>
      <c r="T58" s="23" t="str">
        <f>IF(ROW()&lt;7,"",IF(OR(L58="",L55=""),"",IF(L55=0,"",(L58/L55)-1)))</f>
        <v/>
      </c>
      <c r="U58" s="23" t="str">
        <f>IF(ROW()&lt;9,"",IF(OR(L58="",L53=""),"",IF(L53=0,"",(L58/L53)-1)))</f>
        <v/>
      </c>
      <c r="V58" s="23" t="str">
        <f>IF(ROW()&lt;7,"",IF(OR(N58="",N55=""),"",IF(N55=0,"",(N58/N55)-1)))</f>
        <v/>
      </c>
      <c r="W58" s="23" t="str">
        <f>IF(ROW()&lt;9,"",IF(OR(N58="",N53=""),"",IF(N53=0,"",(N58/N53)-1)))</f>
        <v/>
      </c>
      <c r="X58" s="23" t="str">
        <f>IF(OR(F58="",M58=""),"",F58-M58)</f>
        <v/>
      </c>
      <c r="Y58" s="23" t="str">
        <f>IF(OR(P58="",T58=""),"",P58-T58)</f>
        <v/>
      </c>
      <c r="Z58" s="23" t="str">
        <f>IF(OR(Q58="",U58=""),"",Q58-U58)</f>
        <v/>
      </c>
      <c r="AA58" s="23" t="str">
        <f>IF(OR(H58="",O58=""),"",H58-O58)</f>
        <v/>
      </c>
      <c r="AB58" s="23" t="str">
        <f>IF(OR(R58="",V58=""),"",R58-V58)</f>
        <v/>
      </c>
      <c r="AC58" s="23" t="str">
        <f>IF(OR(S58="",W58=""),"",S58-W58)</f>
        <v/>
      </c>
      <c r="AD58" s="13"/>
      <c r="AE58" s="23" t="str">
        <f>IF(OR(AD58="",AD57=""),"",IF(AD57=0,"",(AD58/AD57)-1))</f>
        <v/>
      </c>
      <c r="AF58" s="23" t="str">
        <f>IF(ROW()&lt;7,"",IF(OR(AD58="",AD55=""),"",IF(AD55=0,"",(AD58/AD55)-1)))</f>
        <v/>
      </c>
      <c r="AG58" s="23" t="str">
        <f>IF(ROW()&lt;9,"",IF(OR(AD58="",AD53=""),"",IF(AD53=0,"",(AD58/AD53)-1)))</f>
        <v/>
      </c>
      <c r="AH58" s="23" t="str">
        <f>IF(OR(AF58="",AG58=""),"",IF(AND(AF58&gt;0,AG58&gt;0),"Bull",IF(AND(AF58&lt;0,AG58&lt;0),"Bear","Mixed")))</f>
        <v/>
      </c>
      <c r="AI58" s="13"/>
      <c r="AJ58" s="13" t="str">
        <f>IF(OR(AI58="",AI57=""),"",IF(AI57=0,"",(AI58/AI57)-1))</f>
        <v/>
      </c>
      <c r="AK58" s="23" t="str">
        <f>IF(OR(AJ58="",AJ57=""),"",IF(AJ57=0,"",(AJ58/AJ57)-1))</f>
        <v/>
      </c>
      <c r="AL58" s="23" t="str">
        <f>IF(ROW()&lt;7,"",IF(OR(AJ58="",AJ55=""),"",IF(AJ55=0,"",(AJ58/AJ55)-1)))</f>
        <v/>
      </c>
      <c r="AM58" s="23" t="str">
        <f>IF(ROW()&lt;9,"",IF(OR(AJ58="",AJ53=""),"",IF(AJ53=0,"",(AJ58/AJ53)-1)))</f>
        <v/>
      </c>
      <c r="AN58" t="str">
        <f>IF(OR(AL58="",AM58=""),"",IF(AND(AL58&gt;0,AM58&gt;0),"Bull",IF(AND(AL58&lt;0,AM58&lt;0),"Bear","Mixed")))</f>
        <v/>
      </c>
      <c r="AO58" t="str">
        <f>IF(OR(AH58="",AN58=""),"",IF(AND(AH58="Bull",AN58="Bull"),"YES","NO"))</f>
        <v/>
      </c>
      <c r="AP58" t="str">
        <f>IF(OR(AH58="",AN58=""),"",IF(AND(AH58="Bear",AN58="Bear"),"YES","NO"))</f>
        <v/>
      </c>
      <c r="AQ58" t="str">
        <f>IF(AO58="YES",IF(SUM(N(X58),N(Y58),N(Z58))&gt;0,"SOXL","TQQQ"),IF(AP58="YES",IF(SUM(N(AA58),N(AB58),N(AC58))&gt;0,"SOXS","SQQQ"),"WAIT"))</f>
        <v>WAIT</v>
      </c>
      <c r="AR58" s="23" t="str">
        <f>IF(AO58="YES",IF(SUM(N(X58),N(Y58),N(Z58))&gt;0,"TQQQ","SOXL"),IF(AP58="YES",IF(SUM(N(AA58),N(AB58),N(AC58))&gt;0,"SQQQ","SOXS"),""))</f>
        <v/>
      </c>
      <c r="AS58" s="23" t="str">
        <f>IF(AQ58="WAIT","",IF(AR58="",1,0.6))</f>
        <v/>
      </c>
      <c r="AT58" s="23">
        <f>IF(AR58="",0,0.4)</f>
        <v>0</v>
      </c>
      <c r="AU58" s="23" t="str">
        <f>IF(AQ58="WAIT","WAIT",IF(AO58="YES","BULL",IF(AP58="YES","BEAR","WAIT")))</f>
        <v>WAIT</v>
      </c>
      <c r="AV58" t="str">
        <f>IF(AQ58="WAIT","Low",IF(OR(AND(AU58="BULL",ABS(SUM(N(X58),N(Y58),N(Z58)))&gt;=0.15),AND(AU58="BEAR",ABS(SUM(N(AA58),N(AB58),N(AC58)))&gt;=0.15)),"Strong",IF(OR(AND(AU58="BULL",ABS(SUM(N(X58),N(Y58),N(Z58)))&gt;=0.05),AND(AU58="BEAR",ABS(SUM(N(AA58),N(AB58),N(AC58)))&gt;=0.05)),"Moderate","Low")))</f>
        <v>Low</v>
      </c>
      <c r="AW58" t="str">
        <f>IF(AQ58="WAIT","QQQ and SMH not aligned",IF(AU58="BULL",IF(AQ58="SOXL","Bull regime; semiconductors leading","Bull regime; tech leading"),IF(AQ58="SOXS","Bear regime; semiconductors weakest","Bear regime; tech weakest")))</f>
        <v>QQQ and SMH not aligned</v>
      </c>
      <c r="AX58" t="str">
        <f>IF(AR58="WAIT","QQQ and SMH not aligned",IF(AV58="BULL",IF(AR58="SOXL","Bull regime; semiconductors leading","Bull regime; tech leading"),IF(AR58="SOXS","Bear regime; semiconductors weakest","Bear regime; tech weakest")))</f>
        <v>Bear regime; tech weakest</v>
      </c>
    </row>
    <row r="59" spans="1:50" x14ac:dyDescent="0.2">
      <c r="A59" s="12"/>
      <c r="B59" s="13"/>
      <c r="C59" s="13"/>
      <c r="D59" s="13"/>
      <c r="E59" s="13"/>
      <c r="F59" s="11" t="str">
        <f>IF(OR(E59="",E58=""),"",IF(E58=0,"",(E59/E58)-1))</f>
        <v/>
      </c>
      <c r="G59" s="13"/>
      <c r="H59" s="11" t="str">
        <f>IF(OR(G59="",G58=""),"",IF(G58=0,"",(G59/G58)-1))</f>
        <v/>
      </c>
      <c r="I59" s="13"/>
      <c r="J59" s="13"/>
      <c r="K59" s="13"/>
      <c r="L59" s="13"/>
      <c r="M59" s="23" t="str">
        <f>IF(OR(L59="",L58=""),"",IF(L58=0,"",(L59/L58)-1))</f>
        <v/>
      </c>
      <c r="N59" s="26" t="str">
        <f>IFERROR((M59/M58)-1,"")</f>
        <v/>
      </c>
      <c r="O59" s="23" t="str">
        <f>IF(OR(N59="",N58=""),"",IF(N58=0,"",(N59/N58)-1))</f>
        <v/>
      </c>
      <c r="P59" s="11" t="str">
        <f>IF(ROW()&lt;7,"",IF(OR(E59="",E56=""),"",IF(E56=0,"",(E59/E56)-1)))</f>
        <v/>
      </c>
      <c r="Q59" s="23" t="str">
        <f>IF(ROW()&lt;9,"",IF(OR(E59="",E54=""),"",IF(E54=0,"",(E59/E54)-1)))</f>
        <v/>
      </c>
      <c r="R59" s="23" t="str">
        <f>IF(ROW()&lt;7,"",IF(OR(G59="",G56=""),"",IF(G56=0,"",(G59/G56)-1)))</f>
        <v/>
      </c>
      <c r="S59" s="23" t="str">
        <f>IF(ROW()&lt;9,"",IF(OR(G59="",G54=""),"",IF(G54=0,"",(G59/G54)-1)))</f>
        <v/>
      </c>
      <c r="T59" s="23" t="str">
        <f>IF(ROW()&lt;7,"",IF(OR(L59="",L56=""),"",IF(L56=0,"",(L59/L56)-1)))</f>
        <v/>
      </c>
      <c r="U59" s="23" t="str">
        <f>IF(ROW()&lt;9,"",IF(OR(L59="",L54=""),"",IF(L54=0,"",(L59/L54)-1)))</f>
        <v/>
      </c>
      <c r="V59" s="23" t="str">
        <f>IF(ROW()&lt;7,"",IF(OR(N59="",N56=""),"",IF(N56=0,"",(N59/N56)-1)))</f>
        <v/>
      </c>
      <c r="W59" s="23" t="str">
        <f>IF(ROW()&lt;9,"",IF(OR(N59="",N54=""),"",IF(N54=0,"",(N59/N54)-1)))</f>
        <v/>
      </c>
      <c r="X59" s="23" t="str">
        <f>IF(OR(F59="",M59=""),"",F59-M59)</f>
        <v/>
      </c>
      <c r="Y59" s="23" t="str">
        <f>IF(OR(P59="",T59=""),"",P59-T59)</f>
        <v/>
      </c>
      <c r="Z59" s="23" t="str">
        <f>IF(OR(Q59="",U59=""),"",Q59-U59)</f>
        <v/>
      </c>
      <c r="AA59" s="23" t="str">
        <f>IF(OR(H59="",O59=""),"",H59-O59)</f>
        <v/>
      </c>
      <c r="AB59" s="23" t="str">
        <f>IF(OR(R59="",V59=""),"",R59-V59)</f>
        <v/>
      </c>
      <c r="AC59" s="23" t="str">
        <f>IF(OR(S59="",W59=""),"",S59-W59)</f>
        <v/>
      </c>
      <c r="AD59" s="13"/>
      <c r="AE59" s="23" t="str">
        <f>IF(OR(AD59="",AD58=""),"",IF(AD58=0,"",(AD59/AD58)-1))</f>
        <v/>
      </c>
      <c r="AF59" s="23" t="str">
        <f>IF(ROW()&lt;7,"",IF(OR(AD59="",AD56=""),"",IF(AD56=0,"",(AD59/AD56)-1)))</f>
        <v/>
      </c>
      <c r="AG59" s="23" t="str">
        <f>IF(ROW()&lt;9,"",IF(OR(AD59="",AD54=""),"",IF(AD54=0,"",(AD59/AD54)-1)))</f>
        <v/>
      </c>
      <c r="AH59" s="23" t="str">
        <f>IF(OR(AF59="",AG59=""),"",IF(AND(AF59&gt;0,AG59&gt;0),"Bull",IF(AND(AF59&lt;0,AG59&lt;0),"Bear","Mixed")))</f>
        <v/>
      </c>
      <c r="AI59" s="13"/>
      <c r="AJ59" s="13" t="str">
        <f>IF(OR(AI59="",AI58=""),"",IF(AI58=0,"",(AI59/AI58)-1))</f>
        <v/>
      </c>
      <c r="AK59" s="23" t="str">
        <f>IF(OR(AJ59="",AJ58=""),"",IF(AJ58=0,"",(AJ59/AJ58)-1))</f>
        <v/>
      </c>
      <c r="AL59" s="23" t="str">
        <f>IF(ROW()&lt;7,"",IF(OR(AJ59="",AJ56=""),"",IF(AJ56=0,"",(AJ59/AJ56)-1)))</f>
        <v/>
      </c>
      <c r="AM59" s="23" t="str">
        <f>IF(ROW()&lt;9,"",IF(OR(AJ59="",AJ54=""),"",IF(AJ54=0,"",(AJ59/AJ54)-1)))</f>
        <v/>
      </c>
      <c r="AN59" t="str">
        <f>IF(OR(AL59="",AM59=""),"",IF(AND(AL59&gt;0,AM59&gt;0),"Bull",IF(AND(AL59&lt;0,AM59&lt;0),"Bear","Mixed")))</f>
        <v/>
      </c>
      <c r="AO59" t="str">
        <f>IF(OR(AH59="",AN59=""),"",IF(AND(AH59="Bull",AN59="Bull"),"YES","NO"))</f>
        <v/>
      </c>
      <c r="AP59" t="str">
        <f>IF(OR(AH59="",AN59=""),"",IF(AND(AH59="Bear",AN59="Bear"),"YES","NO"))</f>
        <v/>
      </c>
      <c r="AQ59" t="str">
        <f>IF(AO59="YES",IF(SUM(N(X59),N(Y59),N(Z59))&gt;0,"SOXL","TQQQ"),IF(AP59="YES",IF(SUM(N(AA59),N(AB59),N(AC59))&gt;0,"SOXS","SQQQ"),"WAIT"))</f>
        <v>WAIT</v>
      </c>
      <c r="AR59" s="23" t="str">
        <f>IF(AO59="YES",IF(SUM(N(X59),N(Y59),N(Z59))&gt;0,"TQQQ","SOXL"),IF(AP59="YES",IF(SUM(N(AA59),N(AB59),N(AC59))&gt;0,"SQQQ","SOXS"),""))</f>
        <v/>
      </c>
      <c r="AS59" s="23" t="str">
        <f>IF(AQ59="WAIT","",IF(AR59="",1,0.6))</f>
        <v/>
      </c>
      <c r="AT59" s="23">
        <f>IF(AR59="",0,0.4)</f>
        <v>0</v>
      </c>
      <c r="AU59" s="23" t="str">
        <f>IF(AQ59="WAIT","WAIT",IF(AO59="YES","BULL",IF(AP59="YES","BEAR","WAIT")))</f>
        <v>WAIT</v>
      </c>
      <c r="AV59" t="str">
        <f>IF(AQ59="WAIT","Low",IF(OR(AND(AU59="BULL",ABS(SUM(N(X59),N(Y59),N(Z59)))&gt;=0.15),AND(AU59="BEAR",ABS(SUM(N(AA59),N(AB59),N(AC59)))&gt;=0.15)),"Strong",IF(OR(AND(AU59="BULL",ABS(SUM(N(X59),N(Y59),N(Z59)))&gt;=0.05),AND(AU59="BEAR",ABS(SUM(N(AA59),N(AB59),N(AC59)))&gt;=0.05)),"Moderate","Low")))</f>
        <v>Low</v>
      </c>
      <c r="AW59" t="str">
        <f>IF(AQ59="WAIT","QQQ and SMH not aligned",IF(AU59="BULL",IF(AQ59="SOXL","Bull regime; semiconductors leading","Bull regime; tech leading"),IF(AQ59="SOXS","Bear regime; semiconductors weakest","Bear regime; tech weakest")))</f>
        <v>QQQ and SMH not aligned</v>
      </c>
      <c r="AX59" t="str">
        <f>IF(AR59="WAIT","QQQ and SMH not aligned",IF(AV59="BULL",IF(AR59="SOXL","Bull regime; semiconductors leading","Bull regime; tech leading"),IF(AR59="SOXS","Bear regime; semiconductors weakest","Bear regime; tech weakest")))</f>
        <v>Bear regime; tech weakest</v>
      </c>
    </row>
    <row r="60" spans="1:50" x14ac:dyDescent="0.2">
      <c r="A60" s="12"/>
      <c r="B60" s="13"/>
      <c r="C60" s="13"/>
      <c r="D60" s="13"/>
      <c r="E60" s="13"/>
      <c r="F60" s="11" t="str">
        <f>IF(OR(E60="",E59=""),"",IF(E59=0,"",(E60/E59)-1))</f>
        <v/>
      </c>
      <c r="G60" s="13"/>
      <c r="H60" s="11" t="str">
        <f>IF(OR(G60="",G59=""),"",IF(G59=0,"",(G60/G59)-1))</f>
        <v/>
      </c>
      <c r="I60" s="13"/>
      <c r="J60" s="13"/>
      <c r="K60" s="13"/>
      <c r="L60" s="13"/>
      <c r="M60" s="23" t="str">
        <f>IF(OR(L60="",L59=""),"",IF(L59=0,"",(L60/L59)-1))</f>
        <v/>
      </c>
      <c r="N60" s="26" t="str">
        <f>IFERROR((M60/M59)-1,"")</f>
        <v/>
      </c>
      <c r="O60" s="23" t="str">
        <f>IF(OR(N60="",N59=""),"",IF(N59=0,"",(N60/N59)-1))</f>
        <v/>
      </c>
      <c r="P60" s="11" t="str">
        <f>IF(ROW()&lt;7,"",IF(OR(E60="",E57=""),"",IF(E57=0,"",(E60/E57)-1)))</f>
        <v/>
      </c>
      <c r="Q60" s="23" t="str">
        <f>IF(ROW()&lt;9,"",IF(OR(E60="",E55=""),"",IF(E55=0,"",(E60/E55)-1)))</f>
        <v/>
      </c>
      <c r="R60" s="23" t="str">
        <f>IF(ROW()&lt;7,"",IF(OR(G60="",G57=""),"",IF(G57=0,"",(G60/G57)-1)))</f>
        <v/>
      </c>
      <c r="S60" s="23" t="str">
        <f>IF(ROW()&lt;9,"",IF(OR(G60="",G55=""),"",IF(G55=0,"",(G60/G55)-1)))</f>
        <v/>
      </c>
      <c r="T60" s="23" t="str">
        <f>IF(ROW()&lt;7,"",IF(OR(L60="",L57=""),"",IF(L57=0,"",(L60/L57)-1)))</f>
        <v/>
      </c>
      <c r="U60" s="23" t="str">
        <f>IF(ROW()&lt;9,"",IF(OR(L60="",L55=""),"",IF(L55=0,"",(L60/L55)-1)))</f>
        <v/>
      </c>
      <c r="V60" s="23" t="str">
        <f>IF(ROW()&lt;7,"",IF(OR(N60="",N57=""),"",IF(N57=0,"",(N60/N57)-1)))</f>
        <v/>
      </c>
      <c r="W60" s="23" t="str">
        <f>IF(ROW()&lt;9,"",IF(OR(N60="",N55=""),"",IF(N55=0,"",(N60/N55)-1)))</f>
        <v/>
      </c>
      <c r="X60" s="23" t="str">
        <f>IF(OR(F60="",M60=""),"",F60-M60)</f>
        <v/>
      </c>
      <c r="Y60" s="23" t="str">
        <f>IF(OR(P60="",T60=""),"",P60-T60)</f>
        <v/>
      </c>
      <c r="Z60" s="23" t="str">
        <f>IF(OR(Q60="",U60=""),"",Q60-U60)</f>
        <v/>
      </c>
      <c r="AA60" s="23" t="str">
        <f>IF(OR(H60="",O60=""),"",H60-O60)</f>
        <v/>
      </c>
      <c r="AB60" s="23" t="str">
        <f>IF(OR(R60="",V60=""),"",R60-V60)</f>
        <v/>
      </c>
      <c r="AC60" s="23" t="str">
        <f>IF(OR(S60="",W60=""),"",S60-W60)</f>
        <v/>
      </c>
      <c r="AD60" s="13"/>
      <c r="AE60" s="23" t="str">
        <f>IF(OR(AD60="",AD59=""),"",IF(AD59=0,"",(AD60/AD59)-1))</f>
        <v/>
      </c>
      <c r="AF60" s="23" t="str">
        <f>IF(ROW()&lt;7,"",IF(OR(AD60="",AD57=""),"",IF(AD57=0,"",(AD60/AD57)-1)))</f>
        <v/>
      </c>
      <c r="AG60" s="23" t="str">
        <f>IF(ROW()&lt;9,"",IF(OR(AD60="",AD55=""),"",IF(AD55=0,"",(AD60/AD55)-1)))</f>
        <v/>
      </c>
      <c r="AH60" s="23" t="str">
        <f>IF(OR(AF60="",AG60=""),"",IF(AND(AF60&gt;0,AG60&gt;0),"Bull",IF(AND(AF60&lt;0,AG60&lt;0),"Bear","Mixed")))</f>
        <v/>
      </c>
      <c r="AI60" s="13"/>
      <c r="AJ60" s="13" t="str">
        <f>IF(OR(AI60="",AI59=""),"",IF(AI59=0,"",(AI60/AI59)-1))</f>
        <v/>
      </c>
      <c r="AK60" s="23" t="str">
        <f>IF(OR(AJ60="",AJ59=""),"",IF(AJ59=0,"",(AJ60/AJ59)-1))</f>
        <v/>
      </c>
      <c r="AL60" s="23" t="str">
        <f>IF(ROW()&lt;7,"",IF(OR(AJ60="",AJ57=""),"",IF(AJ57=0,"",(AJ60/AJ57)-1)))</f>
        <v/>
      </c>
      <c r="AM60" s="23" t="str">
        <f>IF(ROW()&lt;9,"",IF(OR(AJ60="",AJ55=""),"",IF(AJ55=0,"",(AJ60/AJ55)-1)))</f>
        <v/>
      </c>
      <c r="AN60" t="str">
        <f>IF(OR(AL60="",AM60=""),"",IF(AND(AL60&gt;0,AM60&gt;0),"Bull",IF(AND(AL60&lt;0,AM60&lt;0),"Bear","Mixed")))</f>
        <v/>
      </c>
      <c r="AO60" t="str">
        <f>IF(OR(AH60="",AN60=""),"",IF(AND(AH60="Bull",AN60="Bull"),"YES","NO"))</f>
        <v/>
      </c>
      <c r="AP60" t="str">
        <f>IF(OR(AH60="",AN60=""),"",IF(AND(AH60="Bear",AN60="Bear"),"YES","NO"))</f>
        <v/>
      </c>
      <c r="AQ60" t="str">
        <f>IF(AO60="YES",IF(SUM(N(X60),N(Y60),N(Z60))&gt;0,"SOXL","TQQQ"),IF(AP60="YES",IF(SUM(N(AA60),N(AB60),N(AC60))&gt;0,"SOXS","SQQQ"),"WAIT"))</f>
        <v>WAIT</v>
      </c>
      <c r="AR60" s="23" t="str">
        <f>IF(AO60="YES",IF(SUM(N(X60),N(Y60),N(Z60))&gt;0,"TQQQ","SOXL"),IF(AP60="YES",IF(SUM(N(AA60),N(AB60),N(AC60))&gt;0,"SQQQ","SOXS"),""))</f>
        <v/>
      </c>
      <c r="AS60" s="23" t="str">
        <f>IF(AQ60="WAIT","",IF(AR60="",1,0.6))</f>
        <v/>
      </c>
      <c r="AT60" s="23">
        <f>IF(AR60="",0,0.4)</f>
        <v>0</v>
      </c>
      <c r="AU60" s="23" t="str">
        <f>IF(AQ60="WAIT","WAIT",IF(AO60="YES","BULL",IF(AP60="YES","BEAR","WAIT")))</f>
        <v>WAIT</v>
      </c>
      <c r="AV60" t="str">
        <f>IF(AQ60="WAIT","Low",IF(OR(AND(AU60="BULL",ABS(SUM(N(X60),N(Y60),N(Z60)))&gt;=0.15),AND(AU60="BEAR",ABS(SUM(N(AA60),N(AB60),N(AC60)))&gt;=0.15)),"Strong",IF(OR(AND(AU60="BULL",ABS(SUM(N(X60),N(Y60),N(Z60)))&gt;=0.05),AND(AU60="BEAR",ABS(SUM(N(AA60),N(AB60),N(AC60)))&gt;=0.05)),"Moderate","Low")))</f>
        <v>Low</v>
      </c>
      <c r="AW60" t="str">
        <f>IF(AQ60="WAIT","QQQ and SMH not aligned",IF(AU60="BULL",IF(AQ60="SOXL","Bull regime; semiconductors leading","Bull regime; tech leading"),IF(AQ60="SOXS","Bear regime; semiconductors weakest","Bear regime; tech weakest")))</f>
        <v>QQQ and SMH not aligned</v>
      </c>
      <c r="AX60" t="str">
        <f>IF(AR60="WAIT","QQQ and SMH not aligned",IF(AV60="BULL",IF(AR60="SOXL","Bull regime; semiconductors leading","Bull regime; tech leading"),IF(AR60="SOXS","Bear regime; semiconductors weakest","Bear regime; tech weakest")))</f>
        <v>Bear regime; tech weakest</v>
      </c>
    </row>
    <row r="61" spans="1:50" x14ac:dyDescent="0.2">
      <c r="A61" s="12"/>
      <c r="B61" s="13"/>
      <c r="C61" s="13"/>
      <c r="D61" s="13"/>
      <c r="E61" s="13"/>
      <c r="F61" s="11" t="str">
        <f>IF(OR(E61="",E60=""),"",IF(E60=0,"",(E61/E60)-1))</f>
        <v/>
      </c>
      <c r="G61" s="13"/>
      <c r="H61" s="11" t="str">
        <f>IF(OR(G61="",G60=""),"",IF(G60=0,"",(G61/G60)-1))</f>
        <v/>
      </c>
      <c r="I61" s="13"/>
      <c r="J61" s="13"/>
      <c r="K61" s="13"/>
      <c r="L61" s="13"/>
      <c r="M61" s="23" t="str">
        <f>IF(OR(L61="",L60=""),"",IF(L60=0,"",(L61/L60)-1))</f>
        <v/>
      </c>
      <c r="N61" s="26" t="str">
        <f>IFERROR((M61/M60)-1,"")</f>
        <v/>
      </c>
      <c r="O61" s="23" t="str">
        <f>IF(OR(N61="",N60=""),"",IF(N60=0,"",(N61/N60)-1))</f>
        <v/>
      </c>
      <c r="P61" s="11" t="str">
        <f>IF(ROW()&lt;7,"",IF(OR(E61="",E58=""),"",IF(E58=0,"",(E61/E58)-1)))</f>
        <v/>
      </c>
      <c r="Q61" s="23" t="str">
        <f>IF(ROW()&lt;9,"",IF(OR(E61="",E56=""),"",IF(E56=0,"",(E61/E56)-1)))</f>
        <v/>
      </c>
      <c r="R61" s="23" t="str">
        <f>IF(ROW()&lt;7,"",IF(OR(G61="",G58=""),"",IF(G58=0,"",(G61/G58)-1)))</f>
        <v/>
      </c>
      <c r="S61" s="23" t="str">
        <f>IF(ROW()&lt;9,"",IF(OR(G61="",G56=""),"",IF(G56=0,"",(G61/G56)-1)))</f>
        <v/>
      </c>
      <c r="T61" s="23" t="str">
        <f>IF(ROW()&lt;7,"",IF(OR(L61="",L58=""),"",IF(L58=0,"",(L61/L58)-1)))</f>
        <v/>
      </c>
      <c r="U61" s="23" t="str">
        <f>IF(ROW()&lt;9,"",IF(OR(L61="",L56=""),"",IF(L56=0,"",(L61/L56)-1)))</f>
        <v/>
      </c>
      <c r="V61" s="23" t="str">
        <f>IF(ROW()&lt;7,"",IF(OR(N61="",N58=""),"",IF(N58=0,"",(N61/N58)-1)))</f>
        <v/>
      </c>
      <c r="W61" s="23" t="str">
        <f>IF(ROW()&lt;9,"",IF(OR(N61="",N56=""),"",IF(N56=0,"",(N61/N56)-1)))</f>
        <v/>
      </c>
      <c r="X61" s="23" t="str">
        <f>IF(OR(F61="",M61=""),"",F61-M61)</f>
        <v/>
      </c>
      <c r="Y61" s="23" t="str">
        <f>IF(OR(P61="",T61=""),"",P61-T61)</f>
        <v/>
      </c>
      <c r="Z61" s="23" t="str">
        <f>IF(OR(Q61="",U61=""),"",Q61-U61)</f>
        <v/>
      </c>
      <c r="AA61" s="23" t="str">
        <f>IF(OR(H61="",O61=""),"",H61-O61)</f>
        <v/>
      </c>
      <c r="AB61" s="23" t="str">
        <f>IF(OR(R61="",V61=""),"",R61-V61)</f>
        <v/>
      </c>
      <c r="AC61" s="23" t="str">
        <f>IF(OR(S61="",W61=""),"",S61-W61)</f>
        <v/>
      </c>
      <c r="AD61" s="13"/>
      <c r="AE61" s="23" t="str">
        <f>IF(OR(AD61="",AD60=""),"",IF(AD60=0,"",(AD61/AD60)-1))</f>
        <v/>
      </c>
      <c r="AF61" s="23" t="str">
        <f>IF(ROW()&lt;7,"",IF(OR(AD61="",AD58=""),"",IF(AD58=0,"",(AD61/AD58)-1)))</f>
        <v/>
      </c>
      <c r="AG61" s="23" t="str">
        <f>IF(ROW()&lt;9,"",IF(OR(AD61="",AD56=""),"",IF(AD56=0,"",(AD61/AD56)-1)))</f>
        <v/>
      </c>
      <c r="AH61" s="23" t="str">
        <f>IF(OR(AF61="",AG61=""),"",IF(AND(AF61&gt;0,AG61&gt;0),"Bull",IF(AND(AF61&lt;0,AG61&lt;0),"Bear","Mixed")))</f>
        <v/>
      </c>
      <c r="AI61" s="13"/>
      <c r="AJ61" s="13" t="str">
        <f>IF(OR(AI61="",AI60=""),"",IF(AI60=0,"",(AI61/AI60)-1))</f>
        <v/>
      </c>
      <c r="AK61" s="23" t="str">
        <f>IF(OR(AJ61="",AJ60=""),"",IF(AJ60=0,"",(AJ61/AJ60)-1))</f>
        <v/>
      </c>
      <c r="AL61" s="23" t="str">
        <f>IF(ROW()&lt;7,"",IF(OR(AJ61="",AJ58=""),"",IF(AJ58=0,"",(AJ61/AJ58)-1)))</f>
        <v/>
      </c>
      <c r="AM61" s="23" t="str">
        <f>IF(ROW()&lt;9,"",IF(OR(AJ61="",AJ56=""),"",IF(AJ56=0,"",(AJ61/AJ56)-1)))</f>
        <v/>
      </c>
      <c r="AN61" t="str">
        <f>IF(OR(AL61="",AM61=""),"",IF(AND(AL61&gt;0,AM61&gt;0),"Bull",IF(AND(AL61&lt;0,AM61&lt;0),"Bear","Mixed")))</f>
        <v/>
      </c>
      <c r="AO61" t="str">
        <f>IF(OR(AH61="",AN61=""),"",IF(AND(AH61="Bull",AN61="Bull"),"YES","NO"))</f>
        <v/>
      </c>
      <c r="AP61" t="str">
        <f>IF(OR(AH61="",AN61=""),"",IF(AND(AH61="Bear",AN61="Bear"),"YES","NO"))</f>
        <v/>
      </c>
      <c r="AQ61" t="str">
        <f>IF(AO61="YES",IF(SUM(N(X61),N(Y61),N(Z61))&gt;0,"SOXL","TQQQ"),IF(AP61="YES",IF(SUM(N(AA61),N(AB61),N(AC61))&gt;0,"SOXS","SQQQ"),"WAIT"))</f>
        <v>WAIT</v>
      </c>
      <c r="AR61" s="23" t="str">
        <f>IF(AO61="YES",IF(SUM(N(X61),N(Y61),N(Z61))&gt;0,"TQQQ","SOXL"),IF(AP61="YES",IF(SUM(N(AA61),N(AB61),N(AC61))&gt;0,"SQQQ","SOXS"),""))</f>
        <v/>
      </c>
      <c r="AS61" s="23" t="str">
        <f>IF(AQ61="WAIT","",IF(AR61="",1,0.6))</f>
        <v/>
      </c>
      <c r="AT61" s="23">
        <f>IF(AR61="",0,0.4)</f>
        <v>0</v>
      </c>
      <c r="AU61" s="23" t="str">
        <f>IF(AQ61="WAIT","WAIT",IF(AO61="YES","BULL",IF(AP61="YES","BEAR","WAIT")))</f>
        <v>WAIT</v>
      </c>
      <c r="AV61" t="str">
        <f>IF(AQ61="WAIT","Low",IF(OR(AND(AU61="BULL",ABS(SUM(N(X61),N(Y61),N(Z61)))&gt;=0.15),AND(AU61="BEAR",ABS(SUM(N(AA61),N(AB61),N(AC61)))&gt;=0.15)),"Strong",IF(OR(AND(AU61="BULL",ABS(SUM(N(X61),N(Y61),N(Z61)))&gt;=0.05),AND(AU61="BEAR",ABS(SUM(N(AA61),N(AB61),N(AC61)))&gt;=0.05)),"Moderate","Low")))</f>
        <v>Low</v>
      </c>
      <c r="AW61" t="str">
        <f>IF(AQ61="WAIT","QQQ and SMH not aligned",IF(AU61="BULL",IF(AQ61="SOXL","Bull regime; semiconductors leading","Bull regime; tech leading"),IF(AQ61="SOXS","Bear regime; semiconductors weakest","Bear regime; tech weakest")))</f>
        <v>QQQ and SMH not aligned</v>
      </c>
      <c r="AX61" t="str">
        <f>IF(AR61="WAIT","QQQ and SMH not aligned",IF(AV61="BULL",IF(AR61="SOXL","Bull regime; semiconductors leading","Bull regime; tech leading"),IF(AR61="SOXS","Bear regime; semiconductors weakest","Bear regime; tech weakest")))</f>
        <v>Bear regime; tech weakest</v>
      </c>
    </row>
    <row r="62" spans="1:50" x14ac:dyDescent="0.2">
      <c r="A62" s="12"/>
      <c r="B62" s="13"/>
      <c r="C62" s="13"/>
      <c r="D62" s="13"/>
      <c r="E62" s="13"/>
      <c r="F62" s="11" t="str">
        <f>IF(OR(E62="",E61=""),"",IF(E61=0,"",(E62/E61)-1))</f>
        <v/>
      </c>
      <c r="G62" s="13"/>
      <c r="H62" s="11" t="str">
        <f>IF(OR(G62="",G61=""),"",IF(G61=0,"",(G62/G61)-1))</f>
        <v/>
      </c>
      <c r="I62" s="13"/>
      <c r="J62" s="13"/>
      <c r="K62" s="13"/>
      <c r="L62" s="13"/>
      <c r="M62" s="23" t="str">
        <f>IF(OR(L62="",L61=""),"",IF(L61=0,"",(L62/L61)-1))</f>
        <v/>
      </c>
      <c r="N62" s="26" t="str">
        <f>IFERROR((M62/M61)-1,"")</f>
        <v/>
      </c>
      <c r="O62" s="23" t="str">
        <f>IF(OR(N62="",N61=""),"",IF(N61=0,"",(N62/N61)-1))</f>
        <v/>
      </c>
      <c r="P62" s="11" t="str">
        <f>IF(ROW()&lt;7,"",IF(OR(E62="",E59=""),"",IF(E59=0,"",(E62/E59)-1)))</f>
        <v/>
      </c>
      <c r="Q62" s="23" t="str">
        <f>IF(ROW()&lt;9,"",IF(OR(E62="",E57=""),"",IF(E57=0,"",(E62/E57)-1)))</f>
        <v/>
      </c>
      <c r="R62" s="23" t="str">
        <f>IF(ROW()&lt;7,"",IF(OR(G62="",G59=""),"",IF(G59=0,"",(G62/G59)-1)))</f>
        <v/>
      </c>
      <c r="S62" s="23" t="str">
        <f>IF(ROW()&lt;9,"",IF(OR(G62="",G57=""),"",IF(G57=0,"",(G62/G57)-1)))</f>
        <v/>
      </c>
      <c r="T62" s="23" t="str">
        <f>IF(ROW()&lt;7,"",IF(OR(L62="",L59=""),"",IF(L59=0,"",(L62/L59)-1)))</f>
        <v/>
      </c>
      <c r="U62" s="23" t="str">
        <f>IF(ROW()&lt;9,"",IF(OR(L62="",L57=""),"",IF(L57=0,"",(L62/L57)-1)))</f>
        <v/>
      </c>
      <c r="V62" s="23" t="str">
        <f>IF(ROW()&lt;7,"",IF(OR(N62="",N59=""),"",IF(N59=0,"",(N62/N59)-1)))</f>
        <v/>
      </c>
      <c r="W62" s="23" t="str">
        <f>IF(ROW()&lt;9,"",IF(OR(N62="",N57=""),"",IF(N57=0,"",(N62/N57)-1)))</f>
        <v/>
      </c>
      <c r="X62" s="23" t="str">
        <f>IF(OR(F62="",M62=""),"",F62-M62)</f>
        <v/>
      </c>
      <c r="Y62" s="23" t="str">
        <f>IF(OR(P62="",T62=""),"",P62-T62)</f>
        <v/>
      </c>
      <c r="Z62" s="23" t="str">
        <f>IF(OR(Q62="",U62=""),"",Q62-U62)</f>
        <v/>
      </c>
      <c r="AA62" s="23" t="str">
        <f>IF(OR(H62="",O62=""),"",H62-O62)</f>
        <v/>
      </c>
      <c r="AB62" s="23" t="str">
        <f>IF(OR(R62="",V62=""),"",R62-V62)</f>
        <v/>
      </c>
      <c r="AC62" s="23" t="str">
        <f>IF(OR(S62="",W62=""),"",S62-W62)</f>
        <v/>
      </c>
      <c r="AD62" s="13"/>
      <c r="AE62" s="23" t="str">
        <f>IF(OR(AD62="",AD61=""),"",IF(AD61=0,"",(AD62/AD61)-1))</f>
        <v/>
      </c>
      <c r="AF62" s="23" t="str">
        <f>IF(ROW()&lt;7,"",IF(OR(AD62="",AD59=""),"",IF(AD59=0,"",(AD62/AD59)-1)))</f>
        <v/>
      </c>
      <c r="AG62" s="23" t="str">
        <f>IF(ROW()&lt;9,"",IF(OR(AD62="",AD57=""),"",IF(AD57=0,"",(AD62/AD57)-1)))</f>
        <v/>
      </c>
      <c r="AH62" s="23" t="str">
        <f>IF(OR(AF62="",AG62=""),"",IF(AND(AF62&gt;0,AG62&gt;0),"Bull",IF(AND(AF62&lt;0,AG62&lt;0),"Bear","Mixed")))</f>
        <v/>
      </c>
      <c r="AI62" s="13"/>
      <c r="AJ62" s="13" t="str">
        <f>IF(OR(AI62="",AI61=""),"",IF(AI61=0,"",(AI62/AI61)-1))</f>
        <v/>
      </c>
      <c r="AK62" s="23" t="str">
        <f>IF(OR(AJ62="",AJ61=""),"",IF(AJ61=0,"",(AJ62/AJ61)-1))</f>
        <v/>
      </c>
      <c r="AL62" s="23" t="str">
        <f>IF(ROW()&lt;7,"",IF(OR(AJ62="",AJ59=""),"",IF(AJ59=0,"",(AJ62/AJ59)-1)))</f>
        <v/>
      </c>
      <c r="AM62" s="23" t="str">
        <f>IF(ROW()&lt;9,"",IF(OR(AJ62="",AJ57=""),"",IF(AJ57=0,"",(AJ62/AJ57)-1)))</f>
        <v/>
      </c>
      <c r="AN62" t="str">
        <f>IF(OR(AL62="",AM62=""),"",IF(AND(AL62&gt;0,AM62&gt;0),"Bull",IF(AND(AL62&lt;0,AM62&lt;0),"Bear","Mixed")))</f>
        <v/>
      </c>
      <c r="AO62" t="str">
        <f>IF(OR(AH62="",AN62=""),"",IF(AND(AH62="Bull",AN62="Bull"),"YES","NO"))</f>
        <v/>
      </c>
      <c r="AP62" t="str">
        <f>IF(OR(AH62="",AN62=""),"",IF(AND(AH62="Bear",AN62="Bear"),"YES","NO"))</f>
        <v/>
      </c>
      <c r="AQ62" t="str">
        <f>IF(AO62="YES",IF(SUM(N(X62),N(Y62),N(Z62))&gt;0,"SOXL","TQQQ"),IF(AP62="YES",IF(SUM(N(AA62),N(AB62),N(AC62))&gt;0,"SOXS","SQQQ"),"WAIT"))</f>
        <v>WAIT</v>
      </c>
      <c r="AR62" s="23" t="str">
        <f>IF(AO62="YES",IF(SUM(N(X62),N(Y62),N(Z62))&gt;0,"TQQQ","SOXL"),IF(AP62="YES",IF(SUM(N(AA62),N(AB62),N(AC62))&gt;0,"SQQQ","SOXS"),""))</f>
        <v/>
      </c>
      <c r="AS62" s="23" t="str">
        <f>IF(AQ62="WAIT","",IF(AR62="",1,0.6))</f>
        <v/>
      </c>
      <c r="AT62" s="23">
        <f>IF(AR62="",0,0.4)</f>
        <v>0</v>
      </c>
      <c r="AU62" s="23" t="str">
        <f>IF(AQ62="WAIT","WAIT",IF(AO62="YES","BULL",IF(AP62="YES","BEAR","WAIT")))</f>
        <v>WAIT</v>
      </c>
      <c r="AV62" t="str">
        <f>IF(AQ62="WAIT","Low",IF(OR(AND(AU62="BULL",ABS(SUM(N(X62),N(Y62),N(Z62)))&gt;=0.15),AND(AU62="BEAR",ABS(SUM(N(AA62),N(AB62),N(AC62)))&gt;=0.15)),"Strong",IF(OR(AND(AU62="BULL",ABS(SUM(N(X62),N(Y62),N(Z62)))&gt;=0.05),AND(AU62="BEAR",ABS(SUM(N(AA62),N(AB62),N(AC62)))&gt;=0.05)),"Moderate","Low")))</f>
        <v>Low</v>
      </c>
      <c r="AW62" t="str">
        <f>IF(AQ62="WAIT","QQQ and SMH not aligned",IF(AU62="BULL",IF(AQ62="SOXL","Bull regime; semiconductors leading","Bull regime; tech leading"),IF(AQ62="SOXS","Bear regime; semiconductors weakest","Bear regime; tech weakest")))</f>
        <v>QQQ and SMH not aligned</v>
      </c>
      <c r="AX62" t="str">
        <f>IF(AR62="WAIT","QQQ and SMH not aligned",IF(AV62="BULL",IF(AR62="SOXL","Bull regime; semiconductors leading","Bull regime; tech leading"),IF(AR62="SOXS","Bear regime; semiconductors weakest","Bear regime; tech weakest")))</f>
        <v>Bear regime; tech weakest</v>
      </c>
    </row>
    <row r="63" spans="1:50" x14ac:dyDescent="0.2">
      <c r="A63" s="12"/>
      <c r="B63" s="13"/>
      <c r="C63" s="13"/>
      <c r="D63" s="13"/>
      <c r="E63" s="13"/>
      <c r="F63" s="11" t="str">
        <f>IF(OR(E63="",E62=""),"",IF(E62=0,"",(E63/E62)-1))</f>
        <v/>
      </c>
      <c r="G63" s="13"/>
      <c r="H63" s="11" t="str">
        <f>IF(OR(G63="",G62=""),"",IF(G62=0,"",(G63/G62)-1))</f>
        <v/>
      </c>
      <c r="I63" s="13"/>
      <c r="J63" s="13"/>
      <c r="K63" s="13"/>
      <c r="L63" s="13"/>
      <c r="M63" s="23" t="str">
        <f>IF(OR(L63="",L62=""),"",IF(L62=0,"",(L63/L62)-1))</f>
        <v/>
      </c>
      <c r="N63" s="26" t="str">
        <f>IFERROR((M63/M62)-1,"")</f>
        <v/>
      </c>
      <c r="O63" s="23" t="str">
        <f>IF(OR(N63="",N62=""),"",IF(N62=0,"",(N63/N62)-1))</f>
        <v/>
      </c>
      <c r="P63" s="11" t="str">
        <f>IF(ROW()&lt;7,"",IF(OR(E63="",E60=""),"",IF(E60=0,"",(E63/E60)-1)))</f>
        <v/>
      </c>
      <c r="Q63" s="23" t="str">
        <f>IF(ROW()&lt;9,"",IF(OR(E63="",E58=""),"",IF(E58=0,"",(E63/E58)-1)))</f>
        <v/>
      </c>
      <c r="R63" s="23" t="str">
        <f>IF(ROW()&lt;7,"",IF(OR(G63="",G60=""),"",IF(G60=0,"",(G63/G60)-1)))</f>
        <v/>
      </c>
      <c r="S63" s="23" t="str">
        <f>IF(ROW()&lt;9,"",IF(OR(G63="",G58=""),"",IF(G58=0,"",(G63/G58)-1)))</f>
        <v/>
      </c>
      <c r="T63" s="23" t="str">
        <f>IF(ROW()&lt;7,"",IF(OR(L63="",L60=""),"",IF(L60=0,"",(L63/L60)-1)))</f>
        <v/>
      </c>
      <c r="U63" s="23" t="str">
        <f>IF(ROW()&lt;9,"",IF(OR(L63="",L58=""),"",IF(L58=0,"",(L63/L58)-1)))</f>
        <v/>
      </c>
      <c r="V63" s="23" t="str">
        <f>IF(ROW()&lt;7,"",IF(OR(N63="",N60=""),"",IF(N60=0,"",(N63/N60)-1)))</f>
        <v/>
      </c>
      <c r="W63" s="23" t="str">
        <f>IF(ROW()&lt;9,"",IF(OR(N63="",N58=""),"",IF(N58=0,"",(N63/N58)-1)))</f>
        <v/>
      </c>
      <c r="X63" s="23" t="str">
        <f>IF(OR(F63="",M63=""),"",F63-M63)</f>
        <v/>
      </c>
      <c r="Y63" s="23" t="str">
        <f>IF(OR(P63="",T63=""),"",P63-T63)</f>
        <v/>
      </c>
      <c r="Z63" s="23" t="str">
        <f>IF(OR(Q63="",U63=""),"",Q63-U63)</f>
        <v/>
      </c>
      <c r="AA63" s="23" t="str">
        <f>IF(OR(H63="",O63=""),"",H63-O63)</f>
        <v/>
      </c>
      <c r="AB63" s="23" t="str">
        <f>IF(OR(R63="",V63=""),"",R63-V63)</f>
        <v/>
      </c>
      <c r="AC63" s="23" t="str">
        <f>IF(OR(S63="",W63=""),"",S63-W63)</f>
        <v/>
      </c>
      <c r="AD63" s="13"/>
      <c r="AE63" s="23" t="str">
        <f>IF(OR(AD63="",AD62=""),"",IF(AD62=0,"",(AD63/AD62)-1))</f>
        <v/>
      </c>
      <c r="AF63" s="23" t="str">
        <f>IF(ROW()&lt;7,"",IF(OR(AD63="",AD60=""),"",IF(AD60=0,"",(AD63/AD60)-1)))</f>
        <v/>
      </c>
      <c r="AG63" s="23" t="str">
        <f>IF(ROW()&lt;9,"",IF(OR(AD63="",AD58=""),"",IF(AD58=0,"",(AD63/AD58)-1)))</f>
        <v/>
      </c>
      <c r="AH63" s="23" t="str">
        <f>IF(OR(AF63="",AG63=""),"",IF(AND(AF63&gt;0,AG63&gt;0),"Bull",IF(AND(AF63&lt;0,AG63&lt;0),"Bear","Mixed")))</f>
        <v/>
      </c>
      <c r="AI63" s="13"/>
      <c r="AJ63" s="13" t="str">
        <f>IF(OR(AI63="",AI62=""),"",IF(AI62=0,"",(AI63/AI62)-1))</f>
        <v/>
      </c>
      <c r="AK63" s="23" t="str">
        <f>IF(OR(AJ63="",AJ62=""),"",IF(AJ62=0,"",(AJ63/AJ62)-1))</f>
        <v/>
      </c>
      <c r="AL63" s="23" t="str">
        <f>IF(ROW()&lt;7,"",IF(OR(AJ63="",AJ60=""),"",IF(AJ60=0,"",(AJ63/AJ60)-1)))</f>
        <v/>
      </c>
      <c r="AM63" s="23" t="str">
        <f>IF(ROW()&lt;9,"",IF(OR(AJ63="",AJ58=""),"",IF(AJ58=0,"",(AJ63/AJ58)-1)))</f>
        <v/>
      </c>
      <c r="AN63" t="str">
        <f>IF(OR(AL63="",AM63=""),"",IF(AND(AL63&gt;0,AM63&gt;0),"Bull",IF(AND(AL63&lt;0,AM63&lt;0),"Bear","Mixed")))</f>
        <v/>
      </c>
      <c r="AO63" t="str">
        <f>IF(OR(AH63="",AN63=""),"",IF(AND(AH63="Bull",AN63="Bull"),"YES","NO"))</f>
        <v/>
      </c>
      <c r="AP63" t="str">
        <f>IF(OR(AH63="",AN63=""),"",IF(AND(AH63="Bear",AN63="Bear"),"YES","NO"))</f>
        <v/>
      </c>
      <c r="AQ63" t="str">
        <f>IF(AO63="YES",IF(SUM(N(X63),N(Y63),N(Z63))&gt;0,"SOXL","TQQQ"),IF(AP63="YES",IF(SUM(N(AA63),N(AB63),N(AC63))&gt;0,"SOXS","SQQQ"),"WAIT"))</f>
        <v>WAIT</v>
      </c>
      <c r="AR63" s="23" t="str">
        <f>IF(AO63="YES",IF(SUM(N(X63),N(Y63),N(Z63))&gt;0,"TQQQ","SOXL"),IF(AP63="YES",IF(SUM(N(AA63),N(AB63),N(AC63))&gt;0,"SQQQ","SOXS"),""))</f>
        <v/>
      </c>
      <c r="AS63" s="23" t="str">
        <f>IF(AQ63="WAIT","",IF(AR63="",1,0.6))</f>
        <v/>
      </c>
      <c r="AT63" s="23">
        <f>IF(AR63="",0,0.4)</f>
        <v>0</v>
      </c>
      <c r="AU63" s="23" t="str">
        <f>IF(AQ63="WAIT","WAIT",IF(AO63="YES","BULL",IF(AP63="YES","BEAR","WAIT")))</f>
        <v>WAIT</v>
      </c>
      <c r="AV63" t="str">
        <f>IF(AQ63="WAIT","Low",IF(OR(AND(AU63="BULL",ABS(SUM(N(X63),N(Y63),N(Z63)))&gt;=0.15),AND(AU63="BEAR",ABS(SUM(N(AA63),N(AB63),N(AC63)))&gt;=0.15)),"Strong",IF(OR(AND(AU63="BULL",ABS(SUM(N(X63),N(Y63),N(Z63)))&gt;=0.05),AND(AU63="BEAR",ABS(SUM(N(AA63),N(AB63),N(AC63)))&gt;=0.05)),"Moderate","Low")))</f>
        <v>Low</v>
      </c>
      <c r="AW63" t="str">
        <f>IF(AQ63="WAIT","QQQ and SMH not aligned",IF(AU63="BULL",IF(AQ63="SOXL","Bull regime; semiconductors leading","Bull regime; tech leading"),IF(AQ63="SOXS","Bear regime; semiconductors weakest","Bear regime; tech weakest")))</f>
        <v>QQQ and SMH not aligned</v>
      </c>
      <c r="AX63" t="str">
        <f>IF(AR63="WAIT","QQQ and SMH not aligned",IF(AV63="BULL",IF(AR63="SOXL","Bull regime; semiconductors leading","Bull regime; tech leading"),IF(AR63="SOXS","Bear regime; semiconductors weakest","Bear regime; tech weakest")))</f>
        <v>Bear regime; tech weakest</v>
      </c>
    </row>
    <row r="64" spans="1:50" x14ac:dyDescent="0.2">
      <c r="A64" s="12"/>
      <c r="B64" s="13"/>
      <c r="C64" s="13"/>
      <c r="D64" s="13"/>
      <c r="E64" s="13"/>
      <c r="F64" s="11" t="str">
        <f>IF(OR(E64="",E63=""),"",IF(E63=0,"",(E64/E63)-1))</f>
        <v/>
      </c>
      <c r="G64" s="13"/>
      <c r="H64" s="11" t="str">
        <f>IF(OR(G64="",G63=""),"",IF(G63=0,"",(G64/G63)-1))</f>
        <v/>
      </c>
      <c r="I64" s="13"/>
      <c r="J64" s="13"/>
      <c r="K64" s="13"/>
      <c r="L64" s="13"/>
      <c r="M64" s="23" t="str">
        <f>IF(OR(L64="",L63=""),"",IF(L63=0,"",(L64/L63)-1))</f>
        <v/>
      </c>
      <c r="N64" s="26" t="str">
        <f>IFERROR((M64/M63)-1,"")</f>
        <v/>
      </c>
      <c r="O64" s="23" t="str">
        <f>IF(OR(N64="",N63=""),"",IF(N63=0,"",(N64/N63)-1))</f>
        <v/>
      </c>
      <c r="P64" s="11" t="str">
        <f>IF(ROW()&lt;7,"",IF(OR(E64="",E61=""),"",IF(E61=0,"",(E64/E61)-1)))</f>
        <v/>
      </c>
      <c r="Q64" s="23" t="str">
        <f>IF(ROW()&lt;9,"",IF(OR(E64="",E59=""),"",IF(E59=0,"",(E64/E59)-1)))</f>
        <v/>
      </c>
      <c r="R64" s="23" t="str">
        <f>IF(ROW()&lt;7,"",IF(OR(G64="",G61=""),"",IF(G61=0,"",(G64/G61)-1)))</f>
        <v/>
      </c>
      <c r="S64" s="23" t="str">
        <f>IF(ROW()&lt;9,"",IF(OR(G64="",G59=""),"",IF(G59=0,"",(G64/G59)-1)))</f>
        <v/>
      </c>
      <c r="T64" s="23" t="str">
        <f>IF(ROW()&lt;7,"",IF(OR(L64="",L61=""),"",IF(L61=0,"",(L64/L61)-1)))</f>
        <v/>
      </c>
      <c r="U64" s="23" t="str">
        <f>IF(ROW()&lt;9,"",IF(OR(L64="",L59=""),"",IF(L59=0,"",(L64/L59)-1)))</f>
        <v/>
      </c>
      <c r="V64" s="23" t="str">
        <f>IF(ROW()&lt;7,"",IF(OR(N64="",N61=""),"",IF(N61=0,"",(N64/N61)-1)))</f>
        <v/>
      </c>
      <c r="W64" s="23" t="str">
        <f>IF(ROW()&lt;9,"",IF(OR(N64="",N59=""),"",IF(N59=0,"",(N64/N59)-1)))</f>
        <v/>
      </c>
      <c r="X64" s="23" t="str">
        <f>IF(OR(F64="",M64=""),"",F64-M64)</f>
        <v/>
      </c>
      <c r="Y64" s="23" t="str">
        <f>IF(OR(P64="",T64=""),"",P64-T64)</f>
        <v/>
      </c>
      <c r="Z64" s="23" t="str">
        <f>IF(OR(Q64="",U64=""),"",Q64-U64)</f>
        <v/>
      </c>
      <c r="AA64" s="23" t="str">
        <f>IF(OR(H64="",O64=""),"",H64-O64)</f>
        <v/>
      </c>
      <c r="AB64" s="23" t="str">
        <f>IF(OR(R64="",V64=""),"",R64-V64)</f>
        <v/>
      </c>
      <c r="AC64" s="23" t="str">
        <f>IF(OR(S64="",W64=""),"",S64-W64)</f>
        <v/>
      </c>
      <c r="AD64" s="13"/>
      <c r="AE64" s="23" t="str">
        <f>IF(OR(AD64="",AD63=""),"",IF(AD63=0,"",(AD64/AD63)-1))</f>
        <v/>
      </c>
      <c r="AF64" s="23" t="str">
        <f>IF(ROW()&lt;7,"",IF(OR(AD64="",AD61=""),"",IF(AD61=0,"",(AD64/AD61)-1)))</f>
        <v/>
      </c>
      <c r="AG64" s="23" t="str">
        <f>IF(ROW()&lt;9,"",IF(OR(AD64="",AD59=""),"",IF(AD59=0,"",(AD64/AD59)-1)))</f>
        <v/>
      </c>
      <c r="AH64" s="23" t="str">
        <f>IF(OR(AF64="",AG64=""),"",IF(AND(AF64&gt;0,AG64&gt;0),"Bull",IF(AND(AF64&lt;0,AG64&lt;0),"Bear","Mixed")))</f>
        <v/>
      </c>
      <c r="AI64" s="13"/>
      <c r="AJ64" s="13" t="str">
        <f>IF(OR(AI64="",AI63=""),"",IF(AI63=0,"",(AI64/AI63)-1))</f>
        <v/>
      </c>
      <c r="AK64" s="23" t="str">
        <f>IF(OR(AJ64="",AJ63=""),"",IF(AJ63=0,"",(AJ64/AJ63)-1))</f>
        <v/>
      </c>
      <c r="AL64" s="23" t="str">
        <f>IF(ROW()&lt;7,"",IF(OR(AJ64="",AJ61=""),"",IF(AJ61=0,"",(AJ64/AJ61)-1)))</f>
        <v/>
      </c>
      <c r="AM64" s="23" t="str">
        <f>IF(ROW()&lt;9,"",IF(OR(AJ64="",AJ59=""),"",IF(AJ59=0,"",(AJ64/AJ59)-1)))</f>
        <v/>
      </c>
      <c r="AN64" t="str">
        <f>IF(OR(AL64="",AM64=""),"",IF(AND(AL64&gt;0,AM64&gt;0),"Bull",IF(AND(AL64&lt;0,AM64&lt;0),"Bear","Mixed")))</f>
        <v/>
      </c>
      <c r="AO64" t="str">
        <f>IF(OR(AH64="",AN64=""),"",IF(AND(AH64="Bull",AN64="Bull"),"YES","NO"))</f>
        <v/>
      </c>
      <c r="AP64" t="str">
        <f>IF(OR(AH64="",AN64=""),"",IF(AND(AH64="Bear",AN64="Bear"),"YES","NO"))</f>
        <v/>
      </c>
      <c r="AQ64" t="str">
        <f>IF(AO64="YES",IF(SUM(N(X64),N(Y64),N(Z64))&gt;0,"SOXL","TQQQ"),IF(AP64="YES",IF(SUM(N(AA64),N(AB64),N(AC64))&gt;0,"SOXS","SQQQ"),"WAIT"))</f>
        <v>WAIT</v>
      </c>
      <c r="AR64" s="23" t="str">
        <f>IF(AO64="YES",IF(SUM(N(X64),N(Y64),N(Z64))&gt;0,"TQQQ","SOXL"),IF(AP64="YES",IF(SUM(N(AA64),N(AB64),N(AC64))&gt;0,"SQQQ","SOXS"),""))</f>
        <v/>
      </c>
      <c r="AS64" s="23" t="str">
        <f>IF(AQ64="WAIT","",IF(AR64="",1,0.6))</f>
        <v/>
      </c>
      <c r="AT64" s="23">
        <f>IF(AR64="",0,0.4)</f>
        <v>0</v>
      </c>
      <c r="AU64" s="23" t="str">
        <f>IF(AQ64="WAIT","WAIT",IF(AO64="YES","BULL",IF(AP64="YES","BEAR","WAIT")))</f>
        <v>WAIT</v>
      </c>
      <c r="AV64" t="str">
        <f>IF(AQ64="WAIT","Low",IF(OR(AND(AU64="BULL",ABS(SUM(N(X64),N(Y64),N(Z64)))&gt;=0.15),AND(AU64="BEAR",ABS(SUM(N(AA64),N(AB64),N(AC64)))&gt;=0.15)),"Strong",IF(OR(AND(AU64="BULL",ABS(SUM(N(X64),N(Y64),N(Z64)))&gt;=0.05),AND(AU64="BEAR",ABS(SUM(N(AA64),N(AB64),N(AC64)))&gt;=0.05)),"Moderate","Low")))</f>
        <v>Low</v>
      </c>
      <c r="AW64" t="str">
        <f>IF(AQ64="WAIT","QQQ and SMH not aligned",IF(AU64="BULL",IF(AQ64="SOXL","Bull regime; semiconductors leading","Bull regime; tech leading"),IF(AQ64="SOXS","Bear regime; semiconductors weakest","Bear regime; tech weakest")))</f>
        <v>QQQ and SMH not aligned</v>
      </c>
      <c r="AX64" t="str">
        <f>IF(AR64="WAIT","QQQ and SMH not aligned",IF(AV64="BULL",IF(AR64="SOXL","Bull regime; semiconductors leading","Bull regime; tech leading"),IF(AR64="SOXS","Bear regime; semiconductors weakest","Bear regime; tech weakest")))</f>
        <v>Bear regime; tech weakest</v>
      </c>
    </row>
    <row r="65" spans="1:50" x14ac:dyDescent="0.2">
      <c r="A65" s="12"/>
      <c r="B65" s="13"/>
      <c r="C65" s="13"/>
      <c r="D65" s="13"/>
      <c r="E65" s="13"/>
      <c r="F65" s="11" t="str">
        <f>IF(OR(E65="",E64=""),"",IF(E64=0,"",(E65/E64)-1))</f>
        <v/>
      </c>
      <c r="G65" s="13"/>
      <c r="H65" s="11" t="str">
        <f>IF(OR(G65="",G64=""),"",IF(G64=0,"",(G65/G64)-1))</f>
        <v/>
      </c>
      <c r="I65" s="13"/>
      <c r="J65" s="13"/>
      <c r="K65" s="13"/>
      <c r="L65" s="13"/>
      <c r="M65" s="23" t="str">
        <f>IF(OR(L65="",L64=""),"",IF(L64=0,"",(L65/L64)-1))</f>
        <v/>
      </c>
      <c r="N65" s="26" t="str">
        <f>IFERROR((M65/M64)-1,"")</f>
        <v/>
      </c>
      <c r="O65" s="23" t="str">
        <f>IF(OR(N65="",N64=""),"",IF(N64=0,"",(N65/N64)-1))</f>
        <v/>
      </c>
      <c r="P65" s="11" t="str">
        <f>IF(ROW()&lt;7,"",IF(OR(E65="",E62=""),"",IF(E62=0,"",(E65/E62)-1)))</f>
        <v/>
      </c>
      <c r="Q65" s="23" t="str">
        <f>IF(ROW()&lt;9,"",IF(OR(E65="",E60=""),"",IF(E60=0,"",(E65/E60)-1)))</f>
        <v/>
      </c>
      <c r="R65" s="23" t="str">
        <f>IF(ROW()&lt;7,"",IF(OR(G65="",G62=""),"",IF(G62=0,"",(G65/G62)-1)))</f>
        <v/>
      </c>
      <c r="S65" s="23" t="str">
        <f>IF(ROW()&lt;9,"",IF(OR(G65="",G60=""),"",IF(G60=0,"",(G65/G60)-1)))</f>
        <v/>
      </c>
      <c r="T65" s="23" t="str">
        <f>IF(ROW()&lt;7,"",IF(OR(L65="",L62=""),"",IF(L62=0,"",(L65/L62)-1)))</f>
        <v/>
      </c>
      <c r="U65" s="23" t="str">
        <f>IF(ROW()&lt;9,"",IF(OR(L65="",L60=""),"",IF(L60=0,"",(L65/L60)-1)))</f>
        <v/>
      </c>
      <c r="V65" s="23" t="str">
        <f>IF(ROW()&lt;7,"",IF(OR(N65="",N62=""),"",IF(N62=0,"",(N65/N62)-1)))</f>
        <v/>
      </c>
      <c r="W65" s="23" t="str">
        <f>IF(ROW()&lt;9,"",IF(OR(N65="",N60=""),"",IF(N60=0,"",(N65/N60)-1)))</f>
        <v/>
      </c>
      <c r="X65" s="23" t="str">
        <f>IF(OR(F65="",M65=""),"",F65-M65)</f>
        <v/>
      </c>
      <c r="Y65" s="23" t="str">
        <f>IF(OR(P65="",T65=""),"",P65-T65)</f>
        <v/>
      </c>
      <c r="Z65" s="23" t="str">
        <f>IF(OR(Q65="",U65=""),"",Q65-U65)</f>
        <v/>
      </c>
      <c r="AA65" s="23" t="str">
        <f>IF(OR(H65="",O65=""),"",H65-O65)</f>
        <v/>
      </c>
      <c r="AB65" s="23" t="str">
        <f>IF(OR(R65="",V65=""),"",R65-V65)</f>
        <v/>
      </c>
      <c r="AC65" s="23" t="str">
        <f>IF(OR(S65="",W65=""),"",S65-W65)</f>
        <v/>
      </c>
      <c r="AD65" s="13"/>
      <c r="AE65" s="23" t="str">
        <f>IF(OR(AD65="",AD64=""),"",IF(AD64=0,"",(AD65/AD64)-1))</f>
        <v/>
      </c>
      <c r="AF65" s="23" t="str">
        <f>IF(ROW()&lt;7,"",IF(OR(AD65="",AD62=""),"",IF(AD62=0,"",(AD65/AD62)-1)))</f>
        <v/>
      </c>
      <c r="AG65" s="23" t="str">
        <f>IF(ROW()&lt;9,"",IF(OR(AD65="",AD60=""),"",IF(AD60=0,"",(AD65/AD60)-1)))</f>
        <v/>
      </c>
      <c r="AH65" s="23" t="str">
        <f>IF(OR(AF65="",AG65=""),"",IF(AND(AF65&gt;0,AG65&gt;0),"Bull",IF(AND(AF65&lt;0,AG65&lt;0),"Bear","Mixed")))</f>
        <v/>
      </c>
      <c r="AI65" s="13"/>
      <c r="AJ65" s="13" t="str">
        <f>IF(OR(AI65="",AI64=""),"",IF(AI64=0,"",(AI65/AI64)-1))</f>
        <v/>
      </c>
      <c r="AK65" s="23" t="str">
        <f>IF(OR(AJ65="",AJ64=""),"",IF(AJ64=0,"",(AJ65/AJ64)-1))</f>
        <v/>
      </c>
      <c r="AL65" s="23" t="str">
        <f>IF(ROW()&lt;7,"",IF(OR(AJ65="",AJ62=""),"",IF(AJ62=0,"",(AJ65/AJ62)-1)))</f>
        <v/>
      </c>
      <c r="AM65" s="23" t="str">
        <f>IF(ROW()&lt;9,"",IF(OR(AJ65="",AJ60=""),"",IF(AJ60=0,"",(AJ65/AJ60)-1)))</f>
        <v/>
      </c>
      <c r="AN65" t="str">
        <f>IF(OR(AL65="",AM65=""),"",IF(AND(AL65&gt;0,AM65&gt;0),"Bull",IF(AND(AL65&lt;0,AM65&lt;0),"Bear","Mixed")))</f>
        <v/>
      </c>
      <c r="AO65" t="str">
        <f>IF(OR(AH65="",AN65=""),"",IF(AND(AH65="Bull",AN65="Bull"),"YES","NO"))</f>
        <v/>
      </c>
      <c r="AP65" t="str">
        <f>IF(OR(AH65="",AN65=""),"",IF(AND(AH65="Bear",AN65="Bear"),"YES","NO"))</f>
        <v/>
      </c>
      <c r="AQ65" t="str">
        <f>IF(AO65="YES",IF(SUM(N(X65),N(Y65),N(Z65))&gt;0,"SOXL","TQQQ"),IF(AP65="YES",IF(SUM(N(AA65),N(AB65),N(AC65))&gt;0,"SOXS","SQQQ"),"WAIT"))</f>
        <v>WAIT</v>
      </c>
      <c r="AR65" s="23" t="str">
        <f>IF(AO65="YES",IF(SUM(N(X65),N(Y65),N(Z65))&gt;0,"TQQQ","SOXL"),IF(AP65="YES",IF(SUM(N(AA65),N(AB65),N(AC65))&gt;0,"SQQQ","SOXS"),""))</f>
        <v/>
      </c>
      <c r="AS65" s="23" t="str">
        <f>IF(AQ65="WAIT","",IF(AR65="",1,0.6))</f>
        <v/>
      </c>
      <c r="AT65" s="23">
        <f>IF(AR65="",0,0.4)</f>
        <v>0</v>
      </c>
      <c r="AU65" s="23" t="str">
        <f>IF(AQ65="WAIT","WAIT",IF(AO65="YES","BULL",IF(AP65="YES","BEAR","WAIT")))</f>
        <v>WAIT</v>
      </c>
      <c r="AV65" t="str">
        <f>IF(AQ65="WAIT","Low",IF(OR(AND(AU65="BULL",ABS(SUM(N(X65),N(Y65),N(Z65)))&gt;=0.15),AND(AU65="BEAR",ABS(SUM(N(AA65),N(AB65),N(AC65)))&gt;=0.15)),"Strong",IF(OR(AND(AU65="BULL",ABS(SUM(N(X65),N(Y65),N(Z65)))&gt;=0.05),AND(AU65="BEAR",ABS(SUM(N(AA65),N(AB65),N(AC65)))&gt;=0.05)),"Moderate","Low")))</f>
        <v>Low</v>
      </c>
      <c r="AW65" t="str">
        <f>IF(AQ65="WAIT","QQQ and SMH not aligned",IF(AU65="BULL",IF(AQ65="SOXL","Bull regime; semiconductors leading","Bull regime; tech leading"),IF(AQ65="SOXS","Bear regime; semiconductors weakest","Bear regime; tech weakest")))</f>
        <v>QQQ and SMH not aligned</v>
      </c>
      <c r="AX65" t="str">
        <f>IF(AR65="WAIT","QQQ and SMH not aligned",IF(AV65="BULL",IF(AR65="SOXL","Bull regime; semiconductors leading","Bull regime; tech leading"),IF(AR65="SOXS","Bear regime; semiconductors weakest","Bear regime; tech weakest")))</f>
        <v>Bear regime; tech weakest</v>
      </c>
    </row>
    <row r="66" spans="1:50" x14ac:dyDescent="0.2">
      <c r="A66" s="12"/>
      <c r="B66" s="13"/>
      <c r="C66" s="13"/>
      <c r="D66" s="13"/>
      <c r="E66" s="13"/>
      <c r="F66" s="11" t="str">
        <f>IF(OR(E66="",E65=""),"",IF(E65=0,"",(E66/E65)-1))</f>
        <v/>
      </c>
      <c r="G66" s="13"/>
      <c r="H66" s="11" t="str">
        <f>IF(OR(G66="",G65=""),"",IF(G65=0,"",(G66/G65)-1))</f>
        <v/>
      </c>
      <c r="I66" s="13"/>
      <c r="J66" s="13"/>
      <c r="K66" s="13"/>
      <c r="L66" s="13"/>
      <c r="M66" s="23" t="str">
        <f>IF(OR(L66="",L65=""),"",IF(L65=0,"",(L66/L65)-1))</f>
        <v/>
      </c>
      <c r="N66" s="26" t="str">
        <f>IFERROR((M66/M65)-1,"")</f>
        <v/>
      </c>
      <c r="O66" s="23" t="str">
        <f>IF(OR(N66="",N65=""),"",IF(N65=0,"",(N66/N65)-1))</f>
        <v/>
      </c>
      <c r="P66" s="11" t="str">
        <f>IF(ROW()&lt;7,"",IF(OR(E66="",E63=""),"",IF(E63=0,"",(E66/E63)-1)))</f>
        <v/>
      </c>
      <c r="Q66" s="23" t="str">
        <f>IF(ROW()&lt;9,"",IF(OR(E66="",E61=""),"",IF(E61=0,"",(E66/E61)-1)))</f>
        <v/>
      </c>
      <c r="R66" s="23" t="str">
        <f>IF(ROW()&lt;7,"",IF(OR(G66="",G63=""),"",IF(G63=0,"",(G66/G63)-1)))</f>
        <v/>
      </c>
      <c r="S66" s="23" t="str">
        <f>IF(ROW()&lt;9,"",IF(OR(G66="",G61=""),"",IF(G61=0,"",(G66/G61)-1)))</f>
        <v/>
      </c>
      <c r="T66" s="23" t="str">
        <f>IF(ROW()&lt;7,"",IF(OR(L66="",L63=""),"",IF(L63=0,"",(L66/L63)-1)))</f>
        <v/>
      </c>
      <c r="U66" s="23" t="str">
        <f>IF(ROW()&lt;9,"",IF(OR(L66="",L61=""),"",IF(L61=0,"",(L66/L61)-1)))</f>
        <v/>
      </c>
      <c r="V66" s="23" t="str">
        <f>IF(ROW()&lt;7,"",IF(OR(N66="",N63=""),"",IF(N63=0,"",(N66/N63)-1)))</f>
        <v/>
      </c>
      <c r="W66" s="23" t="str">
        <f>IF(ROW()&lt;9,"",IF(OR(N66="",N61=""),"",IF(N61=0,"",(N66/N61)-1)))</f>
        <v/>
      </c>
      <c r="X66" s="23" t="str">
        <f>IF(OR(F66="",M66=""),"",F66-M66)</f>
        <v/>
      </c>
      <c r="Y66" s="23" t="str">
        <f>IF(OR(P66="",T66=""),"",P66-T66)</f>
        <v/>
      </c>
      <c r="Z66" s="23" t="str">
        <f>IF(OR(Q66="",U66=""),"",Q66-U66)</f>
        <v/>
      </c>
      <c r="AA66" s="23" t="str">
        <f>IF(OR(H66="",O66=""),"",H66-O66)</f>
        <v/>
      </c>
      <c r="AB66" s="23" t="str">
        <f>IF(OR(R66="",V66=""),"",R66-V66)</f>
        <v/>
      </c>
      <c r="AC66" s="23" t="str">
        <f>IF(OR(S66="",W66=""),"",S66-W66)</f>
        <v/>
      </c>
      <c r="AD66" s="13"/>
      <c r="AE66" s="23" t="str">
        <f>IF(OR(AD66="",AD65=""),"",IF(AD65=0,"",(AD66/AD65)-1))</f>
        <v/>
      </c>
      <c r="AF66" s="23" t="str">
        <f>IF(ROW()&lt;7,"",IF(OR(AD66="",AD63=""),"",IF(AD63=0,"",(AD66/AD63)-1)))</f>
        <v/>
      </c>
      <c r="AG66" s="23" t="str">
        <f>IF(ROW()&lt;9,"",IF(OR(AD66="",AD61=""),"",IF(AD61=0,"",(AD66/AD61)-1)))</f>
        <v/>
      </c>
      <c r="AH66" s="23" t="str">
        <f>IF(OR(AF66="",AG66=""),"",IF(AND(AF66&gt;0,AG66&gt;0),"Bull",IF(AND(AF66&lt;0,AG66&lt;0),"Bear","Mixed")))</f>
        <v/>
      </c>
      <c r="AI66" s="13"/>
      <c r="AJ66" s="13" t="str">
        <f>IF(OR(AI66="",AI65=""),"",IF(AI65=0,"",(AI66/AI65)-1))</f>
        <v/>
      </c>
      <c r="AK66" s="23" t="str">
        <f>IF(OR(AJ66="",AJ65=""),"",IF(AJ65=0,"",(AJ66/AJ65)-1))</f>
        <v/>
      </c>
      <c r="AL66" s="23" t="str">
        <f>IF(ROW()&lt;7,"",IF(OR(AJ66="",AJ63=""),"",IF(AJ63=0,"",(AJ66/AJ63)-1)))</f>
        <v/>
      </c>
      <c r="AM66" s="23" t="str">
        <f>IF(ROW()&lt;9,"",IF(OR(AJ66="",AJ61=""),"",IF(AJ61=0,"",(AJ66/AJ61)-1)))</f>
        <v/>
      </c>
      <c r="AN66" t="str">
        <f>IF(OR(AL66="",AM66=""),"",IF(AND(AL66&gt;0,AM66&gt;0),"Bull",IF(AND(AL66&lt;0,AM66&lt;0),"Bear","Mixed")))</f>
        <v/>
      </c>
      <c r="AO66" t="str">
        <f>IF(OR(AH66="",AN66=""),"",IF(AND(AH66="Bull",AN66="Bull"),"YES","NO"))</f>
        <v/>
      </c>
      <c r="AP66" t="str">
        <f>IF(OR(AH66="",AN66=""),"",IF(AND(AH66="Bear",AN66="Bear"),"YES","NO"))</f>
        <v/>
      </c>
      <c r="AQ66" t="str">
        <f>IF(AO66="YES",IF(SUM(N(X66),N(Y66),N(Z66))&gt;0,"SOXL","TQQQ"),IF(AP66="YES",IF(SUM(N(AA66),N(AB66),N(AC66))&gt;0,"SOXS","SQQQ"),"WAIT"))</f>
        <v>WAIT</v>
      </c>
      <c r="AR66" s="23" t="str">
        <f>IF(AO66="YES",IF(SUM(N(X66),N(Y66),N(Z66))&gt;0,"TQQQ","SOXL"),IF(AP66="YES",IF(SUM(N(AA66),N(AB66),N(AC66))&gt;0,"SQQQ","SOXS"),""))</f>
        <v/>
      </c>
      <c r="AS66" s="23" t="str">
        <f>IF(AQ66="WAIT","",IF(AR66="",1,0.6))</f>
        <v/>
      </c>
      <c r="AT66" s="23">
        <f>IF(AR66="",0,0.4)</f>
        <v>0</v>
      </c>
      <c r="AU66" s="23" t="str">
        <f>IF(AQ66="WAIT","WAIT",IF(AO66="YES","BULL",IF(AP66="YES","BEAR","WAIT")))</f>
        <v>WAIT</v>
      </c>
      <c r="AV66" t="str">
        <f>IF(AQ66="WAIT","Low",IF(OR(AND(AU66="BULL",ABS(SUM(N(X66),N(Y66),N(Z66)))&gt;=0.15),AND(AU66="BEAR",ABS(SUM(N(AA66),N(AB66),N(AC66)))&gt;=0.15)),"Strong",IF(OR(AND(AU66="BULL",ABS(SUM(N(X66),N(Y66),N(Z66)))&gt;=0.05),AND(AU66="BEAR",ABS(SUM(N(AA66),N(AB66),N(AC66)))&gt;=0.05)),"Moderate","Low")))</f>
        <v>Low</v>
      </c>
      <c r="AW66" t="str">
        <f>IF(AQ66="WAIT","QQQ and SMH not aligned",IF(AU66="BULL",IF(AQ66="SOXL","Bull regime; semiconductors leading","Bull regime; tech leading"),IF(AQ66="SOXS","Bear regime; semiconductors weakest","Bear regime; tech weakest")))</f>
        <v>QQQ and SMH not aligned</v>
      </c>
      <c r="AX66" t="str">
        <f>IF(AR66="WAIT","QQQ and SMH not aligned",IF(AV66="BULL",IF(AR66="SOXL","Bull regime; semiconductors leading","Bull regime; tech leading"),IF(AR66="SOXS","Bear regime; semiconductors weakest","Bear regime; tech weakest")))</f>
        <v>Bear regime; tech weakest</v>
      </c>
    </row>
    <row r="67" spans="1:50" x14ac:dyDescent="0.2">
      <c r="A67" s="12"/>
      <c r="B67" s="13"/>
      <c r="C67" s="13"/>
      <c r="D67" s="13"/>
      <c r="E67" s="13"/>
      <c r="F67" s="11" t="str">
        <f>IF(OR(E67="",E66=""),"",IF(E66=0,"",(E67/E66)-1))</f>
        <v/>
      </c>
      <c r="G67" s="13"/>
      <c r="H67" s="11" t="str">
        <f>IF(OR(G67="",G66=""),"",IF(G66=0,"",(G67/G66)-1))</f>
        <v/>
      </c>
      <c r="I67" s="13"/>
      <c r="J67" s="13"/>
      <c r="K67" s="13"/>
      <c r="L67" s="13"/>
      <c r="M67" s="23" t="str">
        <f>IF(OR(L67="",L66=""),"",IF(L66=0,"",(L67/L66)-1))</f>
        <v/>
      </c>
      <c r="N67" s="26" t="str">
        <f>IFERROR((M67/M66)-1,"")</f>
        <v/>
      </c>
      <c r="O67" s="23" t="str">
        <f>IF(OR(N67="",N66=""),"",IF(N66=0,"",(N67/N66)-1))</f>
        <v/>
      </c>
      <c r="P67" s="11" t="str">
        <f>IF(ROW()&lt;7,"",IF(OR(E67="",E64=""),"",IF(E64=0,"",(E67/E64)-1)))</f>
        <v/>
      </c>
      <c r="Q67" s="23" t="str">
        <f>IF(ROW()&lt;9,"",IF(OR(E67="",E62=""),"",IF(E62=0,"",(E67/E62)-1)))</f>
        <v/>
      </c>
      <c r="R67" s="23" t="str">
        <f>IF(ROW()&lt;7,"",IF(OR(G67="",G64=""),"",IF(G64=0,"",(G67/G64)-1)))</f>
        <v/>
      </c>
      <c r="S67" s="23" t="str">
        <f>IF(ROW()&lt;9,"",IF(OR(G67="",G62=""),"",IF(G62=0,"",(G67/G62)-1)))</f>
        <v/>
      </c>
      <c r="T67" s="23" t="str">
        <f>IF(ROW()&lt;7,"",IF(OR(L67="",L64=""),"",IF(L64=0,"",(L67/L64)-1)))</f>
        <v/>
      </c>
      <c r="U67" s="23" t="str">
        <f>IF(ROW()&lt;9,"",IF(OR(L67="",L62=""),"",IF(L62=0,"",(L67/L62)-1)))</f>
        <v/>
      </c>
      <c r="V67" s="23" t="str">
        <f>IF(ROW()&lt;7,"",IF(OR(N67="",N64=""),"",IF(N64=0,"",(N67/N64)-1)))</f>
        <v/>
      </c>
      <c r="W67" s="23" t="str">
        <f>IF(ROW()&lt;9,"",IF(OR(N67="",N62=""),"",IF(N62=0,"",(N67/N62)-1)))</f>
        <v/>
      </c>
      <c r="X67" s="23" t="str">
        <f>IF(OR(F67="",M67=""),"",F67-M67)</f>
        <v/>
      </c>
      <c r="Y67" s="23" t="str">
        <f>IF(OR(P67="",T67=""),"",P67-T67)</f>
        <v/>
      </c>
      <c r="Z67" s="23" t="str">
        <f>IF(OR(Q67="",U67=""),"",Q67-U67)</f>
        <v/>
      </c>
      <c r="AA67" s="23" t="str">
        <f>IF(OR(H67="",O67=""),"",H67-O67)</f>
        <v/>
      </c>
      <c r="AB67" s="23" t="str">
        <f>IF(OR(R67="",V67=""),"",R67-V67)</f>
        <v/>
      </c>
      <c r="AC67" s="23" t="str">
        <f>IF(OR(S67="",W67=""),"",S67-W67)</f>
        <v/>
      </c>
      <c r="AD67" s="13"/>
      <c r="AE67" s="23" t="str">
        <f>IF(OR(AD67="",AD66=""),"",IF(AD66=0,"",(AD67/AD66)-1))</f>
        <v/>
      </c>
      <c r="AF67" s="23" t="str">
        <f>IF(ROW()&lt;7,"",IF(OR(AD67="",AD64=""),"",IF(AD64=0,"",(AD67/AD64)-1)))</f>
        <v/>
      </c>
      <c r="AG67" s="23" t="str">
        <f>IF(ROW()&lt;9,"",IF(OR(AD67="",AD62=""),"",IF(AD62=0,"",(AD67/AD62)-1)))</f>
        <v/>
      </c>
      <c r="AH67" s="23" t="str">
        <f>IF(OR(AF67="",AG67=""),"",IF(AND(AF67&gt;0,AG67&gt;0),"Bull",IF(AND(AF67&lt;0,AG67&lt;0),"Bear","Mixed")))</f>
        <v/>
      </c>
      <c r="AI67" s="13"/>
      <c r="AJ67" s="13" t="str">
        <f>IF(OR(AI67="",AI66=""),"",IF(AI66=0,"",(AI67/AI66)-1))</f>
        <v/>
      </c>
      <c r="AK67" s="23" t="str">
        <f>IF(OR(AJ67="",AJ66=""),"",IF(AJ66=0,"",(AJ67/AJ66)-1))</f>
        <v/>
      </c>
      <c r="AL67" s="23" t="str">
        <f>IF(ROW()&lt;7,"",IF(OR(AJ67="",AJ64=""),"",IF(AJ64=0,"",(AJ67/AJ64)-1)))</f>
        <v/>
      </c>
      <c r="AM67" s="23" t="str">
        <f>IF(ROW()&lt;9,"",IF(OR(AJ67="",AJ62=""),"",IF(AJ62=0,"",(AJ67/AJ62)-1)))</f>
        <v/>
      </c>
      <c r="AN67" t="str">
        <f>IF(OR(AL67="",AM67=""),"",IF(AND(AL67&gt;0,AM67&gt;0),"Bull",IF(AND(AL67&lt;0,AM67&lt;0),"Bear","Mixed")))</f>
        <v/>
      </c>
      <c r="AO67" t="str">
        <f>IF(OR(AH67="",AN67=""),"",IF(AND(AH67="Bull",AN67="Bull"),"YES","NO"))</f>
        <v/>
      </c>
      <c r="AP67" t="str">
        <f>IF(OR(AH67="",AN67=""),"",IF(AND(AH67="Bear",AN67="Bear"),"YES","NO"))</f>
        <v/>
      </c>
      <c r="AQ67" t="str">
        <f>IF(AO67="YES",IF(SUM(N(X67),N(Y67),N(Z67))&gt;0,"SOXL","TQQQ"),IF(AP67="YES",IF(SUM(N(AA67),N(AB67),N(AC67))&gt;0,"SOXS","SQQQ"),"WAIT"))</f>
        <v>WAIT</v>
      </c>
      <c r="AR67" s="23" t="str">
        <f>IF(AO67="YES",IF(SUM(N(X67),N(Y67),N(Z67))&gt;0,"TQQQ","SOXL"),IF(AP67="YES",IF(SUM(N(AA67),N(AB67),N(AC67))&gt;0,"SQQQ","SOXS"),""))</f>
        <v/>
      </c>
      <c r="AS67" s="23" t="str">
        <f>IF(AQ67="WAIT","",IF(AR67="",1,0.6))</f>
        <v/>
      </c>
      <c r="AT67" s="23">
        <f>IF(AR67="",0,0.4)</f>
        <v>0</v>
      </c>
      <c r="AU67" s="23" t="str">
        <f>IF(AQ67="WAIT","WAIT",IF(AO67="YES","BULL",IF(AP67="YES","BEAR","WAIT")))</f>
        <v>WAIT</v>
      </c>
      <c r="AV67" t="str">
        <f>IF(AQ67="WAIT","Low",IF(OR(AND(AU67="BULL",ABS(SUM(N(X67),N(Y67),N(Z67)))&gt;=0.15),AND(AU67="BEAR",ABS(SUM(N(AA67),N(AB67),N(AC67)))&gt;=0.15)),"Strong",IF(OR(AND(AU67="BULL",ABS(SUM(N(X67),N(Y67),N(Z67)))&gt;=0.05),AND(AU67="BEAR",ABS(SUM(N(AA67),N(AB67),N(AC67)))&gt;=0.05)),"Moderate","Low")))</f>
        <v>Low</v>
      </c>
      <c r="AW67" t="str">
        <f>IF(AQ67="WAIT","QQQ and SMH not aligned",IF(AU67="BULL",IF(AQ67="SOXL","Bull regime; semiconductors leading","Bull regime; tech leading"),IF(AQ67="SOXS","Bear regime; semiconductors weakest","Bear regime; tech weakest")))</f>
        <v>QQQ and SMH not aligned</v>
      </c>
      <c r="AX67" t="str">
        <f>IF(AR67="WAIT","QQQ and SMH not aligned",IF(AV67="BULL",IF(AR67="SOXL","Bull regime; semiconductors leading","Bull regime; tech leading"),IF(AR67="SOXS","Bear regime; semiconductors weakest","Bear regime; tech weakest")))</f>
        <v>Bear regime; tech weakest</v>
      </c>
    </row>
    <row r="68" spans="1:50" x14ac:dyDescent="0.2">
      <c r="A68" s="12"/>
      <c r="B68" s="13"/>
      <c r="C68" s="13"/>
      <c r="D68" s="13"/>
      <c r="E68" s="13"/>
      <c r="F68" s="11" t="str">
        <f>IF(OR(E68="",E67=""),"",IF(E67=0,"",(E68/E67)-1))</f>
        <v/>
      </c>
      <c r="G68" s="13"/>
      <c r="H68" s="11" t="str">
        <f>IF(OR(G68="",G67=""),"",IF(G67=0,"",(G68/G67)-1))</f>
        <v/>
      </c>
      <c r="I68" s="13"/>
      <c r="J68" s="13"/>
      <c r="K68" s="13"/>
      <c r="L68" s="13"/>
      <c r="M68" s="23" t="str">
        <f>IF(OR(L68="",L67=""),"",IF(L67=0,"",(L68/L67)-1))</f>
        <v/>
      </c>
      <c r="N68" s="26" t="str">
        <f>IFERROR((M68/M67)-1,"")</f>
        <v/>
      </c>
      <c r="O68" s="23" t="str">
        <f>IF(OR(N68="",N67=""),"",IF(N67=0,"",(N68/N67)-1))</f>
        <v/>
      </c>
      <c r="P68" s="11" t="str">
        <f>IF(ROW()&lt;7,"",IF(OR(E68="",E65=""),"",IF(E65=0,"",(E68/E65)-1)))</f>
        <v/>
      </c>
      <c r="Q68" s="23" t="str">
        <f>IF(ROW()&lt;9,"",IF(OR(E68="",E63=""),"",IF(E63=0,"",(E68/E63)-1)))</f>
        <v/>
      </c>
      <c r="R68" s="23" t="str">
        <f>IF(ROW()&lt;7,"",IF(OR(G68="",G65=""),"",IF(G65=0,"",(G68/G65)-1)))</f>
        <v/>
      </c>
      <c r="S68" s="23" t="str">
        <f>IF(ROW()&lt;9,"",IF(OR(G68="",G63=""),"",IF(G63=0,"",(G68/G63)-1)))</f>
        <v/>
      </c>
      <c r="T68" s="23" t="str">
        <f>IF(ROW()&lt;7,"",IF(OR(L68="",L65=""),"",IF(L65=0,"",(L68/L65)-1)))</f>
        <v/>
      </c>
      <c r="U68" s="23" t="str">
        <f>IF(ROW()&lt;9,"",IF(OR(L68="",L63=""),"",IF(L63=0,"",(L68/L63)-1)))</f>
        <v/>
      </c>
      <c r="V68" s="23" t="str">
        <f>IF(ROW()&lt;7,"",IF(OR(N68="",N65=""),"",IF(N65=0,"",(N68/N65)-1)))</f>
        <v/>
      </c>
      <c r="W68" s="23" t="str">
        <f>IF(ROW()&lt;9,"",IF(OR(N68="",N63=""),"",IF(N63=0,"",(N68/N63)-1)))</f>
        <v/>
      </c>
      <c r="X68" s="23" t="str">
        <f>IF(OR(F68="",M68=""),"",F68-M68)</f>
        <v/>
      </c>
      <c r="Y68" s="23" t="str">
        <f>IF(OR(P68="",T68=""),"",P68-T68)</f>
        <v/>
      </c>
      <c r="Z68" s="23" t="str">
        <f>IF(OR(Q68="",U68=""),"",Q68-U68)</f>
        <v/>
      </c>
      <c r="AA68" s="23" t="str">
        <f>IF(OR(H68="",O68=""),"",H68-O68)</f>
        <v/>
      </c>
      <c r="AB68" s="23" t="str">
        <f>IF(OR(R68="",V68=""),"",R68-V68)</f>
        <v/>
      </c>
      <c r="AC68" s="23" t="str">
        <f>IF(OR(S68="",W68=""),"",S68-W68)</f>
        <v/>
      </c>
      <c r="AD68" s="13"/>
      <c r="AE68" s="23" t="str">
        <f>IF(OR(AD68="",AD67=""),"",IF(AD67=0,"",(AD68/AD67)-1))</f>
        <v/>
      </c>
      <c r="AF68" s="23" t="str">
        <f>IF(ROW()&lt;7,"",IF(OR(AD68="",AD65=""),"",IF(AD65=0,"",(AD68/AD65)-1)))</f>
        <v/>
      </c>
      <c r="AG68" s="23" t="str">
        <f>IF(ROW()&lt;9,"",IF(OR(AD68="",AD63=""),"",IF(AD63=0,"",(AD68/AD63)-1)))</f>
        <v/>
      </c>
      <c r="AH68" s="23" t="str">
        <f>IF(OR(AF68="",AG68=""),"",IF(AND(AF68&gt;0,AG68&gt;0),"Bull",IF(AND(AF68&lt;0,AG68&lt;0),"Bear","Mixed")))</f>
        <v/>
      </c>
      <c r="AI68" s="13"/>
      <c r="AJ68" s="13" t="str">
        <f>IF(OR(AI68="",AI67=""),"",IF(AI67=0,"",(AI68/AI67)-1))</f>
        <v/>
      </c>
      <c r="AK68" s="23" t="str">
        <f>IF(OR(AJ68="",AJ67=""),"",IF(AJ67=0,"",(AJ68/AJ67)-1))</f>
        <v/>
      </c>
      <c r="AL68" s="23" t="str">
        <f>IF(ROW()&lt;7,"",IF(OR(AJ68="",AJ65=""),"",IF(AJ65=0,"",(AJ68/AJ65)-1)))</f>
        <v/>
      </c>
      <c r="AM68" s="23" t="str">
        <f>IF(ROW()&lt;9,"",IF(OR(AJ68="",AJ63=""),"",IF(AJ63=0,"",(AJ68/AJ63)-1)))</f>
        <v/>
      </c>
      <c r="AN68" t="str">
        <f>IF(OR(AL68="",AM68=""),"",IF(AND(AL68&gt;0,AM68&gt;0),"Bull",IF(AND(AL68&lt;0,AM68&lt;0),"Bear","Mixed")))</f>
        <v/>
      </c>
      <c r="AO68" t="str">
        <f>IF(OR(AH68="",AN68=""),"",IF(AND(AH68="Bull",AN68="Bull"),"YES","NO"))</f>
        <v/>
      </c>
      <c r="AP68" t="str">
        <f>IF(OR(AH68="",AN68=""),"",IF(AND(AH68="Bear",AN68="Bear"),"YES","NO"))</f>
        <v/>
      </c>
      <c r="AQ68" t="str">
        <f>IF(AO68="YES",IF(SUM(N(X68),N(Y68),N(Z68))&gt;0,"SOXL","TQQQ"),IF(AP68="YES",IF(SUM(N(AA68),N(AB68),N(AC68))&gt;0,"SOXS","SQQQ"),"WAIT"))</f>
        <v>WAIT</v>
      </c>
      <c r="AR68" s="23" t="str">
        <f>IF(AO68="YES",IF(SUM(N(X68),N(Y68),N(Z68))&gt;0,"TQQQ","SOXL"),IF(AP68="YES",IF(SUM(N(AA68),N(AB68),N(AC68))&gt;0,"SQQQ","SOXS"),""))</f>
        <v/>
      </c>
      <c r="AS68" s="23" t="str">
        <f>IF(AQ68="WAIT","",IF(AR68="",1,0.6))</f>
        <v/>
      </c>
      <c r="AT68" s="23">
        <f>IF(AR68="",0,0.4)</f>
        <v>0</v>
      </c>
      <c r="AU68" s="23" t="str">
        <f>IF(AQ68="WAIT","WAIT",IF(AO68="YES","BULL",IF(AP68="YES","BEAR","WAIT")))</f>
        <v>WAIT</v>
      </c>
      <c r="AV68" t="str">
        <f>IF(AQ68="WAIT","Low",IF(OR(AND(AU68="BULL",ABS(SUM(N(X68),N(Y68),N(Z68)))&gt;=0.15),AND(AU68="BEAR",ABS(SUM(N(AA68),N(AB68),N(AC68)))&gt;=0.15)),"Strong",IF(OR(AND(AU68="BULL",ABS(SUM(N(X68),N(Y68),N(Z68)))&gt;=0.05),AND(AU68="BEAR",ABS(SUM(N(AA68),N(AB68),N(AC68)))&gt;=0.05)),"Moderate","Low")))</f>
        <v>Low</v>
      </c>
      <c r="AW68" t="str">
        <f>IF(AQ68="WAIT","QQQ and SMH not aligned",IF(AU68="BULL",IF(AQ68="SOXL","Bull regime; semiconductors leading","Bull regime; tech leading"),IF(AQ68="SOXS","Bear regime; semiconductors weakest","Bear regime; tech weakest")))</f>
        <v>QQQ and SMH not aligned</v>
      </c>
      <c r="AX68" t="str">
        <f>IF(AR68="WAIT","QQQ and SMH not aligned",IF(AV68="BULL",IF(AR68="SOXL","Bull regime; semiconductors leading","Bull regime; tech leading"),IF(AR68="SOXS","Bear regime; semiconductors weakest","Bear regime; tech weakest")))</f>
        <v>Bear regime; tech weakest</v>
      </c>
    </row>
    <row r="69" spans="1:50" x14ac:dyDescent="0.2">
      <c r="A69" s="12"/>
      <c r="B69" s="13"/>
      <c r="C69" s="13"/>
      <c r="D69" s="13"/>
      <c r="E69" s="13"/>
      <c r="F69" s="11" t="str">
        <f>IF(OR(E69="",E68=""),"",IF(E68=0,"",(E69/E68)-1))</f>
        <v/>
      </c>
      <c r="G69" s="13"/>
      <c r="H69" s="11" t="str">
        <f>IF(OR(G69="",G68=""),"",IF(G68=0,"",(G69/G68)-1))</f>
        <v/>
      </c>
      <c r="I69" s="13"/>
      <c r="J69" s="13"/>
      <c r="K69" s="13"/>
      <c r="L69" s="13"/>
      <c r="M69" s="23" t="str">
        <f>IF(OR(L69="",L68=""),"",IF(L68=0,"",(L69/L68)-1))</f>
        <v/>
      </c>
      <c r="N69" s="26" t="str">
        <f>IFERROR((M69/M68)-1,"")</f>
        <v/>
      </c>
      <c r="O69" s="23" t="str">
        <f>IF(OR(N69="",N68=""),"",IF(N68=0,"",(N69/N68)-1))</f>
        <v/>
      </c>
      <c r="P69" s="11" t="str">
        <f>IF(ROW()&lt;7,"",IF(OR(E69="",E66=""),"",IF(E66=0,"",(E69/E66)-1)))</f>
        <v/>
      </c>
      <c r="Q69" s="23" t="str">
        <f>IF(ROW()&lt;9,"",IF(OR(E69="",E64=""),"",IF(E64=0,"",(E69/E64)-1)))</f>
        <v/>
      </c>
      <c r="R69" s="23" t="str">
        <f>IF(ROW()&lt;7,"",IF(OR(G69="",G66=""),"",IF(G66=0,"",(G69/G66)-1)))</f>
        <v/>
      </c>
      <c r="S69" s="23" t="str">
        <f>IF(ROW()&lt;9,"",IF(OR(G69="",G64=""),"",IF(G64=0,"",(G69/G64)-1)))</f>
        <v/>
      </c>
      <c r="T69" s="23" t="str">
        <f>IF(ROW()&lt;7,"",IF(OR(L69="",L66=""),"",IF(L66=0,"",(L69/L66)-1)))</f>
        <v/>
      </c>
      <c r="U69" s="23" t="str">
        <f>IF(ROW()&lt;9,"",IF(OR(L69="",L64=""),"",IF(L64=0,"",(L69/L64)-1)))</f>
        <v/>
      </c>
      <c r="V69" s="23" t="str">
        <f>IF(ROW()&lt;7,"",IF(OR(N69="",N66=""),"",IF(N66=0,"",(N69/N66)-1)))</f>
        <v/>
      </c>
      <c r="W69" s="23" t="str">
        <f>IF(ROW()&lt;9,"",IF(OR(N69="",N64=""),"",IF(N64=0,"",(N69/N64)-1)))</f>
        <v/>
      </c>
      <c r="X69" s="23" t="str">
        <f>IF(OR(F69="",M69=""),"",F69-M69)</f>
        <v/>
      </c>
      <c r="Y69" s="23" t="str">
        <f>IF(OR(P69="",T69=""),"",P69-T69)</f>
        <v/>
      </c>
      <c r="Z69" s="23" t="str">
        <f>IF(OR(Q69="",U69=""),"",Q69-U69)</f>
        <v/>
      </c>
      <c r="AA69" s="23" t="str">
        <f>IF(OR(H69="",O69=""),"",H69-O69)</f>
        <v/>
      </c>
      <c r="AB69" s="23" t="str">
        <f>IF(OR(R69="",V69=""),"",R69-V69)</f>
        <v/>
      </c>
      <c r="AC69" s="23" t="str">
        <f>IF(OR(S69="",W69=""),"",S69-W69)</f>
        <v/>
      </c>
      <c r="AD69" s="13"/>
      <c r="AE69" s="23" t="str">
        <f>IF(OR(AD69="",AD68=""),"",IF(AD68=0,"",(AD69/AD68)-1))</f>
        <v/>
      </c>
      <c r="AF69" s="23" t="str">
        <f>IF(ROW()&lt;7,"",IF(OR(AD69="",AD66=""),"",IF(AD66=0,"",(AD69/AD66)-1)))</f>
        <v/>
      </c>
      <c r="AG69" s="23" t="str">
        <f>IF(ROW()&lt;9,"",IF(OR(AD69="",AD64=""),"",IF(AD64=0,"",(AD69/AD64)-1)))</f>
        <v/>
      </c>
      <c r="AH69" s="23" t="str">
        <f>IF(OR(AF69="",AG69=""),"",IF(AND(AF69&gt;0,AG69&gt;0),"Bull",IF(AND(AF69&lt;0,AG69&lt;0),"Bear","Mixed")))</f>
        <v/>
      </c>
      <c r="AI69" s="13"/>
      <c r="AJ69" s="13" t="str">
        <f>IF(OR(AI69="",AI68=""),"",IF(AI68=0,"",(AI69/AI68)-1))</f>
        <v/>
      </c>
      <c r="AK69" s="23" t="str">
        <f>IF(OR(AJ69="",AJ68=""),"",IF(AJ68=0,"",(AJ69/AJ68)-1))</f>
        <v/>
      </c>
      <c r="AL69" s="23" t="str">
        <f>IF(ROW()&lt;7,"",IF(OR(AJ69="",AJ66=""),"",IF(AJ66=0,"",(AJ69/AJ66)-1)))</f>
        <v/>
      </c>
      <c r="AM69" s="23" t="str">
        <f>IF(ROW()&lt;9,"",IF(OR(AJ69="",AJ64=""),"",IF(AJ64=0,"",(AJ69/AJ64)-1)))</f>
        <v/>
      </c>
      <c r="AN69" t="str">
        <f>IF(OR(AL69="",AM69=""),"",IF(AND(AL69&gt;0,AM69&gt;0),"Bull",IF(AND(AL69&lt;0,AM69&lt;0),"Bear","Mixed")))</f>
        <v/>
      </c>
      <c r="AO69" t="str">
        <f>IF(OR(AH69="",AN69=""),"",IF(AND(AH69="Bull",AN69="Bull"),"YES","NO"))</f>
        <v/>
      </c>
      <c r="AP69" t="str">
        <f>IF(OR(AH69="",AN69=""),"",IF(AND(AH69="Bear",AN69="Bear"),"YES","NO"))</f>
        <v/>
      </c>
      <c r="AQ69" t="str">
        <f>IF(AO69="YES",IF(SUM(N(X69),N(Y69),N(Z69))&gt;0,"SOXL","TQQQ"),IF(AP69="YES",IF(SUM(N(AA69),N(AB69),N(AC69))&gt;0,"SOXS","SQQQ"),"WAIT"))</f>
        <v>WAIT</v>
      </c>
      <c r="AR69" s="23" t="str">
        <f>IF(AO69="YES",IF(SUM(N(X69),N(Y69),N(Z69))&gt;0,"TQQQ","SOXL"),IF(AP69="YES",IF(SUM(N(AA69),N(AB69),N(AC69))&gt;0,"SQQQ","SOXS"),""))</f>
        <v/>
      </c>
      <c r="AS69" s="23" t="str">
        <f>IF(AQ69="WAIT","",IF(AR69="",1,0.6))</f>
        <v/>
      </c>
      <c r="AT69" s="23">
        <f>IF(AR69="",0,0.4)</f>
        <v>0</v>
      </c>
      <c r="AU69" s="23" t="str">
        <f>IF(AQ69="WAIT","WAIT",IF(AO69="YES","BULL",IF(AP69="YES","BEAR","WAIT")))</f>
        <v>WAIT</v>
      </c>
      <c r="AV69" t="str">
        <f>IF(AQ69="WAIT","Low",IF(OR(AND(AU69="BULL",ABS(SUM(N(X69),N(Y69),N(Z69)))&gt;=0.15),AND(AU69="BEAR",ABS(SUM(N(AA69),N(AB69),N(AC69)))&gt;=0.15)),"Strong",IF(OR(AND(AU69="BULL",ABS(SUM(N(X69),N(Y69),N(Z69)))&gt;=0.05),AND(AU69="BEAR",ABS(SUM(N(AA69),N(AB69),N(AC69)))&gt;=0.05)),"Moderate","Low")))</f>
        <v>Low</v>
      </c>
      <c r="AW69" t="str">
        <f>IF(AQ69="WAIT","QQQ and SMH not aligned",IF(AU69="BULL",IF(AQ69="SOXL","Bull regime; semiconductors leading","Bull regime; tech leading"),IF(AQ69="SOXS","Bear regime; semiconductors weakest","Bear regime; tech weakest")))</f>
        <v>QQQ and SMH not aligned</v>
      </c>
      <c r="AX69" t="str">
        <f>IF(AR69="WAIT","QQQ and SMH not aligned",IF(AV69="BULL",IF(AR69="SOXL","Bull regime; semiconductors leading","Bull regime; tech leading"),IF(AR69="SOXS","Bear regime; semiconductors weakest","Bear regime; tech weakest")))</f>
        <v>Bear regime; tech weakest</v>
      </c>
    </row>
    <row r="70" spans="1:50" x14ac:dyDescent="0.2">
      <c r="A70" s="12"/>
      <c r="B70" s="13"/>
      <c r="C70" s="13"/>
      <c r="D70" s="13"/>
      <c r="E70" s="13"/>
      <c r="F70" s="11" t="str">
        <f>IF(OR(E70="",E69=""),"",IF(E69=0,"",(E70/E69)-1))</f>
        <v/>
      </c>
      <c r="G70" s="13"/>
      <c r="H70" s="11" t="str">
        <f>IF(OR(G70="",G69=""),"",IF(G69=0,"",(G70/G69)-1))</f>
        <v/>
      </c>
      <c r="I70" s="13"/>
      <c r="J70" s="13"/>
      <c r="K70" s="13"/>
      <c r="L70" s="13"/>
      <c r="M70" s="23" t="str">
        <f>IF(OR(L70="",L69=""),"",IF(L69=0,"",(L70/L69)-1))</f>
        <v/>
      </c>
      <c r="N70" s="26" t="str">
        <f>IFERROR((M70/M69)-1,"")</f>
        <v/>
      </c>
      <c r="O70" s="23" t="str">
        <f>IF(OR(N70="",N69=""),"",IF(N69=0,"",(N70/N69)-1))</f>
        <v/>
      </c>
      <c r="P70" s="11" t="str">
        <f>IF(ROW()&lt;7,"",IF(OR(E70="",E67=""),"",IF(E67=0,"",(E70/E67)-1)))</f>
        <v/>
      </c>
      <c r="Q70" s="23" t="str">
        <f>IF(ROW()&lt;9,"",IF(OR(E70="",E65=""),"",IF(E65=0,"",(E70/E65)-1)))</f>
        <v/>
      </c>
      <c r="R70" s="23" t="str">
        <f>IF(ROW()&lt;7,"",IF(OR(G70="",G67=""),"",IF(G67=0,"",(G70/G67)-1)))</f>
        <v/>
      </c>
      <c r="S70" s="23" t="str">
        <f>IF(ROW()&lt;9,"",IF(OR(G70="",G65=""),"",IF(G65=0,"",(G70/G65)-1)))</f>
        <v/>
      </c>
      <c r="T70" s="23" t="str">
        <f>IF(ROW()&lt;7,"",IF(OR(L70="",L67=""),"",IF(L67=0,"",(L70/L67)-1)))</f>
        <v/>
      </c>
      <c r="U70" s="23" t="str">
        <f>IF(ROW()&lt;9,"",IF(OR(L70="",L65=""),"",IF(L65=0,"",(L70/L65)-1)))</f>
        <v/>
      </c>
      <c r="V70" s="23" t="str">
        <f>IF(ROW()&lt;7,"",IF(OR(N70="",N67=""),"",IF(N67=0,"",(N70/N67)-1)))</f>
        <v/>
      </c>
      <c r="W70" s="23" t="str">
        <f>IF(ROW()&lt;9,"",IF(OR(N70="",N65=""),"",IF(N65=0,"",(N70/N65)-1)))</f>
        <v/>
      </c>
      <c r="X70" s="23" t="str">
        <f>IF(OR(F70="",M70=""),"",F70-M70)</f>
        <v/>
      </c>
      <c r="Y70" s="23" t="str">
        <f>IF(OR(P70="",T70=""),"",P70-T70)</f>
        <v/>
      </c>
      <c r="Z70" s="23" t="str">
        <f>IF(OR(Q70="",U70=""),"",Q70-U70)</f>
        <v/>
      </c>
      <c r="AA70" s="23" t="str">
        <f>IF(OR(H70="",O70=""),"",H70-O70)</f>
        <v/>
      </c>
      <c r="AB70" s="23" t="str">
        <f>IF(OR(R70="",V70=""),"",R70-V70)</f>
        <v/>
      </c>
      <c r="AC70" s="23" t="str">
        <f>IF(OR(S70="",W70=""),"",S70-W70)</f>
        <v/>
      </c>
      <c r="AD70" s="13"/>
      <c r="AE70" s="23" t="str">
        <f>IF(OR(AD70="",AD69=""),"",IF(AD69=0,"",(AD70/AD69)-1))</f>
        <v/>
      </c>
      <c r="AF70" s="23" t="str">
        <f>IF(ROW()&lt;7,"",IF(OR(AD70="",AD67=""),"",IF(AD67=0,"",(AD70/AD67)-1)))</f>
        <v/>
      </c>
      <c r="AG70" s="23" t="str">
        <f>IF(ROW()&lt;9,"",IF(OR(AD70="",AD65=""),"",IF(AD65=0,"",(AD70/AD65)-1)))</f>
        <v/>
      </c>
      <c r="AH70" s="23" t="str">
        <f>IF(OR(AF70="",AG70=""),"",IF(AND(AF70&gt;0,AG70&gt;0),"Bull",IF(AND(AF70&lt;0,AG70&lt;0),"Bear","Mixed")))</f>
        <v/>
      </c>
      <c r="AI70" s="13"/>
      <c r="AJ70" s="13" t="str">
        <f>IF(OR(AI70="",AI69=""),"",IF(AI69=0,"",(AI70/AI69)-1))</f>
        <v/>
      </c>
      <c r="AK70" s="23" t="str">
        <f>IF(OR(AJ70="",AJ69=""),"",IF(AJ69=0,"",(AJ70/AJ69)-1))</f>
        <v/>
      </c>
      <c r="AL70" s="23" t="str">
        <f>IF(ROW()&lt;7,"",IF(OR(AJ70="",AJ67=""),"",IF(AJ67=0,"",(AJ70/AJ67)-1)))</f>
        <v/>
      </c>
      <c r="AM70" s="23" t="str">
        <f>IF(ROW()&lt;9,"",IF(OR(AJ70="",AJ65=""),"",IF(AJ65=0,"",(AJ70/AJ65)-1)))</f>
        <v/>
      </c>
      <c r="AN70" t="str">
        <f>IF(OR(AL70="",AM70=""),"",IF(AND(AL70&gt;0,AM70&gt;0),"Bull",IF(AND(AL70&lt;0,AM70&lt;0),"Bear","Mixed")))</f>
        <v/>
      </c>
      <c r="AO70" t="str">
        <f>IF(OR(AH70="",AN70=""),"",IF(AND(AH70="Bull",AN70="Bull"),"YES","NO"))</f>
        <v/>
      </c>
      <c r="AP70" t="str">
        <f>IF(OR(AH70="",AN70=""),"",IF(AND(AH70="Bear",AN70="Bear"),"YES","NO"))</f>
        <v/>
      </c>
      <c r="AQ70" t="str">
        <f>IF(AO70="YES",IF(SUM(N(X70),N(Y70),N(Z70))&gt;0,"SOXL","TQQQ"),IF(AP70="YES",IF(SUM(N(AA70),N(AB70),N(AC70))&gt;0,"SOXS","SQQQ"),"WAIT"))</f>
        <v>WAIT</v>
      </c>
      <c r="AR70" s="23" t="str">
        <f>IF(AO70="YES",IF(SUM(N(X70),N(Y70),N(Z70))&gt;0,"TQQQ","SOXL"),IF(AP70="YES",IF(SUM(N(AA70),N(AB70),N(AC70))&gt;0,"SQQQ","SOXS"),""))</f>
        <v/>
      </c>
      <c r="AS70" s="23" t="str">
        <f>IF(AQ70="WAIT","",IF(AR70="",1,0.6))</f>
        <v/>
      </c>
      <c r="AT70" s="23">
        <f>IF(AR70="",0,0.4)</f>
        <v>0</v>
      </c>
      <c r="AU70" s="23" t="str">
        <f>IF(AQ70="WAIT","WAIT",IF(AO70="YES","BULL",IF(AP70="YES","BEAR","WAIT")))</f>
        <v>WAIT</v>
      </c>
      <c r="AV70" t="str">
        <f>IF(AQ70="WAIT","Low",IF(OR(AND(AU70="BULL",ABS(SUM(N(X70),N(Y70),N(Z70)))&gt;=0.15),AND(AU70="BEAR",ABS(SUM(N(AA70),N(AB70),N(AC70)))&gt;=0.15)),"Strong",IF(OR(AND(AU70="BULL",ABS(SUM(N(X70),N(Y70),N(Z70)))&gt;=0.05),AND(AU70="BEAR",ABS(SUM(N(AA70),N(AB70),N(AC70)))&gt;=0.05)),"Moderate","Low")))</f>
        <v>Low</v>
      </c>
      <c r="AW70" t="str">
        <f>IF(AQ70="WAIT","QQQ and SMH not aligned",IF(AU70="BULL",IF(AQ70="SOXL","Bull regime; semiconductors leading","Bull regime; tech leading"),IF(AQ70="SOXS","Bear regime; semiconductors weakest","Bear regime; tech weakest")))</f>
        <v>QQQ and SMH not aligned</v>
      </c>
      <c r="AX70" t="str">
        <f>IF(AR70="WAIT","QQQ and SMH not aligned",IF(AV70="BULL",IF(AR70="SOXL","Bull regime; semiconductors leading","Bull regime; tech leading"),IF(AR70="SOXS","Bear regime; semiconductors weakest","Bear regime; tech weakest")))</f>
        <v>Bear regime; tech weakest</v>
      </c>
    </row>
    <row r="71" spans="1:50" x14ac:dyDescent="0.2">
      <c r="A71" s="12"/>
      <c r="B71" s="13"/>
      <c r="C71" s="13"/>
      <c r="D71" s="13"/>
      <c r="E71" s="13"/>
      <c r="F71" s="11" t="str">
        <f>IF(OR(E71="",E70=""),"",IF(E70=0,"",(E71/E70)-1))</f>
        <v/>
      </c>
      <c r="G71" s="13"/>
      <c r="H71" s="11" t="str">
        <f>IF(OR(G71="",G70=""),"",IF(G70=0,"",(G71/G70)-1))</f>
        <v/>
      </c>
      <c r="I71" s="13"/>
      <c r="J71" s="13"/>
      <c r="K71" s="13"/>
      <c r="L71" s="13"/>
      <c r="M71" s="23" t="str">
        <f>IF(OR(L71="",L70=""),"",IF(L70=0,"",(L71/L70)-1))</f>
        <v/>
      </c>
      <c r="N71" s="26" t="str">
        <f>IFERROR((M71/M70)-1,"")</f>
        <v/>
      </c>
      <c r="O71" s="23" t="str">
        <f>IF(OR(N71="",N70=""),"",IF(N70=0,"",(N71/N70)-1))</f>
        <v/>
      </c>
      <c r="P71" s="11" t="str">
        <f>IF(ROW()&lt;7,"",IF(OR(E71="",E68=""),"",IF(E68=0,"",(E71/E68)-1)))</f>
        <v/>
      </c>
      <c r="Q71" s="23" t="str">
        <f>IF(ROW()&lt;9,"",IF(OR(E71="",E66=""),"",IF(E66=0,"",(E71/E66)-1)))</f>
        <v/>
      </c>
      <c r="R71" s="23" t="str">
        <f>IF(ROW()&lt;7,"",IF(OR(G71="",G68=""),"",IF(G68=0,"",(G71/G68)-1)))</f>
        <v/>
      </c>
      <c r="S71" s="23" t="str">
        <f>IF(ROW()&lt;9,"",IF(OR(G71="",G66=""),"",IF(G66=0,"",(G71/G66)-1)))</f>
        <v/>
      </c>
      <c r="T71" s="23" t="str">
        <f>IF(ROW()&lt;7,"",IF(OR(L71="",L68=""),"",IF(L68=0,"",(L71/L68)-1)))</f>
        <v/>
      </c>
      <c r="U71" s="23" t="str">
        <f>IF(ROW()&lt;9,"",IF(OR(L71="",L66=""),"",IF(L66=0,"",(L71/L66)-1)))</f>
        <v/>
      </c>
      <c r="V71" s="23" t="str">
        <f>IF(ROW()&lt;7,"",IF(OR(N71="",N68=""),"",IF(N68=0,"",(N71/N68)-1)))</f>
        <v/>
      </c>
      <c r="W71" s="23" t="str">
        <f>IF(ROW()&lt;9,"",IF(OR(N71="",N66=""),"",IF(N66=0,"",(N71/N66)-1)))</f>
        <v/>
      </c>
      <c r="X71" s="23" t="str">
        <f>IF(OR(F71="",M71=""),"",F71-M71)</f>
        <v/>
      </c>
      <c r="Y71" s="23" t="str">
        <f>IF(OR(P71="",T71=""),"",P71-T71)</f>
        <v/>
      </c>
      <c r="Z71" s="23" t="str">
        <f>IF(OR(Q71="",U71=""),"",Q71-U71)</f>
        <v/>
      </c>
      <c r="AA71" s="23" t="str">
        <f>IF(OR(H71="",O71=""),"",H71-O71)</f>
        <v/>
      </c>
      <c r="AB71" s="23" t="str">
        <f>IF(OR(R71="",V71=""),"",R71-V71)</f>
        <v/>
      </c>
      <c r="AC71" s="23" t="str">
        <f>IF(OR(S71="",W71=""),"",S71-W71)</f>
        <v/>
      </c>
      <c r="AD71" s="13"/>
      <c r="AE71" s="23" t="str">
        <f>IF(OR(AD71="",AD70=""),"",IF(AD70=0,"",(AD71/AD70)-1))</f>
        <v/>
      </c>
      <c r="AF71" s="23" t="str">
        <f>IF(ROW()&lt;7,"",IF(OR(AD71="",AD68=""),"",IF(AD68=0,"",(AD71/AD68)-1)))</f>
        <v/>
      </c>
      <c r="AG71" s="23" t="str">
        <f>IF(ROW()&lt;9,"",IF(OR(AD71="",AD66=""),"",IF(AD66=0,"",(AD71/AD66)-1)))</f>
        <v/>
      </c>
      <c r="AH71" s="23" t="str">
        <f>IF(OR(AF71="",AG71=""),"",IF(AND(AF71&gt;0,AG71&gt;0),"Bull",IF(AND(AF71&lt;0,AG71&lt;0),"Bear","Mixed")))</f>
        <v/>
      </c>
      <c r="AI71" s="13"/>
      <c r="AJ71" s="13" t="str">
        <f>IF(OR(AI71="",AI70=""),"",IF(AI70=0,"",(AI71/AI70)-1))</f>
        <v/>
      </c>
      <c r="AK71" s="23" t="str">
        <f>IF(OR(AJ71="",AJ70=""),"",IF(AJ70=0,"",(AJ71/AJ70)-1))</f>
        <v/>
      </c>
      <c r="AL71" s="23" t="str">
        <f>IF(ROW()&lt;7,"",IF(OR(AJ71="",AJ68=""),"",IF(AJ68=0,"",(AJ71/AJ68)-1)))</f>
        <v/>
      </c>
      <c r="AM71" s="23" t="str">
        <f>IF(ROW()&lt;9,"",IF(OR(AJ71="",AJ66=""),"",IF(AJ66=0,"",(AJ71/AJ66)-1)))</f>
        <v/>
      </c>
      <c r="AN71" t="str">
        <f>IF(OR(AL71="",AM71=""),"",IF(AND(AL71&gt;0,AM71&gt;0),"Bull",IF(AND(AL71&lt;0,AM71&lt;0),"Bear","Mixed")))</f>
        <v/>
      </c>
      <c r="AO71" t="str">
        <f>IF(OR(AH71="",AN71=""),"",IF(AND(AH71="Bull",AN71="Bull"),"YES","NO"))</f>
        <v/>
      </c>
      <c r="AP71" t="str">
        <f>IF(OR(AH71="",AN71=""),"",IF(AND(AH71="Bear",AN71="Bear"),"YES","NO"))</f>
        <v/>
      </c>
      <c r="AQ71" t="str">
        <f>IF(AO71="YES",IF(SUM(N(X71),N(Y71),N(Z71))&gt;0,"SOXL","TQQQ"),IF(AP71="YES",IF(SUM(N(AA71),N(AB71),N(AC71))&gt;0,"SOXS","SQQQ"),"WAIT"))</f>
        <v>WAIT</v>
      </c>
      <c r="AR71" s="23" t="str">
        <f>IF(AO71="YES",IF(SUM(N(X71),N(Y71),N(Z71))&gt;0,"TQQQ","SOXL"),IF(AP71="YES",IF(SUM(N(AA71),N(AB71),N(AC71))&gt;0,"SQQQ","SOXS"),""))</f>
        <v/>
      </c>
      <c r="AS71" s="23" t="str">
        <f>IF(AQ71="WAIT","",IF(AR71="",1,0.6))</f>
        <v/>
      </c>
      <c r="AT71" s="23">
        <f>IF(AR71="",0,0.4)</f>
        <v>0</v>
      </c>
      <c r="AU71" s="23" t="str">
        <f>IF(AQ71="WAIT","WAIT",IF(AO71="YES","BULL",IF(AP71="YES","BEAR","WAIT")))</f>
        <v>WAIT</v>
      </c>
      <c r="AV71" t="str">
        <f>IF(AQ71="WAIT","Low",IF(OR(AND(AU71="BULL",ABS(SUM(N(X71),N(Y71),N(Z71)))&gt;=0.15),AND(AU71="BEAR",ABS(SUM(N(AA71),N(AB71),N(AC71)))&gt;=0.15)),"Strong",IF(OR(AND(AU71="BULL",ABS(SUM(N(X71),N(Y71),N(Z71)))&gt;=0.05),AND(AU71="BEAR",ABS(SUM(N(AA71),N(AB71),N(AC71)))&gt;=0.05)),"Moderate","Low")))</f>
        <v>Low</v>
      </c>
      <c r="AW71" t="str">
        <f>IF(AQ71="WAIT","QQQ and SMH not aligned",IF(AU71="BULL",IF(AQ71="SOXL","Bull regime; semiconductors leading","Bull regime; tech leading"),IF(AQ71="SOXS","Bear regime; semiconductors weakest","Bear regime; tech weakest")))</f>
        <v>QQQ and SMH not aligned</v>
      </c>
      <c r="AX71" t="str">
        <f>IF(AR71="WAIT","QQQ and SMH not aligned",IF(AV71="BULL",IF(AR71="SOXL","Bull regime; semiconductors leading","Bull regime; tech leading"),IF(AR71="SOXS","Bear regime; semiconductors weakest","Bear regime; tech weakest")))</f>
        <v>Bear regime; tech weakest</v>
      </c>
    </row>
    <row r="72" spans="1:50" x14ac:dyDescent="0.2">
      <c r="A72" s="12"/>
      <c r="B72" s="13"/>
      <c r="C72" s="13"/>
      <c r="D72" s="13"/>
      <c r="E72" s="13"/>
      <c r="F72" s="11" t="str">
        <f>IF(OR(E72="",E71=""),"",IF(E71=0,"",(E72/E71)-1))</f>
        <v/>
      </c>
      <c r="G72" s="13"/>
      <c r="H72" s="11" t="str">
        <f>IF(OR(G72="",G71=""),"",IF(G71=0,"",(G72/G71)-1))</f>
        <v/>
      </c>
      <c r="I72" s="13"/>
      <c r="J72" s="13"/>
      <c r="K72" s="13"/>
      <c r="L72" s="13"/>
      <c r="M72" s="23" t="str">
        <f>IF(OR(L72="",L71=""),"",IF(L71=0,"",(L72/L71)-1))</f>
        <v/>
      </c>
      <c r="N72" s="26" t="str">
        <f>IFERROR((M72/M71)-1,"")</f>
        <v/>
      </c>
      <c r="O72" s="23" t="str">
        <f>IF(OR(N72="",N71=""),"",IF(N71=0,"",(N72/N71)-1))</f>
        <v/>
      </c>
      <c r="P72" s="11" t="str">
        <f>IF(ROW()&lt;7,"",IF(OR(E72="",E69=""),"",IF(E69=0,"",(E72/E69)-1)))</f>
        <v/>
      </c>
      <c r="Q72" s="23" t="str">
        <f>IF(ROW()&lt;9,"",IF(OR(E72="",E67=""),"",IF(E67=0,"",(E72/E67)-1)))</f>
        <v/>
      </c>
      <c r="R72" s="23" t="str">
        <f>IF(ROW()&lt;7,"",IF(OR(G72="",G69=""),"",IF(G69=0,"",(G72/G69)-1)))</f>
        <v/>
      </c>
      <c r="S72" s="23" t="str">
        <f>IF(ROW()&lt;9,"",IF(OR(G72="",G67=""),"",IF(G67=0,"",(G72/G67)-1)))</f>
        <v/>
      </c>
      <c r="T72" s="23" t="str">
        <f>IF(ROW()&lt;7,"",IF(OR(L72="",L69=""),"",IF(L69=0,"",(L72/L69)-1)))</f>
        <v/>
      </c>
      <c r="U72" s="23" t="str">
        <f>IF(ROW()&lt;9,"",IF(OR(L72="",L67=""),"",IF(L67=0,"",(L72/L67)-1)))</f>
        <v/>
      </c>
      <c r="V72" s="23" t="str">
        <f>IF(ROW()&lt;7,"",IF(OR(N72="",N69=""),"",IF(N69=0,"",(N72/N69)-1)))</f>
        <v/>
      </c>
      <c r="W72" s="23" t="str">
        <f>IF(ROW()&lt;9,"",IF(OR(N72="",N67=""),"",IF(N67=0,"",(N72/N67)-1)))</f>
        <v/>
      </c>
      <c r="X72" s="23" t="str">
        <f>IF(OR(F72="",M72=""),"",F72-M72)</f>
        <v/>
      </c>
      <c r="Y72" s="23" t="str">
        <f>IF(OR(P72="",T72=""),"",P72-T72)</f>
        <v/>
      </c>
      <c r="Z72" s="23" t="str">
        <f>IF(OR(Q72="",U72=""),"",Q72-U72)</f>
        <v/>
      </c>
      <c r="AA72" s="23" t="str">
        <f>IF(OR(H72="",O72=""),"",H72-O72)</f>
        <v/>
      </c>
      <c r="AB72" s="23" t="str">
        <f>IF(OR(R72="",V72=""),"",R72-V72)</f>
        <v/>
      </c>
      <c r="AC72" s="23" t="str">
        <f>IF(OR(S72="",W72=""),"",S72-W72)</f>
        <v/>
      </c>
      <c r="AD72" s="13"/>
      <c r="AE72" s="23" t="str">
        <f>IF(OR(AD72="",AD71=""),"",IF(AD71=0,"",(AD72/AD71)-1))</f>
        <v/>
      </c>
      <c r="AF72" s="23" t="str">
        <f>IF(ROW()&lt;7,"",IF(OR(AD72="",AD69=""),"",IF(AD69=0,"",(AD72/AD69)-1)))</f>
        <v/>
      </c>
      <c r="AG72" s="23" t="str">
        <f>IF(ROW()&lt;9,"",IF(OR(AD72="",AD67=""),"",IF(AD67=0,"",(AD72/AD67)-1)))</f>
        <v/>
      </c>
      <c r="AH72" s="23" t="str">
        <f>IF(OR(AF72="",AG72=""),"",IF(AND(AF72&gt;0,AG72&gt;0),"Bull",IF(AND(AF72&lt;0,AG72&lt;0),"Bear","Mixed")))</f>
        <v/>
      </c>
      <c r="AI72" s="13"/>
      <c r="AJ72" s="13" t="str">
        <f>IF(OR(AI72="",AI71=""),"",IF(AI71=0,"",(AI72/AI71)-1))</f>
        <v/>
      </c>
      <c r="AK72" s="23" t="str">
        <f>IF(OR(AJ72="",AJ71=""),"",IF(AJ71=0,"",(AJ72/AJ71)-1))</f>
        <v/>
      </c>
      <c r="AL72" s="23" t="str">
        <f>IF(ROW()&lt;7,"",IF(OR(AJ72="",AJ69=""),"",IF(AJ69=0,"",(AJ72/AJ69)-1)))</f>
        <v/>
      </c>
      <c r="AM72" s="23" t="str">
        <f>IF(ROW()&lt;9,"",IF(OR(AJ72="",AJ67=""),"",IF(AJ67=0,"",(AJ72/AJ67)-1)))</f>
        <v/>
      </c>
      <c r="AN72" t="str">
        <f>IF(OR(AL72="",AM72=""),"",IF(AND(AL72&gt;0,AM72&gt;0),"Bull",IF(AND(AL72&lt;0,AM72&lt;0),"Bear","Mixed")))</f>
        <v/>
      </c>
      <c r="AO72" t="str">
        <f>IF(OR(AH72="",AN72=""),"",IF(AND(AH72="Bull",AN72="Bull"),"YES","NO"))</f>
        <v/>
      </c>
      <c r="AP72" t="str">
        <f>IF(OR(AH72="",AN72=""),"",IF(AND(AH72="Bear",AN72="Bear"),"YES","NO"))</f>
        <v/>
      </c>
      <c r="AQ72" t="str">
        <f>IF(AO72="YES",IF(SUM(N(X72),N(Y72),N(Z72))&gt;0,"SOXL","TQQQ"),IF(AP72="YES",IF(SUM(N(AA72),N(AB72),N(AC72))&gt;0,"SOXS","SQQQ"),"WAIT"))</f>
        <v>WAIT</v>
      </c>
      <c r="AR72" s="23" t="str">
        <f>IF(AO72="YES",IF(SUM(N(X72),N(Y72),N(Z72))&gt;0,"TQQQ","SOXL"),IF(AP72="YES",IF(SUM(N(AA72),N(AB72),N(AC72))&gt;0,"SQQQ","SOXS"),""))</f>
        <v/>
      </c>
      <c r="AS72" s="23" t="str">
        <f>IF(AQ72="WAIT","",IF(AR72="",1,0.6))</f>
        <v/>
      </c>
      <c r="AT72" s="23">
        <f>IF(AR72="",0,0.4)</f>
        <v>0</v>
      </c>
      <c r="AU72" s="23" t="str">
        <f>IF(AQ72="WAIT","WAIT",IF(AO72="YES","BULL",IF(AP72="YES","BEAR","WAIT")))</f>
        <v>WAIT</v>
      </c>
      <c r="AV72" t="str">
        <f>IF(AQ72="WAIT","Low",IF(OR(AND(AU72="BULL",ABS(SUM(N(X72),N(Y72),N(Z72)))&gt;=0.15),AND(AU72="BEAR",ABS(SUM(N(AA72),N(AB72),N(AC72)))&gt;=0.15)),"Strong",IF(OR(AND(AU72="BULL",ABS(SUM(N(X72),N(Y72),N(Z72)))&gt;=0.05),AND(AU72="BEAR",ABS(SUM(N(AA72),N(AB72),N(AC72)))&gt;=0.05)),"Moderate","Low")))</f>
        <v>Low</v>
      </c>
      <c r="AW72" t="str">
        <f>IF(AQ72="WAIT","QQQ and SMH not aligned",IF(AU72="BULL",IF(AQ72="SOXL","Bull regime; semiconductors leading","Bull regime; tech leading"),IF(AQ72="SOXS","Bear regime; semiconductors weakest","Bear regime; tech weakest")))</f>
        <v>QQQ and SMH not aligned</v>
      </c>
      <c r="AX72" t="str">
        <f>IF(AR72="WAIT","QQQ and SMH not aligned",IF(AV72="BULL",IF(AR72="SOXL","Bull regime; semiconductors leading","Bull regime; tech leading"),IF(AR72="SOXS","Bear regime; semiconductors weakest","Bear regime; tech weakest")))</f>
        <v>Bear regime; tech weakest</v>
      </c>
    </row>
    <row r="73" spans="1:50" x14ac:dyDescent="0.2">
      <c r="A73" s="12"/>
      <c r="B73" s="13"/>
      <c r="C73" s="13"/>
      <c r="D73" s="13"/>
      <c r="E73" s="13"/>
      <c r="F73" s="11" t="str">
        <f>IF(OR(E73="",E72=""),"",IF(E72=0,"",(E73/E72)-1))</f>
        <v/>
      </c>
      <c r="G73" s="13"/>
      <c r="H73" s="11" t="str">
        <f>IF(OR(G73="",G72=""),"",IF(G72=0,"",(G73/G72)-1))</f>
        <v/>
      </c>
      <c r="I73" s="13"/>
      <c r="J73" s="13"/>
      <c r="K73" s="13"/>
      <c r="L73" s="13"/>
      <c r="M73" s="23" t="str">
        <f>IF(OR(L73="",L72=""),"",IF(L72=0,"",(L73/L72)-1))</f>
        <v/>
      </c>
      <c r="N73" s="26" t="str">
        <f>IFERROR((M73/M72)-1,"")</f>
        <v/>
      </c>
      <c r="O73" s="23" t="str">
        <f>IF(OR(N73="",N72=""),"",IF(N72=0,"",(N73/N72)-1))</f>
        <v/>
      </c>
      <c r="P73" s="11" t="str">
        <f>IF(ROW()&lt;7,"",IF(OR(E73="",E70=""),"",IF(E70=0,"",(E73/E70)-1)))</f>
        <v/>
      </c>
      <c r="Q73" s="23" t="str">
        <f>IF(ROW()&lt;9,"",IF(OR(E73="",E68=""),"",IF(E68=0,"",(E73/E68)-1)))</f>
        <v/>
      </c>
      <c r="R73" s="23" t="str">
        <f>IF(ROW()&lt;7,"",IF(OR(G73="",G70=""),"",IF(G70=0,"",(G73/G70)-1)))</f>
        <v/>
      </c>
      <c r="S73" s="23" t="str">
        <f>IF(ROW()&lt;9,"",IF(OR(G73="",G68=""),"",IF(G68=0,"",(G73/G68)-1)))</f>
        <v/>
      </c>
      <c r="T73" s="23" t="str">
        <f>IF(ROW()&lt;7,"",IF(OR(L73="",L70=""),"",IF(L70=0,"",(L73/L70)-1)))</f>
        <v/>
      </c>
      <c r="U73" s="23" t="str">
        <f>IF(ROW()&lt;9,"",IF(OR(L73="",L68=""),"",IF(L68=0,"",(L73/L68)-1)))</f>
        <v/>
      </c>
      <c r="V73" s="23" t="str">
        <f>IF(ROW()&lt;7,"",IF(OR(N73="",N70=""),"",IF(N70=0,"",(N73/N70)-1)))</f>
        <v/>
      </c>
      <c r="W73" s="23" t="str">
        <f>IF(ROW()&lt;9,"",IF(OR(N73="",N68=""),"",IF(N68=0,"",(N73/N68)-1)))</f>
        <v/>
      </c>
      <c r="X73" s="23" t="str">
        <f>IF(OR(F73="",M73=""),"",F73-M73)</f>
        <v/>
      </c>
      <c r="Y73" s="23" t="str">
        <f>IF(OR(P73="",T73=""),"",P73-T73)</f>
        <v/>
      </c>
      <c r="Z73" s="23" t="str">
        <f>IF(OR(Q73="",U73=""),"",Q73-U73)</f>
        <v/>
      </c>
      <c r="AA73" s="23" t="str">
        <f>IF(OR(H73="",O73=""),"",H73-O73)</f>
        <v/>
      </c>
      <c r="AB73" s="23" t="str">
        <f>IF(OR(R73="",V73=""),"",R73-V73)</f>
        <v/>
      </c>
      <c r="AC73" s="23" t="str">
        <f>IF(OR(S73="",W73=""),"",S73-W73)</f>
        <v/>
      </c>
      <c r="AD73" s="13"/>
      <c r="AE73" s="23" t="str">
        <f>IF(OR(AD73="",AD72=""),"",IF(AD72=0,"",(AD73/AD72)-1))</f>
        <v/>
      </c>
      <c r="AF73" s="23" t="str">
        <f>IF(ROW()&lt;7,"",IF(OR(AD73="",AD70=""),"",IF(AD70=0,"",(AD73/AD70)-1)))</f>
        <v/>
      </c>
      <c r="AG73" s="23" t="str">
        <f>IF(ROW()&lt;9,"",IF(OR(AD73="",AD68=""),"",IF(AD68=0,"",(AD73/AD68)-1)))</f>
        <v/>
      </c>
      <c r="AH73" s="23" t="str">
        <f>IF(OR(AF73="",AG73=""),"",IF(AND(AF73&gt;0,AG73&gt;0),"Bull",IF(AND(AF73&lt;0,AG73&lt;0),"Bear","Mixed")))</f>
        <v/>
      </c>
      <c r="AI73" s="13"/>
      <c r="AJ73" s="13" t="str">
        <f>IF(OR(AI73="",AI72=""),"",IF(AI72=0,"",(AI73/AI72)-1))</f>
        <v/>
      </c>
      <c r="AK73" s="23" t="str">
        <f>IF(OR(AJ73="",AJ72=""),"",IF(AJ72=0,"",(AJ73/AJ72)-1))</f>
        <v/>
      </c>
      <c r="AL73" s="23" t="str">
        <f>IF(ROW()&lt;7,"",IF(OR(AJ73="",AJ70=""),"",IF(AJ70=0,"",(AJ73/AJ70)-1)))</f>
        <v/>
      </c>
      <c r="AM73" s="23" t="str">
        <f>IF(ROW()&lt;9,"",IF(OR(AJ73="",AJ68=""),"",IF(AJ68=0,"",(AJ73/AJ68)-1)))</f>
        <v/>
      </c>
      <c r="AN73" t="str">
        <f>IF(OR(AL73="",AM73=""),"",IF(AND(AL73&gt;0,AM73&gt;0),"Bull",IF(AND(AL73&lt;0,AM73&lt;0),"Bear","Mixed")))</f>
        <v/>
      </c>
      <c r="AO73" t="str">
        <f>IF(OR(AH73="",AN73=""),"",IF(AND(AH73="Bull",AN73="Bull"),"YES","NO"))</f>
        <v/>
      </c>
      <c r="AP73" t="str">
        <f>IF(OR(AH73="",AN73=""),"",IF(AND(AH73="Bear",AN73="Bear"),"YES","NO"))</f>
        <v/>
      </c>
      <c r="AQ73" t="str">
        <f>IF(AO73="YES",IF(SUM(N(X73),N(Y73),N(Z73))&gt;0,"SOXL","TQQQ"),IF(AP73="YES",IF(SUM(N(AA73),N(AB73),N(AC73))&gt;0,"SOXS","SQQQ"),"WAIT"))</f>
        <v>WAIT</v>
      </c>
      <c r="AR73" s="23" t="str">
        <f>IF(AO73="YES",IF(SUM(N(X73),N(Y73),N(Z73))&gt;0,"TQQQ","SOXL"),IF(AP73="YES",IF(SUM(N(AA73),N(AB73),N(AC73))&gt;0,"SQQQ","SOXS"),""))</f>
        <v/>
      </c>
      <c r="AS73" s="23" t="str">
        <f>IF(AQ73="WAIT","",IF(AR73="",1,0.6))</f>
        <v/>
      </c>
      <c r="AT73" s="23">
        <f>IF(AR73="",0,0.4)</f>
        <v>0</v>
      </c>
      <c r="AU73" s="23" t="str">
        <f>IF(AQ73="WAIT","WAIT",IF(AO73="YES","BULL",IF(AP73="YES","BEAR","WAIT")))</f>
        <v>WAIT</v>
      </c>
      <c r="AV73" t="str">
        <f>IF(AQ73="WAIT","Low",IF(OR(AND(AU73="BULL",ABS(SUM(N(X73),N(Y73),N(Z73)))&gt;=0.15),AND(AU73="BEAR",ABS(SUM(N(AA73),N(AB73),N(AC73)))&gt;=0.15)),"Strong",IF(OR(AND(AU73="BULL",ABS(SUM(N(X73),N(Y73),N(Z73)))&gt;=0.05),AND(AU73="BEAR",ABS(SUM(N(AA73),N(AB73),N(AC73)))&gt;=0.05)),"Moderate","Low")))</f>
        <v>Low</v>
      </c>
      <c r="AW73" t="str">
        <f>IF(AQ73="WAIT","QQQ and SMH not aligned",IF(AU73="BULL",IF(AQ73="SOXL","Bull regime; semiconductors leading","Bull regime; tech leading"),IF(AQ73="SOXS","Bear regime; semiconductors weakest","Bear regime; tech weakest")))</f>
        <v>QQQ and SMH not aligned</v>
      </c>
      <c r="AX73" t="str">
        <f>IF(AR73="WAIT","QQQ and SMH not aligned",IF(AV73="BULL",IF(AR73="SOXL","Bull regime; semiconductors leading","Bull regime; tech leading"),IF(AR73="SOXS","Bear regime; semiconductors weakest","Bear regime; tech weakest")))</f>
        <v>Bear regime; tech weakest</v>
      </c>
    </row>
    <row r="74" spans="1:50" x14ac:dyDescent="0.2">
      <c r="A74" s="12"/>
      <c r="B74" s="13"/>
      <c r="C74" s="13"/>
      <c r="D74" s="13"/>
      <c r="E74" s="13"/>
      <c r="F74" s="11" t="str">
        <f>IF(OR(E74="",E73=""),"",IF(E73=0,"",(E74/E73)-1))</f>
        <v/>
      </c>
      <c r="G74" s="13"/>
      <c r="H74" s="11" t="str">
        <f>IF(OR(G74="",G73=""),"",IF(G73=0,"",(G74/G73)-1))</f>
        <v/>
      </c>
      <c r="I74" s="13"/>
      <c r="J74" s="13"/>
      <c r="K74" s="13"/>
      <c r="L74" s="13"/>
      <c r="M74" s="23" t="str">
        <f>IF(OR(L74="",L73=""),"",IF(L73=0,"",(L74/L73)-1))</f>
        <v/>
      </c>
      <c r="N74" s="26" t="str">
        <f>IFERROR((M74/M73)-1,"")</f>
        <v/>
      </c>
      <c r="O74" s="23" t="str">
        <f>IF(OR(N74="",N73=""),"",IF(N73=0,"",(N74/N73)-1))</f>
        <v/>
      </c>
      <c r="P74" s="11" t="str">
        <f>IF(ROW()&lt;7,"",IF(OR(E74="",E71=""),"",IF(E71=0,"",(E74/E71)-1)))</f>
        <v/>
      </c>
      <c r="Q74" s="23" t="str">
        <f>IF(ROW()&lt;9,"",IF(OR(E74="",E69=""),"",IF(E69=0,"",(E74/E69)-1)))</f>
        <v/>
      </c>
      <c r="R74" s="23" t="str">
        <f>IF(ROW()&lt;7,"",IF(OR(G74="",G71=""),"",IF(G71=0,"",(G74/G71)-1)))</f>
        <v/>
      </c>
      <c r="S74" s="23" t="str">
        <f>IF(ROW()&lt;9,"",IF(OR(G74="",G69=""),"",IF(G69=0,"",(G74/G69)-1)))</f>
        <v/>
      </c>
      <c r="T74" s="23" t="str">
        <f>IF(ROW()&lt;7,"",IF(OR(L74="",L71=""),"",IF(L71=0,"",(L74/L71)-1)))</f>
        <v/>
      </c>
      <c r="U74" s="23" t="str">
        <f>IF(ROW()&lt;9,"",IF(OR(L74="",L69=""),"",IF(L69=0,"",(L74/L69)-1)))</f>
        <v/>
      </c>
      <c r="V74" s="23" t="str">
        <f>IF(ROW()&lt;7,"",IF(OR(N74="",N71=""),"",IF(N71=0,"",(N74/N71)-1)))</f>
        <v/>
      </c>
      <c r="W74" s="23" t="str">
        <f>IF(ROW()&lt;9,"",IF(OR(N74="",N69=""),"",IF(N69=0,"",(N74/N69)-1)))</f>
        <v/>
      </c>
      <c r="X74" s="23" t="str">
        <f>IF(OR(F74="",M74=""),"",F74-M74)</f>
        <v/>
      </c>
      <c r="Y74" s="23" t="str">
        <f>IF(OR(P74="",T74=""),"",P74-T74)</f>
        <v/>
      </c>
      <c r="Z74" s="23" t="str">
        <f>IF(OR(Q74="",U74=""),"",Q74-U74)</f>
        <v/>
      </c>
      <c r="AA74" s="23" t="str">
        <f>IF(OR(H74="",O74=""),"",H74-O74)</f>
        <v/>
      </c>
      <c r="AB74" s="23" t="str">
        <f>IF(OR(R74="",V74=""),"",R74-V74)</f>
        <v/>
      </c>
      <c r="AC74" s="23" t="str">
        <f>IF(OR(S74="",W74=""),"",S74-W74)</f>
        <v/>
      </c>
      <c r="AD74" s="13"/>
      <c r="AE74" s="23" t="str">
        <f>IF(OR(AD74="",AD73=""),"",IF(AD73=0,"",(AD74/AD73)-1))</f>
        <v/>
      </c>
      <c r="AF74" s="23" t="str">
        <f>IF(ROW()&lt;7,"",IF(OR(AD74="",AD71=""),"",IF(AD71=0,"",(AD74/AD71)-1)))</f>
        <v/>
      </c>
      <c r="AG74" s="23" t="str">
        <f>IF(ROW()&lt;9,"",IF(OR(AD74="",AD69=""),"",IF(AD69=0,"",(AD74/AD69)-1)))</f>
        <v/>
      </c>
      <c r="AH74" s="23" t="str">
        <f>IF(OR(AF74="",AG74=""),"",IF(AND(AF74&gt;0,AG74&gt;0),"Bull",IF(AND(AF74&lt;0,AG74&lt;0),"Bear","Mixed")))</f>
        <v/>
      </c>
      <c r="AI74" s="13"/>
      <c r="AJ74" s="13" t="str">
        <f>IF(OR(AI74="",AI73=""),"",IF(AI73=0,"",(AI74/AI73)-1))</f>
        <v/>
      </c>
      <c r="AK74" s="23" t="str">
        <f>IF(OR(AJ74="",AJ73=""),"",IF(AJ73=0,"",(AJ74/AJ73)-1))</f>
        <v/>
      </c>
      <c r="AL74" s="23" t="str">
        <f>IF(ROW()&lt;7,"",IF(OR(AJ74="",AJ71=""),"",IF(AJ71=0,"",(AJ74/AJ71)-1)))</f>
        <v/>
      </c>
      <c r="AM74" s="23" t="str">
        <f>IF(ROW()&lt;9,"",IF(OR(AJ74="",AJ69=""),"",IF(AJ69=0,"",(AJ74/AJ69)-1)))</f>
        <v/>
      </c>
      <c r="AN74" t="str">
        <f>IF(OR(AL74="",AM74=""),"",IF(AND(AL74&gt;0,AM74&gt;0),"Bull",IF(AND(AL74&lt;0,AM74&lt;0),"Bear","Mixed")))</f>
        <v/>
      </c>
      <c r="AO74" t="str">
        <f>IF(OR(AH74="",AN74=""),"",IF(AND(AH74="Bull",AN74="Bull"),"YES","NO"))</f>
        <v/>
      </c>
      <c r="AP74" t="str">
        <f>IF(OR(AH74="",AN74=""),"",IF(AND(AH74="Bear",AN74="Bear"),"YES","NO"))</f>
        <v/>
      </c>
      <c r="AQ74" t="str">
        <f>IF(AO74="YES",IF(SUM(N(X74),N(Y74),N(Z74))&gt;0,"SOXL","TQQQ"),IF(AP74="YES",IF(SUM(N(AA74),N(AB74),N(AC74))&gt;0,"SOXS","SQQQ"),"WAIT"))</f>
        <v>WAIT</v>
      </c>
      <c r="AR74" s="23" t="str">
        <f>IF(AO74="YES",IF(SUM(N(X74),N(Y74),N(Z74))&gt;0,"TQQQ","SOXL"),IF(AP74="YES",IF(SUM(N(AA74),N(AB74),N(AC74))&gt;0,"SQQQ","SOXS"),""))</f>
        <v/>
      </c>
      <c r="AS74" s="23" t="str">
        <f>IF(AQ74="WAIT","",IF(AR74="",1,0.6))</f>
        <v/>
      </c>
      <c r="AT74" s="23">
        <f>IF(AR74="",0,0.4)</f>
        <v>0</v>
      </c>
      <c r="AU74" s="23" t="str">
        <f>IF(AQ74="WAIT","WAIT",IF(AO74="YES","BULL",IF(AP74="YES","BEAR","WAIT")))</f>
        <v>WAIT</v>
      </c>
      <c r="AV74" t="str">
        <f>IF(AQ74="WAIT","Low",IF(OR(AND(AU74="BULL",ABS(SUM(N(X74),N(Y74),N(Z74)))&gt;=0.15),AND(AU74="BEAR",ABS(SUM(N(AA74),N(AB74),N(AC74)))&gt;=0.15)),"Strong",IF(OR(AND(AU74="BULL",ABS(SUM(N(X74),N(Y74),N(Z74)))&gt;=0.05),AND(AU74="BEAR",ABS(SUM(N(AA74),N(AB74),N(AC74)))&gt;=0.05)),"Moderate","Low")))</f>
        <v>Low</v>
      </c>
      <c r="AW74" t="str">
        <f>IF(AQ74="WAIT","QQQ and SMH not aligned",IF(AU74="BULL",IF(AQ74="SOXL","Bull regime; semiconductors leading","Bull regime; tech leading"),IF(AQ74="SOXS","Bear regime; semiconductors weakest","Bear regime; tech weakest")))</f>
        <v>QQQ and SMH not aligned</v>
      </c>
      <c r="AX74" t="str">
        <f>IF(AR74="WAIT","QQQ and SMH not aligned",IF(AV74="BULL",IF(AR74="SOXL","Bull regime; semiconductors leading","Bull regime; tech leading"),IF(AR74="SOXS","Bear regime; semiconductors weakest","Bear regime; tech weakest")))</f>
        <v>Bear regime; tech weakest</v>
      </c>
    </row>
    <row r="75" spans="1:50" x14ac:dyDescent="0.2">
      <c r="A75" s="12"/>
      <c r="B75" s="13"/>
      <c r="C75" s="13"/>
      <c r="D75" s="13"/>
      <c r="E75" s="13"/>
      <c r="F75" s="11" t="str">
        <f>IF(OR(E75="",E74=""),"",IF(E74=0,"",(E75/E74)-1))</f>
        <v/>
      </c>
      <c r="G75" s="13"/>
      <c r="H75" s="11" t="str">
        <f>IF(OR(G75="",G74=""),"",IF(G74=0,"",(G75/G74)-1))</f>
        <v/>
      </c>
      <c r="I75" s="13"/>
      <c r="J75" s="13"/>
      <c r="K75" s="13"/>
      <c r="L75" s="13"/>
      <c r="M75" s="23" t="str">
        <f>IF(OR(L75="",L74=""),"",IF(L74=0,"",(L75/L74)-1))</f>
        <v/>
      </c>
      <c r="N75" s="26" t="str">
        <f>IFERROR((M75/M74)-1,"")</f>
        <v/>
      </c>
      <c r="O75" s="23" t="str">
        <f>IF(OR(N75="",N74=""),"",IF(N74=0,"",(N75/N74)-1))</f>
        <v/>
      </c>
      <c r="P75" s="11" t="str">
        <f>IF(ROW()&lt;7,"",IF(OR(E75="",E72=""),"",IF(E72=0,"",(E75/E72)-1)))</f>
        <v/>
      </c>
      <c r="Q75" s="23" t="str">
        <f>IF(ROW()&lt;9,"",IF(OR(E75="",E70=""),"",IF(E70=0,"",(E75/E70)-1)))</f>
        <v/>
      </c>
      <c r="R75" s="23" t="str">
        <f>IF(ROW()&lt;7,"",IF(OR(G75="",G72=""),"",IF(G72=0,"",(G75/G72)-1)))</f>
        <v/>
      </c>
      <c r="S75" s="23" t="str">
        <f>IF(ROW()&lt;9,"",IF(OR(G75="",G70=""),"",IF(G70=0,"",(G75/G70)-1)))</f>
        <v/>
      </c>
      <c r="T75" s="23" t="str">
        <f>IF(ROW()&lt;7,"",IF(OR(L75="",L72=""),"",IF(L72=0,"",(L75/L72)-1)))</f>
        <v/>
      </c>
      <c r="U75" s="23" t="str">
        <f>IF(ROW()&lt;9,"",IF(OR(L75="",L70=""),"",IF(L70=0,"",(L75/L70)-1)))</f>
        <v/>
      </c>
      <c r="V75" s="23" t="str">
        <f>IF(ROW()&lt;7,"",IF(OR(N75="",N72=""),"",IF(N72=0,"",(N75/N72)-1)))</f>
        <v/>
      </c>
      <c r="W75" s="23" t="str">
        <f>IF(ROW()&lt;9,"",IF(OR(N75="",N70=""),"",IF(N70=0,"",(N75/N70)-1)))</f>
        <v/>
      </c>
      <c r="X75" s="23" t="str">
        <f>IF(OR(F75="",M75=""),"",F75-M75)</f>
        <v/>
      </c>
      <c r="Y75" s="23" t="str">
        <f>IF(OR(P75="",T75=""),"",P75-T75)</f>
        <v/>
      </c>
      <c r="Z75" s="23" t="str">
        <f>IF(OR(Q75="",U75=""),"",Q75-U75)</f>
        <v/>
      </c>
      <c r="AA75" s="23" t="str">
        <f>IF(OR(H75="",O75=""),"",H75-O75)</f>
        <v/>
      </c>
      <c r="AB75" s="23" t="str">
        <f>IF(OR(R75="",V75=""),"",R75-V75)</f>
        <v/>
      </c>
      <c r="AC75" s="23" t="str">
        <f>IF(OR(S75="",W75=""),"",S75-W75)</f>
        <v/>
      </c>
      <c r="AD75" s="13"/>
      <c r="AE75" s="23" t="str">
        <f>IF(OR(AD75="",AD74=""),"",IF(AD74=0,"",(AD75/AD74)-1))</f>
        <v/>
      </c>
      <c r="AF75" s="23" t="str">
        <f>IF(ROW()&lt;7,"",IF(OR(AD75="",AD72=""),"",IF(AD72=0,"",(AD75/AD72)-1)))</f>
        <v/>
      </c>
      <c r="AG75" s="23" t="str">
        <f>IF(ROW()&lt;9,"",IF(OR(AD75="",AD70=""),"",IF(AD70=0,"",(AD75/AD70)-1)))</f>
        <v/>
      </c>
      <c r="AH75" s="23" t="str">
        <f>IF(OR(AF75="",AG75=""),"",IF(AND(AF75&gt;0,AG75&gt;0),"Bull",IF(AND(AF75&lt;0,AG75&lt;0),"Bear","Mixed")))</f>
        <v/>
      </c>
      <c r="AI75" s="13"/>
      <c r="AJ75" s="13" t="str">
        <f>IF(OR(AI75="",AI74=""),"",IF(AI74=0,"",(AI75/AI74)-1))</f>
        <v/>
      </c>
      <c r="AK75" s="23" t="str">
        <f>IF(OR(AJ75="",AJ74=""),"",IF(AJ74=0,"",(AJ75/AJ74)-1))</f>
        <v/>
      </c>
      <c r="AL75" s="23" t="str">
        <f>IF(ROW()&lt;7,"",IF(OR(AJ75="",AJ72=""),"",IF(AJ72=0,"",(AJ75/AJ72)-1)))</f>
        <v/>
      </c>
      <c r="AM75" s="23" t="str">
        <f>IF(ROW()&lt;9,"",IF(OR(AJ75="",AJ70=""),"",IF(AJ70=0,"",(AJ75/AJ70)-1)))</f>
        <v/>
      </c>
      <c r="AN75" t="str">
        <f>IF(OR(AL75="",AM75=""),"",IF(AND(AL75&gt;0,AM75&gt;0),"Bull",IF(AND(AL75&lt;0,AM75&lt;0),"Bear","Mixed")))</f>
        <v/>
      </c>
      <c r="AO75" t="str">
        <f>IF(OR(AH75="",AN75=""),"",IF(AND(AH75="Bull",AN75="Bull"),"YES","NO"))</f>
        <v/>
      </c>
      <c r="AP75" t="str">
        <f>IF(OR(AH75="",AN75=""),"",IF(AND(AH75="Bear",AN75="Bear"),"YES","NO"))</f>
        <v/>
      </c>
      <c r="AQ75" t="str">
        <f>IF(AO75="YES",IF(SUM(N(X75),N(Y75),N(Z75))&gt;0,"SOXL","TQQQ"),IF(AP75="YES",IF(SUM(N(AA75),N(AB75),N(AC75))&gt;0,"SOXS","SQQQ"),"WAIT"))</f>
        <v>WAIT</v>
      </c>
      <c r="AR75" s="23" t="str">
        <f>IF(AO75="YES",IF(SUM(N(X75),N(Y75),N(Z75))&gt;0,"TQQQ","SOXL"),IF(AP75="YES",IF(SUM(N(AA75),N(AB75),N(AC75))&gt;0,"SQQQ","SOXS"),""))</f>
        <v/>
      </c>
      <c r="AS75" s="23" t="str">
        <f>IF(AQ75="WAIT","",IF(AR75="",1,0.6))</f>
        <v/>
      </c>
      <c r="AT75" s="23">
        <f>IF(AR75="",0,0.4)</f>
        <v>0</v>
      </c>
      <c r="AU75" s="23" t="str">
        <f>IF(AQ75="WAIT","WAIT",IF(AO75="YES","BULL",IF(AP75="YES","BEAR","WAIT")))</f>
        <v>WAIT</v>
      </c>
      <c r="AV75" t="str">
        <f>IF(AQ75="WAIT","Low",IF(OR(AND(AU75="BULL",ABS(SUM(N(X75),N(Y75),N(Z75)))&gt;=0.15),AND(AU75="BEAR",ABS(SUM(N(AA75),N(AB75),N(AC75)))&gt;=0.15)),"Strong",IF(OR(AND(AU75="BULL",ABS(SUM(N(X75),N(Y75),N(Z75)))&gt;=0.05),AND(AU75="BEAR",ABS(SUM(N(AA75),N(AB75),N(AC75)))&gt;=0.05)),"Moderate","Low")))</f>
        <v>Low</v>
      </c>
      <c r="AW75" t="str">
        <f>IF(AQ75="WAIT","QQQ and SMH not aligned",IF(AU75="BULL",IF(AQ75="SOXL","Bull regime; semiconductors leading","Bull regime; tech leading"),IF(AQ75="SOXS","Bear regime; semiconductors weakest","Bear regime; tech weakest")))</f>
        <v>QQQ and SMH not aligned</v>
      </c>
      <c r="AX75" t="str">
        <f>IF(AR75="WAIT","QQQ and SMH not aligned",IF(AV75="BULL",IF(AR75="SOXL","Bull regime; semiconductors leading","Bull regime; tech leading"),IF(AR75="SOXS","Bear regime; semiconductors weakest","Bear regime; tech weakest")))</f>
        <v>Bear regime; tech weakest</v>
      </c>
    </row>
    <row r="76" spans="1:50" x14ac:dyDescent="0.2">
      <c r="A76" s="12"/>
      <c r="B76" s="13"/>
      <c r="C76" s="13"/>
      <c r="D76" s="13"/>
      <c r="E76" s="13"/>
      <c r="F76" s="11" t="str">
        <f>IF(OR(E76="",E75=""),"",IF(E75=0,"",(E76/E75)-1))</f>
        <v/>
      </c>
      <c r="G76" s="13"/>
      <c r="H76" s="11" t="str">
        <f>IF(OR(G76="",G75=""),"",IF(G75=0,"",(G76/G75)-1))</f>
        <v/>
      </c>
      <c r="I76" s="13"/>
      <c r="J76" s="13"/>
      <c r="K76" s="13"/>
      <c r="L76" s="13"/>
      <c r="M76" s="23" t="str">
        <f>IF(OR(L76="",L75=""),"",IF(L75=0,"",(L76/L75)-1))</f>
        <v/>
      </c>
      <c r="N76" s="26" t="str">
        <f>IFERROR((M76/M75)-1,"")</f>
        <v/>
      </c>
      <c r="O76" s="23" t="str">
        <f>IF(OR(N76="",N75=""),"",IF(N75=0,"",(N76/N75)-1))</f>
        <v/>
      </c>
      <c r="P76" s="11" t="str">
        <f>IF(ROW()&lt;7,"",IF(OR(E76="",E73=""),"",IF(E73=0,"",(E76/E73)-1)))</f>
        <v/>
      </c>
      <c r="Q76" s="23" t="str">
        <f>IF(ROW()&lt;9,"",IF(OR(E76="",E71=""),"",IF(E71=0,"",(E76/E71)-1)))</f>
        <v/>
      </c>
      <c r="R76" s="23" t="str">
        <f>IF(ROW()&lt;7,"",IF(OR(G76="",G73=""),"",IF(G73=0,"",(G76/G73)-1)))</f>
        <v/>
      </c>
      <c r="S76" s="23" t="str">
        <f>IF(ROW()&lt;9,"",IF(OR(G76="",G71=""),"",IF(G71=0,"",(G76/G71)-1)))</f>
        <v/>
      </c>
      <c r="T76" s="23" t="str">
        <f>IF(ROW()&lt;7,"",IF(OR(L76="",L73=""),"",IF(L73=0,"",(L76/L73)-1)))</f>
        <v/>
      </c>
      <c r="U76" s="23" t="str">
        <f>IF(ROW()&lt;9,"",IF(OR(L76="",L71=""),"",IF(L71=0,"",(L76/L71)-1)))</f>
        <v/>
      </c>
      <c r="V76" s="23" t="str">
        <f>IF(ROW()&lt;7,"",IF(OR(N76="",N73=""),"",IF(N73=0,"",(N76/N73)-1)))</f>
        <v/>
      </c>
      <c r="W76" s="23" t="str">
        <f>IF(ROW()&lt;9,"",IF(OR(N76="",N71=""),"",IF(N71=0,"",(N76/N71)-1)))</f>
        <v/>
      </c>
      <c r="X76" s="23" t="str">
        <f>IF(OR(F76="",M76=""),"",F76-M76)</f>
        <v/>
      </c>
      <c r="Y76" s="23" t="str">
        <f>IF(OR(P76="",T76=""),"",P76-T76)</f>
        <v/>
      </c>
      <c r="Z76" s="23" t="str">
        <f>IF(OR(Q76="",U76=""),"",Q76-U76)</f>
        <v/>
      </c>
      <c r="AA76" s="23" t="str">
        <f>IF(OR(H76="",O76=""),"",H76-O76)</f>
        <v/>
      </c>
      <c r="AB76" s="23" t="str">
        <f>IF(OR(R76="",V76=""),"",R76-V76)</f>
        <v/>
      </c>
      <c r="AC76" s="23" t="str">
        <f>IF(OR(S76="",W76=""),"",S76-W76)</f>
        <v/>
      </c>
      <c r="AD76" s="13"/>
      <c r="AE76" s="23" t="str">
        <f>IF(OR(AD76="",AD75=""),"",IF(AD75=0,"",(AD76/AD75)-1))</f>
        <v/>
      </c>
      <c r="AF76" s="23" t="str">
        <f>IF(ROW()&lt;7,"",IF(OR(AD76="",AD73=""),"",IF(AD73=0,"",(AD76/AD73)-1)))</f>
        <v/>
      </c>
      <c r="AG76" s="23" t="str">
        <f>IF(ROW()&lt;9,"",IF(OR(AD76="",AD71=""),"",IF(AD71=0,"",(AD76/AD71)-1)))</f>
        <v/>
      </c>
      <c r="AH76" s="23" t="str">
        <f>IF(OR(AF76="",AG76=""),"",IF(AND(AF76&gt;0,AG76&gt;0),"Bull",IF(AND(AF76&lt;0,AG76&lt;0),"Bear","Mixed")))</f>
        <v/>
      </c>
      <c r="AI76" s="13"/>
      <c r="AJ76" s="13" t="str">
        <f>IF(OR(AI76="",AI75=""),"",IF(AI75=0,"",(AI76/AI75)-1))</f>
        <v/>
      </c>
      <c r="AK76" s="23" t="str">
        <f>IF(OR(AJ76="",AJ75=""),"",IF(AJ75=0,"",(AJ76/AJ75)-1))</f>
        <v/>
      </c>
      <c r="AL76" s="23" t="str">
        <f>IF(ROW()&lt;7,"",IF(OR(AJ76="",AJ73=""),"",IF(AJ73=0,"",(AJ76/AJ73)-1)))</f>
        <v/>
      </c>
      <c r="AM76" s="23" t="str">
        <f>IF(ROW()&lt;9,"",IF(OR(AJ76="",AJ71=""),"",IF(AJ71=0,"",(AJ76/AJ71)-1)))</f>
        <v/>
      </c>
      <c r="AN76" t="str">
        <f>IF(OR(AL76="",AM76=""),"",IF(AND(AL76&gt;0,AM76&gt;0),"Bull",IF(AND(AL76&lt;0,AM76&lt;0),"Bear","Mixed")))</f>
        <v/>
      </c>
      <c r="AO76" t="str">
        <f>IF(OR(AH76="",AN76=""),"",IF(AND(AH76="Bull",AN76="Bull"),"YES","NO"))</f>
        <v/>
      </c>
      <c r="AP76" t="str">
        <f>IF(OR(AH76="",AN76=""),"",IF(AND(AH76="Bear",AN76="Bear"),"YES","NO"))</f>
        <v/>
      </c>
      <c r="AQ76" t="str">
        <f>IF(AO76="YES",IF(SUM(N(X76),N(Y76),N(Z76))&gt;0,"SOXL","TQQQ"),IF(AP76="YES",IF(SUM(N(AA76),N(AB76),N(AC76))&gt;0,"SOXS","SQQQ"),"WAIT"))</f>
        <v>WAIT</v>
      </c>
      <c r="AR76" s="23" t="str">
        <f>IF(AO76="YES",IF(SUM(N(X76),N(Y76),N(Z76))&gt;0,"TQQQ","SOXL"),IF(AP76="YES",IF(SUM(N(AA76),N(AB76),N(AC76))&gt;0,"SQQQ","SOXS"),""))</f>
        <v/>
      </c>
      <c r="AS76" s="23" t="str">
        <f>IF(AQ76="WAIT","",IF(AR76="",1,0.6))</f>
        <v/>
      </c>
      <c r="AT76" s="23">
        <f>IF(AR76="",0,0.4)</f>
        <v>0</v>
      </c>
      <c r="AU76" s="23" t="str">
        <f>IF(AQ76="WAIT","WAIT",IF(AO76="YES","BULL",IF(AP76="YES","BEAR","WAIT")))</f>
        <v>WAIT</v>
      </c>
      <c r="AV76" t="str">
        <f>IF(AQ76="WAIT","Low",IF(OR(AND(AU76="BULL",ABS(SUM(N(X76),N(Y76),N(Z76)))&gt;=0.15),AND(AU76="BEAR",ABS(SUM(N(AA76),N(AB76),N(AC76)))&gt;=0.15)),"Strong",IF(OR(AND(AU76="BULL",ABS(SUM(N(X76),N(Y76),N(Z76)))&gt;=0.05),AND(AU76="BEAR",ABS(SUM(N(AA76),N(AB76),N(AC76)))&gt;=0.05)),"Moderate","Low")))</f>
        <v>Low</v>
      </c>
      <c r="AW76" t="str">
        <f>IF(AQ76="WAIT","QQQ and SMH not aligned",IF(AU76="BULL",IF(AQ76="SOXL","Bull regime; semiconductors leading","Bull regime; tech leading"),IF(AQ76="SOXS","Bear regime; semiconductors weakest","Bear regime; tech weakest")))</f>
        <v>QQQ and SMH not aligned</v>
      </c>
      <c r="AX76" t="str">
        <f>IF(AR76="WAIT","QQQ and SMH not aligned",IF(AV76="BULL",IF(AR76="SOXL","Bull regime; semiconductors leading","Bull regime; tech leading"),IF(AR76="SOXS","Bear regime; semiconductors weakest","Bear regime; tech weakest")))</f>
        <v>Bear regime; tech weakest</v>
      </c>
    </row>
    <row r="77" spans="1:50" x14ac:dyDescent="0.2">
      <c r="A77" s="12"/>
      <c r="B77" s="13"/>
      <c r="C77" s="13"/>
      <c r="D77" s="13"/>
      <c r="E77" s="13"/>
      <c r="F77" s="11" t="str">
        <f>IF(OR(E77="",E76=""),"",IF(E76=0,"",(E77/E76)-1))</f>
        <v/>
      </c>
      <c r="G77" s="13"/>
      <c r="H77" s="11" t="str">
        <f>IF(OR(G77="",G76=""),"",IF(G76=0,"",(G77/G76)-1))</f>
        <v/>
      </c>
      <c r="I77" s="13"/>
      <c r="J77" s="13"/>
      <c r="K77" s="13"/>
      <c r="L77" s="13"/>
      <c r="M77" s="23" t="str">
        <f>IF(OR(L77="",L76=""),"",IF(L76=0,"",(L77/L76)-1))</f>
        <v/>
      </c>
      <c r="N77" s="26" t="str">
        <f>IFERROR((M77/M76)-1,"")</f>
        <v/>
      </c>
      <c r="O77" s="23" t="str">
        <f>IF(OR(N77="",N76=""),"",IF(N76=0,"",(N77/N76)-1))</f>
        <v/>
      </c>
      <c r="P77" s="11" t="str">
        <f>IF(ROW()&lt;7,"",IF(OR(E77="",E74=""),"",IF(E74=0,"",(E77/E74)-1)))</f>
        <v/>
      </c>
      <c r="Q77" s="23" t="str">
        <f>IF(ROW()&lt;9,"",IF(OR(E77="",E72=""),"",IF(E72=0,"",(E77/E72)-1)))</f>
        <v/>
      </c>
      <c r="R77" s="23" t="str">
        <f>IF(ROW()&lt;7,"",IF(OR(G77="",G74=""),"",IF(G74=0,"",(G77/G74)-1)))</f>
        <v/>
      </c>
      <c r="S77" s="23" t="str">
        <f>IF(ROW()&lt;9,"",IF(OR(G77="",G72=""),"",IF(G72=0,"",(G77/G72)-1)))</f>
        <v/>
      </c>
      <c r="T77" s="23" t="str">
        <f>IF(ROW()&lt;7,"",IF(OR(L77="",L74=""),"",IF(L74=0,"",(L77/L74)-1)))</f>
        <v/>
      </c>
      <c r="U77" s="23" t="str">
        <f>IF(ROW()&lt;9,"",IF(OR(L77="",L72=""),"",IF(L72=0,"",(L77/L72)-1)))</f>
        <v/>
      </c>
      <c r="V77" s="23" t="str">
        <f>IF(ROW()&lt;7,"",IF(OR(N77="",N74=""),"",IF(N74=0,"",(N77/N74)-1)))</f>
        <v/>
      </c>
      <c r="W77" s="23" t="str">
        <f>IF(ROW()&lt;9,"",IF(OR(N77="",N72=""),"",IF(N72=0,"",(N77/N72)-1)))</f>
        <v/>
      </c>
      <c r="X77" s="23" t="str">
        <f>IF(OR(F77="",M77=""),"",F77-M77)</f>
        <v/>
      </c>
      <c r="Y77" s="23" t="str">
        <f>IF(OR(P77="",T77=""),"",P77-T77)</f>
        <v/>
      </c>
      <c r="Z77" s="23" t="str">
        <f>IF(OR(Q77="",U77=""),"",Q77-U77)</f>
        <v/>
      </c>
      <c r="AA77" s="23" t="str">
        <f>IF(OR(H77="",O77=""),"",H77-O77)</f>
        <v/>
      </c>
      <c r="AB77" s="23" t="str">
        <f>IF(OR(R77="",V77=""),"",R77-V77)</f>
        <v/>
      </c>
      <c r="AC77" s="23" t="str">
        <f>IF(OR(S77="",W77=""),"",S77-W77)</f>
        <v/>
      </c>
      <c r="AD77" s="13"/>
      <c r="AE77" s="23" t="str">
        <f>IF(OR(AD77="",AD76=""),"",IF(AD76=0,"",(AD77/AD76)-1))</f>
        <v/>
      </c>
      <c r="AF77" s="23" t="str">
        <f>IF(ROW()&lt;7,"",IF(OR(AD77="",AD74=""),"",IF(AD74=0,"",(AD77/AD74)-1)))</f>
        <v/>
      </c>
      <c r="AG77" s="23" t="str">
        <f>IF(ROW()&lt;9,"",IF(OR(AD77="",AD72=""),"",IF(AD72=0,"",(AD77/AD72)-1)))</f>
        <v/>
      </c>
      <c r="AH77" s="23" t="str">
        <f>IF(OR(AF77="",AG77=""),"",IF(AND(AF77&gt;0,AG77&gt;0),"Bull",IF(AND(AF77&lt;0,AG77&lt;0),"Bear","Mixed")))</f>
        <v/>
      </c>
      <c r="AI77" s="13"/>
      <c r="AJ77" s="13" t="str">
        <f>IF(OR(AI77="",AI76=""),"",IF(AI76=0,"",(AI77/AI76)-1))</f>
        <v/>
      </c>
      <c r="AK77" s="23" t="str">
        <f>IF(OR(AJ77="",AJ76=""),"",IF(AJ76=0,"",(AJ77/AJ76)-1))</f>
        <v/>
      </c>
      <c r="AL77" s="23" t="str">
        <f>IF(ROW()&lt;7,"",IF(OR(AJ77="",AJ74=""),"",IF(AJ74=0,"",(AJ77/AJ74)-1)))</f>
        <v/>
      </c>
      <c r="AM77" s="23" t="str">
        <f>IF(ROW()&lt;9,"",IF(OR(AJ77="",AJ72=""),"",IF(AJ72=0,"",(AJ77/AJ72)-1)))</f>
        <v/>
      </c>
      <c r="AN77" t="str">
        <f>IF(OR(AL77="",AM77=""),"",IF(AND(AL77&gt;0,AM77&gt;0),"Bull",IF(AND(AL77&lt;0,AM77&lt;0),"Bear","Mixed")))</f>
        <v/>
      </c>
      <c r="AO77" t="str">
        <f>IF(OR(AH77="",AN77=""),"",IF(AND(AH77="Bull",AN77="Bull"),"YES","NO"))</f>
        <v/>
      </c>
      <c r="AP77" t="str">
        <f>IF(OR(AH77="",AN77=""),"",IF(AND(AH77="Bear",AN77="Bear"),"YES","NO"))</f>
        <v/>
      </c>
      <c r="AQ77" t="str">
        <f>IF(AO77="YES",IF(SUM(N(X77),N(Y77),N(Z77))&gt;0,"SOXL","TQQQ"),IF(AP77="YES",IF(SUM(N(AA77),N(AB77),N(AC77))&gt;0,"SOXS","SQQQ"),"WAIT"))</f>
        <v>WAIT</v>
      </c>
      <c r="AR77" s="23" t="str">
        <f>IF(AO77="YES",IF(SUM(N(X77),N(Y77),N(Z77))&gt;0,"TQQQ","SOXL"),IF(AP77="YES",IF(SUM(N(AA77),N(AB77),N(AC77))&gt;0,"SQQQ","SOXS"),""))</f>
        <v/>
      </c>
      <c r="AS77" s="23" t="str">
        <f>IF(AQ77="WAIT","",IF(AR77="",1,0.6))</f>
        <v/>
      </c>
      <c r="AT77" s="23">
        <f>IF(AR77="",0,0.4)</f>
        <v>0</v>
      </c>
      <c r="AU77" s="23" t="str">
        <f>IF(AQ77="WAIT","WAIT",IF(AO77="YES","BULL",IF(AP77="YES","BEAR","WAIT")))</f>
        <v>WAIT</v>
      </c>
      <c r="AV77" t="str">
        <f>IF(AQ77="WAIT","Low",IF(OR(AND(AU77="BULL",ABS(SUM(N(X77),N(Y77),N(Z77)))&gt;=0.15),AND(AU77="BEAR",ABS(SUM(N(AA77),N(AB77),N(AC77)))&gt;=0.15)),"Strong",IF(OR(AND(AU77="BULL",ABS(SUM(N(X77),N(Y77),N(Z77)))&gt;=0.05),AND(AU77="BEAR",ABS(SUM(N(AA77),N(AB77),N(AC77)))&gt;=0.05)),"Moderate","Low")))</f>
        <v>Low</v>
      </c>
      <c r="AW77" t="str">
        <f>IF(AQ77="WAIT","QQQ and SMH not aligned",IF(AU77="BULL",IF(AQ77="SOXL","Bull regime; semiconductors leading","Bull regime; tech leading"),IF(AQ77="SOXS","Bear regime; semiconductors weakest","Bear regime; tech weakest")))</f>
        <v>QQQ and SMH not aligned</v>
      </c>
      <c r="AX77" t="str">
        <f>IF(AR77="WAIT","QQQ and SMH not aligned",IF(AV77="BULL",IF(AR77="SOXL","Bull regime; semiconductors leading","Bull regime; tech leading"),IF(AR77="SOXS","Bear regime; semiconductors weakest","Bear regime; tech weakest")))</f>
        <v>Bear regime; tech weakest</v>
      </c>
    </row>
    <row r="78" spans="1:50" x14ac:dyDescent="0.2">
      <c r="A78" s="12"/>
      <c r="B78" s="13"/>
      <c r="C78" s="13"/>
      <c r="D78" s="13"/>
      <c r="E78" s="13"/>
      <c r="F78" s="11" t="str">
        <f>IF(OR(E78="",E77=""),"",IF(E77=0,"",(E78/E77)-1))</f>
        <v/>
      </c>
      <c r="G78" s="13"/>
      <c r="H78" s="11" t="str">
        <f>IF(OR(G78="",G77=""),"",IF(G77=0,"",(G78/G77)-1))</f>
        <v/>
      </c>
      <c r="I78" s="13"/>
      <c r="J78" s="13"/>
      <c r="K78" s="13"/>
      <c r="L78" s="13"/>
      <c r="M78" s="23" t="str">
        <f>IF(OR(L78="",L77=""),"",IF(L77=0,"",(L78/L77)-1))</f>
        <v/>
      </c>
      <c r="N78" s="26" t="str">
        <f>IFERROR((M78/M77)-1,"")</f>
        <v/>
      </c>
      <c r="O78" s="23" t="str">
        <f>IF(OR(N78="",N77=""),"",IF(N77=0,"",(N78/N77)-1))</f>
        <v/>
      </c>
      <c r="P78" s="11" t="str">
        <f>IF(ROW()&lt;7,"",IF(OR(E78="",E75=""),"",IF(E75=0,"",(E78/E75)-1)))</f>
        <v/>
      </c>
      <c r="Q78" s="23" t="str">
        <f>IF(ROW()&lt;9,"",IF(OR(E78="",E73=""),"",IF(E73=0,"",(E78/E73)-1)))</f>
        <v/>
      </c>
      <c r="R78" s="23" t="str">
        <f>IF(ROW()&lt;7,"",IF(OR(G78="",G75=""),"",IF(G75=0,"",(G78/G75)-1)))</f>
        <v/>
      </c>
      <c r="S78" s="23" t="str">
        <f>IF(ROW()&lt;9,"",IF(OR(G78="",G73=""),"",IF(G73=0,"",(G78/G73)-1)))</f>
        <v/>
      </c>
      <c r="T78" s="23" t="str">
        <f>IF(ROW()&lt;7,"",IF(OR(L78="",L75=""),"",IF(L75=0,"",(L78/L75)-1)))</f>
        <v/>
      </c>
      <c r="U78" s="23" t="str">
        <f>IF(ROW()&lt;9,"",IF(OR(L78="",L73=""),"",IF(L73=0,"",(L78/L73)-1)))</f>
        <v/>
      </c>
      <c r="V78" s="23" t="str">
        <f>IF(ROW()&lt;7,"",IF(OR(N78="",N75=""),"",IF(N75=0,"",(N78/N75)-1)))</f>
        <v/>
      </c>
      <c r="W78" s="23" t="str">
        <f>IF(ROW()&lt;9,"",IF(OR(N78="",N73=""),"",IF(N73=0,"",(N78/N73)-1)))</f>
        <v/>
      </c>
      <c r="X78" s="23" t="str">
        <f>IF(OR(F78="",M78=""),"",F78-M78)</f>
        <v/>
      </c>
      <c r="Y78" s="23" t="str">
        <f>IF(OR(P78="",T78=""),"",P78-T78)</f>
        <v/>
      </c>
      <c r="Z78" s="23" t="str">
        <f>IF(OR(Q78="",U78=""),"",Q78-U78)</f>
        <v/>
      </c>
      <c r="AA78" s="23" t="str">
        <f>IF(OR(H78="",O78=""),"",H78-O78)</f>
        <v/>
      </c>
      <c r="AB78" s="23" t="str">
        <f>IF(OR(R78="",V78=""),"",R78-V78)</f>
        <v/>
      </c>
      <c r="AC78" s="23" t="str">
        <f>IF(OR(S78="",W78=""),"",S78-W78)</f>
        <v/>
      </c>
      <c r="AD78" s="13"/>
      <c r="AE78" s="23" t="str">
        <f>IF(OR(AD78="",AD77=""),"",IF(AD77=0,"",(AD78/AD77)-1))</f>
        <v/>
      </c>
      <c r="AF78" s="23" t="str">
        <f>IF(ROW()&lt;7,"",IF(OR(AD78="",AD75=""),"",IF(AD75=0,"",(AD78/AD75)-1)))</f>
        <v/>
      </c>
      <c r="AG78" s="23" t="str">
        <f>IF(ROW()&lt;9,"",IF(OR(AD78="",AD73=""),"",IF(AD73=0,"",(AD78/AD73)-1)))</f>
        <v/>
      </c>
      <c r="AH78" s="23" t="str">
        <f>IF(OR(AF78="",AG78=""),"",IF(AND(AF78&gt;0,AG78&gt;0),"Bull",IF(AND(AF78&lt;0,AG78&lt;0),"Bear","Mixed")))</f>
        <v/>
      </c>
      <c r="AI78" s="13"/>
      <c r="AJ78" s="13" t="str">
        <f>IF(OR(AI78="",AI77=""),"",IF(AI77=0,"",(AI78/AI77)-1))</f>
        <v/>
      </c>
      <c r="AK78" s="23" t="str">
        <f>IF(OR(AJ78="",AJ77=""),"",IF(AJ77=0,"",(AJ78/AJ77)-1))</f>
        <v/>
      </c>
      <c r="AL78" s="23" t="str">
        <f>IF(ROW()&lt;7,"",IF(OR(AJ78="",AJ75=""),"",IF(AJ75=0,"",(AJ78/AJ75)-1)))</f>
        <v/>
      </c>
      <c r="AM78" s="23" t="str">
        <f>IF(ROW()&lt;9,"",IF(OR(AJ78="",AJ73=""),"",IF(AJ73=0,"",(AJ78/AJ73)-1)))</f>
        <v/>
      </c>
      <c r="AN78" t="str">
        <f>IF(OR(AL78="",AM78=""),"",IF(AND(AL78&gt;0,AM78&gt;0),"Bull",IF(AND(AL78&lt;0,AM78&lt;0),"Bear","Mixed")))</f>
        <v/>
      </c>
      <c r="AO78" t="str">
        <f>IF(OR(AH78="",AN78=""),"",IF(AND(AH78="Bull",AN78="Bull"),"YES","NO"))</f>
        <v/>
      </c>
      <c r="AP78" t="str">
        <f>IF(OR(AH78="",AN78=""),"",IF(AND(AH78="Bear",AN78="Bear"),"YES","NO"))</f>
        <v/>
      </c>
      <c r="AQ78" t="str">
        <f>IF(AO78="YES",IF(SUM(N(X78),N(Y78),N(Z78))&gt;0,"SOXL","TQQQ"),IF(AP78="YES",IF(SUM(N(AA78),N(AB78),N(AC78))&gt;0,"SOXS","SQQQ"),"WAIT"))</f>
        <v>WAIT</v>
      </c>
      <c r="AR78" s="23" t="str">
        <f>IF(AO78="YES",IF(SUM(N(X78),N(Y78),N(Z78))&gt;0,"TQQQ","SOXL"),IF(AP78="YES",IF(SUM(N(AA78),N(AB78),N(AC78))&gt;0,"SQQQ","SOXS"),""))</f>
        <v/>
      </c>
      <c r="AS78" s="23" t="str">
        <f>IF(AQ78="WAIT","",IF(AR78="",1,0.6))</f>
        <v/>
      </c>
      <c r="AT78" s="23">
        <f>IF(AR78="",0,0.4)</f>
        <v>0</v>
      </c>
      <c r="AU78" s="23" t="str">
        <f>IF(AQ78="WAIT","WAIT",IF(AO78="YES","BULL",IF(AP78="YES","BEAR","WAIT")))</f>
        <v>WAIT</v>
      </c>
      <c r="AV78" t="str">
        <f>IF(AQ78="WAIT","Low",IF(OR(AND(AU78="BULL",ABS(SUM(N(X78),N(Y78),N(Z78)))&gt;=0.15),AND(AU78="BEAR",ABS(SUM(N(AA78),N(AB78),N(AC78)))&gt;=0.15)),"Strong",IF(OR(AND(AU78="BULL",ABS(SUM(N(X78),N(Y78),N(Z78)))&gt;=0.05),AND(AU78="BEAR",ABS(SUM(N(AA78),N(AB78),N(AC78)))&gt;=0.05)),"Moderate","Low")))</f>
        <v>Low</v>
      </c>
      <c r="AW78" t="str">
        <f>IF(AQ78="WAIT","QQQ and SMH not aligned",IF(AU78="BULL",IF(AQ78="SOXL","Bull regime; semiconductors leading","Bull regime; tech leading"),IF(AQ78="SOXS","Bear regime; semiconductors weakest","Bear regime; tech weakest")))</f>
        <v>QQQ and SMH not aligned</v>
      </c>
      <c r="AX78" t="str">
        <f>IF(AR78="WAIT","QQQ and SMH not aligned",IF(AV78="BULL",IF(AR78="SOXL","Bull regime; semiconductors leading","Bull regime; tech leading"),IF(AR78="SOXS","Bear regime; semiconductors weakest","Bear regime; tech weakest")))</f>
        <v>Bear regime; tech weakest</v>
      </c>
    </row>
    <row r="79" spans="1:50" x14ac:dyDescent="0.2">
      <c r="A79" s="12"/>
      <c r="B79" s="13"/>
      <c r="C79" s="13"/>
      <c r="D79" s="13"/>
      <c r="E79" s="13"/>
      <c r="F79" s="11" t="str">
        <f>IF(OR(E79="",E78=""),"",IF(E78=0,"",(E79/E78)-1))</f>
        <v/>
      </c>
      <c r="G79" s="13"/>
      <c r="H79" s="11" t="str">
        <f>IF(OR(G79="",G78=""),"",IF(G78=0,"",(G79/G78)-1))</f>
        <v/>
      </c>
      <c r="I79" s="13"/>
      <c r="J79" s="13"/>
      <c r="K79" s="13"/>
      <c r="L79" s="13"/>
      <c r="M79" s="23" t="str">
        <f>IF(OR(L79="",L78=""),"",IF(L78=0,"",(L79/L78)-1))</f>
        <v/>
      </c>
      <c r="N79" s="26" t="str">
        <f>IFERROR((M79/M78)-1,"")</f>
        <v/>
      </c>
      <c r="O79" s="23" t="str">
        <f>IF(OR(N79="",N78=""),"",IF(N78=0,"",(N79/N78)-1))</f>
        <v/>
      </c>
      <c r="P79" s="11" t="str">
        <f>IF(ROW()&lt;7,"",IF(OR(E79="",E76=""),"",IF(E76=0,"",(E79/E76)-1)))</f>
        <v/>
      </c>
      <c r="Q79" s="23" t="str">
        <f>IF(ROW()&lt;9,"",IF(OR(E79="",E74=""),"",IF(E74=0,"",(E79/E74)-1)))</f>
        <v/>
      </c>
      <c r="R79" s="23" t="str">
        <f>IF(ROW()&lt;7,"",IF(OR(G79="",G76=""),"",IF(G76=0,"",(G79/G76)-1)))</f>
        <v/>
      </c>
      <c r="S79" s="23" t="str">
        <f>IF(ROW()&lt;9,"",IF(OR(G79="",G74=""),"",IF(G74=0,"",(G79/G74)-1)))</f>
        <v/>
      </c>
      <c r="T79" s="23" t="str">
        <f>IF(ROW()&lt;7,"",IF(OR(L79="",L76=""),"",IF(L76=0,"",(L79/L76)-1)))</f>
        <v/>
      </c>
      <c r="U79" s="23" t="str">
        <f>IF(ROW()&lt;9,"",IF(OR(L79="",L74=""),"",IF(L74=0,"",(L79/L74)-1)))</f>
        <v/>
      </c>
      <c r="V79" s="23" t="str">
        <f>IF(ROW()&lt;7,"",IF(OR(N79="",N76=""),"",IF(N76=0,"",(N79/N76)-1)))</f>
        <v/>
      </c>
      <c r="W79" s="23" t="str">
        <f>IF(ROW()&lt;9,"",IF(OR(N79="",N74=""),"",IF(N74=0,"",(N79/N74)-1)))</f>
        <v/>
      </c>
      <c r="X79" s="23" t="str">
        <f>IF(OR(F79="",M79=""),"",F79-M79)</f>
        <v/>
      </c>
      <c r="Y79" s="23" t="str">
        <f>IF(OR(P79="",T79=""),"",P79-T79)</f>
        <v/>
      </c>
      <c r="Z79" s="23" t="str">
        <f>IF(OR(Q79="",U79=""),"",Q79-U79)</f>
        <v/>
      </c>
      <c r="AA79" s="23" t="str">
        <f>IF(OR(H79="",O79=""),"",H79-O79)</f>
        <v/>
      </c>
      <c r="AB79" s="23" t="str">
        <f>IF(OR(R79="",V79=""),"",R79-V79)</f>
        <v/>
      </c>
      <c r="AC79" s="23" t="str">
        <f>IF(OR(S79="",W79=""),"",S79-W79)</f>
        <v/>
      </c>
      <c r="AD79" s="13"/>
      <c r="AE79" s="23" t="str">
        <f>IF(OR(AD79="",AD78=""),"",IF(AD78=0,"",(AD79/AD78)-1))</f>
        <v/>
      </c>
      <c r="AF79" s="23" t="str">
        <f>IF(ROW()&lt;7,"",IF(OR(AD79="",AD76=""),"",IF(AD76=0,"",(AD79/AD76)-1)))</f>
        <v/>
      </c>
      <c r="AG79" s="23" t="str">
        <f>IF(ROW()&lt;9,"",IF(OR(AD79="",AD74=""),"",IF(AD74=0,"",(AD79/AD74)-1)))</f>
        <v/>
      </c>
      <c r="AH79" s="23" t="str">
        <f>IF(OR(AF79="",AG79=""),"",IF(AND(AF79&gt;0,AG79&gt;0),"Bull",IF(AND(AF79&lt;0,AG79&lt;0),"Bear","Mixed")))</f>
        <v/>
      </c>
      <c r="AI79" s="13"/>
      <c r="AJ79" s="13" t="str">
        <f>IF(OR(AI79="",AI78=""),"",IF(AI78=0,"",(AI79/AI78)-1))</f>
        <v/>
      </c>
      <c r="AK79" s="23" t="str">
        <f>IF(OR(AJ79="",AJ78=""),"",IF(AJ78=0,"",(AJ79/AJ78)-1))</f>
        <v/>
      </c>
      <c r="AL79" s="23" t="str">
        <f>IF(ROW()&lt;7,"",IF(OR(AJ79="",AJ76=""),"",IF(AJ76=0,"",(AJ79/AJ76)-1)))</f>
        <v/>
      </c>
      <c r="AM79" s="23" t="str">
        <f>IF(ROW()&lt;9,"",IF(OR(AJ79="",AJ74=""),"",IF(AJ74=0,"",(AJ79/AJ74)-1)))</f>
        <v/>
      </c>
      <c r="AN79" t="str">
        <f>IF(OR(AL79="",AM79=""),"",IF(AND(AL79&gt;0,AM79&gt;0),"Bull",IF(AND(AL79&lt;0,AM79&lt;0),"Bear","Mixed")))</f>
        <v/>
      </c>
      <c r="AO79" t="str">
        <f>IF(OR(AH79="",AN79=""),"",IF(AND(AH79="Bull",AN79="Bull"),"YES","NO"))</f>
        <v/>
      </c>
      <c r="AP79" t="str">
        <f>IF(OR(AH79="",AN79=""),"",IF(AND(AH79="Bear",AN79="Bear"),"YES","NO"))</f>
        <v/>
      </c>
      <c r="AQ79" t="str">
        <f>IF(AO79="YES",IF(SUM(N(X79),N(Y79),N(Z79))&gt;0,"SOXL","TQQQ"),IF(AP79="YES",IF(SUM(N(AA79),N(AB79),N(AC79))&gt;0,"SOXS","SQQQ"),"WAIT"))</f>
        <v>WAIT</v>
      </c>
      <c r="AR79" s="23" t="str">
        <f>IF(AO79="YES",IF(SUM(N(X79),N(Y79),N(Z79))&gt;0,"TQQQ","SOXL"),IF(AP79="YES",IF(SUM(N(AA79),N(AB79),N(AC79))&gt;0,"SQQQ","SOXS"),""))</f>
        <v/>
      </c>
      <c r="AS79" s="23" t="str">
        <f>IF(AQ79="WAIT","",IF(AR79="",1,0.6))</f>
        <v/>
      </c>
      <c r="AT79" s="23">
        <f>IF(AR79="",0,0.4)</f>
        <v>0</v>
      </c>
      <c r="AU79" s="23" t="str">
        <f>IF(AQ79="WAIT","WAIT",IF(AO79="YES","BULL",IF(AP79="YES","BEAR","WAIT")))</f>
        <v>WAIT</v>
      </c>
      <c r="AV79" t="str">
        <f>IF(AQ79="WAIT","Low",IF(OR(AND(AU79="BULL",ABS(SUM(N(X79),N(Y79),N(Z79)))&gt;=0.15),AND(AU79="BEAR",ABS(SUM(N(AA79),N(AB79),N(AC79)))&gt;=0.15)),"Strong",IF(OR(AND(AU79="BULL",ABS(SUM(N(X79),N(Y79),N(Z79)))&gt;=0.05),AND(AU79="BEAR",ABS(SUM(N(AA79),N(AB79),N(AC79)))&gt;=0.05)),"Moderate","Low")))</f>
        <v>Low</v>
      </c>
      <c r="AW79" t="str">
        <f>IF(AQ79="WAIT","QQQ and SMH not aligned",IF(AU79="BULL",IF(AQ79="SOXL","Bull regime; semiconductors leading","Bull regime; tech leading"),IF(AQ79="SOXS","Bear regime; semiconductors weakest","Bear regime; tech weakest")))</f>
        <v>QQQ and SMH not aligned</v>
      </c>
      <c r="AX79" t="str">
        <f>IF(AR79="WAIT","QQQ and SMH not aligned",IF(AV79="BULL",IF(AR79="SOXL","Bull regime; semiconductors leading","Bull regime; tech leading"),IF(AR79="SOXS","Bear regime; semiconductors weakest","Bear regime; tech weakest")))</f>
        <v>Bear regime; tech weakest</v>
      </c>
    </row>
    <row r="80" spans="1:50" x14ac:dyDescent="0.2">
      <c r="A80" s="12"/>
      <c r="B80" s="13"/>
      <c r="C80" s="13"/>
      <c r="D80" s="13"/>
      <c r="E80" s="13"/>
      <c r="F80" s="11" t="str">
        <f>IF(OR(E80="",E79=""),"",IF(E79=0,"",(E80/E79)-1))</f>
        <v/>
      </c>
      <c r="G80" s="13"/>
      <c r="H80" s="11" t="str">
        <f>IF(OR(G80="",G79=""),"",IF(G79=0,"",(G80/G79)-1))</f>
        <v/>
      </c>
      <c r="I80" s="13"/>
      <c r="J80" s="13"/>
      <c r="K80" s="13"/>
      <c r="L80" s="13"/>
      <c r="M80" s="23" t="str">
        <f>IF(OR(L80="",L79=""),"",IF(L79=0,"",(L80/L79)-1))</f>
        <v/>
      </c>
      <c r="N80" s="26" t="str">
        <f>IFERROR((M80/M79)-1,"")</f>
        <v/>
      </c>
      <c r="O80" s="23" t="str">
        <f>IF(OR(N80="",N79=""),"",IF(N79=0,"",(N80/N79)-1))</f>
        <v/>
      </c>
      <c r="P80" s="11" t="str">
        <f>IF(ROW()&lt;7,"",IF(OR(E80="",E77=""),"",IF(E77=0,"",(E80/E77)-1)))</f>
        <v/>
      </c>
      <c r="Q80" s="23" t="str">
        <f>IF(ROW()&lt;9,"",IF(OR(E80="",E75=""),"",IF(E75=0,"",(E80/E75)-1)))</f>
        <v/>
      </c>
      <c r="R80" s="23" t="str">
        <f>IF(ROW()&lt;7,"",IF(OR(G80="",G77=""),"",IF(G77=0,"",(G80/G77)-1)))</f>
        <v/>
      </c>
      <c r="S80" s="23" t="str">
        <f>IF(ROW()&lt;9,"",IF(OR(G80="",G75=""),"",IF(G75=0,"",(G80/G75)-1)))</f>
        <v/>
      </c>
      <c r="T80" s="23" t="str">
        <f>IF(ROW()&lt;7,"",IF(OR(L80="",L77=""),"",IF(L77=0,"",(L80/L77)-1)))</f>
        <v/>
      </c>
      <c r="U80" s="23" t="str">
        <f>IF(ROW()&lt;9,"",IF(OR(L80="",L75=""),"",IF(L75=0,"",(L80/L75)-1)))</f>
        <v/>
      </c>
      <c r="V80" s="23" t="str">
        <f>IF(ROW()&lt;7,"",IF(OR(N80="",N77=""),"",IF(N77=0,"",(N80/N77)-1)))</f>
        <v/>
      </c>
      <c r="W80" s="23" t="str">
        <f>IF(ROW()&lt;9,"",IF(OR(N80="",N75=""),"",IF(N75=0,"",(N80/N75)-1)))</f>
        <v/>
      </c>
      <c r="X80" s="23" t="str">
        <f>IF(OR(F80="",M80=""),"",F80-M80)</f>
        <v/>
      </c>
      <c r="Y80" s="23" t="str">
        <f>IF(OR(P80="",T80=""),"",P80-T80)</f>
        <v/>
      </c>
      <c r="Z80" s="23" t="str">
        <f>IF(OR(Q80="",U80=""),"",Q80-U80)</f>
        <v/>
      </c>
      <c r="AA80" s="23" t="str">
        <f>IF(OR(H80="",O80=""),"",H80-O80)</f>
        <v/>
      </c>
      <c r="AB80" s="23" t="str">
        <f>IF(OR(R80="",V80=""),"",R80-V80)</f>
        <v/>
      </c>
      <c r="AC80" s="23" t="str">
        <f>IF(OR(S80="",W80=""),"",S80-W80)</f>
        <v/>
      </c>
      <c r="AD80" s="13"/>
      <c r="AE80" s="23" t="str">
        <f>IF(OR(AD80="",AD79=""),"",IF(AD79=0,"",(AD80/AD79)-1))</f>
        <v/>
      </c>
      <c r="AF80" s="23" t="str">
        <f>IF(ROW()&lt;7,"",IF(OR(AD80="",AD77=""),"",IF(AD77=0,"",(AD80/AD77)-1)))</f>
        <v/>
      </c>
      <c r="AG80" s="23" t="str">
        <f>IF(ROW()&lt;9,"",IF(OR(AD80="",AD75=""),"",IF(AD75=0,"",(AD80/AD75)-1)))</f>
        <v/>
      </c>
      <c r="AH80" s="23" t="str">
        <f>IF(OR(AF80="",AG80=""),"",IF(AND(AF80&gt;0,AG80&gt;0),"Bull",IF(AND(AF80&lt;0,AG80&lt;0),"Bear","Mixed")))</f>
        <v/>
      </c>
      <c r="AI80" s="13"/>
      <c r="AJ80" s="13" t="str">
        <f>IF(OR(AI80="",AI79=""),"",IF(AI79=0,"",(AI80/AI79)-1))</f>
        <v/>
      </c>
      <c r="AK80" s="23" t="str">
        <f>IF(OR(AJ80="",AJ79=""),"",IF(AJ79=0,"",(AJ80/AJ79)-1))</f>
        <v/>
      </c>
      <c r="AL80" s="23" t="str">
        <f>IF(ROW()&lt;7,"",IF(OR(AJ80="",AJ77=""),"",IF(AJ77=0,"",(AJ80/AJ77)-1)))</f>
        <v/>
      </c>
      <c r="AM80" s="23" t="str">
        <f>IF(ROW()&lt;9,"",IF(OR(AJ80="",AJ75=""),"",IF(AJ75=0,"",(AJ80/AJ75)-1)))</f>
        <v/>
      </c>
      <c r="AN80" t="str">
        <f>IF(OR(AL80="",AM80=""),"",IF(AND(AL80&gt;0,AM80&gt;0),"Bull",IF(AND(AL80&lt;0,AM80&lt;0),"Bear","Mixed")))</f>
        <v/>
      </c>
      <c r="AO80" t="str">
        <f>IF(OR(AH80="",AN80=""),"",IF(AND(AH80="Bull",AN80="Bull"),"YES","NO"))</f>
        <v/>
      </c>
      <c r="AP80" t="str">
        <f>IF(OR(AH80="",AN80=""),"",IF(AND(AH80="Bear",AN80="Bear"),"YES","NO"))</f>
        <v/>
      </c>
      <c r="AQ80" t="str">
        <f>IF(AO80="YES",IF(SUM(N(X80),N(Y80),N(Z80))&gt;0,"SOXL","TQQQ"),IF(AP80="YES",IF(SUM(N(AA80),N(AB80),N(AC80))&gt;0,"SOXS","SQQQ"),"WAIT"))</f>
        <v>WAIT</v>
      </c>
      <c r="AR80" s="23" t="str">
        <f>IF(AO80="YES",IF(SUM(N(X80),N(Y80),N(Z80))&gt;0,"TQQQ","SOXL"),IF(AP80="YES",IF(SUM(N(AA80),N(AB80),N(AC80))&gt;0,"SQQQ","SOXS"),""))</f>
        <v/>
      </c>
      <c r="AS80" s="23" t="str">
        <f>IF(AQ80="WAIT","",IF(AR80="",1,0.6))</f>
        <v/>
      </c>
      <c r="AT80" s="23">
        <f>IF(AR80="",0,0.4)</f>
        <v>0</v>
      </c>
      <c r="AU80" s="23" t="str">
        <f>IF(AQ80="WAIT","WAIT",IF(AO80="YES","BULL",IF(AP80="YES","BEAR","WAIT")))</f>
        <v>WAIT</v>
      </c>
      <c r="AV80" t="str">
        <f>IF(AQ80="WAIT","Low",IF(OR(AND(AU80="BULL",ABS(SUM(N(X80),N(Y80),N(Z80)))&gt;=0.15),AND(AU80="BEAR",ABS(SUM(N(AA80),N(AB80),N(AC80)))&gt;=0.15)),"Strong",IF(OR(AND(AU80="BULL",ABS(SUM(N(X80),N(Y80),N(Z80)))&gt;=0.05),AND(AU80="BEAR",ABS(SUM(N(AA80),N(AB80),N(AC80)))&gt;=0.05)),"Moderate","Low")))</f>
        <v>Low</v>
      </c>
      <c r="AW80" t="str">
        <f>IF(AQ80="WAIT","QQQ and SMH not aligned",IF(AU80="BULL",IF(AQ80="SOXL","Bull regime; semiconductors leading","Bull regime; tech leading"),IF(AQ80="SOXS","Bear regime; semiconductors weakest","Bear regime; tech weakest")))</f>
        <v>QQQ and SMH not aligned</v>
      </c>
      <c r="AX80" t="str">
        <f>IF(AR80="WAIT","QQQ and SMH not aligned",IF(AV80="BULL",IF(AR80="SOXL","Bull regime; semiconductors leading","Bull regime; tech leading"),IF(AR80="SOXS","Bear regime; semiconductors weakest","Bear regime; tech weakest")))</f>
        <v>Bear regime; tech weakest</v>
      </c>
    </row>
    <row r="81" spans="1:50" x14ac:dyDescent="0.2">
      <c r="A81" s="12"/>
      <c r="B81" s="13"/>
      <c r="C81" s="13"/>
      <c r="D81" s="13"/>
      <c r="E81" s="13"/>
      <c r="F81" s="11" t="str">
        <f>IF(OR(E81="",E80=""),"",IF(E80=0,"",(E81/E80)-1))</f>
        <v/>
      </c>
      <c r="G81" s="13"/>
      <c r="H81" s="11" t="str">
        <f>IF(OR(G81="",G80=""),"",IF(G80=0,"",(G81/G80)-1))</f>
        <v/>
      </c>
      <c r="I81" s="13"/>
      <c r="J81" s="13"/>
      <c r="K81" s="13"/>
      <c r="L81" s="13"/>
      <c r="M81" s="23" t="str">
        <f>IF(OR(L81="",L80=""),"",IF(L80=0,"",(L81/L80)-1))</f>
        <v/>
      </c>
      <c r="N81" s="26" t="str">
        <f>IFERROR((M81/M80)-1,"")</f>
        <v/>
      </c>
      <c r="O81" s="23" t="str">
        <f>IF(OR(N81="",N80=""),"",IF(N80=0,"",(N81/N80)-1))</f>
        <v/>
      </c>
      <c r="P81" s="11" t="str">
        <f>IF(ROW()&lt;7,"",IF(OR(E81="",E78=""),"",IF(E78=0,"",(E81/E78)-1)))</f>
        <v/>
      </c>
      <c r="Q81" s="23" t="str">
        <f>IF(ROW()&lt;9,"",IF(OR(E81="",E76=""),"",IF(E76=0,"",(E81/E76)-1)))</f>
        <v/>
      </c>
      <c r="R81" s="23" t="str">
        <f>IF(ROW()&lt;7,"",IF(OR(G81="",G78=""),"",IF(G78=0,"",(G81/G78)-1)))</f>
        <v/>
      </c>
      <c r="S81" s="23" t="str">
        <f>IF(ROW()&lt;9,"",IF(OR(G81="",G76=""),"",IF(G76=0,"",(G81/G76)-1)))</f>
        <v/>
      </c>
      <c r="T81" s="23" t="str">
        <f>IF(ROW()&lt;7,"",IF(OR(L81="",L78=""),"",IF(L78=0,"",(L81/L78)-1)))</f>
        <v/>
      </c>
      <c r="U81" s="23" t="str">
        <f>IF(ROW()&lt;9,"",IF(OR(L81="",L76=""),"",IF(L76=0,"",(L81/L76)-1)))</f>
        <v/>
      </c>
      <c r="V81" s="23" t="str">
        <f>IF(ROW()&lt;7,"",IF(OR(N81="",N78=""),"",IF(N78=0,"",(N81/N78)-1)))</f>
        <v/>
      </c>
      <c r="W81" s="23" t="str">
        <f>IF(ROW()&lt;9,"",IF(OR(N81="",N76=""),"",IF(N76=0,"",(N81/N76)-1)))</f>
        <v/>
      </c>
      <c r="X81" s="23" t="str">
        <f>IF(OR(F81="",M81=""),"",F81-M81)</f>
        <v/>
      </c>
      <c r="Y81" s="23" t="str">
        <f>IF(OR(P81="",T81=""),"",P81-T81)</f>
        <v/>
      </c>
      <c r="Z81" s="23" t="str">
        <f>IF(OR(Q81="",U81=""),"",Q81-U81)</f>
        <v/>
      </c>
      <c r="AA81" s="23" t="str">
        <f>IF(OR(H81="",O81=""),"",H81-O81)</f>
        <v/>
      </c>
      <c r="AB81" s="23" t="str">
        <f>IF(OR(R81="",V81=""),"",R81-V81)</f>
        <v/>
      </c>
      <c r="AC81" s="23" t="str">
        <f>IF(OR(S81="",W81=""),"",S81-W81)</f>
        <v/>
      </c>
      <c r="AD81" s="13"/>
      <c r="AE81" s="23" t="str">
        <f>IF(OR(AD81="",AD80=""),"",IF(AD80=0,"",(AD81/AD80)-1))</f>
        <v/>
      </c>
      <c r="AF81" s="23" t="str">
        <f>IF(ROW()&lt;7,"",IF(OR(AD81="",AD78=""),"",IF(AD78=0,"",(AD81/AD78)-1)))</f>
        <v/>
      </c>
      <c r="AG81" s="23" t="str">
        <f>IF(ROW()&lt;9,"",IF(OR(AD81="",AD76=""),"",IF(AD76=0,"",(AD81/AD76)-1)))</f>
        <v/>
      </c>
      <c r="AH81" s="23" t="str">
        <f>IF(OR(AF81="",AG81=""),"",IF(AND(AF81&gt;0,AG81&gt;0),"Bull",IF(AND(AF81&lt;0,AG81&lt;0),"Bear","Mixed")))</f>
        <v/>
      </c>
      <c r="AI81" s="13"/>
      <c r="AJ81" s="13" t="str">
        <f>IF(OR(AI81="",AI80=""),"",IF(AI80=0,"",(AI81/AI80)-1))</f>
        <v/>
      </c>
      <c r="AK81" s="23" t="str">
        <f>IF(OR(AJ81="",AJ80=""),"",IF(AJ80=0,"",(AJ81/AJ80)-1))</f>
        <v/>
      </c>
      <c r="AL81" s="23" t="str">
        <f>IF(ROW()&lt;7,"",IF(OR(AJ81="",AJ78=""),"",IF(AJ78=0,"",(AJ81/AJ78)-1)))</f>
        <v/>
      </c>
      <c r="AM81" s="23" t="str">
        <f>IF(ROW()&lt;9,"",IF(OR(AJ81="",AJ76=""),"",IF(AJ76=0,"",(AJ81/AJ76)-1)))</f>
        <v/>
      </c>
      <c r="AN81" t="str">
        <f>IF(OR(AL81="",AM81=""),"",IF(AND(AL81&gt;0,AM81&gt;0),"Bull",IF(AND(AL81&lt;0,AM81&lt;0),"Bear","Mixed")))</f>
        <v/>
      </c>
      <c r="AO81" t="str">
        <f>IF(OR(AH81="",AN81=""),"",IF(AND(AH81="Bull",AN81="Bull"),"YES","NO"))</f>
        <v/>
      </c>
      <c r="AP81" t="str">
        <f>IF(OR(AH81="",AN81=""),"",IF(AND(AH81="Bear",AN81="Bear"),"YES","NO"))</f>
        <v/>
      </c>
      <c r="AQ81" t="str">
        <f>IF(AO81="YES",IF(SUM(N(X81),N(Y81),N(Z81))&gt;0,"SOXL","TQQQ"),IF(AP81="YES",IF(SUM(N(AA81),N(AB81),N(AC81))&gt;0,"SOXS","SQQQ"),"WAIT"))</f>
        <v>WAIT</v>
      </c>
      <c r="AR81" s="23" t="str">
        <f>IF(AO81="YES",IF(SUM(N(X81),N(Y81),N(Z81))&gt;0,"TQQQ","SOXL"),IF(AP81="YES",IF(SUM(N(AA81),N(AB81),N(AC81))&gt;0,"SQQQ","SOXS"),""))</f>
        <v/>
      </c>
      <c r="AS81" s="23" t="str">
        <f>IF(AQ81="WAIT","",IF(AR81="",1,0.6))</f>
        <v/>
      </c>
      <c r="AT81" s="23">
        <f>IF(AR81="",0,0.4)</f>
        <v>0</v>
      </c>
      <c r="AU81" s="23" t="str">
        <f>IF(AQ81="WAIT","WAIT",IF(AO81="YES","BULL",IF(AP81="YES","BEAR","WAIT")))</f>
        <v>WAIT</v>
      </c>
      <c r="AV81" t="str">
        <f>IF(AQ81="WAIT","Low",IF(OR(AND(AU81="BULL",ABS(SUM(N(X81),N(Y81),N(Z81)))&gt;=0.15),AND(AU81="BEAR",ABS(SUM(N(AA81),N(AB81),N(AC81)))&gt;=0.15)),"Strong",IF(OR(AND(AU81="BULL",ABS(SUM(N(X81),N(Y81),N(Z81)))&gt;=0.05),AND(AU81="BEAR",ABS(SUM(N(AA81),N(AB81),N(AC81)))&gt;=0.05)),"Moderate","Low")))</f>
        <v>Low</v>
      </c>
      <c r="AW81" t="str">
        <f>IF(AQ81="WAIT","QQQ and SMH not aligned",IF(AU81="BULL",IF(AQ81="SOXL","Bull regime; semiconductors leading","Bull regime; tech leading"),IF(AQ81="SOXS","Bear regime; semiconductors weakest","Bear regime; tech weakest")))</f>
        <v>QQQ and SMH not aligned</v>
      </c>
      <c r="AX81" t="str">
        <f>IF(AR81="WAIT","QQQ and SMH not aligned",IF(AV81="BULL",IF(AR81="SOXL","Bull regime; semiconductors leading","Bull regime; tech leading"),IF(AR81="SOXS","Bear regime; semiconductors weakest","Bear regime; tech weakest")))</f>
        <v>Bear regime; tech weakest</v>
      </c>
    </row>
    <row r="82" spans="1:50" x14ac:dyDescent="0.2">
      <c r="A82" s="12"/>
      <c r="B82" s="13"/>
      <c r="C82" s="13"/>
      <c r="D82" s="13"/>
      <c r="E82" s="13"/>
      <c r="F82" s="11" t="str">
        <f>IF(OR(E82="",E81=""),"",IF(E81=0,"",(E82/E81)-1))</f>
        <v/>
      </c>
      <c r="G82" s="13"/>
      <c r="H82" s="11" t="str">
        <f>IF(OR(G82="",G81=""),"",IF(G81=0,"",(G82/G81)-1))</f>
        <v/>
      </c>
      <c r="I82" s="13"/>
      <c r="J82" s="13"/>
      <c r="K82" s="13"/>
      <c r="L82" s="13"/>
      <c r="M82" s="23" t="str">
        <f>IF(OR(L82="",L81=""),"",IF(L81=0,"",(L82/L81)-1))</f>
        <v/>
      </c>
      <c r="N82" s="26" t="str">
        <f>IFERROR((M82/M81)-1,"")</f>
        <v/>
      </c>
      <c r="O82" s="23" t="str">
        <f>IF(OR(N82="",N81=""),"",IF(N81=0,"",(N82/N81)-1))</f>
        <v/>
      </c>
      <c r="P82" s="11" t="str">
        <f>IF(ROW()&lt;7,"",IF(OR(E82="",E79=""),"",IF(E79=0,"",(E82/E79)-1)))</f>
        <v/>
      </c>
      <c r="Q82" s="23" t="str">
        <f>IF(ROW()&lt;9,"",IF(OR(E82="",E77=""),"",IF(E77=0,"",(E82/E77)-1)))</f>
        <v/>
      </c>
      <c r="R82" s="23" t="str">
        <f>IF(ROW()&lt;7,"",IF(OR(G82="",G79=""),"",IF(G79=0,"",(G82/G79)-1)))</f>
        <v/>
      </c>
      <c r="S82" s="23" t="str">
        <f>IF(ROW()&lt;9,"",IF(OR(G82="",G77=""),"",IF(G77=0,"",(G82/G77)-1)))</f>
        <v/>
      </c>
      <c r="T82" s="23" t="str">
        <f>IF(ROW()&lt;7,"",IF(OR(L82="",L79=""),"",IF(L79=0,"",(L82/L79)-1)))</f>
        <v/>
      </c>
      <c r="U82" s="23" t="str">
        <f>IF(ROW()&lt;9,"",IF(OR(L82="",L77=""),"",IF(L77=0,"",(L82/L77)-1)))</f>
        <v/>
      </c>
      <c r="V82" s="23" t="str">
        <f>IF(ROW()&lt;7,"",IF(OR(N82="",N79=""),"",IF(N79=0,"",(N82/N79)-1)))</f>
        <v/>
      </c>
      <c r="W82" s="23" t="str">
        <f>IF(ROW()&lt;9,"",IF(OR(N82="",N77=""),"",IF(N77=0,"",(N82/N77)-1)))</f>
        <v/>
      </c>
      <c r="X82" s="23" t="str">
        <f>IF(OR(F82="",M82=""),"",F82-M82)</f>
        <v/>
      </c>
      <c r="Y82" s="23" t="str">
        <f>IF(OR(P82="",T82=""),"",P82-T82)</f>
        <v/>
      </c>
      <c r="Z82" s="23" t="str">
        <f>IF(OR(Q82="",U82=""),"",Q82-U82)</f>
        <v/>
      </c>
      <c r="AA82" s="23" t="str">
        <f>IF(OR(H82="",O82=""),"",H82-O82)</f>
        <v/>
      </c>
      <c r="AB82" s="23" t="str">
        <f>IF(OR(R82="",V82=""),"",R82-V82)</f>
        <v/>
      </c>
      <c r="AC82" s="23" t="str">
        <f>IF(OR(S82="",W82=""),"",S82-W82)</f>
        <v/>
      </c>
      <c r="AD82" s="13"/>
      <c r="AE82" s="23" t="str">
        <f>IF(OR(AD82="",AD81=""),"",IF(AD81=0,"",(AD82/AD81)-1))</f>
        <v/>
      </c>
      <c r="AF82" s="23" t="str">
        <f>IF(ROW()&lt;7,"",IF(OR(AD82="",AD79=""),"",IF(AD79=0,"",(AD82/AD79)-1)))</f>
        <v/>
      </c>
      <c r="AG82" s="23" t="str">
        <f>IF(ROW()&lt;9,"",IF(OR(AD82="",AD77=""),"",IF(AD77=0,"",(AD82/AD77)-1)))</f>
        <v/>
      </c>
      <c r="AH82" s="23" t="str">
        <f>IF(OR(AF82="",AG82=""),"",IF(AND(AF82&gt;0,AG82&gt;0),"Bull",IF(AND(AF82&lt;0,AG82&lt;0),"Bear","Mixed")))</f>
        <v/>
      </c>
      <c r="AI82" s="13"/>
      <c r="AJ82" s="13" t="str">
        <f>IF(OR(AI82="",AI81=""),"",IF(AI81=0,"",(AI82/AI81)-1))</f>
        <v/>
      </c>
      <c r="AK82" s="23" t="str">
        <f>IF(OR(AJ82="",AJ81=""),"",IF(AJ81=0,"",(AJ82/AJ81)-1))</f>
        <v/>
      </c>
      <c r="AL82" s="23" t="str">
        <f>IF(ROW()&lt;7,"",IF(OR(AJ82="",AJ79=""),"",IF(AJ79=0,"",(AJ82/AJ79)-1)))</f>
        <v/>
      </c>
      <c r="AM82" s="23" t="str">
        <f>IF(ROW()&lt;9,"",IF(OR(AJ82="",AJ77=""),"",IF(AJ77=0,"",(AJ82/AJ77)-1)))</f>
        <v/>
      </c>
      <c r="AN82" t="str">
        <f>IF(OR(AL82="",AM82=""),"",IF(AND(AL82&gt;0,AM82&gt;0),"Bull",IF(AND(AL82&lt;0,AM82&lt;0),"Bear","Mixed")))</f>
        <v/>
      </c>
      <c r="AO82" t="str">
        <f>IF(OR(AH82="",AN82=""),"",IF(AND(AH82="Bull",AN82="Bull"),"YES","NO"))</f>
        <v/>
      </c>
      <c r="AP82" t="str">
        <f>IF(OR(AH82="",AN82=""),"",IF(AND(AH82="Bear",AN82="Bear"),"YES","NO"))</f>
        <v/>
      </c>
      <c r="AQ82" t="str">
        <f>IF(AO82="YES",IF(SUM(N(X82),N(Y82),N(Z82))&gt;0,"SOXL","TQQQ"),IF(AP82="YES",IF(SUM(N(AA82),N(AB82),N(AC82))&gt;0,"SOXS","SQQQ"),"WAIT"))</f>
        <v>WAIT</v>
      </c>
      <c r="AR82" s="23" t="str">
        <f>IF(AO82="YES",IF(SUM(N(X82),N(Y82),N(Z82))&gt;0,"TQQQ","SOXL"),IF(AP82="YES",IF(SUM(N(AA82),N(AB82),N(AC82))&gt;0,"SQQQ","SOXS"),""))</f>
        <v/>
      </c>
      <c r="AS82" s="23" t="str">
        <f>IF(AQ82="WAIT","",IF(AR82="",1,0.6))</f>
        <v/>
      </c>
      <c r="AT82" s="23">
        <f>IF(AR82="",0,0.4)</f>
        <v>0</v>
      </c>
      <c r="AU82" s="23" t="str">
        <f>IF(AQ82="WAIT","WAIT",IF(AO82="YES","BULL",IF(AP82="YES","BEAR","WAIT")))</f>
        <v>WAIT</v>
      </c>
      <c r="AV82" t="str">
        <f>IF(AQ82="WAIT","Low",IF(OR(AND(AU82="BULL",ABS(SUM(N(X82),N(Y82),N(Z82)))&gt;=0.15),AND(AU82="BEAR",ABS(SUM(N(AA82),N(AB82),N(AC82)))&gt;=0.15)),"Strong",IF(OR(AND(AU82="BULL",ABS(SUM(N(X82),N(Y82),N(Z82)))&gt;=0.05),AND(AU82="BEAR",ABS(SUM(N(AA82),N(AB82),N(AC82)))&gt;=0.05)),"Moderate","Low")))</f>
        <v>Low</v>
      </c>
      <c r="AW82" t="str">
        <f>IF(AQ82="WAIT","QQQ and SMH not aligned",IF(AU82="BULL",IF(AQ82="SOXL","Bull regime; semiconductors leading","Bull regime; tech leading"),IF(AQ82="SOXS","Bear regime; semiconductors weakest","Bear regime; tech weakest")))</f>
        <v>QQQ and SMH not aligned</v>
      </c>
      <c r="AX82" t="str">
        <f>IF(AR82="WAIT","QQQ and SMH not aligned",IF(AV82="BULL",IF(AR82="SOXL","Bull regime; semiconductors leading","Bull regime; tech leading"),IF(AR82="SOXS","Bear regime; semiconductors weakest","Bear regime; tech weakest")))</f>
        <v>Bear regime; tech weakest</v>
      </c>
    </row>
    <row r="83" spans="1:50" x14ac:dyDescent="0.2">
      <c r="A83" s="12"/>
      <c r="B83" s="13"/>
      <c r="C83" s="13"/>
      <c r="D83" s="13"/>
      <c r="E83" s="13"/>
      <c r="F83" s="11" t="str">
        <f>IF(OR(E83="",E82=""),"",IF(E82=0,"",(E83/E82)-1))</f>
        <v/>
      </c>
      <c r="G83" s="13"/>
      <c r="H83" s="11" t="str">
        <f>IF(OR(G83="",G82=""),"",IF(G82=0,"",(G83/G82)-1))</f>
        <v/>
      </c>
      <c r="I83" s="13"/>
      <c r="J83" s="13"/>
      <c r="K83" s="13"/>
      <c r="L83" s="13"/>
      <c r="M83" s="23" t="str">
        <f>IF(OR(L83="",L82=""),"",IF(L82=0,"",(L83/L82)-1))</f>
        <v/>
      </c>
      <c r="N83" s="26" t="str">
        <f>IFERROR((M83/M82)-1,"")</f>
        <v/>
      </c>
      <c r="O83" s="23" t="str">
        <f>IF(OR(N83="",N82=""),"",IF(N82=0,"",(N83/N82)-1))</f>
        <v/>
      </c>
      <c r="P83" s="11" t="str">
        <f>IF(ROW()&lt;7,"",IF(OR(E83="",E80=""),"",IF(E80=0,"",(E83/E80)-1)))</f>
        <v/>
      </c>
      <c r="Q83" s="23" t="str">
        <f>IF(ROW()&lt;9,"",IF(OR(E83="",E78=""),"",IF(E78=0,"",(E83/E78)-1)))</f>
        <v/>
      </c>
      <c r="R83" s="23" t="str">
        <f>IF(ROW()&lt;7,"",IF(OR(G83="",G80=""),"",IF(G80=0,"",(G83/G80)-1)))</f>
        <v/>
      </c>
      <c r="S83" s="23" t="str">
        <f>IF(ROW()&lt;9,"",IF(OR(G83="",G78=""),"",IF(G78=0,"",(G83/G78)-1)))</f>
        <v/>
      </c>
      <c r="T83" s="23" t="str">
        <f>IF(ROW()&lt;7,"",IF(OR(L83="",L80=""),"",IF(L80=0,"",(L83/L80)-1)))</f>
        <v/>
      </c>
      <c r="U83" s="23" t="str">
        <f>IF(ROW()&lt;9,"",IF(OR(L83="",L78=""),"",IF(L78=0,"",(L83/L78)-1)))</f>
        <v/>
      </c>
      <c r="V83" s="23" t="str">
        <f>IF(ROW()&lt;7,"",IF(OR(N83="",N80=""),"",IF(N80=0,"",(N83/N80)-1)))</f>
        <v/>
      </c>
      <c r="W83" s="23" t="str">
        <f>IF(ROW()&lt;9,"",IF(OR(N83="",N78=""),"",IF(N78=0,"",(N83/N78)-1)))</f>
        <v/>
      </c>
      <c r="X83" s="23" t="str">
        <f>IF(OR(F83="",M83=""),"",F83-M83)</f>
        <v/>
      </c>
      <c r="Y83" s="23" t="str">
        <f>IF(OR(P83="",T83=""),"",P83-T83)</f>
        <v/>
      </c>
      <c r="Z83" s="23" t="str">
        <f>IF(OR(Q83="",U83=""),"",Q83-U83)</f>
        <v/>
      </c>
      <c r="AA83" s="23" t="str">
        <f>IF(OR(H83="",O83=""),"",H83-O83)</f>
        <v/>
      </c>
      <c r="AB83" s="23" t="str">
        <f>IF(OR(R83="",V83=""),"",R83-V83)</f>
        <v/>
      </c>
      <c r="AC83" s="23" t="str">
        <f>IF(OR(S83="",W83=""),"",S83-W83)</f>
        <v/>
      </c>
      <c r="AD83" s="13"/>
      <c r="AE83" s="23" t="str">
        <f>IF(OR(AD83="",AD82=""),"",IF(AD82=0,"",(AD83/AD82)-1))</f>
        <v/>
      </c>
      <c r="AF83" s="23" t="str">
        <f>IF(ROW()&lt;7,"",IF(OR(AD83="",AD80=""),"",IF(AD80=0,"",(AD83/AD80)-1)))</f>
        <v/>
      </c>
      <c r="AG83" s="23" t="str">
        <f>IF(ROW()&lt;9,"",IF(OR(AD83="",AD78=""),"",IF(AD78=0,"",(AD83/AD78)-1)))</f>
        <v/>
      </c>
      <c r="AH83" s="23" t="str">
        <f>IF(OR(AF83="",AG83=""),"",IF(AND(AF83&gt;0,AG83&gt;0),"Bull",IF(AND(AF83&lt;0,AG83&lt;0),"Bear","Mixed")))</f>
        <v/>
      </c>
      <c r="AI83" s="13"/>
      <c r="AJ83" s="13" t="str">
        <f>IF(OR(AI83="",AI82=""),"",IF(AI82=0,"",(AI83/AI82)-1))</f>
        <v/>
      </c>
      <c r="AK83" s="23" t="str">
        <f>IF(OR(AJ83="",AJ82=""),"",IF(AJ82=0,"",(AJ83/AJ82)-1))</f>
        <v/>
      </c>
      <c r="AL83" s="23" t="str">
        <f>IF(ROW()&lt;7,"",IF(OR(AJ83="",AJ80=""),"",IF(AJ80=0,"",(AJ83/AJ80)-1)))</f>
        <v/>
      </c>
      <c r="AM83" s="23" t="str">
        <f>IF(ROW()&lt;9,"",IF(OR(AJ83="",AJ78=""),"",IF(AJ78=0,"",(AJ83/AJ78)-1)))</f>
        <v/>
      </c>
      <c r="AN83" t="str">
        <f>IF(OR(AL83="",AM83=""),"",IF(AND(AL83&gt;0,AM83&gt;0),"Bull",IF(AND(AL83&lt;0,AM83&lt;0),"Bear","Mixed")))</f>
        <v/>
      </c>
      <c r="AO83" t="str">
        <f>IF(OR(AH83="",AN83=""),"",IF(AND(AH83="Bull",AN83="Bull"),"YES","NO"))</f>
        <v/>
      </c>
      <c r="AP83" t="str">
        <f>IF(OR(AH83="",AN83=""),"",IF(AND(AH83="Bear",AN83="Bear"),"YES","NO"))</f>
        <v/>
      </c>
      <c r="AQ83" t="str">
        <f>IF(AO83="YES",IF(SUM(N(X83),N(Y83),N(Z83))&gt;0,"SOXL","TQQQ"),IF(AP83="YES",IF(SUM(N(AA83),N(AB83),N(AC83))&gt;0,"SOXS","SQQQ"),"WAIT"))</f>
        <v>WAIT</v>
      </c>
      <c r="AR83" s="23" t="str">
        <f>IF(AO83="YES",IF(SUM(N(X83),N(Y83),N(Z83))&gt;0,"TQQQ","SOXL"),IF(AP83="YES",IF(SUM(N(AA83),N(AB83),N(AC83))&gt;0,"SQQQ","SOXS"),""))</f>
        <v/>
      </c>
      <c r="AS83" s="23" t="str">
        <f>IF(AQ83="WAIT","",IF(AR83="",1,0.6))</f>
        <v/>
      </c>
      <c r="AT83" s="23">
        <f>IF(AR83="",0,0.4)</f>
        <v>0</v>
      </c>
      <c r="AU83" s="23" t="str">
        <f>IF(AQ83="WAIT","WAIT",IF(AO83="YES","BULL",IF(AP83="YES","BEAR","WAIT")))</f>
        <v>WAIT</v>
      </c>
      <c r="AV83" t="str">
        <f>IF(AQ83="WAIT","Low",IF(OR(AND(AU83="BULL",ABS(SUM(N(X83),N(Y83),N(Z83)))&gt;=0.15),AND(AU83="BEAR",ABS(SUM(N(AA83),N(AB83),N(AC83)))&gt;=0.15)),"Strong",IF(OR(AND(AU83="BULL",ABS(SUM(N(X83),N(Y83),N(Z83)))&gt;=0.05),AND(AU83="BEAR",ABS(SUM(N(AA83),N(AB83),N(AC83)))&gt;=0.05)),"Moderate","Low")))</f>
        <v>Low</v>
      </c>
      <c r="AW83" t="str">
        <f>IF(AQ83="WAIT","QQQ and SMH not aligned",IF(AU83="BULL",IF(AQ83="SOXL","Bull regime; semiconductors leading","Bull regime; tech leading"),IF(AQ83="SOXS","Bear regime; semiconductors weakest","Bear regime; tech weakest")))</f>
        <v>QQQ and SMH not aligned</v>
      </c>
      <c r="AX83" t="str">
        <f>IF(AR83="WAIT","QQQ and SMH not aligned",IF(AV83="BULL",IF(AR83="SOXL","Bull regime; semiconductors leading","Bull regime; tech leading"),IF(AR83="SOXS","Bear regime; semiconductors weakest","Bear regime; tech weakest")))</f>
        <v>Bear regime; tech weakest</v>
      </c>
    </row>
    <row r="84" spans="1:50" x14ac:dyDescent="0.2">
      <c r="A84" s="12"/>
      <c r="B84" s="13"/>
      <c r="C84" s="13"/>
      <c r="D84" s="13"/>
      <c r="E84" s="13"/>
      <c r="F84" s="11" t="str">
        <f>IF(OR(E84="",E83=""),"",IF(E83=0,"",(E84/E83)-1))</f>
        <v/>
      </c>
      <c r="G84" s="13"/>
      <c r="H84" s="11" t="str">
        <f>IF(OR(G84="",G83=""),"",IF(G83=0,"",(G84/G83)-1))</f>
        <v/>
      </c>
      <c r="I84" s="13"/>
      <c r="J84" s="13"/>
      <c r="K84" s="13"/>
      <c r="L84" s="13"/>
      <c r="M84" s="23" t="str">
        <f>IF(OR(L84="",L83=""),"",IF(L83=0,"",(L84/L83)-1))</f>
        <v/>
      </c>
      <c r="N84" s="26" t="str">
        <f>IFERROR((M84/M83)-1,"")</f>
        <v/>
      </c>
      <c r="O84" s="23" t="str">
        <f>IF(OR(N84="",N83=""),"",IF(N83=0,"",(N84/N83)-1))</f>
        <v/>
      </c>
      <c r="P84" s="11" t="str">
        <f>IF(ROW()&lt;7,"",IF(OR(E84="",E81=""),"",IF(E81=0,"",(E84/E81)-1)))</f>
        <v/>
      </c>
      <c r="Q84" s="23" t="str">
        <f>IF(ROW()&lt;9,"",IF(OR(E84="",E79=""),"",IF(E79=0,"",(E84/E79)-1)))</f>
        <v/>
      </c>
      <c r="R84" s="23" t="str">
        <f>IF(ROW()&lt;7,"",IF(OR(G84="",G81=""),"",IF(G81=0,"",(G84/G81)-1)))</f>
        <v/>
      </c>
      <c r="S84" s="23" t="str">
        <f>IF(ROW()&lt;9,"",IF(OR(G84="",G79=""),"",IF(G79=0,"",(G84/G79)-1)))</f>
        <v/>
      </c>
      <c r="T84" s="23" t="str">
        <f>IF(ROW()&lt;7,"",IF(OR(L84="",L81=""),"",IF(L81=0,"",(L84/L81)-1)))</f>
        <v/>
      </c>
      <c r="U84" s="23" t="str">
        <f>IF(ROW()&lt;9,"",IF(OR(L84="",L79=""),"",IF(L79=0,"",(L84/L79)-1)))</f>
        <v/>
      </c>
      <c r="V84" s="23" t="str">
        <f>IF(ROW()&lt;7,"",IF(OR(N84="",N81=""),"",IF(N81=0,"",(N84/N81)-1)))</f>
        <v/>
      </c>
      <c r="W84" s="23" t="str">
        <f>IF(ROW()&lt;9,"",IF(OR(N84="",N79=""),"",IF(N79=0,"",(N84/N79)-1)))</f>
        <v/>
      </c>
      <c r="X84" s="23" t="str">
        <f>IF(OR(F84="",M84=""),"",F84-M84)</f>
        <v/>
      </c>
      <c r="Y84" s="23" t="str">
        <f>IF(OR(P84="",T84=""),"",P84-T84)</f>
        <v/>
      </c>
      <c r="Z84" s="23" t="str">
        <f>IF(OR(Q84="",U84=""),"",Q84-U84)</f>
        <v/>
      </c>
      <c r="AA84" s="23" t="str">
        <f>IF(OR(H84="",O84=""),"",H84-O84)</f>
        <v/>
      </c>
      <c r="AB84" s="23" t="str">
        <f>IF(OR(R84="",V84=""),"",R84-V84)</f>
        <v/>
      </c>
      <c r="AC84" s="23" t="str">
        <f>IF(OR(S84="",W84=""),"",S84-W84)</f>
        <v/>
      </c>
      <c r="AD84" s="13"/>
      <c r="AE84" s="23" t="str">
        <f>IF(OR(AD84="",AD83=""),"",IF(AD83=0,"",(AD84/AD83)-1))</f>
        <v/>
      </c>
      <c r="AF84" s="23" t="str">
        <f>IF(ROW()&lt;7,"",IF(OR(AD84="",AD81=""),"",IF(AD81=0,"",(AD84/AD81)-1)))</f>
        <v/>
      </c>
      <c r="AG84" s="23" t="str">
        <f>IF(ROW()&lt;9,"",IF(OR(AD84="",AD79=""),"",IF(AD79=0,"",(AD84/AD79)-1)))</f>
        <v/>
      </c>
      <c r="AH84" s="23" t="str">
        <f>IF(OR(AF84="",AG84=""),"",IF(AND(AF84&gt;0,AG84&gt;0),"Bull",IF(AND(AF84&lt;0,AG84&lt;0),"Bear","Mixed")))</f>
        <v/>
      </c>
      <c r="AI84" s="13"/>
      <c r="AJ84" s="13" t="str">
        <f>IF(OR(AI84="",AI83=""),"",IF(AI83=0,"",(AI84/AI83)-1))</f>
        <v/>
      </c>
      <c r="AK84" s="23" t="str">
        <f>IF(OR(AJ84="",AJ83=""),"",IF(AJ83=0,"",(AJ84/AJ83)-1))</f>
        <v/>
      </c>
      <c r="AL84" s="23" t="str">
        <f>IF(ROW()&lt;7,"",IF(OR(AJ84="",AJ81=""),"",IF(AJ81=0,"",(AJ84/AJ81)-1)))</f>
        <v/>
      </c>
      <c r="AM84" s="23" t="str">
        <f>IF(ROW()&lt;9,"",IF(OR(AJ84="",AJ79=""),"",IF(AJ79=0,"",(AJ84/AJ79)-1)))</f>
        <v/>
      </c>
      <c r="AN84" t="str">
        <f>IF(OR(AL84="",AM84=""),"",IF(AND(AL84&gt;0,AM84&gt;0),"Bull",IF(AND(AL84&lt;0,AM84&lt;0),"Bear","Mixed")))</f>
        <v/>
      </c>
      <c r="AO84" t="str">
        <f>IF(OR(AH84="",AN84=""),"",IF(AND(AH84="Bull",AN84="Bull"),"YES","NO"))</f>
        <v/>
      </c>
      <c r="AP84" t="str">
        <f>IF(OR(AH84="",AN84=""),"",IF(AND(AH84="Bear",AN84="Bear"),"YES","NO"))</f>
        <v/>
      </c>
      <c r="AQ84" t="str">
        <f>IF(AO84="YES",IF(SUM(N(X84),N(Y84),N(Z84))&gt;0,"SOXL","TQQQ"),IF(AP84="YES",IF(SUM(N(AA84),N(AB84),N(AC84))&gt;0,"SOXS","SQQQ"),"WAIT"))</f>
        <v>WAIT</v>
      </c>
      <c r="AR84" s="23" t="str">
        <f>IF(AO84="YES",IF(SUM(N(X84),N(Y84),N(Z84))&gt;0,"TQQQ","SOXL"),IF(AP84="YES",IF(SUM(N(AA84),N(AB84),N(AC84))&gt;0,"SQQQ","SOXS"),""))</f>
        <v/>
      </c>
      <c r="AS84" s="23" t="str">
        <f>IF(AQ84="WAIT","",IF(AR84="",1,0.6))</f>
        <v/>
      </c>
      <c r="AT84" s="23">
        <f>IF(AR84="",0,0.4)</f>
        <v>0</v>
      </c>
      <c r="AU84" s="23" t="str">
        <f>IF(AQ84="WAIT","WAIT",IF(AO84="YES","BULL",IF(AP84="YES","BEAR","WAIT")))</f>
        <v>WAIT</v>
      </c>
      <c r="AV84" t="str">
        <f>IF(AQ84="WAIT","Low",IF(OR(AND(AU84="BULL",ABS(SUM(N(X84),N(Y84),N(Z84)))&gt;=0.15),AND(AU84="BEAR",ABS(SUM(N(AA84),N(AB84),N(AC84)))&gt;=0.15)),"Strong",IF(OR(AND(AU84="BULL",ABS(SUM(N(X84),N(Y84),N(Z84)))&gt;=0.05),AND(AU84="BEAR",ABS(SUM(N(AA84),N(AB84),N(AC84)))&gt;=0.05)),"Moderate","Low")))</f>
        <v>Low</v>
      </c>
      <c r="AW84" t="str">
        <f>IF(AQ84="WAIT","QQQ and SMH not aligned",IF(AU84="BULL",IF(AQ84="SOXL","Bull regime; semiconductors leading","Bull regime; tech leading"),IF(AQ84="SOXS","Bear regime; semiconductors weakest","Bear regime; tech weakest")))</f>
        <v>QQQ and SMH not aligned</v>
      </c>
      <c r="AX84" t="str">
        <f>IF(AR84="WAIT","QQQ and SMH not aligned",IF(AV84="BULL",IF(AR84="SOXL","Bull regime; semiconductors leading","Bull regime; tech leading"),IF(AR84="SOXS","Bear regime; semiconductors weakest","Bear regime; tech weakest")))</f>
        <v>Bear regime; tech weakest</v>
      </c>
    </row>
    <row r="85" spans="1:50" x14ac:dyDescent="0.2">
      <c r="A85" s="12"/>
      <c r="B85" s="13"/>
      <c r="C85" s="13"/>
      <c r="D85" s="13"/>
      <c r="E85" s="13"/>
      <c r="F85" s="11" t="str">
        <f>IF(OR(E85="",E84=""),"",IF(E84=0,"",(E85/E84)-1))</f>
        <v/>
      </c>
      <c r="G85" s="13"/>
      <c r="H85" s="11" t="str">
        <f>IF(OR(G85="",G84=""),"",IF(G84=0,"",(G85/G84)-1))</f>
        <v/>
      </c>
      <c r="I85" s="13"/>
      <c r="J85" s="13"/>
      <c r="K85" s="13"/>
      <c r="L85" s="13"/>
      <c r="M85" s="23" t="str">
        <f>IF(OR(L85="",L84=""),"",IF(L84=0,"",(L85/L84)-1))</f>
        <v/>
      </c>
      <c r="N85" s="26" t="str">
        <f>IFERROR((M85/M84)-1,"")</f>
        <v/>
      </c>
      <c r="O85" s="23" t="str">
        <f>IF(OR(N85="",N84=""),"",IF(N84=0,"",(N85/N84)-1))</f>
        <v/>
      </c>
      <c r="P85" s="11" t="str">
        <f>IF(ROW()&lt;7,"",IF(OR(E85="",E82=""),"",IF(E82=0,"",(E85/E82)-1)))</f>
        <v/>
      </c>
      <c r="Q85" s="23" t="str">
        <f>IF(ROW()&lt;9,"",IF(OR(E85="",E80=""),"",IF(E80=0,"",(E85/E80)-1)))</f>
        <v/>
      </c>
      <c r="R85" s="23" t="str">
        <f>IF(ROW()&lt;7,"",IF(OR(G85="",G82=""),"",IF(G82=0,"",(G85/G82)-1)))</f>
        <v/>
      </c>
      <c r="S85" s="23" t="str">
        <f>IF(ROW()&lt;9,"",IF(OR(G85="",G80=""),"",IF(G80=0,"",(G85/G80)-1)))</f>
        <v/>
      </c>
      <c r="T85" s="23" t="str">
        <f>IF(ROW()&lt;7,"",IF(OR(L85="",L82=""),"",IF(L82=0,"",(L85/L82)-1)))</f>
        <v/>
      </c>
      <c r="U85" s="23" t="str">
        <f>IF(ROW()&lt;9,"",IF(OR(L85="",L80=""),"",IF(L80=0,"",(L85/L80)-1)))</f>
        <v/>
      </c>
      <c r="V85" s="23" t="str">
        <f>IF(ROW()&lt;7,"",IF(OR(N85="",N82=""),"",IF(N82=0,"",(N85/N82)-1)))</f>
        <v/>
      </c>
      <c r="W85" s="23" t="str">
        <f>IF(ROW()&lt;9,"",IF(OR(N85="",N80=""),"",IF(N80=0,"",(N85/N80)-1)))</f>
        <v/>
      </c>
      <c r="X85" s="23" t="str">
        <f>IF(OR(F85="",M85=""),"",F85-M85)</f>
        <v/>
      </c>
      <c r="Y85" s="23" t="str">
        <f>IF(OR(P85="",T85=""),"",P85-T85)</f>
        <v/>
      </c>
      <c r="Z85" s="23" t="str">
        <f>IF(OR(Q85="",U85=""),"",Q85-U85)</f>
        <v/>
      </c>
      <c r="AA85" s="23" t="str">
        <f>IF(OR(H85="",O85=""),"",H85-O85)</f>
        <v/>
      </c>
      <c r="AB85" s="23" t="str">
        <f>IF(OR(R85="",V85=""),"",R85-V85)</f>
        <v/>
      </c>
      <c r="AC85" s="23" t="str">
        <f>IF(OR(S85="",W85=""),"",S85-W85)</f>
        <v/>
      </c>
      <c r="AD85" s="13"/>
      <c r="AE85" s="23" t="str">
        <f>IF(OR(AD85="",AD84=""),"",IF(AD84=0,"",(AD85/AD84)-1))</f>
        <v/>
      </c>
      <c r="AF85" s="23" t="str">
        <f>IF(ROW()&lt;7,"",IF(OR(AD85="",AD82=""),"",IF(AD82=0,"",(AD85/AD82)-1)))</f>
        <v/>
      </c>
      <c r="AG85" s="23" t="str">
        <f>IF(ROW()&lt;9,"",IF(OR(AD85="",AD80=""),"",IF(AD80=0,"",(AD85/AD80)-1)))</f>
        <v/>
      </c>
      <c r="AH85" s="23" t="str">
        <f>IF(OR(AF85="",AG85=""),"",IF(AND(AF85&gt;0,AG85&gt;0),"Bull",IF(AND(AF85&lt;0,AG85&lt;0),"Bear","Mixed")))</f>
        <v/>
      </c>
      <c r="AI85" s="13"/>
      <c r="AJ85" s="13" t="str">
        <f>IF(OR(AI85="",AI84=""),"",IF(AI84=0,"",(AI85/AI84)-1))</f>
        <v/>
      </c>
      <c r="AK85" s="23" t="str">
        <f>IF(OR(AJ85="",AJ84=""),"",IF(AJ84=0,"",(AJ85/AJ84)-1))</f>
        <v/>
      </c>
      <c r="AL85" s="23" t="str">
        <f>IF(ROW()&lt;7,"",IF(OR(AJ85="",AJ82=""),"",IF(AJ82=0,"",(AJ85/AJ82)-1)))</f>
        <v/>
      </c>
      <c r="AM85" s="23" t="str">
        <f>IF(ROW()&lt;9,"",IF(OR(AJ85="",AJ80=""),"",IF(AJ80=0,"",(AJ85/AJ80)-1)))</f>
        <v/>
      </c>
      <c r="AN85" t="str">
        <f>IF(OR(AL85="",AM85=""),"",IF(AND(AL85&gt;0,AM85&gt;0),"Bull",IF(AND(AL85&lt;0,AM85&lt;0),"Bear","Mixed")))</f>
        <v/>
      </c>
      <c r="AO85" t="str">
        <f>IF(OR(AH85="",AN85=""),"",IF(AND(AH85="Bull",AN85="Bull"),"YES","NO"))</f>
        <v/>
      </c>
      <c r="AP85" t="str">
        <f>IF(OR(AH85="",AN85=""),"",IF(AND(AH85="Bear",AN85="Bear"),"YES","NO"))</f>
        <v/>
      </c>
      <c r="AQ85" t="str">
        <f>IF(AO85="YES",IF(SUM(N(X85),N(Y85),N(Z85))&gt;0,"SOXL","TQQQ"),IF(AP85="YES",IF(SUM(N(AA85),N(AB85),N(AC85))&gt;0,"SOXS","SQQQ"),"WAIT"))</f>
        <v>WAIT</v>
      </c>
      <c r="AR85" s="23" t="str">
        <f>IF(AO85="YES",IF(SUM(N(X85),N(Y85),N(Z85))&gt;0,"TQQQ","SOXL"),IF(AP85="YES",IF(SUM(N(AA85),N(AB85),N(AC85))&gt;0,"SQQQ","SOXS"),""))</f>
        <v/>
      </c>
      <c r="AS85" s="23" t="str">
        <f>IF(AQ85="WAIT","",IF(AR85="",1,0.6))</f>
        <v/>
      </c>
      <c r="AT85" s="23">
        <f>IF(AR85="",0,0.4)</f>
        <v>0</v>
      </c>
      <c r="AU85" s="23" t="str">
        <f>IF(AQ85="WAIT","WAIT",IF(AO85="YES","BULL",IF(AP85="YES","BEAR","WAIT")))</f>
        <v>WAIT</v>
      </c>
      <c r="AV85" t="str">
        <f>IF(AQ85="WAIT","Low",IF(OR(AND(AU85="BULL",ABS(SUM(N(X85),N(Y85),N(Z85)))&gt;=0.15),AND(AU85="BEAR",ABS(SUM(N(AA85),N(AB85),N(AC85)))&gt;=0.15)),"Strong",IF(OR(AND(AU85="BULL",ABS(SUM(N(X85),N(Y85),N(Z85)))&gt;=0.05),AND(AU85="BEAR",ABS(SUM(N(AA85),N(AB85),N(AC85)))&gt;=0.05)),"Moderate","Low")))</f>
        <v>Low</v>
      </c>
      <c r="AW85" t="str">
        <f>IF(AQ85="WAIT","QQQ and SMH not aligned",IF(AU85="BULL",IF(AQ85="SOXL","Bull regime; semiconductors leading","Bull regime; tech leading"),IF(AQ85="SOXS","Bear regime; semiconductors weakest","Bear regime; tech weakest")))</f>
        <v>QQQ and SMH not aligned</v>
      </c>
      <c r="AX85" t="str">
        <f>IF(AR85="WAIT","QQQ and SMH not aligned",IF(AV85="BULL",IF(AR85="SOXL","Bull regime; semiconductors leading","Bull regime; tech leading"),IF(AR85="SOXS","Bear regime; semiconductors weakest","Bear regime; tech weakest")))</f>
        <v>Bear regime; tech weakest</v>
      </c>
    </row>
    <row r="86" spans="1:50" x14ac:dyDescent="0.2">
      <c r="A86" s="12"/>
      <c r="B86" s="13"/>
      <c r="C86" s="13"/>
      <c r="D86" s="13"/>
      <c r="E86" s="13"/>
      <c r="F86" s="11" t="str">
        <f>IF(OR(E86="",E85=""),"",IF(E85=0,"",(E86/E85)-1))</f>
        <v/>
      </c>
      <c r="G86" s="13"/>
      <c r="H86" s="11" t="str">
        <f>IF(OR(G86="",G85=""),"",IF(G85=0,"",(G86/G85)-1))</f>
        <v/>
      </c>
      <c r="I86" s="13"/>
      <c r="J86" s="13"/>
      <c r="K86" s="13"/>
      <c r="L86" s="13"/>
      <c r="M86" s="23" t="str">
        <f>IF(OR(L86="",L85=""),"",IF(L85=0,"",(L86/L85)-1))</f>
        <v/>
      </c>
      <c r="N86" s="26" t="str">
        <f>IFERROR((M86/M85)-1,"")</f>
        <v/>
      </c>
      <c r="O86" s="23" t="str">
        <f>IF(OR(N86="",N85=""),"",IF(N85=0,"",(N86/N85)-1))</f>
        <v/>
      </c>
      <c r="P86" s="11" t="str">
        <f>IF(ROW()&lt;7,"",IF(OR(E86="",E83=""),"",IF(E83=0,"",(E86/E83)-1)))</f>
        <v/>
      </c>
      <c r="Q86" s="23" t="str">
        <f>IF(ROW()&lt;9,"",IF(OR(E86="",E81=""),"",IF(E81=0,"",(E86/E81)-1)))</f>
        <v/>
      </c>
      <c r="R86" s="23" t="str">
        <f>IF(ROW()&lt;7,"",IF(OR(G86="",G83=""),"",IF(G83=0,"",(G86/G83)-1)))</f>
        <v/>
      </c>
      <c r="S86" s="23" t="str">
        <f>IF(ROW()&lt;9,"",IF(OR(G86="",G81=""),"",IF(G81=0,"",(G86/G81)-1)))</f>
        <v/>
      </c>
      <c r="T86" s="23" t="str">
        <f>IF(ROW()&lt;7,"",IF(OR(L86="",L83=""),"",IF(L83=0,"",(L86/L83)-1)))</f>
        <v/>
      </c>
      <c r="U86" s="23" t="str">
        <f>IF(ROW()&lt;9,"",IF(OR(L86="",L81=""),"",IF(L81=0,"",(L86/L81)-1)))</f>
        <v/>
      </c>
      <c r="V86" s="23" t="str">
        <f>IF(ROW()&lt;7,"",IF(OR(N86="",N83=""),"",IF(N83=0,"",(N86/N83)-1)))</f>
        <v/>
      </c>
      <c r="W86" s="23" t="str">
        <f>IF(ROW()&lt;9,"",IF(OR(N86="",N81=""),"",IF(N81=0,"",(N86/N81)-1)))</f>
        <v/>
      </c>
      <c r="X86" s="23" t="str">
        <f>IF(OR(F86="",M86=""),"",F86-M86)</f>
        <v/>
      </c>
      <c r="Y86" s="23" t="str">
        <f>IF(OR(P86="",T86=""),"",P86-T86)</f>
        <v/>
      </c>
      <c r="Z86" s="23" t="str">
        <f>IF(OR(Q86="",U86=""),"",Q86-U86)</f>
        <v/>
      </c>
      <c r="AA86" s="23" t="str">
        <f>IF(OR(H86="",O86=""),"",H86-O86)</f>
        <v/>
      </c>
      <c r="AB86" s="23" t="str">
        <f>IF(OR(R86="",V86=""),"",R86-V86)</f>
        <v/>
      </c>
      <c r="AC86" s="23" t="str">
        <f>IF(OR(S86="",W86=""),"",S86-W86)</f>
        <v/>
      </c>
      <c r="AD86" s="13"/>
      <c r="AE86" s="23" t="str">
        <f>IF(OR(AD86="",AD85=""),"",IF(AD85=0,"",(AD86/AD85)-1))</f>
        <v/>
      </c>
      <c r="AF86" s="23" t="str">
        <f>IF(ROW()&lt;7,"",IF(OR(AD86="",AD83=""),"",IF(AD83=0,"",(AD86/AD83)-1)))</f>
        <v/>
      </c>
      <c r="AG86" s="23" t="str">
        <f>IF(ROW()&lt;9,"",IF(OR(AD86="",AD81=""),"",IF(AD81=0,"",(AD86/AD81)-1)))</f>
        <v/>
      </c>
      <c r="AH86" s="23" t="str">
        <f>IF(OR(AF86="",AG86=""),"",IF(AND(AF86&gt;0,AG86&gt;0),"Bull",IF(AND(AF86&lt;0,AG86&lt;0),"Bear","Mixed")))</f>
        <v/>
      </c>
      <c r="AI86" s="13"/>
      <c r="AJ86" s="13" t="str">
        <f>IF(OR(AI86="",AI85=""),"",IF(AI85=0,"",(AI86/AI85)-1))</f>
        <v/>
      </c>
      <c r="AK86" s="23" t="str">
        <f>IF(OR(AJ86="",AJ85=""),"",IF(AJ85=0,"",(AJ86/AJ85)-1))</f>
        <v/>
      </c>
      <c r="AL86" s="23" t="str">
        <f>IF(ROW()&lt;7,"",IF(OR(AJ86="",AJ83=""),"",IF(AJ83=0,"",(AJ86/AJ83)-1)))</f>
        <v/>
      </c>
      <c r="AM86" s="23" t="str">
        <f>IF(ROW()&lt;9,"",IF(OR(AJ86="",AJ81=""),"",IF(AJ81=0,"",(AJ86/AJ81)-1)))</f>
        <v/>
      </c>
      <c r="AN86" t="str">
        <f>IF(OR(AL86="",AM86=""),"",IF(AND(AL86&gt;0,AM86&gt;0),"Bull",IF(AND(AL86&lt;0,AM86&lt;0),"Bear","Mixed")))</f>
        <v/>
      </c>
      <c r="AO86" t="str">
        <f>IF(OR(AH86="",AN86=""),"",IF(AND(AH86="Bull",AN86="Bull"),"YES","NO"))</f>
        <v/>
      </c>
      <c r="AP86" t="str">
        <f>IF(OR(AH86="",AN86=""),"",IF(AND(AH86="Bear",AN86="Bear"),"YES","NO"))</f>
        <v/>
      </c>
      <c r="AQ86" t="str">
        <f>IF(AO86="YES",IF(SUM(N(X86),N(Y86),N(Z86))&gt;0,"SOXL","TQQQ"),IF(AP86="YES",IF(SUM(N(AA86),N(AB86),N(AC86))&gt;0,"SOXS","SQQQ"),"WAIT"))</f>
        <v>WAIT</v>
      </c>
      <c r="AR86" s="23" t="str">
        <f>IF(AO86="YES",IF(SUM(N(X86),N(Y86),N(Z86))&gt;0,"TQQQ","SOXL"),IF(AP86="YES",IF(SUM(N(AA86),N(AB86),N(AC86))&gt;0,"SQQQ","SOXS"),""))</f>
        <v/>
      </c>
      <c r="AS86" s="23" t="str">
        <f>IF(AQ86="WAIT","",IF(AR86="",1,0.6))</f>
        <v/>
      </c>
      <c r="AT86" s="23">
        <f>IF(AR86="",0,0.4)</f>
        <v>0</v>
      </c>
      <c r="AU86" s="23" t="str">
        <f>IF(AQ86="WAIT","WAIT",IF(AO86="YES","BULL",IF(AP86="YES","BEAR","WAIT")))</f>
        <v>WAIT</v>
      </c>
      <c r="AV86" t="str">
        <f>IF(AQ86="WAIT","Low",IF(OR(AND(AU86="BULL",ABS(SUM(N(X86),N(Y86),N(Z86)))&gt;=0.15),AND(AU86="BEAR",ABS(SUM(N(AA86),N(AB86),N(AC86)))&gt;=0.15)),"Strong",IF(OR(AND(AU86="BULL",ABS(SUM(N(X86),N(Y86),N(Z86)))&gt;=0.05),AND(AU86="BEAR",ABS(SUM(N(AA86),N(AB86),N(AC86)))&gt;=0.05)),"Moderate","Low")))</f>
        <v>Low</v>
      </c>
      <c r="AW86" t="str">
        <f>IF(AQ86="WAIT","QQQ and SMH not aligned",IF(AU86="BULL",IF(AQ86="SOXL","Bull regime; semiconductors leading","Bull regime; tech leading"),IF(AQ86="SOXS","Bear regime; semiconductors weakest","Bear regime; tech weakest")))</f>
        <v>QQQ and SMH not aligned</v>
      </c>
      <c r="AX86" t="str">
        <f>IF(AR86="WAIT","QQQ and SMH not aligned",IF(AV86="BULL",IF(AR86="SOXL","Bull regime; semiconductors leading","Bull regime; tech leading"),IF(AR86="SOXS","Bear regime; semiconductors weakest","Bear regime; tech weakest")))</f>
        <v>Bear regime; tech weakest</v>
      </c>
    </row>
    <row r="87" spans="1:50" x14ac:dyDescent="0.2">
      <c r="A87" s="12"/>
      <c r="B87" s="13"/>
      <c r="C87" s="13"/>
      <c r="D87" s="13"/>
      <c r="E87" s="13"/>
      <c r="F87" s="11" t="str">
        <f>IF(OR(E87="",E86=""),"",IF(E86=0,"",(E87/E86)-1))</f>
        <v/>
      </c>
      <c r="G87" s="13"/>
      <c r="H87" s="11" t="str">
        <f>IF(OR(G87="",G86=""),"",IF(G86=0,"",(G87/G86)-1))</f>
        <v/>
      </c>
      <c r="I87" s="13"/>
      <c r="J87" s="13"/>
      <c r="K87" s="13"/>
      <c r="L87" s="13"/>
      <c r="M87" s="23" t="str">
        <f>IF(OR(L87="",L86=""),"",IF(L86=0,"",(L87/L86)-1))</f>
        <v/>
      </c>
      <c r="N87" s="26" t="str">
        <f>IFERROR((M87/M86)-1,"")</f>
        <v/>
      </c>
      <c r="O87" s="23" t="str">
        <f>IF(OR(N87="",N86=""),"",IF(N86=0,"",(N87/N86)-1))</f>
        <v/>
      </c>
      <c r="P87" s="11" t="str">
        <f>IF(ROW()&lt;7,"",IF(OR(E87="",E84=""),"",IF(E84=0,"",(E87/E84)-1)))</f>
        <v/>
      </c>
      <c r="Q87" s="23" t="str">
        <f>IF(ROW()&lt;9,"",IF(OR(E87="",E82=""),"",IF(E82=0,"",(E87/E82)-1)))</f>
        <v/>
      </c>
      <c r="R87" s="23" t="str">
        <f>IF(ROW()&lt;7,"",IF(OR(G87="",G84=""),"",IF(G84=0,"",(G87/G84)-1)))</f>
        <v/>
      </c>
      <c r="S87" s="23" t="str">
        <f>IF(ROW()&lt;9,"",IF(OR(G87="",G82=""),"",IF(G82=0,"",(G87/G82)-1)))</f>
        <v/>
      </c>
      <c r="T87" s="23" t="str">
        <f>IF(ROW()&lt;7,"",IF(OR(L87="",L84=""),"",IF(L84=0,"",(L87/L84)-1)))</f>
        <v/>
      </c>
      <c r="U87" s="23" t="str">
        <f>IF(ROW()&lt;9,"",IF(OR(L87="",L82=""),"",IF(L82=0,"",(L87/L82)-1)))</f>
        <v/>
      </c>
      <c r="V87" s="23" t="str">
        <f>IF(ROW()&lt;7,"",IF(OR(N87="",N84=""),"",IF(N84=0,"",(N87/N84)-1)))</f>
        <v/>
      </c>
      <c r="W87" s="23" t="str">
        <f>IF(ROW()&lt;9,"",IF(OR(N87="",N82=""),"",IF(N82=0,"",(N87/N82)-1)))</f>
        <v/>
      </c>
      <c r="X87" s="23" t="str">
        <f>IF(OR(F87="",M87=""),"",F87-M87)</f>
        <v/>
      </c>
      <c r="Y87" s="23" t="str">
        <f>IF(OR(P87="",T87=""),"",P87-T87)</f>
        <v/>
      </c>
      <c r="Z87" s="23" t="str">
        <f>IF(OR(Q87="",U87=""),"",Q87-U87)</f>
        <v/>
      </c>
      <c r="AA87" s="23" t="str">
        <f>IF(OR(H87="",O87=""),"",H87-O87)</f>
        <v/>
      </c>
      <c r="AB87" s="23" t="str">
        <f>IF(OR(R87="",V87=""),"",R87-V87)</f>
        <v/>
      </c>
      <c r="AC87" s="23" t="str">
        <f>IF(OR(S87="",W87=""),"",S87-W87)</f>
        <v/>
      </c>
      <c r="AD87" s="13"/>
      <c r="AE87" s="23" t="str">
        <f>IF(OR(AD87="",AD86=""),"",IF(AD86=0,"",(AD87/AD86)-1))</f>
        <v/>
      </c>
      <c r="AF87" s="23" t="str">
        <f>IF(ROW()&lt;7,"",IF(OR(AD87="",AD84=""),"",IF(AD84=0,"",(AD87/AD84)-1)))</f>
        <v/>
      </c>
      <c r="AG87" s="23" t="str">
        <f>IF(ROW()&lt;9,"",IF(OR(AD87="",AD82=""),"",IF(AD82=0,"",(AD87/AD82)-1)))</f>
        <v/>
      </c>
      <c r="AH87" s="23" t="str">
        <f>IF(OR(AF87="",AG87=""),"",IF(AND(AF87&gt;0,AG87&gt;0),"Bull",IF(AND(AF87&lt;0,AG87&lt;0),"Bear","Mixed")))</f>
        <v/>
      </c>
      <c r="AI87" s="13"/>
      <c r="AJ87" s="13" t="str">
        <f>IF(OR(AI87="",AI86=""),"",IF(AI86=0,"",(AI87/AI86)-1))</f>
        <v/>
      </c>
      <c r="AK87" s="23" t="str">
        <f>IF(OR(AJ87="",AJ86=""),"",IF(AJ86=0,"",(AJ87/AJ86)-1))</f>
        <v/>
      </c>
      <c r="AL87" s="23" t="str">
        <f>IF(ROW()&lt;7,"",IF(OR(AJ87="",AJ84=""),"",IF(AJ84=0,"",(AJ87/AJ84)-1)))</f>
        <v/>
      </c>
      <c r="AM87" s="23" t="str">
        <f>IF(ROW()&lt;9,"",IF(OR(AJ87="",AJ82=""),"",IF(AJ82=0,"",(AJ87/AJ82)-1)))</f>
        <v/>
      </c>
      <c r="AN87" t="str">
        <f>IF(OR(AL87="",AM87=""),"",IF(AND(AL87&gt;0,AM87&gt;0),"Bull",IF(AND(AL87&lt;0,AM87&lt;0),"Bear","Mixed")))</f>
        <v/>
      </c>
      <c r="AO87" t="str">
        <f>IF(OR(AH87="",AN87=""),"",IF(AND(AH87="Bull",AN87="Bull"),"YES","NO"))</f>
        <v/>
      </c>
      <c r="AP87" t="str">
        <f>IF(OR(AH87="",AN87=""),"",IF(AND(AH87="Bear",AN87="Bear"),"YES","NO"))</f>
        <v/>
      </c>
      <c r="AQ87" t="str">
        <f>IF(AO87="YES",IF(SUM(N(X87),N(Y87),N(Z87))&gt;0,"SOXL","TQQQ"),IF(AP87="YES",IF(SUM(N(AA87),N(AB87),N(AC87))&gt;0,"SOXS","SQQQ"),"WAIT"))</f>
        <v>WAIT</v>
      </c>
      <c r="AR87" s="23" t="str">
        <f>IF(AO87="YES",IF(SUM(N(X87),N(Y87),N(Z87))&gt;0,"TQQQ","SOXL"),IF(AP87="YES",IF(SUM(N(AA87),N(AB87),N(AC87))&gt;0,"SQQQ","SOXS"),""))</f>
        <v/>
      </c>
      <c r="AS87" s="23" t="str">
        <f>IF(AQ87="WAIT","",IF(AR87="",1,0.6))</f>
        <v/>
      </c>
      <c r="AT87" s="23">
        <f>IF(AR87="",0,0.4)</f>
        <v>0</v>
      </c>
      <c r="AU87" s="23" t="str">
        <f>IF(AQ87="WAIT","WAIT",IF(AO87="YES","BULL",IF(AP87="YES","BEAR","WAIT")))</f>
        <v>WAIT</v>
      </c>
      <c r="AV87" t="str">
        <f>IF(AQ87="WAIT","Low",IF(OR(AND(AU87="BULL",ABS(SUM(N(X87),N(Y87),N(Z87)))&gt;=0.15),AND(AU87="BEAR",ABS(SUM(N(AA87),N(AB87),N(AC87)))&gt;=0.15)),"Strong",IF(OR(AND(AU87="BULL",ABS(SUM(N(X87),N(Y87),N(Z87)))&gt;=0.05),AND(AU87="BEAR",ABS(SUM(N(AA87),N(AB87),N(AC87)))&gt;=0.05)),"Moderate","Low")))</f>
        <v>Low</v>
      </c>
      <c r="AW87" t="str">
        <f>IF(AQ87="WAIT","QQQ and SMH not aligned",IF(AU87="BULL",IF(AQ87="SOXL","Bull regime; semiconductors leading","Bull regime; tech leading"),IF(AQ87="SOXS","Bear regime; semiconductors weakest","Bear regime; tech weakest")))</f>
        <v>QQQ and SMH not aligned</v>
      </c>
      <c r="AX87" t="str">
        <f>IF(AR87="WAIT","QQQ and SMH not aligned",IF(AV87="BULL",IF(AR87="SOXL","Bull regime; semiconductors leading","Bull regime; tech leading"),IF(AR87="SOXS","Bear regime; semiconductors weakest","Bear regime; tech weakest")))</f>
        <v>Bear regime; tech weakest</v>
      </c>
    </row>
    <row r="88" spans="1:50" x14ac:dyDescent="0.2">
      <c r="A88" s="12"/>
      <c r="B88" s="13"/>
      <c r="C88" s="13"/>
      <c r="D88" s="13"/>
      <c r="E88" s="13"/>
      <c r="F88" s="11" t="str">
        <f>IF(OR(E88="",E87=""),"",IF(E87=0,"",(E88/E87)-1))</f>
        <v/>
      </c>
      <c r="G88" s="13"/>
      <c r="H88" s="11" t="str">
        <f>IF(OR(G88="",G87=""),"",IF(G87=0,"",(G88/G87)-1))</f>
        <v/>
      </c>
      <c r="I88" s="13"/>
      <c r="J88" s="13"/>
      <c r="K88" s="13"/>
      <c r="L88" s="13"/>
      <c r="M88" s="23" t="str">
        <f>IF(OR(L88="",L87=""),"",IF(L87=0,"",(L88/L87)-1))</f>
        <v/>
      </c>
      <c r="N88" s="26" t="str">
        <f>IFERROR((M88/M87)-1,"")</f>
        <v/>
      </c>
      <c r="O88" s="23" t="str">
        <f>IF(OR(N88="",N87=""),"",IF(N87=0,"",(N88/N87)-1))</f>
        <v/>
      </c>
      <c r="P88" s="11" t="str">
        <f>IF(ROW()&lt;7,"",IF(OR(E88="",E85=""),"",IF(E85=0,"",(E88/E85)-1)))</f>
        <v/>
      </c>
      <c r="Q88" s="23" t="str">
        <f>IF(ROW()&lt;9,"",IF(OR(E88="",E83=""),"",IF(E83=0,"",(E88/E83)-1)))</f>
        <v/>
      </c>
      <c r="R88" s="23" t="str">
        <f>IF(ROW()&lt;7,"",IF(OR(G88="",G85=""),"",IF(G85=0,"",(G88/G85)-1)))</f>
        <v/>
      </c>
      <c r="S88" s="23" t="str">
        <f>IF(ROW()&lt;9,"",IF(OR(G88="",G83=""),"",IF(G83=0,"",(G88/G83)-1)))</f>
        <v/>
      </c>
      <c r="T88" s="23" t="str">
        <f>IF(ROW()&lt;7,"",IF(OR(L88="",L85=""),"",IF(L85=0,"",(L88/L85)-1)))</f>
        <v/>
      </c>
      <c r="U88" s="23" t="str">
        <f>IF(ROW()&lt;9,"",IF(OR(L88="",L83=""),"",IF(L83=0,"",(L88/L83)-1)))</f>
        <v/>
      </c>
      <c r="V88" s="23" t="str">
        <f>IF(ROW()&lt;7,"",IF(OR(N88="",N85=""),"",IF(N85=0,"",(N88/N85)-1)))</f>
        <v/>
      </c>
      <c r="W88" s="23" t="str">
        <f>IF(ROW()&lt;9,"",IF(OR(N88="",N83=""),"",IF(N83=0,"",(N88/N83)-1)))</f>
        <v/>
      </c>
      <c r="X88" s="23" t="str">
        <f>IF(OR(F88="",M88=""),"",F88-M88)</f>
        <v/>
      </c>
      <c r="Y88" s="23" t="str">
        <f>IF(OR(P88="",T88=""),"",P88-T88)</f>
        <v/>
      </c>
      <c r="Z88" s="23" t="str">
        <f>IF(OR(Q88="",U88=""),"",Q88-U88)</f>
        <v/>
      </c>
      <c r="AA88" s="23" t="str">
        <f>IF(OR(H88="",O88=""),"",H88-O88)</f>
        <v/>
      </c>
      <c r="AB88" s="23" t="str">
        <f>IF(OR(R88="",V88=""),"",R88-V88)</f>
        <v/>
      </c>
      <c r="AC88" s="23" t="str">
        <f>IF(OR(S88="",W88=""),"",S88-W88)</f>
        <v/>
      </c>
      <c r="AD88" s="13"/>
      <c r="AE88" s="23" t="str">
        <f>IF(OR(AD88="",AD87=""),"",IF(AD87=0,"",(AD88/AD87)-1))</f>
        <v/>
      </c>
      <c r="AF88" s="23" t="str">
        <f>IF(ROW()&lt;7,"",IF(OR(AD88="",AD85=""),"",IF(AD85=0,"",(AD88/AD85)-1)))</f>
        <v/>
      </c>
      <c r="AG88" s="23" t="str">
        <f>IF(ROW()&lt;9,"",IF(OR(AD88="",AD83=""),"",IF(AD83=0,"",(AD88/AD83)-1)))</f>
        <v/>
      </c>
      <c r="AH88" s="23" t="str">
        <f>IF(OR(AF88="",AG88=""),"",IF(AND(AF88&gt;0,AG88&gt;0),"Bull",IF(AND(AF88&lt;0,AG88&lt;0),"Bear","Mixed")))</f>
        <v/>
      </c>
      <c r="AI88" s="13"/>
      <c r="AJ88" s="13" t="str">
        <f>IF(OR(AI88="",AI87=""),"",IF(AI87=0,"",(AI88/AI87)-1))</f>
        <v/>
      </c>
      <c r="AK88" s="23" t="str">
        <f>IF(OR(AJ88="",AJ87=""),"",IF(AJ87=0,"",(AJ88/AJ87)-1))</f>
        <v/>
      </c>
      <c r="AL88" s="23" t="str">
        <f>IF(ROW()&lt;7,"",IF(OR(AJ88="",AJ85=""),"",IF(AJ85=0,"",(AJ88/AJ85)-1)))</f>
        <v/>
      </c>
      <c r="AM88" s="23" t="str">
        <f>IF(ROW()&lt;9,"",IF(OR(AJ88="",AJ83=""),"",IF(AJ83=0,"",(AJ88/AJ83)-1)))</f>
        <v/>
      </c>
      <c r="AN88" t="str">
        <f>IF(OR(AL88="",AM88=""),"",IF(AND(AL88&gt;0,AM88&gt;0),"Bull",IF(AND(AL88&lt;0,AM88&lt;0),"Bear","Mixed")))</f>
        <v/>
      </c>
      <c r="AO88" t="str">
        <f>IF(OR(AH88="",AN88=""),"",IF(AND(AH88="Bull",AN88="Bull"),"YES","NO"))</f>
        <v/>
      </c>
      <c r="AP88" t="str">
        <f>IF(OR(AH88="",AN88=""),"",IF(AND(AH88="Bear",AN88="Bear"),"YES","NO"))</f>
        <v/>
      </c>
      <c r="AQ88" t="str">
        <f>IF(AO88="YES",IF(SUM(N(X88),N(Y88),N(Z88))&gt;0,"SOXL","TQQQ"),IF(AP88="YES",IF(SUM(N(AA88),N(AB88),N(AC88))&gt;0,"SOXS","SQQQ"),"WAIT"))</f>
        <v>WAIT</v>
      </c>
      <c r="AR88" s="23" t="str">
        <f>IF(AO88="YES",IF(SUM(N(X88),N(Y88),N(Z88))&gt;0,"TQQQ","SOXL"),IF(AP88="YES",IF(SUM(N(AA88),N(AB88),N(AC88))&gt;0,"SQQQ","SOXS"),""))</f>
        <v/>
      </c>
      <c r="AS88" s="23" t="str">
        <f>IF(AQ88="WAIT","",IF(AR88="",1,0.6))</f>
        <v/>
      </c>
      <c r="AT88" s="23">
        <f>IF(AR88="",0,0.4)</f>
        <v>0</v>
      </c>
      <c r="AU88" s="23" t="str">
        <f>IF(AQ88="WAIT","WAIT",IF(AO88="YES","BULL",IF(AP88="YES","BEAR","WAIT")))</f>
        <v>WAIT</v>
      </c>
      <c r="AV88" t="str">
        <f>IF(AQ88="WAIT","Low",IF(OR(AND(AU88="BULL",ABS(SUM(N(X88),N(Y88),N(Z88)))&gt;=0.15),AND(AU88="BEAR",ABS(SUM(N(AA88),N(AB88),N(AC88)))&gt;=0.15)),"Strong",IF(OR(AND(AU88="BULL",ABS(SUM(N(X88),N(Y88),N(Z88)))&gt;=0.05),AND(AU88="BEAR",ABS(SUM(N(AA88),N(AB88),N(AC88)))&gt;=0.05)),"Moderate","Low")))</f>
        <v>Low</v>
      </c>
      <c r="AW88" t="str">
        <f>IF(AQ88="WAIT","QQQ and SMH not aligned",IF(AU88="BULL",IF(AQ88="SOXL","Bull regime; semiconductors leading","Bull regime; tech leading"),IF(AQ88="SOXS","Bear regime; semiconductors weakest","Bear regime; tech weakest")))</f>
        <v>QQQ and SMH not aligned</v>
      </c>
      <c r="AX88" t="str">
        <f>IF(AR88="WAIT","QQQ and SMH not aligned",IF(AV88="BULL",IF(AR88="SOXL","Bull regime; semiconductors leading","Bull regime; tech leading"),IF(AR88="SOXS","Bear regime; semiconductors weakest","Bear regime; tech weakest")))</f>
        <v>Bear regime; tech weakest</v>
      </c>
    </row>
    <row r="89" spans="1:50" x14ac:dyDescent="0.2">
      <c r="A89" s="12"/>
      <c r="B89" s="13"/>
      <c r="C89" s="13"/>
      <c r="D89" s="13"/>
      <c r="E89" s="13"/>
      <c r="F89" s="11" t="str">
        <f>IF(OR(E89="",E88=""),"",IF(E88=0,"",(E89/E88)-1))</f>
        <v/>
      </c>
      <c r="G89" s="13"/>
      <c r="H89" s="11" t="str">
        <f>IF(OR(G89="",G88=""),"",IF(G88=0,"",(G89/G88)-1))</f>
        <v/>
      </c>
      <c r="I89" s="13"/>
      <c r="J89" s="13"/>
      <c r="K89" s="13"/>
      <c r="L89" s="13"/>
      <c r="M89" s="23" t="str">
        <f>IF(OR(L89="",L88=""),"",IF(L88=0,"",(L89/L88)-1))</f>
        <v/>
      </c>
      <c r="N89" s="26" t="str">
        <f>IFERROR((M89/M88)-1,"")</f>
        <v/>
      </c>
      <c r="O89" s="23" t="str">
        <f>IF(OR(N89="",N88=""),"",IF(N88=0,"",(N89/N88)-1))</f>
        <v/>
      </c>
      <c r="P89" s="11" t="str">
        <f>IF(ROW()&lt;7,"",IF(OR(E89="",E86=""),"",IF(E86=0,"",(E89/E86)-1)))</f>
        <v/>
      </c>
      <c r="Q89" s="23" t="str">
        <f>IF(ROW()&lt;9,"",IF(OR(E89="",E84=""),"",IF(E84=0,"",(E89/E84)-1)))</f>
        <v/>
      </c>
      <c r="R89" s="23" t="str">
        <f>IF(ROW()&lt;7,"",IF(OR(G89="",G86=""),"",IF(G86=0,"",(G89/G86)-1)))</f>
        <v/>
      </c>
      <c r="S89" s="23" t="str">
        <f>IF(ROW()&lt;9,"",IF(OR(G89="",G84=""),"",IF(G84=0,"",(G89/G84)-1)))</f>
        <v/>
      </c>
      <c r="T89" s="23" t="str">
        <f>IF(ROW()&lt;7,"",IF(OR(L89="",L86=""),"",IF(L86=0,"",(L89/L86)-1)))</f>
        <v/>
      </c>
      <c r="U89" s="23" t="str">
        <f>IF(ROW()&lt;9,"",IF(OR(L89="",L84=""),"",IF(L84=0,"",(L89/L84)-1)))</f>
        <v/>
      </c>
      <c r="V89" s="23" t="str">
        <f>IF(ROW()&lt;7,"",IF(OR(N89="",N86=""),"",IF(N86=0,"",(N89/N86)-1)))</f>
        <v/>
      </c>
      <c r="W89" s="23" t="str">
        <f>IF(ROW()&lt;9,"",IF(OR(N89="",N84=""),"",IF(N84=0,"",(N89/N84)-1)))</f>
        <v/>
      </c>
      <c r="X89" s="23" t="str">
        <f>IF(OR(F89="",M89=""),"",F89-M89)</f>
        <v/>
      </c>
      <c r="Y89" s="23" t="str">
        <f>IF(OR(P89="",T89=""),"",P89-T89)</f>
        <v/>
      </c>
      <c r="Z89" s="23" t="str">
        <f>IF(OR(Q89="",U89=""),"",Q89-U89)</f>
        <v/>
      </c>
      <c r="AA89" s="23" t="str">
        <f>IF(OR(H89="",O89=""),"",H89-O89)</f>
        <v/>
      </c>
      <c r="AB89" s="23" t="str">
        <f>IF(OR(R89="",V89=""),"",R89-V89)</f>
        <v/>
      </c>
      <c r="AC89" s="23" t="str">
        <f>IF(OR(S89="",W89=""),"",S89-W89)</f>
        <v/>
      </c>
      <c r="AD89" s="13"/>
      <c r="AE89" s="23" t="str">
        <f>IF(OR(AD89="",AD88=""),"",IF(AD88=0,"",(AD89/AD88)-1))</f>
        <v/>
      </c>
      <c r="AF89" s="23" t="str">
        <f>IF(ROW()&lt;7,"",IF(OR(AD89="",AD86=""),"",IF(AD86=0,"",(AD89/AD86)-1)))</f>
        <v/>
      </c>
      <c r="AG89" s="23" t="str">
        <f>IF(ROW()&lt;9,"",IF(OR(AD89="",AD84=""),"",IF(AD84=0,"",(AD89/AD84)-1)))</f>
        <v/>
      </c>
      <c r="AH89" s="23" t="str">
        <f>IF(OR(AF89="",AG89=""),"",IF(AND(AF89&gt;0,AG89&gt;0),"Bull",IF(AND(AF89&lt;0,AG89&lt;0),"Bear","Mixed")))</f>
        <v/>
      </c>
      <c r="AI89" s="13"/>
      <c r="AJ89" s="13" t="str">
        <f>IF(OR(AI89="",AI88=""),"",IF(AI88=0,"",(AI89/AI88)-1))</f>
        <v/>
      </c>
      <c r="AK89" s="23" t="str">
        <f>IF(OR(AJ89="",AJ88=""),"",IF(AJ88=0,"",(AJ89/AJ88)-1))</f>
        <v/>
      </c>
      <c r="AL89" s="23" t="str">
        <f>IF(ROW()&lt;7,"",IF(OR(AJ89="",AJ86=""),"",IF(AJ86=0,"",(AJ89/AJ86)-1)))</f>
        <v/>
      </c>
      <c r="AM89" s="23" t="str">
        <f>IF(ROW()&lt;9,"",IF(OR(AJ89="",AJ84=""),"",IF(AJ84=0,"",(AJ89/AJ84)-1)))</f>
        <v/>
      </c>
      <c r="AN89" t="str">
        <f>IF(OR(AL89="",AM89=""),"",IF(AND(AL89&gt;0,AM89&gt;0),"Bull",IF(AND(AL89&lt;0,AM89&lt;0),"Bear","Mixed")))</f>
        <v/>
      </c>
      <c r="AO89" t="str">
        <f>IF(OR(AH89="",AN89=""),"",IF(AND(AH89="Bull",AN89="Bull"),"YES","NO"))</f>
        <v/>
      </c>
      <c r="AP89" t="str">
        <f>IF(OR(AH89="",AN89=""),"",IF(AND(AH89="Bear",AN89="Bear"),"YES","NO"))</f>
        <v/>
      </c>
      <c r="AQ89" t="str">
        <f>IF(AO89="YES",IF(SUM(N(X89),N(Y89),N(Z89))&gt;0,"SOXL","TQQQ"),IF(AP89="YES",IF(SUM(N(AA89),N(AB89),N(AC89))&gt;0,"SOXS","SQQQ"),"WAIT"))</f>
        <v>WAIT</v>
      </c>
      <c r="AR89" s="23" t="str">
        <f>IF(AO89="YES",IF(SUM(N(X89),N(Y89),N(Z89))&gt;0,"TQQQ","SOXL"),IF(AP89="YES",IF(SUM(N(AA89),N(AB89),N(AC89))&gt;0,"SQQQ","SOXS"),""))</f>
        <v/>
      </c>
      <c r="AS89" s="23" t="str">
        <f>IF(AQ89="WAIT","",IF(AR89="",1,0.6))</f>
        <v/>
      </c>
      <c r="AT89" s="23">
        <f>IF(AR89="",0,0.4)</f>
        <v>0</v>
      </c>
      <c r="AU89" s="23" t="str">
        <f>IF(AQ89="WAIT","WAIT",IF(AO89="YES","BULL",IF(AP89="YES","BEAR","WAIT")))</f>
        <v>WAIT</v>
      </c>
      <c r="AV89" t="str">
        <f>IF(AQ89="WAIT","Low",IF(OR(AND(AU89="BULL",ABS(SUM(N(X89),N(Y89),N(Z89)))&gt;=0.15),AND(AU89="BEAR",ABS(SUM(N(AA89),N(AB89),N(AC89)))&gt;=0.15)),"Strong",IF(OR(AND(AU89="BULL",ABS(SUM(N(X89),N(Y89),N(Z89)))&gt;=0.05),AND(AU89="BEAR",ABS(SUM(N(AA89),N(AB89),N(AC89)))&gt;=0.05)),"Moderate","Low")))</f>
        <v>Low</v>
      </c>
      <c r="AW89" t="str">
        <f>IF(AQ89="WAIT","QQQ and SMH not aligned",IF(AU89="BULL",IF(AQ89="SOXL","Bull regime; semiconductors leading","Bull regime; tech leading"),IF(AQ89="SOXS","Bear regime; semiconductors weakest","Bear regime; tech weakest")))</f>
        <v>QQQ and SMH not aligned</v>
      </c>
      <c r="AX89" t="str">
        <f>IF(AR89="WAIT","QQQ and SMH not aligned",IF(AV89="BULL",IF(AR89="SOXL","Bull regime; semiconductors leading","Bull regime; tech leading"),IF(AR89="SOXS","Bear regime; semiconductors weakest","Bear regime; tech weakest")))</f>
        <v>Bear regime; tech weakest</v>
      </c>
    </row>
    <row r="90" spans="1:50" x14ac:dyDescent="0.2">
      <c r="A90" s="12"/>
      <c r="B90" s="13"/>
      <c r="C90" s="13"/>
      <c r="D90" s="13"/>
      <c r="E90" s="13"/>
      <c r="F90" s="11" t="str">
        <f>IF(OR(E90="",E89=""),"",IF(E89=0,"",(E90/E89)-1))</f>
        <v/>
      </c>
      <c r="G90" s="13"/>
      <c r="H90" s="11" t="str">
        <f>IF(OR(G90="",G89=""),"",IF(G89=0,"",(G90/G89)-1))</f>
        <v/>
      </c>
      <c r="I90" s="13"/>
      <c r="J90" s="13"/>
      <c r="K90" s="13"/>
      <c r="L90" s="13"/>
      <c r="M90" s="23" t="str">
        <f>IF(OR(L90="",L89=""),"",IF(L89=0,"",(L90/L89)-1))</f>
        <v/>
      </c>
      <c r="N90" s="26" t="str">
        <f>IFERROR((M90/M89)-1,"")</f>
        <v/>
      </c>
      <c r="O90" s="23" t="str">
        <f>IF(OR(N90="",N89=""),"",IF(N89=0,"",(N90/N89)-1))</f>
        <v/>
      </c>
      <c r="P90" s="11" t="str">
        <f>IF(ROW()&lt;7,"",IF(OR(E90="",E87=""),"",IF(E87=0,"",(E90/E87)-1)))</f>
        <v/>
      </c>
      <c r="Q90" s="23" t="str">
        <f>IF(ROW()&lt;9,"",IF(OR(E90="",E85=""),"",IF(E85=0,"",(E90/E85)-1)))</f>
        <v/>
      </c>
      <c r="R90" s="23" t="str">
        <f>IF(ROW()&lt;7,"",IF(OR(G90="",G87=""),"",IF(G87=0,"",(G90/G87)-1)))</f>
        <v/>
      </c>
      <c r="S90" s="23" t="str">
        <f>IF(ROW()&lt;9,"",IF(OR(G90="",G85=""),"",IF(G85=0,"",(G90/G85)-1)))</f>
        <v/>
      </c>
      <c r="T90" s="23" t="str">
        <f>IF(ROW()&lt;7,"",IF(OR(L90="",L87=""),"",IF(L87=0,"",(L90/L87)-1)))</f>
        <v/>
      </c>
      <c r="U90" s="23" t="str">
        <f>IF(ROW()&lt;9,"",IF(OR(L90="",L85=""),"",IF(L85=0,"",(L90/L85)-1)))</f>
        <v/>
      </c>
      <c r="V90" s="23" t="str">
        <f>IF(ROW()&lt;7,"",IF(OR(N90="",N87=""),"",IF(N87=0,"",(N90/N87)-1)))</f>
        <v/>
      </c>
      <c r="W90" s="23" t="str">
        <f>IF(ROW()&lt;9,"",IF(OR(N90="",N85=""),"",IF(N85=0,"",(N90/N85)-1)))</f>
        <v/>
      </c>
      <c r="X90" s="23" t="str">
        <f>IF(OR(F90="",M90=""),"",F90-M90)</f>
        <v/>
      </c>
      <c r="Y90" s="23" t="str">
        <f>IF(OR(P90="",T90=""),"",P90-T90)</f>
        <v/>
      </c>
      <c r="Z90" s="23" t="str">
        <f>IF(OR(Q90="",U90=""),"",Q90-U90)</f>
        <v/>
      </c>
      <c r="AA90" s="23" t="str">
        <f>IF(OR(H90="",O90=""),"",H90-O90)</f>
        <v/>
      </c>
      <c r="AB90" s="23" t="str">
        <f>IF(OR(R90="",V90=""),"",R90-V90)</f>
        <v/>
      </c>
      <c r="AC90" s="23" t="str">
        <f>IF(OR(S90="",W90=""),"",S90-W90)</f>
        <v/>
      </c>
      <c r="AD90" s="13"/>
      <c r="AE90" s="23" t="str">
        <f>IF(OR(AD90="",AD89=""),"",IF(AD89=0,"",(AD90/AD89)-1))</f>
        <v/>
      </c>
      <c r="AF90" s="23" t="str">
        <f>IF(ROW()&lt;7,"",IF(OR(AD90="",AD87=""),"",IF(AD87=0,"",(AD90/AD87)-1)))</f>
        <v/>
      </c>
      <c r="AG90" s="23" t="str">
        <f>IF(ROW()&lt;9,"",IF(OR(AD90="",AD85=""),"",IF(AD85=0,"",(AD90/AD85)-1)))</f>
        <v/>
      </c>
      <c r="AH90" s="23" t="str">
        <f>IF(OR(AF90="",AG90=""),"",IF(AND(AF90&gt;0,AG90&gt;0),"Bull",IF(AND(AF90&lt;0,AG90&lt;0),"Bear","Mixed")))</f>
        <v/>
      </c>
      <c r="AI90" s="13"/>
      <c r="AJ90" s="13" t="str">
        <f>IF(OR(AI90="",AI89=""),"",IF(AI89=0,"",(AI90/AI89)-1))</f>
        <v/>
      </c>
      <c r="AK90" s="23" t="str">
        <f>IF(OR(AJ90="",AJ89=""),"",IF(AJ89=0,"",(AJ90/AJ89)-1))</f>
        <v/>
      </c>
      <c r="AL90" s="23" t="str">
        <f>IF(ROW()&lt;7,"",IF(OR(AJ90="",AJ87=""),"",IF(AJ87=0,"",(AJ90/AJ87)-1)))</f>
        <v/>
      </c>
      <c r="AM90" s="23" t="str">
        <f>IF(ROW()&lt;9,"",IF(OR(AJ90="",AJ85=""),"",IF(AJ85=0,"",(AJ90/AJ85)-1)))</f>
        <v/>
      </c>
      <c r="AN90" t="str">
        <f>IF(OR(AL90="",AM90=""),"",IF(AND(AL90&gt;0,AM90&gt;0),"Bull",IF(AND(AL90&lt;0,AM90&lt;0),"Bear","Mixed")))</f>
        <v/>
      </c>
      <c r="AO90" t="str">
        <f>IF(OR(AH90="",AN90=""),"",IF(AND(AH90="Bull",AN90="Bull"),"YES","NO"))</f>
        <v/>
      </c>
      <c r="AP90" t="str">
        <f>IF(OR(AH90="",AN90=""),"",IF(AND(AH90="Bear",AN90="Bear"),"YES","NO"))</f>
        <v/>
      </c>
      <c r="AQ90" t="str">
        <f>IF(AO90="YES",IF(SUM(N(X90),N(Y90),N(Z90))&gt;0,"SOXL","TQQQ"),IF(AP90="YES",IF(SUM(N(AA90),N(AB90),N(AC90))&gt;0,"SOXS","SQQQ"),"WAIT"))</f>
        <v>WAIT</v>
      </c>
      <c r="AR90" s="23" t="str">
        <f>IF(AO90="YES",IF(SUM(N(X90),N(Y90),N(Z90))&gt;0,"TQQQ","SOXL"),IF(AP90="YES",IF(SUM(N(AA90),N(AB90),N(AC90))&gt;0,"SQQQ","SOXS"),""))</f>
        <v/>
      </c>
      <c r="AS90" s="23" t="str">
        <f>IF(AQ90="WAIT","",IF(AR90="",1,0.6))</f>
        <v/>
      </c>
      <c r="AT90" s="23">
        <f>IF(AR90="",0,0.4)</f>
        <v>0</v>
      </c>
      <c r="AU90" s="23" t="str">
        <f>IF(AQ90="WAIT","WAIT",IF(AO90="YES","BULL",IF(AP90="YES","BEAR","WAIT")))</f>
        <v>WAIT</v>
      </c>
      <c r="AV90" t="str">
        <f>IF(AQ90="WAIT","Low",IF(OR(AND(AU90="BULL",ABS(SUM(N(X90),N(Y90),N(Z90)))&gt;=0.15),AND(AU90="BEAR",ABS(SUM(N(AA90),N(AB90),N(AC90)))&gt;=0.15)),"Strong",IF(OR(AND(AU90="BULL",ABS(SUM(N(X90),N(Y90),N(Z90)))&gt;=0.05),AND(AU90="BEAR",ABS(SUM(N(AA90),N(AB90),N(AC90)))&gt;=0.05)),"Moderate","Low")))</f>
        <v>Low</v>
      </c>
      <c r="AW90" t="str">
        <f>IF(AQ90="WAIT","QQQ and SMH not aligned",IF(AU90="BULL",IF(AQ90="SOXL","Bull regime; semiconductors leading","Bull regime; tech leading"),IF(AQ90="SOXS","Bear regime; semiconductors weakest","Bear regime; tech weakest")))</f>
        <v>QQQ and SMH not aligned</v>
      </c>
      <c r="AX90" t="str">
        <f>IF(AR90="WAIT","QQQ and SMH not aligned",IF(AV90="BULL",IF(AR90="SOXL","Bull regime; semiconductors leading","Bull regime; tech leading"),IF(AR90="SOXS","Bear regime; semiconductors weakest","Bear regime; tech weakest")))</f>
        <v>Bear regime; tech weakest</v>
      </c>
    </row>
    <row r="91" spans="1:50" x14ac:dyDescent="0.2">
      <c r="A91" s="12"/>
      <c r="B91" s="13"/>
      <c r="C91" s="13"/>
      <c r="D91" s="13"/>
      <c r="E91" s="13"/>
      <c r="F91" s="11" t="str">
        <f>IF(OR(E91="",E90=""),"",IF(E90=0,"",(E91/E90)-1))</f>
        <v/>
      </c>
      <c r="G91" s="13"/>
      <c r="H91" s="11" t="str">
        <f>IF(OR(G91="",G90=""),"",IF(G90=0,"",(G91/G90)-1))</f>
        <v/>
      </c>
      <c r="I91" s="13"/>
      <c r="J91" s="13"/>
      <c r="K91" s="13"/>
      <c r="L91" s="13"/>
      <c r="M91" s="23" t="str">
        <f>IF(OR(L91="",L90=""),"",IF(L90=0,"",(L91/L90)-1))</f>
        <v/>
      </c>
      <c r="N91" s="26" t="str">
        <f>IFERROR((M91/M90)-1,"")</f>
        <v/>
      </c>
      <c r="O91" s="23" t="str">
        <f>IF(OR(N91="",N90=""),"",IF(N90=0,"",(N91/N90)-1))</f>
        <v/>
      </c>
      <c r="P91" s="11" t="str">
        <f>IF(ROW()&lt;7,"",IF(OR(E91="",E88=""),"",IF(E88=0,"",(E91/E88)-1)))</f>
        <v/>
      </c>
      <c r="Q91" s="23" t="str">
        <f>IF(ROW()&lt;9,"",IF(OR(E91="",E86=""),"",IF(E86=0,"",(E91/E86)-1)))</f>
        <v/>
      </c>
      <c r="R91" s="23" t="str">
        <f>IF(ROW()&lt;7,"",IF(OR(G91="",G88=""),"",IF(G88=0,"",(G91/G88)-1)))</f>
        <v/>
      </c>
      <c r="S91" s="23" t="str">
        <f>IF(ROW()&lt;9,"",IF(OR(G91="",G86=""),"",IF(G86=0,"",(G91/G86)-1)))</f>
        <v/>
      </c>
      <c r="T91" s="23" t="str">
        <f>IF(ROW()&lt;7,"",IF(OR(L91="",L88=""),"",IF(L88=0,"",(L91/L88)-1)))</f>
        <v/>
      </c>
      <c r="U91" s="23" t="str">
        <f>IF(ROW()&lt;9,"",IF(OR(L91="",L86=""),"",IF(L86=0,"",(L91/L86)-1)))</f>
        <v/>
      </c>
      <c r="V91" s="23" t="str">
        <f>IF(ROW()&lt;7,"",IF(OR(N91="",N88=""),"",IF(N88=0,"",(N91/N88)-1)))</f>
        <v/>
      </c>
      <c r="W91" s="23" t="str">
        <f>IF(ROW()&lt;9,"",IF(OR(N91="",N86=""),"",IF(N86=0,"",(N91/N86)-1)))</f>
        <v/>
      </c>
      <c r="X91" s="23" t="str">
        <f>IF(OR(F91="",M91=""),"",F91-M91)</f>
        <v/>
      </c>
      <c r="Y91" s="23" t="str">
        <f>IF(OR(P91="",T91=""),"",P91-T91)</f>
        <v/>
      </c>
      <c r="Z91" s="23" t="str">
        <f>IF(OR(Q91="",U91=""),"",Q91-U91)</f>
        <v/>
      </c>
      <c r="AA91" s="23" t="str">
        <f>IF(OR(H91="",O91=""),"",H91-O91)</f>
        <v/>
      </c>
      <c r="AB91" s="23" t="str">
        <f>IF(OR(R91="",V91=""),"",R91-V91)</f>
        <v/>
      </c>
      <c r="AC91" s="23" t="str">
        <f>IF(OR(S91="",W91=""),"",S91-W91)</f>
        <v/>
      </c>
      <c r="AD91" s="13"/>
      <c r="AE91" s="23" t="str">
        <f>IF(OR(AD91="",AD90=""),"",IF(AD90=0,"",(AD91/AD90)-1))</f>
        <v/>
      </c>
      <c r="AF91" s="23" t="str">
        <f>IF(ROW()&lt;7,"",IF(OR(AD91="",AD88=""),"",IF(AD88=0,"",(AD91/AD88)-1)))</f>
        <v/>
      </c>
      <c r="AG91" s="23" t="str">
        <f>IF(ROW()&lt;9,"",IF(OR(AD91="",AD86=""),"",IF(AD86=0,"",(AD91/AD86)-1)))</f>
        <v/>
      </c>
      <c r="AH91" s="23" t="str">
        <f>IF(OR(AF91="",AG91=""),"",IF(AND(AF91&gt;0,AG91&gt;0),"Bull",IF(AND(AF91&lt;0,AG91&lt;0),"Bear","Mixed")))</f>
        <v/>
      </c>
      <c r="AI91" s="13"/>
      <c r="AJ91" s="13" t="str">
        <f>IF(OR(AI91="",AI90=""),"",IF(AI90=0,"",(AI91/AI90)-1))</f>
        <v/>
      </c>
      <c r="AK91" s="23" t="str">
        <f>IF(OR(AJ91="",AJ90=""),"",IF(AJ90=0,"",(AJ91/AJ90)-1))</f>
        <v/>
      </c>
      <c r="AL91" s="23" t="str">
        <f>IF(ROW()&lt;7,"",IF(OR(AJ91="",AJ88=""),"",IF(AJ88=0,"",(AJ91/AJ88)-1)))</f>
        <v/>
      </c>
      <c r="AM91" s="23" t="str">
        <f>IF(ROW()&lt;9,"",IF(OR(AJ91="",AJ86=""),"",IF(AJ86=0,"",(AJ91/AJ86)-1)))</f>
        <v/>
      </c>
      <c r="AN91" t="str">
        <f>IF(OR(AL91="",AM91=""),"",IF(AND(AL91&gt;0,AM91&gt;0),"Bull",IF(AND(AL91&lt;0,AM91&lt;0),"Bear","Mixed")))</f>
        <v/>
      </c>
      <c r="AO91" t="str">
        <f>IF(OR(AH91="",AN91=""),"",IF(AND(AH91="Bull",AN91="Bull"),"YES","NO"))</f>
        <v/>
      </c>
      <c r="AP91" t="str">
        <f>IF(OR(AH91="",AN91=""),"",IF(AND(AH91="Bear",AN91="Bear"),"YES","NO"))</f>
        <v/>
      </c>
      <c r="AQ91" t="str">
        <f>IF(AO91="YES",IF(SUM(N(X91),N(Y91),N(Z91))&gt;0,"SOXL","TQQQ"),IF(AP91="YES",IF(SUM(N(AA91),N(AB91),N(AC91))&gt;0,"SOXS","SQQQ"),"WAIT"))</f>
        <v>WAIT</v>
      </c>
      <c r="AR91" s="23" t="str">
        <f>IF(AO91="YES",IF(SUM(N(X91),N(Y91),N(Z91))&gt;0,"TQQQ","SOXL"),IF(AP91="YES",IF(SUM(N(AA91),N(AB91),N(AC91))&gt;0,"SQQQ","SOXS"),""))</f>
        <v/>
      </c>
      <c r="AS91" s="23" t="str">
        <f>IF(AQ91="WAIT","",IF(AR91="",1,0.6))</f>
        <v/>
      </c>
      <c r="AT91" s="23">
        <f>IF(AR91="",0,0.4)</f>
        <v>0</v>
      </c>
      <c r="AU91" s="23" t="str">
        <f>IF(AQ91="WAIT","WAIT",IF(AO91="YES","BULL",IF(AP91="YES","BEAR","WAIT")))</f>
        <v>WAIT</v>
      </c>
      <c r="AV91" t="str">
        <f>IF(AQ91="WAIT","Low",IF(OR(AND(AU91="BULL",ABS(SUM(N(X91),N(Y91),N(Z91)))&gt;=0.15),AND(AU91="BEAR",ABS(SUM(N(AA91),N(AB91),N(AC91)))&gt;=0.15)),"Strong",IF(OR(AND(AU91="BULL",ABS(SUM(N(X91),N(Y91),N(Z91)))&gt;=0.05),AND(AU91="BEAR",ABS(SUM(N(AA91),N(AB91),N(AC91)))&gt;=0.05)),"Moderate","Low")))</f>
        <v>Low</v>
      </c>
      <c r="AW91" t="str">
        <f>IF(AQ91="WAIT","QQQ and SMH not aligned",IF(AU91="BULL",IF(AQ91="SOXL","Bull regime; semiconductors leading","Bull regime; tech leading"),IF(AQ91="SOXS","Bear regime; semiconductors weakest","Bear regime; tech weakest")))</f>
        <v>QQQ and SMH not aligned</v>
      </c>
      <c r="AX91" t="str">
        <f>IF(AR91="WAIT","QQQ and SMH not aligned",IF(AV91="BULL",IF(AR91="SOXL","Bull regime; semiconductors leading","Bull regime; tech leading"),IF(AR91="SOXS","Bear regime; semiconductors weakest","Bear regime; tech weakest")))</f>
        <v>Bear regime; tech weakest</v>
      </c>
    </row>
    <row r="92" spans="1:50" x14ac:dyDescent="0.2">
      <c r="A92" s="12"/>
      <c r="B92" s="13"/>
      <c r="C92" s="13"/>
      <c r="D92" s="13"/>
      <c r="E92" s="13"/>
      <c r="F92" s="11" t="str">
        <f>IF(OR(E92="",E91=""),"",IF(E91=0,"",(E92/E91)-1))</f>
        <v/>
      </c>
      <c r="G92" s="13"/>
      <c r="H92" s="11" t="str">
        <f>IF(OR(G92="",G91=""),"",IF(G91=0,"",(G92/G91)-1))</f>
        <v/>
      </c>
      <c r="I92" s="13"/>
      <c r="J92" s="13"/>
      <c r="K92" s="13"/>
      <c r="L92" s="13"/>
      <c r="M92" s="23" t="str">
        <f>IF(OR(L92="",L91=""),"",IF(L91=0,"",(L92/L91)-1))</f>
        <v/>
      </c>
      <c r="N92" s="26" t="str">
        <f>IFERROR((M92/M91)-1,"")</f>
        <v/>
      </c>
      <c r="O92" s="23" t="str">
        <f>IF(OR(N92="",N91=""),"",IF(N91=0,"",(N92/N91)-1))</f>
        <v/>
      </c>
      <c r="P92" s="11" t="str">
        <f>IF(ROW()&lt;7,"",IF(OR(E92="",E89=""),"",IF(E89=0,"",(E92/E89)-1)))</f>
        <v/>
      </c>
      <c r="Q92" s="23" t="str">
        <f>IF(ROW()&lt;9,"",IF(OR(E92="",E87=""),"",IF(E87=0,"",(E92/E87)-1)))</f>
        <v/>
      </c>
      <c r="R92" s="23" t="str">
        <f>IF(ROW()&lt;7,"",IF(OR(G92="",G89=""),"",IF(G89=0,"",(G92/G89)-1)))</f>
        <v/>
      </c>
      <c r="S92" s="23" t="str">
        <f>IF(ROW()&lt;9,"",IF(OR(G92="",G87=""),"",IF(G87=0,"",(G92/G87)-1)))</f>
        <v/>
      </c>
      <c r="T92" s="23" t="str">
        <f>IF(ROW()&lt;7,"",IF(OR(L92="",L89=""),"",IF(L89=0,"",(L92/L89)-1)))</f>
        <v/>
      </c>
      <c r="U92" s="23" t="str">
        <f>IF(ROW()&lt;9,"",IF(OR(L92="",L87=""),"",IF(L87=0,"",(L92/L87)-1)))</f>
        <v/>
      </c>
      <c r="V92" s="23" t="str">
        <f>IF(ROW()&lt;7,"",IF(OR(N92="",N89=""),"",IF(N89=0,"",(N92/N89)-1)))</f>
        <v/>
      </c>
      <c r="W92" s="23" t="str">
        <f>IF(ROW()&lt;9,"",IF(OR(N92="",N87=""),"",IF(N87=0,"",(N92/N87)-1)))</f>
        <v/>
      </c>
      <c r="X92" s="23" t="str">
        <f>IF(OR(F92="",M92=""),"",F92-M92)</f>
        <v/>
      </c>
      <c r="Y92" s="23" t="str">
        <f>IF(OR(P92="",T92=""),"",P92-T92)</f>
        <v/>
      </c>
      <c r="Z92" s="23" t="str">
        <f>IF(OR(Q92="",U92=""),"",Q92-U92)</f>
        <v/>
      </c>
      <c r="AA92" s="23" t="str">
        <f>IF(OR(H92="",O92=""),"",H92-O92)</f>
        <v/>
      </c>
      <c r="AB92" s="23" t="str">
        <f>IF(OR(R92="",V92=""),"",R92-V92)</f>
        <v/>
      </c>
      <c r="AC92" s="23" t="str">
        <f>IF(OR(S92="",W92=""),"",S92-W92)</f>
        <v/>
      </c>
      <c r="AD92" s="13"/>
      <c r="AE92" s="23" t="str">
        <f>IF(OR(AD92="",AD91=""),"",IF(AD91=0,"",(AD92/AD91)-1))</f>
        <v/>
      </c>
      <c r="AF92" s="23" t="str">
        <f>IF(ROW()&lt;7,"",IF(OR(AD92="",AD89=""),"",IF(AD89=0,"",(AD92/AD89)-1)))</f>
        <v/>
      </c>
      <c r="AG92" s="23" t="str">
        <f>IF(ROW()&lt;9,"",IF(OR(AD92="",AD87=""),"",IF(AD87=0,"",(AD92/AD87)-1)))</f>
        <v/>
      </c>
      <c r="AH92" s="23" t="str">
        <f>IF(OR(AF92="",AG92=""),"",IF(AND(AF92&gt;0,AG92&gt;0),"Bull",IF(AND(AF92&lt;0,AG92&lt;0),"Bear","Mixed")))</f>
        <v/>
      </c>
      <c r="AI92" s="13"/>
      <c r="AJ92" s="13" t="str">
        <f>IF(OR(AI92="",AI91=""),"",IF(AI91=0,"",(AI92/AI91)-1))</f>
        <v/>
      </c>
      <c r="AK92" s="23" t="str">
        <f>IF(OR(AJ92="",AJ91=""),"",IF(AJ91=0,"",(AJ92/AJ91)-1))</f>
        <v/>
      </c>
      <c r="AL92" s="23" t="str">
        <f>IF(ROW()&lt;7,"",IF(OR(AJ92="",AJ89=""),"",IF(AJ89=0,"",(AJ92/AJ89)-1)))</f>
        <v/>
      </c>
      <c r="AM92" s="23" t="str">
        <f>IF(ROW()&lt;9,"",IF(OR(AJ92="",AJ87=""),"",IF(AJ87=0,"",(AJ92/AJ87)-1)))</f>
        <v/>
      </c>
      <c r="AN92" t="str">
        <f>IF(OR(AL92="",AM92=""),"",IF(AND(AL92&gt;0,AM92&gt;0),"Bull",IF(AND(AL92&lt;0,AM92&lt;0),"Bear","Mixed")))</f>
        <v/>
      </c>
      <c r="AO92" t="str">
        <f>IF(OR(AH92="",AN92=""),"",IF(AND(AH92="Bull",AN92="Bull"),"YES","NO"))</f>
        <v/>
      </c>
      <c r="AP92" t="str">
        <f>IF(OR(AH92="",AN92=""),"",IF(AND(AH92="Bear",AN92="Bear"),"YES","NO"))</f>
        <v/>
      </c>
      <c r="AQ92" t="str">
        <f>IF(AO92="YES",IF(SUM(N(X92),N(Y92),N(Z92))&gt;0,"SOXL","TQQQ"),IF(AP92="YES",IF(SUM(N(AA92),N(AB92),N(AC92))&gt;0,"SOXS","SQQQ"),"WAIT"))</f>
        <v>WAIT</v>
      </c>
      <c r="AR92" s="23" t="str">
        <f>IF(AO92="YES",IF(SUM(N(X92),N(Y92),N(Z92))&gt;0,"TQQQ","SOXL"),IF(AP92="YES",IF(SUM(N(AA92),N(AB92),N(AC92))&gt;0,"SQQQ","SOXS"),""))</f>
        <v/>
      </c>
      <c r="AS92" s="23" t="str">
        <f>IF(AQ92="WAIT","",IF(AR92="",1,0.6))</f>
        <v/>
      </c>
      <c r="AT92" s="23">
        <f>IF(AR92="",0,0.4)</f>
        <v>0</v>
      </c>
      <c r="AU92" s="23" t="str">
        <f>IF(AQ92="WAIT","WAIT",IF(AO92="YES","BULL",IF(AP92="YES","BEAR","WAIT")))</f>
        <v>WAIT</v>
      </c>
      <c r="AV92" t="str">
        <f>IF(AQ92="WAIT","Low",IF(OR(AND(AU92="BULL",ABS(SUM(N(X92),N(Y92),N(Z92)))&gt;=0.15),AND(AU92="BEAR",ABS(SUM(N(AA92),N(AB92),N(AC92)))&gt;=0.15)),"Strong",IF(OR(AND(AU92="BULL",ABS(SUM(N(X92),N(Y92),N(Z92)))&gt;=0.05),AND(AU92="BEAR",ABS(SUM(N(AA92),N(AB92),N(AC92)))&gt;=0.05)),"Moderate","Low")))</f>
        <v>Low</v>
      </c>
      <c r="AW92" t="str">
        <f>IF(AQ92="WAIT","QQQ and SMH not aligned",IF(AU92="BULL",IF(AQ92="SOXL","Bull regime; semiconductors leading","Bull regime; tech leading"),IF(AQ92="SOXS","Bear regime; semiconductors weakest","Bear regime; tech weakest")))</f>
        <v>QQQ and SMH not aligned</v>
      </c>
      <c r="AX92" t="str">
        <f>IF(AR92="WAIT","QQQ and SMH not aligned",IF(AV92="BULL",IF(AR92="SOXL","Bull regime; semiconductors leading","Bull regime; tech leading"),IF(AR92="SOXS","Bear regime; semiconductors weakest","Bear regime; tech weakest")))</f>
        <v>Bear regime; tech weakest</v>
      </c>
    </row>
    <row r="93" spans="1:50" x14ac:dyDescent="0.2">
      <c r="A93" s="12"/>
      <c r="B93" s="13"/>
      <c r="C93" s="13"/>
      <c r="D93" s="13"/>
      <c r="E93" s="13"/>
      <c r="F93" s="11" t="str">
        <f>IF(OR(E93="",E92=""),"",IF(E92=0,"",(E93/E92)-1))</f>
        <v/>
      </c>
      <c r="G93" s="13"/>
      <c r="H93" s="11" t="str">
        <f>IF(OR(G93="",G92=""),"",IF(G92=0,"",(G93/G92)-1))</f>
        <v/>
      </c>
      <c r="I93" s="13"/>
      <c r="J93" s="13"/>
      <c r="K93" s="13"/>
      <c r="L93" s="13"/>
      <c r="M93" s="23" t="str">
        <f>IF(OR(L93="",L92=""),"",IF(L92=0,"",(L93/L92)-1))</f>
        <v/>
      </c>
      <c r="N93" s="26" t="str">
        <f>IFERROR((M93/M92)-1,"")</f>
        <v/>
      </c>
      <c r="O93" s="23" t="str">
        <f>IF(OR(N93="",N92=""),"",IF(N92=0,"",(N93/N92)-1))</f>
        <v/>
      </c>
      <c r="P93" s="11" t="str">
        <f>IF(ROW()&lt;7,"",IF(OR(E93="",E90=""),"",IF(E90=0,"",(E93/E90)-1)))</f>
        <v/>
      </c>
      <c r="Q93" s="23" t="str">
        <f>IF(ROW()&lt;9,"",IF(OR(E93="",E88=""),"",IF(E88=0,"",(E93/E88)-1)))</f>
        <v/>
      </c>
      <c r="R93" s="23" t="str">
        <f>IF(ROW()&lt;7,"",IF(OR(G93="",G90=""),"",IF(G90=0,"",(G93/G90)-1)))</f>
        <v/>
      </c>
      <c r="S93" s="23" t="str">
        <f>IF(ROW()&lt;9,"",IF(OR(G93="",G88=""),"",IF(G88=0,"",(G93/G88)-1)))</f>
        <v/>
      </c>
      <c r="T93" s="23" t="str">
        <f>IF(ROW()&lt;7,"",IF(OR(L93="",L90=""),"",IF(L90=0,"",(L93/L90)-1)))</f>
        <v/>
      </c>
      <c r="U93" s="23" t="str">
        <f>IF(ROW()&lt;9,"",IF(OR(L93="",L88=""),"",IF(L88=0,"",(L93/L88)-1)))</f>
        <v/>
      </c>
      <c r="V93" s="23" t="str">
        <f>IF(ROW()&lt;7,"",IF(OR(N93="",N90=""),"",IF(N90=0,"",(N93/N90)-1)))</f>
        <v/>
      </c>
      <c r="W93" s="23" t="str">
        <f>IF(ROW()&lt;9,"",IF(OR(N93="",N88=""),"",IF(N88=0,"",(N93/N88)-1)))</f>
        <v/>
      </c>
      <c r="X93" s="23" t="str">
        <f>IF(OR(F93="",M93=""),"",F93-M93)</f>
        <v/>
      </c>
      <c r="Y93" s="23" t="str">
        <f>IF(OR(P93="",T93=""),"",P93-T93)</f>
        <v/>
      </c>
      <c r="Z93" s="23" t="str">
        <f>IF(OR(Q93="",U93=""),"",Q93-U93)</f>
        <v/>
      </c>
      <c r="AA93" s="23" t="str">
        <f>IF(OR(H93="",O93=""),"",H93-O93)</f>
        <v/>
      </c>
      <c r="AB93" s="23" t="str">
        <f>IF(OR(R93="",V93=""),"",R93-V93)</f>
        <v/>
      </c>
      <c r="AC93" s="23" t="str">
        <f>IF(OR(S93="",W93=""),"",S93-W93)</f>
        <v/>
      </c>
      <c r="AD93" s="13"/>
      <c r="AE93" s="23" t="str">
        <f>IF(OR(AD93="",AD92=""),"",IF(AD92=0,"",(AD93/AD92)-1))</f>
        <v/>
      </c>
      <c r="AF93" s="23" t="str">
        <f>IF(ROW()&lt;7,"",IF(OR(AD93="",AD90=""),"",IF(AD90=0,"",(AD93/AD90)-1)))</f>
        <v/>
      </c>
      <c r="AG93" s="23" t="str">
        <f>IF(ROW()&lt;9,"",IF(OR(AD93="",AD88=""),"",IF(AD88=0,"",(AD93/AD88)-1)))</f>
        <v/>
      </c>
      <c r="AH93" s="23" t="str">
        <f>IF(OR(AF93="",AG93=""),"",IF(AND(AF93&gt;0,AG93&gt;0),"Bull",IF(AND(AF93&lt;0,AG93&lt;0),"Bear","Mixed")))</f>
        <v/>
      </c>
      <c r="AI93" s="13"/>
      <c r="AJ93" s="13" t="str">
        <f>IF(OR(AI93="",AI92=""),"",IF(AI92=0,"",(AI93/AI92)-1))</f>
        <v/>
      </c>
      <c r="AK93" s="23" t="str">
        <f>IF(OR(AJ93="",AJ92=""),"",IF(AJ92=0,"",(AJ93/AJ92)-1))</f>
        <v/>
      </c>
      <c r="AL93" s="23" t="str">
        <f>IF(ROW()&lt;7,"",IF(OR(AJ93="",AJ90=""),"",IF(AJ90=0,"",(AJ93/AJ90)-1)))</f>
        <v/>
      </c>
      <c r="AM93" s="23" t="str">
        <f>IF(ROW()&lt;9,"",IF(OR(AJ93="",AJ88=""),"",IF(AJ88=0,"",(AJ93/AJ88)-1)))</f>
        <v/>
      </c>
      <c r="AN93" t="str">
        <f>IF(OR(AL93="",AM93=""),"",IF(AND(AL93&gt;0,AM93&gt;0),"Bull",IF(AND(AL93&lt;0,AM93&lt;0),"Bear","Mixed")))</f>
        <v/>
      </c>
      <c r="AO93" t="str">
        <f>IF(OR(AH93="",AN93=""),"",IF(AND(AH93="Bull",AN93="Bull"),"YES","NO"))</f>
        <v/>
      </c>
      <c r="AP93" t="str">
        <f>IF(OR(AH93="",AN93=""),"",IF(AND(AH93="Bear",AN93="Bear"),"YES","NO"))</f>
        <v/>
      </c>
      <c r="AQ93" t="str">
        <f>IF(AO93="YES",IF(SUM(N(X93),N(Y93),N(Z93))&gt;0,"SOXL","TQQQ"),IF(AP93="YES",IF(SUM(N(AA93),N(AB93),N(AC93))&gt;0,"SOXS","SQQQ"),"WAIT"))</f>
        <v>WAIT</v>
      </c>
      <c r="AR93" s="23" t="str">
        <f>IF(AO93="YES",IF(SUM(N(X93),N(Y93),N(Z93))&gt;0,"TQQQ","SOXL"),IF(AP93="YES",IF(SUM(N(AA93),N(AB93),N(AC93))&gt;0,"SQQQ","SOXS"),""))</f>
        <v/>
      </c>
      <c r="AS93" s="23" t="str">
        <f>IF(AQ93="WAIT","",IF(AR93="",1,0.6))</f>
        <v/>
      </c>
      <c r="AT93" s="23">
        <f>IF(AR93="",0,0.4)</f>
        <v>0</v>
      </c>
      <c r="AU93" s="23" t="str">
        <f>IF(AQ93="WAIT","WAIT",IF(AO93="YES","BULL",IF(AP93="YES","BEAR","WAIT")))</f>
        <v>WAIT</v>
      </c>
      <c r="AV93" t="str">
        <f>IF(AQ93="WAIT","Low",IF(OR(AND(AU93="BULL",ABS(SUM(N(X93),N(Y93),N(Z93)))&gt;=0.15),AND(AU93="BEAR",ABS(SUM(N(AA93),N(AB93),N(AC93)))&gt;=0.15)),"Strong",IF(OR(AND(AU93="BULL",ABS(SUM(N(X93),N(Y93),N(Z93)))&gt;=0.05),AND(AU93="BEAR",ABS(SUM(N(AA93),N(AB93),N(AC93)))&gt;=0.05)),"Moderate","Low")))</f>
        <v>Low</v>
      </c>
      <c r="AW93" t="str">
        <f>IF(AQ93="WAIT","QQQ and SMH not aligned",IF(AU93="BULL",IF(AQ93="SOXL","Bull regime; semiconductors leading","Bull regime; tech leading"),IF(AQ93="SOXS","Bear regime; semiconductors weakest","Bear regime; tech weakest")))</f>
        <v>QQQ and SMH not aligned</v>
      </c>
      <c r="AX93" t="str">
        <f>IF(AR93="WAIT","QQQ and SMH not aligned",IF(AV93="BULL",IF(AR93="SOXL","Bull regime; semiconductors leading","Bull regime; tech leading"),IF(AR93="SOXS","Bear regime; semiconductors weakest","Bear regime; tech weakest")))</f>
        <v>Bear regime; tech weakest</v>
      </c>
    </row>
    <row r="94" spans="1:50" x14ac:dyDescent="0.2">
      <c r="A94" s="12"/>
      <c r="B94" s="13"/>
      <c r="C94" s="13"/>
      <c r="D94" s="13"/>
      <c r="E94" s="13"/>
      <c r="F94" s="11" t="str">
        <f>IF(OR(E94="",E93=""),"",IF(E93=0,"",(E94/E93)-1))</f>
        <v/>
      </c>
      <c r="G94" s="13"/>
      <c r="H94" s="11" t="str">
        <f>IF(OR(G94="",G93=""),"",IF(G93=0,"",(G94/G93)-1))</f>
        <v/>
      </c>
      <c r="I94" s="13"/>
      <c r="J94" s="13"/>
      <c r="K94" s="13"/>
      <c r="L94" s="13"/>
      <c r="M94" s="23" t="str">
        <f>IF(OR(L94="",L93=""),"",IF(L93=0,"",(L94/L93)-1))</f>
        <v/>
      </c>
      <c r="N94" s="26" t="str">
        <f>IFERROR((M94/M93)-1,"")</f>
        <v/>
      </c>
      <c r="O94" s="23" t="str">
        <f>IF(OR(N94="",N93=""),"",IF(N93=0,"",(N94/N93)-1))</f>
        <v/>
      </c>
      <c r="P94" s="11" t="str">
        <f>IF(ROW()&lt;7,"",IF(OR(E94="",E91=""),"",IF(E91=0,"",(E94/E91)-1)))</f>
        <v/>
      </c>
      <c r="Q94" s="23" t="str">
        <f>IF(ROW()&lt;9,"",IF(OR(E94="",E89=""),"",IF(E89=0,"",(E94/E89)-1)))</f>
        <v/>
      </c>
      <c r="R94" s="23" t="str">
        <f>IF(ROW()&lt;7,"",IF(OR(G94="",G91=""),"",IF(G91=0,"",(G94/G91)-1)))</f>
        <v/>
      </c>
      <c r="S94" s="23" t="str">
        <f>IF(ROW()&lt;9,"",IF(OR(G94="",G89=""),"",IF(G89=0,"",(G94/G89)-1)))</f>
        <v/>
      </c>
      <c r="T94" s="23" t="str">
        <f>IF(ROW()&lt;7,"",IF(OR(L94="",L91=""),"",IF(L91=0,"",(L94/L91)-1)))</f>
        <v/>
      </c>
      <c r="U94" s="23" t="str">
        <f>IF(ROW()&lt;9,"",IF(OR(L94="",L89=""),"",IF(L89=0,"",(L94/L89)-1)))</f>
        <v/>
      </c>
      <c r="V94" s="23" t="str">
        <f>IF(ROW()&lt;7,"",IF(OR(N94="",N91=""),"",IF(N91=0,"",(N94/N91)-1)))</f>
        <v/>
      </c>
      <c r="W94" s="23" t="str">
        <f>IF(ROW()&lt;9,"",IF(OR(N94="",N89=""),"",IF(N89=0,"",(N94/N89)-1)))</f>
        <v/>
      </c>
      <c r="X94" s="23" t="str">
        <f>IF(OR(F94="",M94=""),"",F94-M94)</f>
        <v/>
      </c>
      <c r="Y94" s="23" t="str">
        <f>IF(OR(P94="",T94=""),"",P94-T94)</f>
        <v/>
      </c>
      <c r="Z94" s="23" t="str">
        <f>IF(OR(Q94="",U94=""),"",Q94-U94)</f>
        <v/>
      </c>
      <c r="AA94" s="23" t="str">
        <f>IF(OR(H94="",O94=""),"",H94-O94)</f>
        <v/>
      </c>
      <c r="AB94" s="23" t="str">
        <f>IF(OR(R94="",V94=""),"",R94-V94)</f>
        <v/>
      </c>
      <c r="AC94" s="23" t="str">
        <f>IF(OR(S94="",W94=""),"",S94-W94)</f>
        <v/>
      </c>
      <c r="AD94" s="13"/>
      <c r="AE94" s="23" t="str">
        <f>IF(OR(AD94="",AD93=""),"",IF(AD93=0,"",(AD94/AD93)-1))</f>
        <v/>
      </c>
      <c r="AF94" s="23" t="str">
        <f>IF(ROW()&lt;7,"",IF(OR(AD94="",AD91=""),"",IF(AD91=0,"",(AD94/AD91)-1)))</f>
        <v/>
      </c>
      <c r="AG94" s="23" t="str">
        <f>IF(ROW()&lt;9,"",IF(OR(AD94="",AD89=""),"",IF(AD89=0,"",(AD94/AD89)-1)))</f>
        <v/>
      </c>
      <c r="AH94" s="23" t="str">
        <f>IF(OR(AF94="",AG94=""),"",IF(AND(AF94&gt;0,AG94&gt;0),"Bull",IF(AND(AF94&lt;0,AG94&lt;0),"Bear","Mixed")))</f>
        <v/>
      </c>
      <c r="AI94" s="13"/>
      <c r="AJ94" s="13" t="str">
        <f>IF(OR(AI94="",AI93=""),"",IF(AI93=0,"",(AI94/AI93)-1))</f>
        <v/>
      </c>
      <c r="AK94" s="23" t="str">
        <f>IF(OR(AJ94="",AJ93=""),"",IF(AJ93=0,"",(AJ94/AJ93)-1))</f>
        <v/>
      </c>
      <c r="AL94" s="23" t="str">
        <f>IF(ROW()&lt;7,"",IF(OR(AJ94="",AJ91=""),"",IF(AJ91=0,"",(AJ94/AJ91)-1)))</f>
        <v/>
      </c>
      <c r="AM94" s="23" t="str">
        <f>IF(ROW()&lt;9,"",IF(OR(AJ94="",AJ89=""),"",IF(AJ89=0,"",(AJ94/AJ89)-1)))</f>
        <v/>
      </c>
      <c r="AN94" t="str">
        <f>IF(OR(AL94="",AM94=""),"",IF(AND(AL94&gt;0,AM94&gt;0),"Bull",IF(AND(AL94&lt;0,AM94&lt;0),"Bear","Mixed")))</f>
        <v/>
      </c>
      <c r="AO94" t="str">
        <f>IF(OR(AH94="",AN94=""),"",IF(AND(AH94="Bull",AN94="Bull"),"YES","NO"))</f>
        <v/>
      </c>
      <c r="AP94" t="str">
        <f>IF(OR(AH94="",AN94=""),"",IF(AND(AH94="Bear",AN94="Bear"),"YES","NO"))</f>
        <v/>
      </c>
      <c r="AQ94" t="str">
        <f>IF(AO94="YES",IF(SUM(N(X94),N(Y94),N(Z94))&gt;0,"SOXL","TQQQ"),IF(AP94="YES",IF(SUM(N(AA94),N(AB94),N(AC94))&gt;0,"SOXS","SQQQ"),"WAIT"))</f>
        <v>WAIT</v>
      </c>
      <c r="AR94" s="23" t="str">
        <f>IF(AO94="YES",IF(SUM(N(X94),N(Y94),N(Z94))&gt;0,"TQQQ","SOXL"),IF(AP94="YES",IF(SUM(N(AA94),N(AB94),N(AC94))&gt;0,"SQQQ","SOXS"),""))</f>
        <v/>
      </c>
      <c r="AS94" s="23" t="str">
        <f>IF(AQ94="WAIT","",IF(AR94="",1,0.6))</f>
        <v/>
      </c>
      <c r="AT94" s="23">
        <f>IF(AR94="",0,0.4)</f>
        <v>0</v>
      </c>
      <c r="AU94" s="23" t="str">
        <f>IF(AQ94="WAIT","WAIT",IF(AO94="YES","BULL",IF(AP94="YES","BEAR","WAIT")))</f>
        <v>WAIT</v>
      </c>
      <c r="AV94" t="str">
        <f>IF(AQ94="WAIT","Low",IF(OR(AND(AU94="BULL",ABS(SUM(N(X94),N(Y94),N(Z94)))&gt;=0.15),AND(AU94="BEAR",ABS(SUM(N(AA94),N(AB94),N(AC94)))&gt;=0.15)),"Strong",IF(OR(AND(AU94="BULL",ABS(SUM(N(X94),N(Y94),N(Z94)))&gt;=0.05),AND(AU94="BEAR",ABS(SUM(N(AA94),N(AB94),N(AC94)))&gt;=0.05)),"Moderate","Low")))</f>
        <v>Low</v>
      </c>
      <c r="AW94" t="str">
        <f>IF(AQ94="WAIT","QQQ and SMH not aligned",IF(AU94="BULL",IF(AQ94="SOXL","Bull regime; semiconductors leading","Bull regime; tech leading"),IF(AQ94="SOXS","Bear regime; semiconductors weakest","Bear regime; tech weakest")))</f>
        <v>QQQ and SMH not aligned</v>
      </c>
      <c r="AX94" t="str">
        <f>IF(AR94="WAIT","QQQ and SMH not aligned",IF(AV94="BULL",IF(AR94="SOXL","Bull regime; semiconductors leading","Bull regime; tech leading"),IF(AR94="SOXS","Bear regime; semiconductors weakest","Bear regime; tech weakest")))</f>
        <v>Bear regime; tech weakest</v>
      </c>
    </row>
    <row r="95" spans="1:50" x14ac:dyDescent="0.2">
      <c r="A95" s="12"/>
      <c r="B95" s="13"/>
      <c r="C95" s="13"/>
      <c r="D95" s="13"/>
      <c r="E95" s="13"/>
      <c r="F95" s="11" t="str">
        <f>IF(OR(E95="",E94=""),"",IF(E94=0,"",(E95/E94)-1))</f>
        <v/>
      </c>
      <c r="G95" s="13"/>
      <c r="H95" s="11" t="str">
        <f>IF(OR(G95="",G94=""),"",IF(G94=0,"",(G95/G94)-1))</f>
        <v/>
      </c>
      <c r="I95" s="13"/>
      <c r="J95" s="13"/>
      <c r="K95" s="13"/>
      <c r="L95" s="13"/>
      <c r="M95" s="23" t="str">
        <f>IF(OR(L95="",L94=""),"",IF(L94=0,"",(L95/L94)-1))</f>
        <v/>
      </c>
      <c r="N95" s="26" t="str">
        <f>IFERROR((M95/M94)-1,"")</f>
        <v/>
      </c>
      <c r="O95" s="23" t="str">
        <f>IF(OR(N95="",N94=""),"",IF(N94=0,"",(N95/N94)-1))</f>
        <v/>
      </c>
      <c r="P95" s="11" t="str">
        <f>IF(ROW()&lt;7,"",IF(OR(E95="",E92=""),"",IF(E92=0,"",(E95/E92)-1)))</f>
        <v/>
      </c>
      <c r="Q95" s="23" t="str">
        <f>IF(ROW()&lt;9,"",IF(OR(E95="",E90=""),"",IF(E90=0,"",(E95/E90)-1)))</f>
        <v/>
      </c>
      <c r="R95" s="23" t="str">
        <f>IF(ROW()&lt;7,"",IF(OR(G95="",G92=""),"",IF(G92=0,"",(G95/G92)-1)))</f>
        <v/>
      </c>
      <c r="S95" s="23" t="str">
        <f>IF(ROW()&lt;9,"",IF(OR(G95="",G90=""),"",IF(G90=0,"",(G95/G90)-1)))</f>
        <v/>
      </c>
      <c r="T95" s="23" t="str">
        <f>IF(ROW()&lt;7,"",IF(OR(L95="",L92=""),"",IF(L92=0,"",(L95/L92)-1)))</f>
        <v/>
      </c>
      <c r="U95" s="23" t="str">
        <f>IF(ROW()&lt;9,"",IF(OR(L95="",L90=""),"",IF(L90=0,"",(L95/L90)-1)))</f>
        <v/>
      </c>
      <c r="V95" s="23" t="str">
        <f>IF(ROW()&lt;7,"",IF(OR(N95="",N92=""),"",IF(N92=0,"",(N95/N92)-1)))</f>
        <v/>
      </c>
      <c r="W95" s="23" t="str">
        <f>IF(ROW()&lt;9,"",IF(OR(N95="",N90=""),"",IF(N90=0,"",(N95/N90)-1)))</f>
        <v/>
      </c>
      <c r="X95" s="23" t="str">
        <f>IF(OR(F95="",M95=""),"",F95-M95)</f>
        <v/>
      </c>
      <c r="Y95" s="23" t="str">
        <f>IF(OR(P95="",T95=""),"",P95-T95)</f>
        <v/>
      </c>
      <c r="Z95" s="23" t="str">
        <f>IF(OR(Q95="",U95=""),"",Q95-U95)</f>
        <v/>
      </c>
      <c r="AA95" s="23" t="str">
        <f>IF(OR(H95="",O95=""),"",H95-O95)</f>
        <v/>
      </c>
      <c r="AB95" s="23" t="str">
        <f>IF(OR(R95="",V95=""),"",R95-V95)</f>
        <v/>
      </c>
      <c r="AC95" s="23" t="str">
        <f>IF(OR(S95="",W95=""),"",S95-W95)</f>
        <v/>
      </c>
      <c r="AD95" s="13"/>
      <c r="AE95" s="23" t="str">
        <f>IF(OR(AD95="",AD94=""),"",IF(AD94=0,"",(AD95/AD94)-1))</f>
        <v/>
      </c>
      <c r="AF95" s="23" t="str">
        <f>IF(ROW()&lt;7,"",IF(OR(AD95="",AD92=""),"",IF(AD92=0,"",(AD95/AD92)-1)))</f>
        <v/>
      </c>
      <c r="AG95" s="23" t="str">
        <f>IF(ROW()&lt;9,"",IF(OR(AD95="",AD90=""),"",IF(AD90=0,"",(AD95/AD90)-1)))</f>
        <v/>
      </c>
      <c r="AH95" s="23" t="str">
        <f>IF(OR(AF95="",AG95=""),"",IF(AND(AF95&gt;0,AG95&gt;0),"Bull",IF(AND(AF95&lt;0,AG95&lt;0),"Bear","Mixed")))</f>
        <v/>
      </c>
      <c r="AI95" s="13"/>
      <c r="AJ95" s="13" t="str">
        <f>IF(OR(AI95="",AI94=""),"",IF(AI94=0,"",(AI95/AI94)-1))</f>
        <v/>
      </c>
      <c r="AK95" s="23" t="str">
        <f>IF(OR(AJ95="",AJ94=""),"",IF(AJ94=0,"",(AJ95/AJ94)-1))</f>
        <v/>
      </c>
      <c r="AL95" s="23" t="str">
        <f>IF(ROW()&lt;7,"",IF(OR(AJ95="",AJ92=""),"",IF(AJ92=0,"",(AJ95/AJ92)-1)))</f>
        <v/>
      </c>
      <c r="AM95" s="23" t="str">
        <f>IF(ROW()&lt;9,"",IF(OR(AJ95="",AJ90=""),"",IF(AJ90=0,"",(AJ95/AJ90)-1)))</f>
        <v/>
      </c>
      <c r="AN95" t="str">
        <f>IF(OR(AL95="",AM95=""),"",IF(AND(AL95&gt;0,AM95&gt;0),"Bull",IF(AND(AL95&lt;0,AM95&lt;0),"Bear","Mixed")))</f>
        <v/>
      </c>
      <c r="AO95" t="str">
        <f>IF(OR(AH95="",AN95=""),"",IF(AND(AH95="Bull",AN95="Bull"),"YES","NO"))</f>
        <v/>
      </c>
      <c r="AP95" t="str">
        <f>IF(OR(AH95="",AN95=""),"",IF(AND(AH95="Bear",AN95="Bear"),"YES","NO"))</f>
        <v/>
      </c>
      <c r="AQ95" t="str">
        <f>IF(AO95="YES",IF(SUM(N(X95),N(Y95),N(Z95))&gt;0,"SOXL","TQQQ"),IF(AP95="YES",IF(SUM(N(AA95),N(AB95),N(AC95))&gt;0,"SOXS","SQQQ"),"WAIT"))</f>
        <v>WAIT</v>
      </c>
      <c r="AR95" s="23" t="str">
        <f>IF(AO95="YES",IF(SUM(N(X95),N(Y95),N(Z95))&gt;0,"TQQQ","SOXL"),IF(AP95="YES",IF(SUM(N(AA95),N(AB95),N(AC95))&gt;0,"SQQQ","SOXS"),""))</f>
        <v/>
      </c>
      <c r="AS95" s="23" t="str">
        <f>IF(AQ95="WAIT","",IF(AR95="",1,0.6))</f>
        <v/>
      </c>
      <c r="AT95" s="23">
        <f>IF(AR95="",0,0.4)</f>
        <v>0</v>
      </c>
      <c r="AU95" s="23" t="str">
        <f>IF(AQ95="WAIT","WAIT",IF(AO95="YES","BULL",IF(AP95="YES","BEAR","WAIT")))</f>
        <v>WAIT</v>
      </c>
      <c r="AV95" t="str">
        <f>IF(AQ95="WAIT","Low",IF(OR(AND(AU95="BULL",ABS(SUM(N(X95),N(Y95),N(Z95)))&gt;=0.15),AND(AU95="BEAR",ABS(SUM(N(AA95),N(AB95),N(AC95)))&gt;=0.15)),"Strong",IF(OR(AND(AU95="BULL",ABS(SUM(N(X95),N(Y95),N(Z95)))&gt;=0.05),AND(AU95="BEAR",ABS(SUM(N(AA95),N(AB95),N(AC95)))&gt;=0.05)),"Moderate","Low")))</f>
        <v>Low</v>
      </c>
      <c r="AW95" t="str">
        <f>IF(AQ95="WAIT","QQQ and SMH not aligned",IF(AU95="BULL",IF(AQ95="SOXL","Bull regime; semiconductors leading","Bull regime; tech leading"),IF(AQ95="SOXS","Bear regime; semiconductors weakest","Bear regime; tech weakest")))</f>
        <v>QQQ and SMH not aligned</v>
      </c>
      <c r="AX95" t="str">
        <f>IF(AR95="WAIT","QQQ and SMH not aligned",IF(AV95="BULL",IF(AR95="SOXL","Bull regime; semiconductors leading","Bull regime; tech leading"),IF(AR95="SOXS","Bear regime; semiconductors weakest","Bear regime; tech weakest")))</f>
        <v>Bear regime; tech weakest</v>
      </c>
    </row>
    <row r="96" spans="1:50" x14ac:dyDescent="0.2">
      <c r="A96" s="12"/>
      <c r="B96" s="13"/>
      <c r="C96" s="13"/>
      <c r="D96" s="13"/>
      <c r="E96" s="13"/>
      <c r="F96" s="11" t="str">
        <f>IF(OR(E96="",E95=""),"",IF(E95=0,"",(E96/E95)-1))</f>
        <v/>
      </c>
      <c r="G96" s="13"/>
      <c r="H96" s="11" t="str">
        <f>IF(OR(G96="",G95=""),"",IF(G95=0,"",(G96/G95)-1))</f>
        <v/>
      </c>
      <c r="I96" s="13"/>
      <c r="J96" s="13"/>
      <c r="K96" s="13"/>
      <c r="L96" s="13"/>
      <c r="M96" s="23" t="str">
        <f>IF(OR(L96="",L95=""),"",IF(L95=0,"",(L96/L95)-1))</f>
        <v/>
      </c>
      <c r="N96" s="26" t="str">
        <f>IFERROR((M96/M95)-1,"")</f>
        <v/>
      </c>
      <c r="O96" s="23" t="str">
        <f>IF(OR(N96="",N95=""),"",IF(N95=0,"",(N96/N95)-1))</f>
        <v/>
      </c>
      <c r="P96" s="11" t="str">
        <f>IF(ROW()&lt;7,"",IF(OR(E96="",E93=""),"",IF(E93=0,"",(E96/E93)-1)))</f>
        <v/>
      </c>
      <c r="Q96" s="23" t="str">
        <f>IF(ROW()&lt;9,"",IF(OR(E96="",E91=""),"",IF(E91=0,"",(E96/E91)-1)))</f>
        <v/>
      </c>
      <c r="R96" s="23" t="str">
        <f>IF(ROW()&lt;7,"",IF(OR(G96="",G93=""),"",IF(G93=0,"",(G96/G93)-1)))</f>
        <v/>
      </c>
      <c r="S96" s="23" t="str">
        <f>IF(ROW()&lt;9,"",IF(OR(G96="",G91=""),"",IF(G91=0,"",(G96/G91)-1)))</f>
        <v/>
      </c>
      <c r="T96" s="23" t="str">
        <f>IF(ROW()&lt;7,"",IF(OR(L96="",L93=""),"",IF(L93=0,"",(L96/L93)-1)))</f>
        <v/>
      </c>
      <c r="U96" s="23" t="str">
        <f>IF(ROW()&lt;9,"",IF(OR(L96="",L91=""),"",IF(L91=0,"",(L96/L91)-1)))</f>
        <v/>
      </c>
      <c r="V96" s="23" t="str">
        <f>IF(ROW()&lt;7,"",IF(OR(N96="",N93=""),"",IF(N93=0,"",(N96/N93)-1)))</f>
        <v/>
      </c>
      <c r="W96" s="23" t="str">
        <f>IF(ROW()&lt;9,"",IF(OR(N96="",N91=""),"",IF(N91=0,"",(N96/N91)-1)))</f>
        <v/>
      </c>
      <c r="X96" s="23" t="str">
        <f>IF(OR(F96="",M96=""),"",F96-M96)</f>
        <v/>
      </c>
      <c r="Y96" s="23" t="str">
        <f>IF(OR(P96="",T96=""),"",P96-T96)</f>
        <v/>
      </c>
      <c r="Z96" s="23" t="str">
        <f>IF(OR(Q96="",U96=""),"",Q96-U96)</f>
        <v/>
      </c>
      <c r="AA96" s="23" t="str">
        <f>IF(OR(H96="",O96=""),"",H96-O96)</f>
        <v/>
      </c>
      <c r="AB96" s="23" t="str">
        <f>IF(OR(R96="",V96=""),"",R96-V96)</f>
        <v/>
      </c>
      <c r="AC96" s="23" t="str">
        <f>IF(OR(S96="",W96=""),"",S96-W96)</f>
        <v/>
      </c>
      <c r="AD96" s="13"/>
      <c r="AE96" s="23" t="str">
        <f>IF(OR(AD96="",AD95=""),"",IF(AD95=0,"",(AD96/AD95)-1))</f>
        <v/>
      </c>
      <c r="AF96" s="23" t="str">
        <f>IF(ROW()&lt;7,"",IF(OR(AD96="",AD93=""),"",IF(AD93=0,"",(AD96/AD93)-1)))</f>
        <v/>
      </c>
      <c r="AG96" s="23" t="str">
        <f>IF(ROW()&lt;9,"",IF(OR(AD96="",AD91=""),"",IF(AD91=0,"",(AD96/AD91)-1)))</f>
        <v/>
      </c>
      <c r="AH96" s="23" t="str">
        <f>IF(OR(AF96="",AG96=""),"",IF(AND(AF96&gt;0,AG96&gt;0),"Bull",IF(AND(AF96&lt;0,AG96&lt;0),"Bear","Mixed")))</f>
        <v/>
      </c>
      <c r="AI96" s="13"/>
      <c r="AJ96" s="13" t="str">
        <f>IF(OR(AI96="",AI95=""),"",IF(AI95=0,"",(AI96/AI95)-1))</f>
        <v/>
      </c>
      <c r="AK96" s="23" t="str">
        <f>IF(OR(AJ96="",AJ95=""),"",IF(AJ95=0,"",(AJ96/AJ95)-1))</f>
        <v/>
      </c>
      <c r="AL96" s="23" t="str">
        <f>IF(ROW()&lt;7,"",IF(OR(AJ96="",AJ93=""),"",IF(AJ93=0,"",(AJ96/AJ93)-1)))</f>
        <v/>
      </c>
      <c r="AM96" s="23" t="str">
        <f>IF(ROW()&lt;9,"",IF(OR(AJ96="",AJ91=""),"",IF(AJ91=0,"",(AJ96/AJ91)-1)))</f>
        <v/>
      </c>
      <c r="AN96" t="str">
        <f>IF(OR(AL96="",AM96=""),"",IF(AND(AL96&gt;0,AM96&gt;0),"Bull",IF(AND(AL96&lt;0,AM96&lt;0),"Bear","Mixed")))</f>
        <v/>
      </c>
      <c r="AO96" t="str">
        <f>IF(OR(AH96="",AN96=""),"",IF(AND(AH96="Bull",AN96="Bull"),"YES","NO"))</f>
        <v/>
      </c>
      <c r="AP96" t="str">
        <f>IF(OR(AH96="",AN96=""),"",IF(AND(AH96="Bear",AN96="Bear"),"YES","NO"))</f>
        <v/>
      </c>
      <c r="AQ96" t="str">
        <f>IF(AO96="YES",IF(SUM(N(X96),N(Y96),N(Z96))&gt;0,"SOXL","TQQQ"),IF(AP96="YES",IF(SUM(N(AA96),N(AB96),N(AC96))&gt;0,"SOXS","SQQQ"),"WAIT"))</f>
        <v>WAIT</v>
      </c>
      <c r="AR96" s="23" t="str">
        <f>IF(AO96="YES",IF(SUM(N(X96),N(Y96),N(Z96))&gt;0,"TQQQ","SOXL"),IF(AP96="YES",IF(SUM(N(AA96),N(AB96),N(AC96))&gt;0,"SQQQ","SOXS"),""))</f>
        <v/>
      </c>
      <c r="AS96" s="23" t="str">
        <f>IF(AQ96="WAIT","",IF(AR96="",1,0.6))</f>
        <v/>
      </c>
      <c r="AT96" s="23">
        <f>IF(AR96="",0,0.4)</f>
        <v>0</v>
      </c>
      <c r="AU96" s="23" t="str">
        <f>IF(AQ96="WAIT","WAIT",IF(AO96="YES","BULL",IF(AP96="YES","BEAR","WAIT")))</f>
        <v>WAIT</v>
      </c>
      <c r="AV96" t="str">
        <f>IF(AQ96="WAIT","Low",IF(OR(AND(AU96="BULL",ABS(SUM(N(X96),N(Y96),N(Z96)))&gt;=0.15),AND(AU96="BEAR",ABS(SUM(N(AA96),N(AB96),N(AC96)))&gt;=0.15)),"Strong",IF(OR(AND(AU96="BULL",ABS(SUM(N(X96),N(Y96),N(Z96)))&gt;=0.05),AND(AU96="BEAR",ABS(SUM(N(AA96),N(AB96),N(AC96)))&gt;=0.05)),"Moderate","Low")))</f>
        <v>Low</v>
      </c>
      <c r="AW96" t="str">
        <f>IF(AQ96="WAIT","QQQ and SMH not aligned",IF(AU96="BULL",IF(AQ96="SOXL","Bull regime; semiconductors leading","Bull regime; tech leading"),IF(AQ96="SOXS","Bear regime; semiconductors weakest","Bear regime; tech weakest")))</f>
        <v>QQQ and SMH not aligned</v>
      </c>
      <c r="AX96" t="str">
        <f>IF(AR96="WAIT","QQQ and SMH not aligned",IF(AV96="BULL",IF(AR96="SOXL","Bull regime; semiconductors leading","Bull regime; tech leading"),IF(AR96="SOXS","Bear regime; semiconductors weakest","Bear regime; tech weakest")))</f>
        <v>Bear regime; tech weakest</v>
      </c>
    </row>
    <row r="97" spans="1:50" x14ac:dyDescent="0.2">
      <c r="A97" s="12"/>
      <c r="B97" s="13"/>
      <c r="C97" s="13"/>
      <c r="D97" s="13"/>
      <c r="E97" s="13"/>
      <c r="F97" s="11" t="str">
        <f>IF(OR(E97="",E96=""),"",IF(E96=0,"",(E97/E96)-1))</f>
        <v/>
      </c>
      <c r="G97" s="13"/>
      <c r="H97" s="11" t="str">
        <f>IF(OR(G97="",G96=""),"",IF(G96=0,"",(G97/G96)-1))</f>
        <v/>
      </c>
      <c r="I97" s="13"/>
      <c r="J97" s="13"/>
      <c r="K97" s="13"/>
      <c r="L97" s="13"/>
      <c r="M97" s="23" t="str">
        <f>IF(OR(L97="",L96=""),"",IF(L96=0,"",(L97/L96)-1))</f>
        <v/>
      </c>
      <c r="N97" s="26" t="str">
        <f>IFERROR((M97/M96)-1,"")</f>
        <v/>
      </c>
      <c r="O97" s="23" t="str">
        <f>IF(OR(N97="",N96=""),"",IF(N96=0,"",(N97/N96)-1))</f>
        <v/>
      </c>
      <c r="P97" s="11" t="str">
        <f>IF(ROW()&lt;7,"",IF(OR(E97="",E94=""),"",IF(E94=0,"",(E97/E94)-1)))</f>
        <v/>
      </c>
      <c r="Q97" s="23" t="str">
        <f>IF(ROW()&lt;9,"",IF(OR(E97="",E92=""),"",IF(E92=0,"",(E97/E92)-1)))</f>
        <v/>
      </c>
      <c r="R97" s="23" t="str">
        <f>IF(ROW()&lt;7,"",IF(OR(G97="",G94=""),"",IF(G94=0,"",(G97/G94)-1)))</f>
        <v/>
      </c>
      <c r="S97" s="23" t="str">
        <f>IF(ROW()&lt;9,"",IF(OR(G97="",G92=""),"",IF(G92=0,"",(G97/G92)-1)))</f>
        <v/>
      </c>
      <c r="T97" s="23" t="str">
        <f>IF(ROW()&lt;7,"",IF(OR(L97="",L94=""),"",IF(L94=0,"",(L97/L94)-1)))</f>
        <v/>
      </c>
      <c r="U97" s="23" t="str">
        <f>IF(ROW()&lt;9,"",IF(OR(L97="",L92=""),"",IF(L92=0,"",(L97/L92)-1)))</f>
        <v/>
      </c>
      <c r="V97" s="23" t="str">
        <f>IF(ROW()&lt;7,"",IF(OR(N97="",N94=""),"",IF(N94=0,"",(N97/N94)-1)))</f>
        <v/>
      </c>
      <c r="W97" s="23" t="str">
        <f>IF(ROW()&lt;9,"",IF(OR(N97="",N92=""),"",IF(N92=0,"",(N97/N92)-1)))</f>
        <v/>
      </c>
      <c r="X97" s="23" t="str">
        <f>IF(OR(F97="",M97=""),"",F97-M97)</f>
        <v/>
      </c>
      <c r="Y97" s="23" t="str">
        <f>IF(OR(P97="",T97=""),"",P97-T97)</f>
        <v/>
      </c>
      <c r="Z97" s="23" t="str">
        <f>IF(OR(Q97="",U97=""),"",Q97-U97)</f>
        <v/>
      </c>
      <c r="AA97" s="23" t="str">
        <f>IF(OR(H97="",O97=""),"",H97-O97)</f>
        <v/>
      </c>
      <c r="AB97" s="23" t="str">
        <f>IF(OR(R97="",V97=""),"",R97-V97)</f>
        <v/>
      </c>
      <c r="AC97" s="23" t="str">
        <f>IF(OR(S97="",W97=""),"",S97-W97)</f>
        <v/>
      </c>
      <c r="AD97" s="13"/>
      <c r="AE97" s="23" t="str">
        <f>IF(OR(AD97="",AD96=""),"",IF(AD96=0,"",(AD97/AD96)-1))</f>
        <v/>
      </c>
      <c r="AF97" s="23" t="str">
        <f>IF(ROW()&lt;7,"",IF(OR(AD97="",AD94=""),"",IF(AD94=0,"",(AD97/AD94)-1)))</f>
        <v/>
      </c>
      <c r="AG97" s="23" t="str">
        <f>IF(ROW()&lt;9,"",IF(OR(AD97="",AD92=""),"",IF(AD92=0,"",(AD97/AD92)-1)))</f>
        <v/>
      </c>
      <c r="AH97" s="23" t="str">
        <f>IF(OR(AF97="",AG97=""),"",IF(AND(AF97&gt;0,AG97&gt;0),"Bull",IF(AND(AF97&lt;0,AG97&lt;0),"Bear","Mixed")))</f>
        <v/>
      </c>
      <c r="AI97" s="13"/>
      <c r="AJ97" s="13" t="str">
        <f>IF(OR(AI97="",AI96=""),"",IF(AI96=0,"",(AI97/AI96)-1))</f>
        <v/>
      </c>
      <c r="AK97" s="23" t="str">
        <f>IF(OR(AJ97="",AJ96=""),"",IF(AJ96=0,"",(AJ97/AJ96)-1))</f>
        <v/>
      </c>
      <c r="AL97" s="23" t="str">
        <f>IF(ROW()&lt;7,"",IF(OR(AJ97="",AJ94=""),"",IF(AJ94=0,"",(AJ97/AJ94)-1)))</f>
        <v/>
      </c>
      <c r="AM97" s="23" t="str">
        <f>IF(ROW()&lt;9,"",IF(OR(AJ97="",AJ92=""),"",IF(AJ92=0,"",(AJ97/AJ92)-1)))</f>
        <v/>
      </c>
      <c r="AN97" t="str">
        <f>IF(OR(AL97="",AM97=""),"",IF(AND(AL97&gt;0,AM97&gt;0),"Bull",IF(AND(AL97&lt;0,AM97&lt;0),"Bear","Mixed")))</f>
        <v/>
      </c>
      <c r="AO97" t="str">
        <f>IF(OR(AH97="",AN97=""),"",IF(AND(AH97="Bull",AN97="Bull"),"YES","NO"))</f>
        <v/>
      </c>
      <c r="AP97" t="str">
        <f>IF(OR(AH97="",AN97=""),"",IF(AND(AH97="Bear",AN97="Bear"),"YES","NO"))</f>
        <v/>
      </c>
      <c r="AQ97" t="str">
        <f>IF(AO97="YES",IF(SUM(N(X97),N(Y97),N(Z97))&gt;0,"SOXL","TQQQ"),IF(AP97="YES",IF(SUM(N(AA97),N(AB97),N(AC97))&gt;0,"SOXS","SQQQ"),"WAIT"))</f>
        <v>WAIT</v>
      </c>
      <c r="AR97" s="23" t="str">
        <f>IF(AO97="YES",IF(SUM(N(X97),N(Y97),N(Z97))&gt;0,"TQQQ","SOXL"),IF(AP97="YES",IF(SUM(N(AA97),N(AB97),N(AC97))&gt;0,"SQQQ","SOXS"),""))</f>
        <v/>
      </c>
      <c r="AS97" s="23" t="str">
        <f>IF(AQ97="WAIT","",IF(AR97="",1,0.6))</f>
        <v/>
      </c>
      <c r="AT97" s="23">
        <f>IF(AR97="",0,0.4)</f>
        <v>0</v>
      </c>
      <c r="AU97" s="23" t="str">
        <f>IF(AQ97="WAIT","WAIT",IF(AO97="YES","BULL",IF(AP97="YES","BEAR","WAIT")))</f>
        <v>WAIT</v>
      </c>
      <c r="AV97" t="str">
        <f>IF(AQ97="WAIT","Low",IF(OR(AND(AU97="BULL",ABS(SUM(N(X97),N(Y97),N(Z97)))&gt;=0.15),AND(AU97="BEAR",ABS(SUM(N(AA97),N(AB97),N(AC97)))&gt;=0.15)),"Strong",IF(OR(AND(AU97="BULL",ABS(SUM(N(X97),N(Y97),N(Z97)))&gt;=0.05),AND(AU97="BEAR",ABS(SUM(N(AA97),N(AB97),N(AC97)))&gt;=0.05)),"Moderate","Low")))</f>
        <v>Low</v>
      </c>
      <c r="AW97" t="str">
        <f>IF(AQ97="WAIT","QQQ and SMH not aligned",IF(AU97="BULL",IF(AQ97="SOXL","Bull regime; semiconductors leading","Bull regime; tech leading"),IF(AQ97="SOXS","Bear regime; semiconductors weakest","Bear regime; tech weakest")))</f>
        <v>QQQ and SMH not aligned</v>
      </c>
      <c r="AX97" t="str">
        <f>IF(AR97="WAIT","QQQ and SMH not aligned",IF(AV97="BULL",IF(AR97="SOXL","Bull regime; semiconductors leading","Bull regime; tech leading"),IF(AR97="SOXS","Bear regime; semiconductors weakest","Bear regime; tech weakest")))</f>
        <v>Bear regime; tech weakest</v>
      </c>
    </row>
    <row r="98" spans="1:50" x14ac:dyDescent="0.2">
      <c r="A98" s="12"/>
      <c r="B98" s="13"/>
      <c r="C98" s="13"/>
      <c r="D98" s="13"/>
      <c r="E98" s="13"/>
      <c r="F98" s="11" t="str">
        <f>IF(OR(E98="",E97=""),"",IF(E97=0,"",(E98/E97)-1))</f>
        <v/>
      </c>
      <c r="G98" s="13"/>
      <c r="H98" s="11" t="str">
        <f>IF(OR(G98="",G97=""),"",IF(G97=0,"",(G98/G97)-1))</f>
        <v/>
      </c>
      <c r="I98" s="13"/>
      <c r="J98" s="13"/>
      <c r="K98" s="13"/>
      <c r="L98" s="13"/>
      <c r="M98" s="23" t="str">
        <f>IF(OR(L98="",L97=""),"",IF(L97=0,"",(L98/L97)-1))</f>
        <v/>
      </c>
      <c r="N98" s="26" t="str">
        <f>IFERROR((M98/M97)-1,"")</f>
        <v/>
      </c>
      <c r="O98" s="23" t="str">
        <f>IF(OR(N98="",N97=""),"",IF(N97=0,"",(N98/N97)-1))</f>
        <v/>
      </c>
      <c r="P98" s="11" t="str">
        <f>IF(ROW()&lt;7,"",IF(OR(E98="",E95=""),"",IF(E95=0,"",(E98/E95)-1)))</f>
        <v/>
      </c>
      <c r="Q98" s="23" t="str">
        <f>IF(ROW()&lt;9,"",IF(OR(E98="",E93=""),"",IF(E93=0,"",(E98/E93)-1)))</f>
        <v/>
      </c>
      <c r="R98" s="23" t="str">
        <f>IF(ROW()&lt;7,"",IF(OR(G98="",G95=""),"",IF(G95=0,"",(G98/G95)-1)))</f>
        <v/>
      </c>
      <c r="S98" s="23" t="str">
        <f>IF(ROW()&lt;9,"",IF(OR(G98="",G93=""),"",IF(G93=0,"",(G98/G93)-1)))</f>
        <v/>
      </c>
      <c r="T98" s="23" t="str">
        <f>IF(ROW()&lt;7,"",IF(OR(L98="",L95=""),"",IF(L95=0,"",(L98/L95)-1)))</f>
        <v/>
      </c>
      <c r="U98" s="23" t="str">
        <f>IF(ROW()&lt;9,"",IF(OR(L98="",L93=""),"",IF(L93=0,"",(L98/L93)-1)))</f>
        <v/>
      </c>
      <c r="V98" s="23" t="str">
        <f>IF(ROW()&lt;7,"",IF(OR(N98="",N95=""),"",IF(N95=0,"",(N98/N95)-1)))</f>
        <v/>
      </c>
      <c r="W98" s="23" t="str">
        <f>IF(ROW()&lt;9,"",IF(OR(N98="",N93=""),"",IF(N93=0,"",(N98/N93)-1)))</f>
        <v/>
      </c>
      <c r="X98" s="23" t="str">
        <f>IF(OR(F98="",M98=""),"",F98-M98)</f>
        <v/>
      </c>
      <c r="Y98" s="23" t="str">
        <f>IF(OR(P98="",T98=""),"",P98-T98)</f>
        <v/>
      </c>
      <c r="Z98" s="23" t="str">
        <f>IF(OR(Q98="",U98=""),"",Q98-U98)</f>
        <v/>
      </c>
      <c r="AA98" s="23" t="str">
        <f>IF(OR(H98="",O98=""),"",H98-O98)</f>
        <v/>
      </c>
      <c r="AB98" s="23" t="str">
        <f>IF(OR(R98="",V98=""),"",R98-V98)</f>
        <v/>
      </c>
      <c r="AC98" s="23" t="str">
        <f>IF(OR(S98="",W98=""),"",S98-W98)</f>
        <v/>
      </c>
      <c r="AD98" s="13"/>
      <c r="AE98" s="23" t="str">
        <f>IF(OR(AD98="",AD97=""),"",IF(AD97=0,"",(AD98/AD97)-1))</f>
        <v/>
      </c>
      <c r="AF98" s="23" t="str">
        <f>IF(ROW()&lt;7,"",IF(OR(AD98="",AD95=""),"",IF(AD95=0,"",(AD98/AD95)-1)))</f>
        <v/>
      </c>
      <c r="AG98" s="23" t="str">
        <f>IF(ROW()&lt;9,"",IF(OR(AD98="",AD93=""),"",IF(AD93=0,"",(AD98/AD93)-1)))</f>
        <v/>
      </c>
      <c r="AH98" s="23" t="str">
        <f>IF(OR(AF98="",AG98=""),"",IF(AND(AF98&gt;0,AG98&gt;0),"Bull",IF(AND(AF98&lt;0,AG98&lt;0),"Bear","Mixed")))</f>
        <v/>
      </c>
      <c r="AI98" s="13"/>
      <c r="AJ98" s="13" t="str">
        <f>IF(OR(AI98="",AI97=""),"",IF(AI97=0,"",(AI98/AI97)-1))</f>
        <v/>
      </c>
      <c r="AK98" s="23" t="str">
        <f>IF(OR(AJ98="",AJ97=""),"",IF(AJ97=0,"",(AJ98/AJ97)-1))</f>
        <v/>
      </c>
      <c r="AL98" s="23" t="str">
        <f>IF(ROW()&lt;7,"",IF(OR(AJ98="",AJ95=""),"",IF(AJ95=0,"",(AJ98/AJ95)-1)))</f>
        <v/>
      </c>
      <c r="AM98" s="23" t="str">
        <f>IF(ROW()&lt;9,"",IF(OR(AJ98="",AJ93=""),"",IF(AJ93=0,"",(AJ98/AJ93)-1)))</f>
        <v/>
      </c>
      <c r="AN98" t="str">
        <f>IF(OR(AL98="",AM98=""),"",IF(AND(AL98&gt;0,AM98&gt;0),"Bull",IF(AND(AL98&lt;0,AM98&lt;0),"Bear","Mixed")))</f>
        <v/>
      </c>
      <c r="AO98" t="str">
        <f>IF(OR(AH98="",AN98=""),"",IF(AND(AH98="Bull",AN98="Bull"),"YES","NO"))</f>
        <v/>
      </c>
      <c r="AP98" t="str">
        <f>IF(OR(AH98="",AN98=""),"",IF(AND(AH98="Bear",AN98="Bear"),"YES","NO"))</f>
        <v/>
      </c>
      <c r="AQ98" t="str">
        <f>IF(AO98="YES",IF(SUM(N(X98),N(Y98),N(Z98))&gt;0,"SOXL","TQQQ"),IF(AP98="YES",IF(SUM(N(AA98),N(AB98),N(AC98))&gt;0,"SOXS","SQQQ"),"WAIT"))</f>
        <v>WAIT</v>
      </c>
      <c r="AR98" s="23" t="str">
        <f>IF(AO98="YES",IF(SUM(N(X98),N(Y98),N(Z98))&gt;0,"TQQQ","SOXL"),IF(AP98="YES",IF(SUM(N(AA98),N(AB98),N(AC98))&gt;0,"SQQQ","SOXS"),""))</f>
        <v/>
      </c>
      <c r="AS98" s="23" t="str">
        <f>IF(AQ98="WAIT","",IF(AR98="",1,0.6))</f>
        <v/>
      </c>
      <c r="AT98" s="23">
        <f>IF(AR98="",0,0.4)</f>
        <v>0</v>
      </c>
      <c r="AU98" s="23" t="str">
        <f>IF(AQ98="WAIT","WAIT",IF(AO98="YES","BULL",IF(AP98="YES","BEAR","WAIT")))</f>
        <v>WAIT</v>
      </c>
      <c r="AV98" t="str">
        <f>IF(AQ98="WAIT","Low",IF(OR(AND(AU98="BULL",ABS(SUM(N(X98),N(Y98),N(Z98)))&gt;=0.15),AND(AU98="BEAR",ABS(SUM(N(AA98),N(AB98),N(AC98)))&gt;=0.15)),"Strong",IF(OR(AND(AU98="BULL",ABS(SUM(N(X98),N(Y98),N(Z98)))&gt;=0.05),AND(AU98="BEAR",ABS(SUM(N(AA98),N(AB98),N(AC98)))&gt;=0.05)),"Moderate","Low")))</f>
        <v>Low</v>
      </c>
      <c r="AW98" t="str">
        <f>IF(AQ98="WAIT","QQQ and SMH not aligned",IF(AU98="BULL",IF(AQ98="SOXL","Bull regime; semiconductors leading","Bull regime; tech leading"),IF(AQ98="SOXS","Bear regime; semiconductors weakest","Bear regime; tech weakest")))</f>
        <v>QQQ and SMH not aligned</v>
      </c>
      <c r="AX98" t="str">
        <f>IF(AR98="WAIT","QQQ and SMH not aligned",IF(AV98="BULL",IF(AR98="SOXL","Bull regime; semiconductors leading","Bull regime; tech leading"),IF(AR98="SOXS","Bear regime; semiconductors weakest","Bear regime; tech weakest")))</f>
        <v>Bear regime; tech weakest</v>
      </c>
    </row>
    <row r="99" spans="1:50" x14ac:dyDescent="0.2">
      <c r="A99" s="12"/>
      <c r="B99" s="13"/>
      <c r="C99" s="13"/>
      <c r="D99" s="13"/>
      <c r="E99" s="13"/>
      <c r="F99" s="11" t="str">
        <f>IF(OR(E99="",E98=""),"",IF(E98=0,"",(E99/E98)-1))</f>
        <v/>
      </c>
      <c r="G99" s="13"/>
      <c r="H99" s="11" t="str">
        <f>IF(OR(G99="",G98=""),"",IF(G98=0,"",(G99/G98)-1))</f>
        <v/>
      </c>
      <c r="I99" s="13"/>
      <c r="J99" s="13"/>
      <c r="K99" s="13"/>
      <c r="L99" s="13"/>
      <c r="M99" s="23" t="str">
        <f>IF(OR(L99="",L98=""),"",IF(L98=0,"",(L99/L98)-1))</f>
        <v/>
      </c>
      <c r="N99" s="26" t="str">
        <f>IFERROR((M99/M98)-1,"")</f>
        <v/>
      </c>
      <c r="O99" s="23" t="str">
        <f>IF(OR(N99="",N98=""),"",IF(N98=0,"",(N99/N98)-1))</f>
        <v/>
      </c>
      <c r="P99" s="11" t="str">
        <f>IF(ROW()&lt;7,"",IF(OR(E99="",E96=""),"",IF(E96=0,"",(E99/E96)-1)))</f>
        <v/>
      </c>
      <c r="Q99" s="23" t="str">
        <f>IF(ROW()&lt;9,"",IF(OR(E99="",E94=""),"",IF(E94=0,"",(E99/E94)-1)))</f>
        <v/>
      </c>
      <c r="R99" s="23" t="str">
        <f>IF(ROW()&lt;7,"",IF(OR(G99="",G96=""),"",IF(G96=0,"",(G99/G96)-1)))</f>
        <v/>
      </c>
      <c r="S99" s="23" t="str">
        <f>IF(ROW()&lt;9,"",IF(OR(G99="",G94=""),"",IF(G94=0,"",(G99/G94)-1)))</f>
        <v/>
      </c>
      <c r="T99" s="23" t="str">
        <f>IF(ROW()&lt;7,"",IF(OR(L99="",L96=""),"",IF(L96=0,"",(L99/L96)-1)))</f>
        <v/>
      </c>
      <c r="U99" s="23" t="str">
        <f>IF(ROW()&lt;9,"",IF(OR(L99="",L94=""),"",IF(L94=0,"",(L99/L94)-1)))</f>
        <v/>
      </c>
      <c r="V99" s="23" t="str">
        <f>IF(ROW()&lt;7,"",IF(OR(N99="",N96=""),"",IF(N96=0,"",(N99/N96)-1)))</f>
        <v/>
      </c>
      <c r="W99" s="23" t="str">
        <f>IF(ROW()&lt;9,"",IF(OR(N99="",N94=""),"",IF(N94=0,"",(N99/N94)-1)))</f>
        <v/>
      </c>
      <c r="X99" s="23" t="str">
        <f>IF(OR(F99="",M99=""),"",F99-M99)</f>
        <v/>
      </c>
      <c r="Y99" s="23" t="str">
        <f>IF(OR(P99="",T99=""),"",P99-T99)</f>
        <v/>
      </c>
      <c r="Z99" s="23" t="str">
        <f>IF(OR(Q99="",U99=""),"",Q99-U99)</f>
        <v/>
      </c>
      <c r="AA99" s="23" t="str">
        <f>IF(OR(H99="",O99=""),"",H99-O99)</f>
        <v/>
      </c>
      <c r="AB99" s="23" t="str">
        <f>IF(OR(R99="",V99=""),"",R99-V99)</f>
        <v/>
      </c>
      <c r="AC99" s="23" t="str">
        <f>IF(OR(S99="",W99=""),"",S99-W99)</f>
        <v/>
      </c>
      <c r="AD99" s="13"/>
      <c r="AE99" s="23" t="str">
        <f>IF(OR(AD99="",AD98=""),"",IF(AD98=0,"",(AD99/AD98)-1))</f>
        <v/>
      </c>
      <c r="AF99" s="23" t="str">
        <f>IF(ROW()&lt;7,"",IF(OR(AD99="",AD96=""),"",IF(AD96=0,"",(AD99/AD96)-1)))</f>
        <v/>
      </c>
      <c r="AG99" s="23" t="str">
        <f>IF(ROW()&lt;9,"",IF(OR(AD99="",AD94=""),"",IF(AD94=0,"",(AD99/AD94)-1)))</f>
        <v/>
      </c>
      <c r="AH99" s="23" t="str">
        <f>IF(OR(AF99="",AG99=""),"",IF(AND(AF99&gt;0,AG99&gt;0),"Bull",IF(AND(AF99&lt;0,AG99&lt;0),"Bear","Mixed")))</f>
        <v/>
      </c>
      <c r="AI99" s="13"/>
      <c r="AJ99" s="13" t="str">
        <f>IF(OR(AI99="",AI98=""),"",IF(AI98=0,"",(AI99/AI98)-1))</f>
        <v/>
      </c>
      <c r="AK99" s="23" t="str">
        <f>IF(OR(AJ99="",AJ98=""),"",IF(AJ98=0,"",(AJ99/AJ98)-1))</f>
        <v/>
      </c>
      <c r="AL99" s="23" t="str">
        <f>IF(ROW()&lt;7,"",IF(OR(AJ99="",AJ96=""),"",IF(AJ96=0,"",(AJ99/AJ96)-1)))</f>
        <v/>
      </c>
      <c r="AM99" s="23" t="str">
        <f>IF(ROW()&lt;9,"",IF(OR(AJ99="",AJ94=""),"",IF(AJ94=0,"",(AJ99/AJ94)-1)))</f>
        <v/>
      </c>
      <c r="AN99" t="str">
        <f>IF(OR(AL99="",AM99=""),"",IF(AND(AL99&gt;0,AM99&gt;0),"Bull",IF(AND(AL99&lt;0,AM99&lt;0),"Bear","Mixed")))</f>
        <v/>
      </c>
      <c r="AO99" t="str">
        <f>IF(OR(AH99="",AN99=""),"",IF(AND(AH99="Bull",AN99="Bull"),"YES","NO"))</f>
        <v/>
      </c>
      <c r="AP99" t="str">
        <f>IF(OR(AH99="",AN99=""),"",IF(AND(AH99="Bear",AN99="Bear"),"YES","NO"))</f>
        <v/>
      </c>
      <c r="AQ99" t="str">
        <f>IF(AO99="YES",IF(SUM(N(X99),N(Y99),N(Z99))&gt;0,"SOXL","TQQQ"),IF(AP99="YES",IF(SUM(N(AA99),N(AB99),N(AC99))&gt;0,"SOXS","SQQQ"),"WAIT"))</f>
        <v>WAIT</v>
      </c>
      <c r="AR99" s="23" t="str">
        <f>IF(AO99="YES",IF(SUM(N(X99),N(Y99),N(Z99))&gt;0,"TQQQ","SOXL"),IF(AP99="YES",IF(SUM(N(AA99),N(AB99),N(AC99))&gt;0,"SQQQ","SOXS"),""))</f>
        <v/>
      </c>
      <c r="AS99" s="23" t="str">
        <f>IF(AQ99="WAIT","",IF(AR99="",1,0.6))</f>
        <v/>
      </c>
      <c r="AT99" s="23">
        <f>IF(AR99="",0,0.4)</f>
        <v>0</v>
      </c>
      <c r="AU99" s="23" t="str">
        <f>IF(AQ99="WAIT","WAIT",IF(AO99="YES","BULL",IF(AP99="YES","BEAR","WAIT")))</f>
        <v>WAIT</v>
      </c>
      <c r="AV99" t="str">
        <f>IF(AQ99="WAIT","Low",IF(OR(AND(AU99="BULL",ABS(SUM(N(X99),N(Y99),N(Z99)))&gt;=0.15),AND(AU99="BEAR",ABS(SUM(N(AA99),N(AB99),N(AC99)))&gt;=0.15)),"Strong",IF(OR(AND(AU99="BULL",ABS(SUM(N(X99),N(Y99),N(Z99)))&gt;=0.05),AND(AU99="BEAR",ABS(SUM(N(AA99),N(AB99),N(AC99)))&gt;=0.05)),"Moderate","Low")))</f>
        <v>Low</v>
      </c>
      <c r="AW99" t="str">
        <f>IF(AQ99="WAIT","QQQ and SMH not aligned",IF(AU99="BULL",IF(AQ99="SOXL","Bull regime; semiconductors leading","Bull regime; tech leading"),IF(AQ99="SOXS","Bear regime; semiconductors weakest","Bear regime; tech weakest")))</f>
        <v>QQQ and SMH not aligned</v>
      </c>
      <c r="AX99" t="str">
        <f>IF(AR99="WAIT","QQQ and SMH not aligned",IF(AV99="BULL",IF(AR99="SOXL","Bull regime; semiconductors leading","Bull regime; tech leading"),IF(AR99="SOXS","Bear regime; semiconductors weakest","Bear regime; tech weakest")))</f>
        <v>Bear regime; tech weakest</v>
      </c>
    </row>
    <row r="100" spans="1:50" x14ac:dyDescent="0.2">
      <c r="A100" s="12"/>
      <c r="B100" s="13"/>
      <c r="C100" s="13"/>
      <c r="D100" s="13"/>
      <c r="E100" s="13"/>
      <c r="F100" s="11" t="str">
        <f>IF(OR(E100="",E99=""),"",IF(E99=0,"",(E100/E99)-1))</f>
        <v/>
      </c>
      <c r="G100" s="13"/>
      <c r="H100" s="11" t="str">
        <f>IF(OR(G100="",G99=""),"",IF(G99=0,"",(G100/G99)-1))</f>
        <v/>
      </c>
      <c r="I100" s="13"/>
      <c r="J100" s="13"/>
      <c r="K100" s="13"/>
      <c r="L100" s="13"/>
      <c r="M100" s="23" t="str">
        <f>IF(OR(L100="",L99=""),"",IF(L99=0,"",(L100/L99)-1))</f>
        <v/>
      </c>
      <c r="N100" s="26" t="str">
        <f>IFERROR((M100/M99)-1,"")</f>
        <v/>
      </c>
      <c r="O100" s="23" t="str">
        <f>IF(OR(N100="",N99=""),"",IF(N99=0,"",(N100/N99)-1))</f>
        <v/>
      </c>
      <c r="P100" s="11" t="str">
        <f>IF(ROW()&lt;7,"",IF(OR(E100="",E97=""),"",IF(E97=0,"",(E100/E97)-1)))</f>
        <v/>
      </c>
      <c r="Q100" s="23" t="str">
        <f>IF(ROW()&lt;9,"",IF(OR(E100="",E95=""),"",IF(E95=0,"",(E100/E95)-1)))</f>
        <v/>
      </c>
      <c r="R100" s="23" t="str">
        <f>IF(ROW()&lt;7,"",IF(OR(G100="",G97=""),"",IF(G97=0,"",(G100/G97)-1)))</f>
        <v/>
      </c>
      <c r="S100" s="23" t="str">
        <f>IF(ROW()&lt;9,"",IF(OR(G100="",G95=""),"",IF(G95=0,"",(G100/G95)-1)))</f>
        <v/>
      </c>
      <c r="T100" s="23" t="str">
        <f>IF(ROW()&lt;7,"",IF(OR(L100="",L97=""),"",IF(L97=0,"",(L100/L97)-1)))</f>
        <v/>
      </c>
      <c r="U100" s="23" t="str">
        <f>IF(ROW()&lt;9,"",IF(OR(L100="",L95=""),"",IF(L95=0,"",(L100/L95)-1)))</f>
        <v/>
      </c>
      <c r="V100" s="23" t="str">
        <f>IF(ROW()&lt;7,"",IF(OR(N100="",N97=""),"",IF(N97=0,"",(N100/N97)-1)))</f>
        <v/>
      </c>
      <c r="W100" s="23" t="str">
        <f>IF(ROW()&lt;9,"",IF(OR(N100="",N95=""),"",IF(N95=0,"",(N100/N95)-1)))</f>
        <v/>
      </c>
      <c r="X100" s="23" t="str">
        <f>IF(OR(F100="",M100=""),"",F100-M100)</f>
        <v/>
      </c>
      <c r="Y100" s="23" t="str">
        <f>IF(OR(P100="",T100=""),"",P100-T100)</f>
        <v/>
      </c>
      <c r="Z100" s="23" t="str">
        <f>IF(OR(Q100="",U100=""),"",Q100-U100)</f>
        <v/>
      </c>
      <c r="AA100" s="23" t="str">
        <f>IF(OR(H100="",O100=""),"",H100-O100)</f>
        <v/>
      </c>
      <c r="AB100" s="23" t="str">
        <f>IF(OR(R100="",V100=""),"",R100-V100)</f>
        <v/>
      </c>
      <c r="AC100" s="23" t="str">
        <f>IF(OR(S100="",W100=""),"",S100-W100)</f>
        <v/>
      </c>
      <c r="AD100" s="13"/>
      <c r="AE100" s="23" t="str">
        <f>IF(OR(AD100="",AD99=""),"",IF(AD99=0,"",(AD100/AD99)-1))</f>
        <v/>
      </c>
      <c r="AF100" s="23" t="str">
        <f>IF(ROW()&lt;7,"",IF(OR(AD100="",AD97=""),"",IF(AD97=0,"",(AD100/AD97)-1)))</f>
        <v/>
      </c>
      <c r="AG100" s="23" t="str">
        <f>IF(ROW()&lt;9,"",IF(OR(AD100="",AD95=""),"",IF(AD95=0,"",(AD100/AD95)-1)))</f>
        <v/>
      </c>
      <c r="AH100" s="23" t="str">
        <f>IF(OR(AF100="",AG100=""),"",IF(AND(AF100&gt;0,AG100&gt;0),"Bull",IF(AND(AF100&lt;0,AG100&lt;0),"Bear","Mixed")))</f>
        <v/>
      </c>
      <c r="AI100" s="13"/>
      <c r="AJ100" s="13" t="str">
        <f>IF(OR(AI100="",AI99=""),"",IF(AI99=0,"",(AI100/AI99)-1))</f>
        <v/>
      </c>
      <c r="AK100" s="23" t="str">
        <f>IF(OR(AJ100="",AJ99=""),"",IF(AJ99=0,"",(AJ100/AJ99)-1))</f>
        <v/>
      </c>
      <c r="AL100" s="23" t="str">
        <f>IF(ROW()&lt;7,"",IF(OR(AJ100="",AJ97=""),"",IF(AJ97=0,"",(AJ100/AJ97)-1)))</f>
        <v/>
      </c>
      <c r="AM100" s="23" t="str">
        <f>IF(ROW()&lt;9,"",IF(OR(AJ100="",AJ95=""),"",IF(AJ95=0,"",(AJ100/AJ95)-1)))</f>
        <v/>
      </c>
      <c r="AN100" t="str">
        <f>IF(OR(AL100="",AM100=""),"",IF(AND(AL100&gt;0,AM100&gt;0),"Bull",IF(AND(AL100&lt;0,AM100&lt;0),"Bear","Mixed")))</f>
        <v/>
      </c>
      <c r="AO100" t="str">
        <f>IF(OR(AH100="",AN100=""),"",IF(AND(AH100="Bull",AN100="Bull"),"YES","NO"))</f>
        <v/>
      </c>
      <c r="AP100" t="str">
        <f>IF(OR(AH100="",AN100=""),"",IF(AND(AH100="Bear",AN100="Bear"),"YES","NO"))</f>
        <v/>
      </c>
      <c r="AQ100" t="str">
        <f>IF(AO100="YES",IF(SUM(N(X100),N(Y100),N(Z100))&gt;0,"SOXL","TQQQ"),IF(AP100="YES",IF(SUM(N(AA100),N(AB100),N(AC100))&gt;0,"SOXS","SQQQ"),"WAIT"))</f>
        <v>WAIT</v>
      </c>
      <c r="AR100" s="23" t="str">
        <f>IF(AO100="YES",IF(SUM(N(X100),N(Y100),N(Z100))&gt;0,"TQQQ","SOXL"),IF(AP100="YES",IF(SUM(N(AA100),N(AB100),N(AC100))&gt;0,"SQQQ","SOXS"),""))</f>
        <v/>
      </c>
      <c r="AS100" s="23" t="str">
        <f>IF(AQ100="WAIT","",IF(AR100="",1,0.6))</f>
        <v/>
      </c>
      <c r="AT100" s="23">
        <f>IF(AR100="",0,0.4)</f>
        <v>0</v>
      </c>
      <c r="AU100" s="23" t="str">
        <f>IF(AQ100="WAIT","WAIT",IF(AO100="YES","BULL",IF(AP100="YES","BEAR","WAIT")))</f>
        <v>WAIT</v>
      </c>
      <c r="AV100" t="str">
        <f>IF(AQ100="WAIT","Low",IF(OR(AND(AU100="BULL",ABS(SUM(N(X100),N(Y100),N(Z100)))&gt;=0.15),AND(AU100="BEAR",ABS(SUM(N(AA100),N(AB100),N(AC100)))&gt;=0.15)),"Strong",IF(OR(AND(AU100="BULL",ABS(SUM(N(X100),N(Y100),N(Z100)))&gt;=0.05),AND(AU100="BEAR",ABS(SUM(N(AA100),N(AB100),N(AC100)))&gt;=0.05)),"Moderate","Low")))</f>
        <v>Low</v>
      </c>
      <c r="AW100" t="str">
        <f>IF(AQ100="WAIT","QQQ and SMH not aligned",IF(AU100="BULL",IF(AQ100="SOXL","Bull regime; semiconductors leading","Bull regime; tech leading"),IF(AQ100="SOXS","Bear regime; semiconductors weakest","Bear regime; tech weakest")))</f>
        <v>QQQ and SMH not aligned</v>
      </c>
      <c r="AX100" t="str">
        <f>IF(AR100="WAIT","QQQ and SMH not aligned",IF(AV100="BULL",IF(AR100="SOXL","Bull regime; semiconductors leading","Bull regime; tech leading"),IF(AR100="SOXS","Bear regime; semiconductors weakest","Bear regime; tech weakest")))</f>
        <v>Bear regime; tech weakest</v>
      </c>
    </row>
    <row r="101" spans="1:50" x14ac:dyDescent="0.2">
      <c r="A101" s="12"/>
      <c r="B101" s="13"/>
      <c r="C101" s="13"/>
      <c r="D101" s="13"/>
      <c r="E101" s="13"/>
      <c r="F101" s="11" t="str">
        <f>IF(OR(E101="",E100=""),"",IF(E100=0,"",(E101/E100)-1))</f>
        <v/>
      </c>
      <c r="G101" s="13"/>
      <c r="H101" s="11" t="str">
        <f>IF(OR(G101="",G100=""),"",IF(G100=0,"",(G101/G100)-1))</f>
        <v/>
      </c>
      <c r="I101" s="13"/>
      <c r="J101" s="13"/>
      <c r="K101" s="13"/>
      <c r="L101" s="13"/>
      <c r="M101" s="23" t="str">
        <f>IF(OR(L101="",L100=""),"",IF(L100=0,"",(L101/L100)-1))</f>
        <v/>
      </c>
      <c r="N101" s="26" t="str">
        <f>IFERROR((M101/M100)-1,"")</f>
        <v/>
      </c>
      <c r="O101" s="23" t="str">
        <f>IF(OR(N101="",N100=""),"",IF(N100=0,"",(N101/N100)-1))</f>
        <v/>
      </c>
      <c r="P101" s="11" t="str">
        <f>IF(ROW()&lt;7,"",IF(OR(E101="",E98=""),"",IF(E98=0,"",(E101/E98)-1)))</f>
        <v/>
      </c>
      <c r="Q101" s="23" t="str">
        <f>IF(ROW()&lt;9,"",IF(OR(E101="",E96=""),"",IF(E96=0,"",(E101/E96)-1)))</f>
        <v/>
      </c>
      <c r="R101" s="23" t="str">
        <f>IF(ROW()&lt;7,"",IF(OR(G101="",G98=""),"",IF(G98=0,"",(G101/G98)-1)))</f>
        <v/>
      </c>
      <c r="S101" s="23" t="str">
        <f>IF(ROW()&lt;9,"",IF(OR(G101="",G96=""),"",IF(G96=0,"",(G101/G96)-1)))</f>
        <v/>
      </c>
      <c r="T101" s="23" t="str">
        <f>IF(ROW()&lt;7,"",IF(OR(L101="",L98=""),"",IF(L98=0,"",(L101/L98)-1)))</f>
        <v/>
      </c>
      <c r="U101" s="23" t="str">
        <f>IF(ROW()&lt;9,"",IF(OR(L101="",L96=""),"",IF(L96=0,"",(L101/L96)-1)))</f>
        <v/>
      </c>
      <c r="V101" s="23" t="str">
        <f>IF(ROW()&lt;7,"",IF(OR(N101="",N98=""),"",IF(N98=0,"",(N101/N98)-1)))</f>
        <v/>
      </c>
      <c r="W101" s="23" t="str">
        <f>IF(ROW()&lt;9,"",IF(OR(N101="",N96=""),"",IF(N96=0,"",(N101/N96)-1)))</f>
        <v/>
      </c>
      <c r="X101" s="23" t="str">
        <f>IF(OR(F101="",M101=""),"",F101-M101)</f>
        <v/>
      </c>
      <c r="Y101" s="23" t="str">
        <f>IF(OR(P101="",T101=""),"",P101-T101)</f>
        <v/>
      </c>
      <c r="Z101" s="23" t="str">
        <f>IF(OR(Q101="",U101=""),"",Q101-U101)</f>
        <v/>
      </c>
      <c r="AA101" s="23" t="str">
        <f>IF(OR(H101="",O101=""),"",H101-O101)</f>
        <v/>
      </c>
      <c r="AB101" s="23" t="str">
        <f>IF(OR(R101="",V101=""),"",R101-V101)</f>
        <v/>
      </c>
      <c r="AC101" s="23" t="str">
        <f>IF(OR(S101="",W101=""),"",S101-W101)</f>
        <v/>
      </c>
      <c r="AD101" s="13"/>
      <c r="AE101" s="23" t="str">
        <f>IF(OR(AD101="",AD100=""),"",IF(AD100=0,"",(AD101/AD100)-1))</f>
        <v/>
      </c>
      <c r="AF101" s="23" t="str">
        <f>IF(ROW()&lt;7,"",IF(OR(AD101="",AD98=""),"",IF(AD98=0,"",(AD101/AD98)-1)))</f>
        <v/>
      </c>
      <c r="AG101" s="23" t="str">
        <f>IF(ROW()&lt;9,"",IF(OR(AD101="",AD96=""),"",IF(AD96=0,"",(AD101/AD96)-1)))</f>
        <v/>
      </c>
      <c r="AH101" s="23" t="str">
        <f>IF(OR(AF101="",AG101=""),"",IF(AND(AF101&gt;0,AG101&gt;0),"Bull",IF(AND(AF101&lt;0,AG101&lt;0),"Bear","Mixed")))</f>
        <v/>
      </c>
      <c r="AI101" s="13"/>
      <c r="AJ101" s="13" t="str">
        <f>IF(OR(AI101="",AI100=""),"",IF(AI100=0,"",(AI101/AI100)-1))</f>
        <v/>
      </c>
      <c r="AK101" s="23" t="str">
        <f>IF(OR(AJ101="",AJ100=""),"",IF(AJ100=0,"",(AJ101/AJ100)-1))</f>
        <v/>
      </c>
      <c r="AL101" s="23" t="str">
        <f>IF(ROW()&lt;7,"",IF(OR(AJ101="",AJ98=""),"",IF(AJ98=0,"",(AJ101/AJ98)-1)))</f>
        <v/>
      </c>
      <c r="AM101" s="23" t="str">
        <f>IF(ROW()&lt;9,"",IF(OR(AJ101="",AJ96=""),"",IF(AJ96=0,"",(AJ101/AJ96)-1)))</f>
        <v/>
      </c>
      <c r="AN101" t="str">
        <f>IF(OR(AL101="",AM101=""),"",IF(AND(AL101&gt;0,AM101&gt;0),"Bull",IF(AND(AL101&lt;0,AM101&lt;0),"Bear","Mixed")))</f>
        <v/>
      </c>
      <c r="AO101" t="str">
        <f>IF(OR(AH101="",AN101=""),"",IF(AND(AH101="Bull",AN101="Bull"),"YES","NO"))</f>
        <v/>
      </c>
      <c r="AP101" t="str">
        <f>IF(OR(AH101="",AN101=""),"",IF(AND(AH101="Bear",AN101="Bear"),"YES","NO"))</f>
        <v/>
      </c>
      <c r="AQ101" t="str">
        <f>IF(AO101="YES",IF(SUM(N(X101),N(Y101),N(Z101))&gt;0,"SOXL","TQQQ"),IF(AP101="YES",IF(SUM(N(AA101),N(AB101),N(AC101))&gt;0,"SOXS","SQQQ"),"WAIT"))</f>
        <v>WAIT</v>
      </c>
      <c r="AR101" s="23" t="str">
        <f>IF(AO101="YES",IF(SUM(N(X101),N(Y101),N(Z101))&gt;0,"TQQQ","SOXL"),IF(AP101="YES",IF(SUM(N(AA101),N(AB101),N(AC101))&gt;0,"SQQQ","SOXS"),""))</f>
        <v/>
      </c>
      <c r="AS101" s="23" t="str">
        <f>IF(AQ101="WAIT","",IF(AR101="",1,0.6))</f>
        <v/>
      </c>
      <c r="AT101" s="23">
        <f>IF(AR101="",0,0.4)</f>
        <v>0</v>
      </c>
      <c r="AU101" s="23" t="str">
        <f>IF(AQ101="WAIT","WAIT",IF(AO101="YES","BULL",IF(AP101="YES","BEAR","WAIT")))</f>
        <v>WAIT</v>
      </c>
      <c r="AV101" t="str">
        <f>IF(AQ101="WAIT","Low",IF(OR(AND(AU101="BULL",ABS(SUM(N(X101),N(Y101),N(Z101)))&gt;=0.15),AND(AU101="BEAR",ABS(SUM(N(AA101),N(AB101),N(AC101)))&gt;=0.15)),"Strong",IF(OR(AND(AU101="BULL",ABS(SUM(N(X101),N(Y101),N(Z101)))&gt;=0.05),AND(AU101="BEAR",ABS(SUM(N(AA101),N(AB101),N(AC101)))&gt;=0.05)),"Moderate","Low")))</f>
        <v>Low</v>
      </c>
      <c r="AW101" t="str">
        <f>IF(AQ101="WAIT","QQQ and SMH not aligned",IF(AU101="BULL",IF(AQ101="SOXL","Bull regime; semiconductors leading","Bull regime; tech leading"),IF(AQ101="SOXS","Bear regime; semiconductors weakest","Bear regime; tech weakest")))</f>
        <v>QQQ and SMH not aligned</v>
      </c>
      <c r="AX101" t="str">
        <f>IF(AR101="WAIT","QQQ and SMH not aligned",IF(AV101="BULL",IF(AR101="SOXL","Bull regime; semiconductors leading","Bull regime; tech leading"),IF(AR101="SOXS","Bear regime; semiconductors weakest","Bear regime; tech weakest")))</f>
        <v>Bear regime; tech weakest</v>
      </c>
    </row>
    <row r="102" spans="1:50" x14ac:dyDescent="0.2">
      <c r="A102" s="12"/>
      <c r="B102" s="13"/>
      <c r="C102" s="13"/>
      <c r="D102" s="13"/>
      <c r="E102" s="13"/>
      <c r="F102" s="11" t="str">
        <f>IF(OR(E102="",E101=""),"",IF(E101=0,"",(E102/E101)-1))</f>
        <v/>
      </c>
      <c r="G102" s="13"/>
      <c r="H102" s="11" t="str">
        <f>IF(OR(G102="",G101=""),"",IF(G101=0,"",(G102/G101)-1))</f>
        <v/>
      </c>
      <c r="I102" s="13"/>
      <c r="J102" s="13"/>
      <c r="K102" s="13"/>
      <c r="L102" s="13"/>
      <c r="M102" s="23" t="str">
        <f>IF(OR(L102="",L101=""),"",IF(L101=0,"",(L102/L101)-1))</f>
        <v/>
      </c>
      <c r="N102" s="26" t="str">
        <f>IFERROR((M102/M101)-1,"")</f>
        <v/>
      </c>
      <c r="O102" s="23" t="str">
        <f>IF(OR(N102="",N101=""),"",IF(N101=0,"",(N102/N101)-1))</f>
        <v/>
      </c>
      <c r="P102" s="11" t="str">
        <f>IF(ROW()&lt;7,"",IF(OR(E102="",E99=""),"",IF(E99=0,"",(E102/E99)-1)))</f>
        <v/>
      </c>
      <c r="Q102" s="23" t="str">
        <f>IF(ROW()&lt;9,"",IF(OR(E102="",E97=""),"",IF(E97=0,"",(E102/E97)-1)))</f>
        <v/>
      </c>
      <c r="R102" s="23" t="str">
        <f>IF(ROW()&lt;7,"",IF(OR(G102="",G99=""),"",IF(G99=0,"",(G102/G99)-1)))</f>
        <v/>
      </c>
      <c r="S102" s="23" t="str">
        <f>IF(ROW()&lt;9,"",IF(OR(G102="",G97=""),"",IF(G97=0,"",(G102/G97)-1)))</f>
        <v/>
      </c>
      <c r="T102" s="23" t="str">
        <f>IF(ROW()&lt;7,"",IF(OR(L102="",L99=""),"",IF(L99=0,"",(L102/L99)-1)))</f>
        <v/>
      </c>
      <c r="U102" s="23" t="str">
        <f>IF(ROW()&lt;9,"",IF(OR(L102="",L97=""),"",IF(L97=0,"",(L102/L97)-1)))</f>
        <v/>
      </c>
      <c r="V102" s="23" t="str">
        <f>IF(ROW()&lt;7,"",IF(OR(N102="",N99=""),"",IF(N99=0,"",(N102/N99)-1)))</f>
        <v/>
      </c>
      <c r="W102" s="23" t="str">
        <f>IF(ROW()&lt;9,"",IF(OR(N102="",N97=""),"",IF(N97=0,"",(N102/N97)-1)))</f>
        <v/>
      </c>
      <c r="X102" s="23" t="str">
        <f>IF(OR(F102="",M102=""),"",F102-M102)</f>
        <v/>
      </c>
      <c r="Y102" s="23" t="str">
        <f>IF(OR(P102="",T102=""),"",P102-T102)</f>
        <v/>
      </c>
      <c r="Z102" s="23" t="str">
        <f>IF(OR(Q102="",U102=""),"",Q102-U102)</f>
        <v/>
      </c>
      <c r="AA102" s="23" t="str">
        <f>IF(OR(H102="",O102=""),"",H102-O102)</f>
        <v/>
      </c>
      <c r="AB102" s="23" t="str">
        <f>IF(OR(R102="",V102=""),"",R102-V102)</f>
        <v/>
      </c>
      <c r="AC102" s="23" t="str">
        <f>IF(OR(S102="",W102=""),"",S102-W102)</f>
        <v/>
      </c>
      <c r="AD102" s="13"/>
      <c r="AE102" s="23" t="str">
        <f>IF(OR(AD102="",AD101=""),"",IF(AD101=0,"",(AD102/AD101)-1))</f>
        <v/>
      </c>
      <c r="AF102" s="23" t="str">
        <f>IF(ROW()&lt;7,"",IF(OR(AD102="",AD99=""),"",IF(AD99=0,"",(AD102/AD99)-1)))</f>
        <v/>
      </c>
      <c r="AG102" s="23" t="str">
        <f>IF(ROW()&lt;9,"",IF(OR(AD102="",AD97=""),"",IF(AD97=0,"",(AD102/AD97)-1)))</f>
        <v/>
      </c>
      <c r="AH102" s="23" t="str">
        <f>IF(OR(AF102="",AG102=""),"",IF(AND(AF102&gt;0,AG102&gt;0),"Bull",IF(AND(AF102&lt;0,AG102&lt;0),"Bear","Mixed")))</f>
        <v/>
      </c>
      <c r="AI102" s="13"/>
      <c r="AJ102" s="13" t="str">
        <f>IF(OR(AI102="",AI101=""),"",IF(AI101=0,"",(AI102/AI101)-1))</f>
        <v/>
      </c>
      <c r="AK102" s="23" t="str">
        <f>IF(OR(AJ102="",AJ101=""),"",IF(AJ101=0,"",(AJ102/AJ101)-1))</f>
        <v/>
      </c>
      <c r="AL102" s="23" t="str">
        <f>IF(ROW()&lt;7,"",IF(OR(AJ102="",AJ99=""),"",IF(AJ99=0,"",(AJ102/AJ99)-1)))</f>
        <v/>
      </c>
      <c r="AM102" s="23" t="str">
        <f>IF(ROW()&lt;9,"",IF(OR(AJ102="",AJ97=""),"",IF(AJ97=0,"",(AJ102/AJ97)-1)))</f>
        <v/>
      </c>
      <c r="AN102" t="str">
        <f>IF(OR(AL102="",AM102=""),"",IF(AND(AL102&gt;0,AM102&gt;0),"Bull",IF(AND(AL102&lt;0,AM102&lt;0),"Bear","Mixed")))</f>
        <v/>
      </c>
      <c r="AO102" t="str">
        <f>IF(OR(AH102="",AN102=""),"",IF(AND(AH102="Bull",AN102="Bull"),"YES","NO"))</f>
        <v/>
      </c>
      <c r="AP102" t="str">
        <f>IF(OR(AH102="",AN102=""),"",IF(AND(AH102="Bear",AN102="Bear"),"YES","NO"))</f>
        <v/>
      </c>
      <c r="AQ102" t="str">
        <f>IF(AO102="YES",IF(SUM(N(X102),N(Y102),N(Z102))&gt;0,"SOXL","TQQQ"),IF(AP102="YES",IF(SUM(N(AA102),N(AB102),N(AC102))&gt;0,"SOXS","SQQQ"),"WAIT"))</f>
        <v>WAIT</v>
      </c>
      <c r="AR102" s="23" t="str">
        <f>IF(AO102="YES",IF(SUM(N(X102),N(Y102),N(Z102))&gt;0,"TQQQ","SOXL"),IF(AP102="YES",IF(SUM(N(AA102),N(AB102),N(AC102))&gt;0,"SQQQ","SOXS"),""))</f>
        <v/>
      </c>
      <c r="AS102" s="23" t="str">
        <f>IF(AQ102="WAIT","",IF(AR102="",1,0.6))</f>
        <v/>
      </c>
      <c r="AT102" s="23">
        <f>IF(AR102="",0,0.4)</f>
        <v>0</v>
      </c>
      <c r="AU102" s="23" t="str">
        <f>IF(AQ102="WAIT","WAIT",IF(AO102="YES","BULL",IF(AP102="YES","BEAR","WAIT")))</f>
        <v>WAIT</v>
      </c>
      <c r="AV102" t="str">
        <f>IF(AQ102="WAIT","Low",IF(OR(AND(AU102="BULL",ABS(SUM(N(X102),N(Y102),N(Z102)))&gt;=0.15),AND(AU102="BEAR",ABS(SUM(N(AA102),N(AB102),N(AC102)))&gt;=0.15)),"Strong",IF(OR(AND(AU102="BULL",ABS(SUM(N(X102),N(Y102),N(Z102)))&gt;=0.05),AND(AU102="BEAR",ABS(SUM(N(AA102),N(AB102),N(AC102)))&gt;=0.05)),"Moderate","Low")))</f>
        <v>Low</v>
      </c>
      <c r="AW102" t="str">
        <f>IF(AQ102="WAIT","QQQ and SMH not aligned",IF(AU102="BULL",IF(AQ102="SOXL","Bull regime; semiconductors leading","Bull regime; tech leading"),IF(AQ102="SOXS","Bear regime; semiconductors weakest","Bear regime; tech weakest")))</f>
        <v>QQQ and SMH not aligned</v>
      </c>
      <c r="AX102" t="str">
        <f>IF(AR102="WAIT","QQQ and SMH not aligned",IF(AV102="BULL",IF(AR102="SOXL","Bull regime; semiconductors leading","Bull regime; tech leading"),IF(AR102="SOXS","Bear regime; semiconductors weakest","Bear regime; tech weakest")))</f>
        <v>Bear regime; tech weakest</v>
      </c>
    </row>
    <row r="103" spans="1:50" x14ac:dyDescent="0.2">
      <c r="A103" s="12"/>
      <c r="B103" s="13"/>
      <c r="C103" s="13"/>
      <c r="D103" s="13"/>
      <c r="E103" s="13"/>
      <c r="F103" s="11" t="str">
        <f>IF(OR(E103="",E102=""),"",IF(E102=0,"",(E103/E102)-1))</f>
        <v/>
      </c>
      <c r="G103" s="13"/>
      <c r="H103" s="11" t="str">
        <f>IF(OR(G103="",G102=""),"",IF(G102=0,"",(G103/G102)-1))</f>
        <v/>
      </c>
      <c r="I103" s="13"/>
      <c r="J103" s="13"/>
      <c r="K103" s="13"/>
      <c r="L103" s="13"/>
      <c r="M103" s="23" t="str">
        <f>IF(OR(L103="",L102=""),"",IF(L102=0,"",(L103/L102)-1))</f>
        <v/>
      </c>
      <c r="N103" s="26" t="str">
        <f>IFERROR((M103/M102)-1,"")</f>
        <v/>
      </c>
      <c r="O103" s="23" t="str">
        <f>IF(OR(N103="",N102=""),"",IF(N102=0,"",(N103/N102)-1))</f>
        <v/>
      </c>
      <c r="P103" s="11" t="str">
        <f>IF(ROW()&lt;7,"",IF(OR(E103="",E100=""),"",IF(E100=0,"",(E103/E100)-1)))</f>
        <v/>
      </c>
      <c r="Q103" s="23" t="str">
        <f>IF(ROW()&lt;9,"",IF(OR(E103="",E98=""),"",IF(E98=0,"",(E103/E98)-1)))</f>
        <v/>
      </c>
      <c r="R103" s="23" t="str">
        <f>IF(ROW()&lt;7,"",IF(OR(G103="",G100=""),"",IF(G100=0,"",(G103/G100)-1)))</f>
        <v/>
      </c>
      <c r="S103" s="23" t="str">
        <f>IF(ROW()&lt;9,"",IF(OR(G103="",G98=""),"",IF(G98=0,"",(G103/G98)-1)))</f>
        <v/>
      </c>
      <c r="T103" s="23" t="str">
        <f>IF(ROW()&lt;7,"",IF(OR(L103="",L100=""),"",IF(L100=0,"",(L103/L100)-1)))</f>
        <v/>
      </c>
      <c r="U103" s="23" t="str">
        <f>IF(ROW()&lt;9,"",IF(OR(L103="",L98=""),"",IF(L98=0,"",(L103/L98)-1)))</f>
        <v/>
      </c>
      <c r="V103" s="23" t="str">
        <f>IF(ROW()&lt;7,"",IF(OR(N103="",N100=""),"",IF(N100=0,"",(N103/N100)-1)))</f>
        <v/>
      </c>
      <c r="W103" s="23" t="str">
        <f>IF(ROW()&lt;9,"",IF(OR(N103="",N98=""),"",IF(N98=0,"",(N103/N98)-1)))</f>
        <v/>
      </c>
      <c r="X103" s="23" t="str">
        <f>IF(OR(F103="",M103=""),"",F103-M103)</f>
        <v/>
      </c>
      <c r="Y103" s="23" t="str">
        <f>IF(OR(P103="",T103=""),"",P103-T103)</f>
        <v/>
      </c>
      <c r="Z103" s="23" t="str">
        <f>IF(OR(Q103="",U103=""),"",Q103-U103)</f>
        <v/>
      </c>
      <c r="AA103" s="23" t="str">
        <f>IF(OR(H103="",O103=""),"",H103-O103)</f>
        <v/>
      </c>
      <c r="AB103" s="23" t="str">
        <f>IF(OR(R103="",V103=""),"",R103-V103)</f>
        <v/>
      </c>
      <c r="AC103" s="23" t="str">
        <f>IF(OR(S103="",W103=""),"",S103-W103)</f>
        <v/>
      </c>
      <c r="AD103" s="13"/>
      <c r="AE103" s="23" t="str">
        <f>IF(OR(AD103="",AD102=""),"",IF(AD102=0,"",(AD103/AD102)-1))</f>
        <v/>
      </c>
      <c r="AF103" s="23" t="str">
        <f>IF(ROW()&lt;7,"",IF(OR(AD103="",AD100=""),"",IF(AD100=0,"",(AD103/AD100)-1)))</f>
        <v/>
      </c>
      <c r="AG103" s="23" t="str">
        <f>IF(ROW()&lt;9,"",IF(OR(AD103="",AD98=""),"",IF(AD98=0,"",(AD103/AD98)-1)))</f>
        <v/>
      </c>
      <c r="AH103" s="23" t="str">
        <f>IF(OR(AF103="",AG103=""),"",IF(AND(AF103&gt;0,AG103&gt;0),"Bull",IF(AND(AF103&lt;0,AG103&lt;0),"Bear","Mixed")))</f>
        <v/>
      </c>
      <c r="AI103" s="13"/>
      <c r="AJ103" s="13" t="str">
        <f>IF(OR(AI103="",AI102=""),"",IF(AI102=0,"",(AI103/AI102)-1))</f>
        <v/>
      </c>
      <c r="AK103" s="23" t="str">
        <f>IF(OR(AJ103="",AJ102=""),"",IF(AJ102=0,"",(AJ103/AJ102)-1))</f>
        <v/>
      </c>
      <c r="AL103" s="23" t="str">
        <f>IF(ROW()&lt;7,"",IF(OR(AJ103="",AJ100=""),"",IF(AJ100=0,"",(AJ103/AJ100)-1)))</f>
        <v/>
      </c>
      <c r="AM103" s="23" t="str">
        <f>IF(ROW()&lt;9,"",IF(OR(AJ103="",AJ98=""),"",IF(AJ98=0,"",(AJ103/AJ98)-1)))</f>
        <v/>
      </c>
      <c r="AN103" t="str">
        <f>IF(OR(AL103="",AM103=""),"",IF(AND(AL103&gt;0,AM103&gt;0),"Bull",IF(AND(AL103&lt;0,AM103&lt;0),"Bear","Mixed")))</f>
        <v/>
      </c>
      <c r="AO103" t="str">
        <f>IF(OR(AH103="",AN103=""),"",IF(AND(AH103="Bull",AN103="Bull"),"YES","NO"))</f>
        <v/>
      </c>
      <c r="AP103" t="str">
        <f>IF(OR(AH103="",AN103=""),"",IF(AND(AH103="Bear",AN103="Bear"),"YES","NO"))</f>
        <v/>
      </c>
      <c r="AQ103" t="str">
        <f>IF(AO103="YES",IF(SUM(N(X103),N(Y103),N(Z103))&gt;0,"SOXL","TQQQ"),IF(AP103="YES",IF(SUM(N(AA103),N(AB103),N(AC103))&gt;0,"SOXS","SQQQ"),"WAIT"))</f>
        <v>WAIT</v>
      </c>
      <c r="AR103" s="23" t="str">
        <f>IF(AO103="YES",IF(SUM(N(X103),N(Y103),N(Z103))&gt;0,"TQQQ","SOXL"),IF(AP103="YES",IF(SUM(N(AA103),N(AB103),N(AC103))&gt;0,"SQQQ","SOXS"),""))</f>
        <v/>
      </c>
      <c r="AS103" s="23" t="str">
        <f>IF(AQ103="WAIT","",IF(AR103="",1,0.6))</f>
        <v/>
      </c>
      <c r="AT103" s="23">
        <f>IF(AR103="",0,0.4)</f>
        <v>0</v>
      </c>
      <c r="AU103" s="23" t="str">
        <f>IF(AQ103="WAIT","WAIT",IF(AO103="YES","BULL",IF(AP103="YES","BEAR","WAIT")))</f>
        <v>WAIT</v>
      </c>
      <c r="AV103" t="str">
        <f>IF(AQ103="WAIT","Low",IF(OR(AND(AU103="BULL",ABS(SUM(N(X103),N(Y103),N(Z103)))&gt;=0.15),AND(AU103="BEAR",ABS(SUM(N(AA103),N(AB103),N(AC103)))&gt;=0.15)),"Strong",IF(OR(AND(AU103="BULL",ABS(SUM(N(X103),N(Y103),N(Z103)))&gt;=0.05),AND(AU103="BEAR",ABS(SUM(N(AA103),N(AB103),N(AC103)))&gt;=0.05)),"Moderate","Low")))</f>
        <v>Low</v>
      </c>
      <c r="AW103" t="str">
        <f>IF(AQ103="WAIT","QQQ and SMH not aligned",IF(AU103="BULL",IF(AQ103="SOXL","Bull regime; semiconductors leading","Bull regime; tech leading"),IF(AQ103="SOXS","Bear regime; semiconductors weakest","Bear regime; tech weakest")))</f>
        <v>QQQ and SMH not aligned</v>
      </c>
      <c r="AX103" t="str">
        <f>IF(AR103="WAIT","QQQ and SMH not aligned",IF(AV103="BULL",IF(AR103="SOXL","Bull regime; semiconductors leading","Bull regime; tech leading"),IF(AR103="SOXS","Bear regime; semiconductors weakest","Bear regime; tech weakest")))</f>
        <v>Bear regime; tech weakest</v>
      </c>
    </row>
    <row r="104" spans="1:50" x14ac:dyDescent="0.2">
      <c r="A104" s="12"/>
      <c r="B104" s="13"/>
      <c r="C104" s="13"/>
      <c r="D104" s="13"/>
      <c r="E104" s="13"/>
      <c r="F104" s="11" t="str">
        <f>IF(OR(E104="",E103=""),"",IF(E103=0,"",(E104/E103)-1))</f>
        <v/>
      </c>
      <c r="G104" s="13"/>
      <c r="H104" s="11" t="str">
        <f>IF(OR(G104="",G103=""),"",IF(G103=0,"",(G104/G103)-1))</f>
        <v/>
      </c>
      <c r="I104" s="13"/>
      <c r="J104" s="13"/>
      <c r="K104" s="13"/>
      <c r="L104" s="13"/>
      <c r="M104" s="23" t="str">
        <f>IF(OR(L104="",L103=""),"",IF(L103=0,"",(L104/L103)-1))</f>
        <v/>
      </c>
      <c r="N104" s="26" t="str">
        <f>IFERROR((M104/M103)-1,"")</f>
        <v/>
      </c>
      <c r="O104" s="23" t="str">
        <f>IF(OR(N104="",N103=""),"",IF(N103=0,"",(N104/N103)-1))</f>
        <v/>
      </c>
      <c r="P104" s="11" t="str">
        <f>IF(ROW()&lt;7,"",IF(OR(E104="",E101=""),"",IF(E101=0,"",(E104/E101)-1)))</f>
        <v/>
      </c>
      <c r="Q104" s="23" t="str">
        <f>IF(ROW()&lt;9,"",IF(OR(E104="",E99=""),"",IF(E99=0,"",(E104/E99)-1)))</f>
        <v/>
      </c>
      <c r="R104" s="23" t="str">
        <f>IF(ROW()&lt;7,"",IF(OR(G104="",G101=""),"",IF(G101=0,"",(G104/G101)-1)))</f>
        <v/>
      </c>
      <c r="S104" s="23" t="str">
        <f>IF(ROW()&lt;9,"",IF(OR(G104="",G99=""),"",IF(G99=0,"",(G104/G99)-1)))</f>
        <v/>
      </c>
      <c r="T104" s="23" t="str">
        <f>IF(ROW()&lt;7,"",IF(OR(L104="",L101=""),"",IF(L101=0,"",(L104/L101)-1)))</f>
        <v/>
      </c>
      <c r="U104" s="23" t="str">
        <f>IF(ROW()&lt;9,"",IF(OR(L104="",L99=""),"",IF(L99=0,"",(L104/L99)-1)))</f>
        <v/>
      </c>
      <c r="V104" s="23" t="str">
        <f>IF(ROW()&lt;7,"",IF(OR(N104="",N101=""),"",IF(N101=0,"",(N104/N101)-1)))</f>
        <v/>
      </c>
      <c r="W104" s="23" t="str">
        <f>IF(ROW()&lt;9,"",IF(OR(N104="",N99=""),"",IF(N99=0,"",(N104/N99)-1)))</f>
        <v/>
      </c>
      <c r="X104" s="23" t="str">
        <f>IF(OR(F104="",M104=""),"",F104-M104)</f>
        <v/>
      </c>
      <c r="Y104" s="23" t="str">
        <f>IF(OR(P104="",T104=""),"",P104-T104)</f>
        <v/>
      </c>
      <c r="Z104" s="23" t="str">
        <f>IF(OR(Q104="",U104=""),"",Q104-U104)</f>
        <v/>
      </c>
      <c r="AA104" s="23" t="str">
        <f>IF(OR(H104="",O104=""),"",H104-O104)</f>
        <v/>
      </c>
      <c r="AB104" s="23" t="str">
        <f>IF(OR(R104="",V104=""),"",R104-V104)</f>
        <v/>
      </c>
      <c r="AC104" s="23" t="str">
        <f>IF(OR(S104="",W104=""),"",S104-W104)</f>
        <v/>
      </c>
      <c r="AD104" s="13"/>
      <c r="AE104" s="23" t="str">
        <f>IF(OR(AD104="",AD103=""),"",IF(AD103=0,"",(AD104/AD103)-1))</f>
        <v/>
      </c>
      <c r="AF104" s="23" t="str">
        <f>IF(ROW()&lt;7,"",IF(OR(AD104="",AD101=""),"",IF(AD101=0,"",(AD104/AD101)-1)))</f>
        <v/>
      </c>
      <c r="AG104" s="23" t="str">
        <f>IF(ROW()&lt;9,"",IF(OR(AD104="",AD99=""),"",IF(AD99=0,"",(AD104/AD99)-1)))</f>
        <v/>
      </c>
      <c r="AH104" s="23" t="str">
        <f>IF(OR(AF104="",AG104=""),"",IF(AND(AF104&gt;0,AG104&gt;0),"Bull",IF(AND(AF104&lt;0,AG104&lt;0),"Bear","Mixed")))</f>
        <v/>
      </c>
      <c r="AI104" s="13"/>
      <c r="AJ104" s="13" t="str">
        <f>IF(OR(AI104="",AI103=""),"",IF(AI103=0,"",(AI104/AI103)-1))</f>
        <v/>
      </c>
      <c r="AK104" s="23" t="str">
        <f>IF(OR(AJ104="",AJ103=""),"",IF(AJ103=0,"",(AJ104/AJ103)-1))</f>
        <v/>
      </c>
      <c r="AL104" s="23" t="str">
        <f>IF(ROW()&lt;7,"",IF(OR(AJ104="",AJ101=""),"",IF(AJ101=0,"",(AJ104/AJ101)-1)))</f>
        <v/>
      </c>
      <c r="AM104" s="23" t="str">
        <f>IF(ROW()&lt;9,"",IF(OR(AJ104="",AJ99=""),"",IF(AJ99=0,"",(AJ104/AJ99)-1)))</f>
        <v/>
      </c>
      <c r="AN104" t="str">
        <f>IF(OR(AL104="",AM104=""),"",IF(AND(AL104&gt;0,AM104&gt;0),"Bull",IF(AND(AL104&lt;0,AM104&lt;0),"Bear","Mixed")))</f>
        <v/>
      </c>
      <c r="AO104" t="str">
        <f>IF(OR(AH104="",AN104=""),"",IF(AND(AH104="Bull",AN104="Bull"),"YES","NO"))</f>
        <v/>
      </c>
      <c r="AP104" t="str">
        <f>IF(OR(AH104="",AN104=""),"",IF(AND(AH104="Bear",AN104="Bear"),"YES","NO"))</f>
        <v/>
      </c>
      <c r="AQ104" t="str">
        <f>IF(AO104="YES",IF(SUM(N(X104),N(Y104),N(Z104))&gt;0,"SOXL","TQQQ"),IF(AP104="YES",IF(SUM(N(AA104),N(AB104),N(AC104))&gt;0,"SOXS","SQQQ"),"WAIT"))</f>
        <v>WAIT</v>
      </c>
      <c r="AR104" s="23" t="str">
        <f>IF(AO104="YES",IF(SUM(N(X104),N(Y104),N(Z104))&gt;0,"TQQQ","SOXL"),IF(AP104="YES",IF(SUM(N(AA104),N(AB104),N(AC104))&gt;0,"SQQQ","SOXS"),""))</f>
        <v/>
      </c>
      <c r="AS104" s="23" t="str">
        <f>IF(AQ104="WAIT","",IF(AR104="",1,0.6))</f>
        <v/>
      </c>
      <c r="AT104" s="23">
        <f>IF(AR104="",0,0.4)</f>
        <v>0</v>
      </c>
      <c r="AU104" s="23" t="str">
        <f>IF(AQ104="WAIT","WAIT",IF(AO104="YES","BULL",IF(AP104="YES","BEAR","WAIT")))</f>
        <v>WAIT</v>
      </c>
      <c r="AV104" t="str">
        <f>IF(AQ104="WAIT","Low",IF(OR(AND(AU104="BULL",ABS(SUM(N(X104),N(Y104),N(Z104)))&gt;=0.15),AND(AU104="BEAR",ABS(SUM(N(AA104),N(AB104),N(AC104)))&gt;=0.15)),"Strong",IF(OR(AND(AU104="BULL",ABS(SUM(N(X104),N(Y104),N(Z104)))&gt;=0.05),AND(AU104="BEAR",ABS(SUM(N(AA104),N(AB104),N(AC104)))&gt;=0.05)),"Moderate","Low")))</f>
        <v>Low</v>
      </c>
      <c r="AW104" t="str">
        <f>IF(AQ104="WAIT","QQQ and SMH not aligned",IF(AU104="BULL",IF(AQ104="SOXL","Bull regime; semiconductors leading","Bull regime; tech leading"),IF(AQ104="SOXS","Bear regime; semiconductors weakest","Bear regime; tech weakest")))</f>
        <v>QQQ and SMH not aligned</v>
      </c>
      <c r="AX104" t="str">
        <f>IF(AR104="WAIT","QQQ and SMH not aligned",IF(AV104="BULL",IF(AR104="SOXL","Bull regime; semiconductors leading","Bull regime; tech leading"),IF(AR104="SOXS","Bear regime; semiconductors weakest","Bear regime; tech weakest")))</f>
        <v>Bear regime; tech weakest</v>
      </c>
    </row>
    <row r="105" spans="1:50" x14ac:dyDescent="0.2">
      <c r="A105" s="12"/>
      <c r="B105" s="13"/>
      <c r="C105" s="13"/>
      <c r="D105" s="13"/>
      <c r="E105" s="13"/>
      <c r="F105" s="11" t="str">
        <f>IF(OR(E105="",E104=""),"",IF(E104=0,"",(E105/E104)-1))</f>
        <v/>
      </c>
      <c r="G105" s="13"/>
      <c r="H105" s="11" t="str">
        <f>IF(OR(G105="",G104=""),"",IF(G104=0,"",(G105/G104)-1))</f>
        <v/>
      </c>
      <c r="I105" s="13"/>
      <c r="J105" s="13"/>
      <c r="K105" s="13"/>
      <c r="L105" s="13"/>
      <c r="M105" s="23" t="str">
        <f>IF(OR(L105="",L104=""),"",IF(L104=0,"",(L105/L104)-1))</f>
        <v/>
      </c>
      <c r="N105" s="26" t="str">
        <f>IFERROR((M105/M104)-1,"")</f>
        <v/>
      </c>
      <c r="O105" s="23" t="str">
        <f>IF(OR(N105="",N104=""),"",IF(N104=0,"",(N105/N104)-1))</f>
        <v/>
      </c>
      <c r="P105" s="11" t="str">
        <f>IF(ROW()&lt;7,"",IF(OR(E105="",E102=""),"",IF(E102=0,"",(E105/E102)-1)))</f>
        <v/>
      </c>
      <c r="Q105" s="23" t="str">
        <f>IF(ROW()&lt;9,"",IF(OR(E105="",E100=""),"",IF(E100=0,"",(E105/E100)-1)))</f>
        <v/>
      </c>
      <c r="R105" s="23" t="str">
        <f>IF(ROW()&lt;7,"",IF(OR(G105="",G102=""),"",IF(G102=0,"",(G105/G102)-1)))</f>
        <v/>
      </c>
      <c r="S105" s="23" t="str">
        <f>IF(ROW()&lt;9,"",IF(OR(G105="",G100=""),"",IF(G100=0,"",(G105/G100)-1)))</f>
        <v/>
      </c>
      <c r="T105" s="23" t="str">
        <f>IF(ROW()&lt;7,"",IF(OR(L105="",L102=""),"",IF(L102=0,"",(L105/L102)-1)))</f>
        <v/>
      </c>
      <c r="U105" s="23" t="str">
        <f>IF(ROW()&lt;9,"",IF(OR(L105="",L100=""),"",IF(L100=0,"",(L105/L100)-1)))</f>
        <v/>
      </c>
      <c r="V105" s="23" t="str">
        <f>IF(ROW()&lt;7,"",IF(OR(N105="",N102=""),"",IF(N102=0,"",(N105/N102)-1)))</f>
        <v/>
      </c>
      <c r="W105" s="23" t="str">
        <f>IF(ROW()&lt;9,"",IF(OR(N105="",N100=""),"",IF(N100=0,"",(N105/N100)-1)))</f>
        <v/>
      </c>
      <c r="X105" s="23" t="str">
        <f>IF(OR(F105="",M105=""),"",F105-M105)</f>
        <v/>
      </c>
      <c r="Y105" s="23" t="str">
        <f>IF(OR(P105="",T105=""),"",P105-T105)</f>
        <v/>
      </c>
      <c r="Z105" s="23" t="str">
        <f>IF(OR(Q105="",U105=""),"",Q105-U105)</f>
        <v/>
      </c>
      <c r="AA105" s="23" t="str">
        <f>IF(OR(H105="",O105=""),"",H105-O105)</f>
        <v/>
      </c>
      <c r="AB105" s="23" t="str">
        <f>IF(OR(R105="",V105=""),"",R105-V105)</f>
        <v/>
      </c>
      <c r="AC105" s="23" t="str">
        <f>IF(OR(S105="",W105=""),"",S105-W105)</f>
        <v/>
      </c>
      <c r="AD105" s="13"/>
      <c r="AE105" s="23" t="str">
        <f>IF(OR(AD105="",AD104=""),"",IF(AD104=0,"",(AD105/AD104)-1))</f>
        <v/>
      </c>
      <c r="AF105" s="23" t="str">
        <f>IF(ROW()&lt;7,"",IF(OR(AD105="",AD102=""),"",IF(AD102=0,"",(AD105/AD102)-1)))</f>
        <v/>
      </c>
      <c r="AG105" s="23" t="str">
        <f>IF(ROW()&lt;9,"",IF(OR(AD105="",AD100=""),"",IF(AD100=0,"",(AD105/AD100)-1)))</f>
        <v/>
      </c>
      <c r="AH105" s="23" t="str">
        <f>IF(OR(AF105="",AG105=""),"",IF(AND(AF105&gt;0,AG105&gt;0),"Bull",IF(AND(AF105&lt;0,AG105&lt;0),"Bear","Mixed")))</f>
        <v/>
      </c>
      <c r="AI105" s="13"/>
      <c r="AJ105" s="13" t="str">
        <f>IF(OR(AI105="",AI104=""),"",IF(AI104=0,"",(AI105/AI104)-1))</f>
        <v/>
      </c>
      <c r="AK105" s="23" t="str">
        <f>IF(OR(AJ105="",AJ104=""),"",IF(AJ104=0,"",(AJ105/AJ104)-1))</f>
        <v/>
      </c>
      <c r="AL105" s="23" t="str">
        <f>IF(ROW()&lt;7,"",IF(OR(AJ105="",AJ102=""),"",IF(AJ102=0,"",(AJ105/AJ102)-1)))</f>
        <v/>
      </c>
      <c r="AM105" s="23" t="str">
        <f>IF(ROW()&lt;9,"",IF(OR(AJ105="",AJ100=""),"",IF(AJ100=0,"",(AJ105/AJ100)-1)))</f>
        <v/>
      </c>
      <c r="AN105" t="str">
        <f>IF(OR(AL105="",AM105=""),"",IF(AND(AL105&gt;0,AM105&gt;0),"Bull",IF(AND(AL105&lt;0,AM105&lt;0),"Bear","Mixed")))</f>
        <v/>
      </c>
      <c r="AO105" t="str">
        <f>IF(OR(AH105="",AN105=""),"",IF(AND(AH105="Bull",AN105="Bull"),"YES","NO"))</f>
        <v/>
      </c>
      <c r="AP105" t="str">
        <f>IF(OR(AH105="",AN105=""),"",IF(AND(AH105="Bear",AN105="Bear"),"YES","NO"))</f>
        <v/>
      </c>
      <c r="AQ105" t="str">
        <f>IF(AO105="YES",IF(SUM(N(X105),N(Y105),N(Z105))&gt;0,"SOXL","TQQQ"),IF(AP105="YES",IF(SUM(N(AA105),N(AB105),N(AC105))&gt;0,"SOXS","SQQQ"),"WAIT"))</f>
        <v>WAIT</v>
      </c>
      <c r="AR105" s="23" t="str">
        <f>IF(AO105="YES",IF(SUM(N(X105),N(Y105),N(Z105))&gt;0,"TQQQ","SOXL"),IF(AP105="YES",IF(SUM(N(AA105),N(AB105),N(AC105))&gt;0,"SQQQ","SOXS"),""))</f>
        <v/>
      </c>
      <c r="AS105" s="23" t="str">
        <f>IF(AQ105="WAIT","",IF(AR105="",1,0.6))</f>
        <v/>
      </c>
      <c r="AT105" s="23">
        <f>IF(AR105="",0,0.4)</f>
        <v>0</v>
      </c>
      <c r="AU105" s="23" t="str">
        <f>IF(AQ105="WAIT","WAIT",IF(AO105="YES","BULL",IF(AP105="YES","BEAR","WAIT")))</f>
        <v>WAIT</v>
      </c>
      <c r="AV105" t="str">
        <f>IF(AQ105="WAIT","Low",IF(OR(AND(AU105="BULL",ABS(SUM(N(X105),N(Y105),N(Z105)))&gt;=0.15),AND(AU105="BEAR",ABS(SUM(N(AA105),N(AB105),N(AC105)))&gt;=0.15)),"Strong",IF(OR(AND(AU105="BULL",ABS(SUM(N(X105),N(Y105),N(Z105)))&gt;=0.05),AND(AU105="BEAR",ABS(SUM(N(AA105),N(AB105),N(AC105)))&gt;=0.05)),"Moderate","Low")))</f>
        <v>Low</v>
      </c>
      <c r="AW105" t="str">
        <f>IF(AQ105="WAIT","QQQ and SMH not aligned",IF(AU105="BULL",IF(AQ105="SOXL","Bull regime; semiconductors leading","Bull regime; tech leading"),IF(AQ105="SOXS","Bear regime; semiconductors weakest","Bear regime; tech weakest")))</f>
        <v>QQQ and SMH not aligned</v>
      </c>
      <c r="AX105" t="str">
        <f>IF(AR105="WAIT","QQQ and SMH not aligned",IF(AV105="BULL",IF(AR105="SOXL","Bull regime; semiconductors leading","Bull regime; tech leading"),IF(AR105="SOXS","Bear regime; semiconductors weakest","Bear regime; tech weakest")))</f>
        <v>Bear regime; tech weakest</v>
      </c>
    </row>
    <row r="106" spans="1:50" x14ac:dyDescent="0.2">
      <c r="A106" s="12"/>
      <c r="B106" s="13"/>
      <c r="C106" s="13"/>
      <c r="D106" s="13"/>
      <c r="E106" s="13"/>
      <c r="F106" s="11" t="str">
        <f>IF(OR(E106="",E105=""),"",IF(E105=0,"",(E106/E105)-1))</f>
        <v/>
      </c>
      <c r="G106" s="13"/>
      <c r="H106" s="11" t="str">
        <f>IF(OR(G106="",G105=""),"",IF(G105=0,"",(G106/G105)-1))</f>
        <v/>
      </c>
      <c r="I106" s="13"/>
      <c r="J106" s="13"/>
      <c r="K106" s="13"/>
      <c r="L106" s="13"/>
      <c r="M106" s="23" t="str">
        <f>IF(OR(L106="",L105=""),"",IF(L105=0,"",(L106/L105)-1))</f>
        <v/>
      </c>
      <c r="N106" s="26" t="str">
        <f>IFERROR((M106/M105)-1,"")</f>
        <v/>
      </c>
      <c r="O106" s="23" t="str">
        <f>IF(OR(N106="",N105=""),"",IF(N105=0,"",(N106/N105)-1))</f>
        <v/>
      </c>
      <c r="P106" s="11" t="str">
        <f>IF(ROW()&lt;7,"",IF(OR(E106="",E103=""),"",IF(E103=0,"",(E106/E103)-1)))</f>
        <v/>
      </c>
      <c r="Q106" s="23" t="str">
        <f>IF(ROW()&lt;9,"",IF(OR(E106="",E101=""),"",IF(E101=0,"",(E106/E101)-1)))</f>
        <v/>
      </c>
      <c r="R106" s="23" t="str">
        <f>IF(ROW()&lt;7,"",IF(OR(G106="",G103=""),"",IF(G103=0,"",(G106/G103)-1)))</f>
        <v/>
      </c>
      <c r="S106" s="23" t="str">
        <f>IF(ROW()&lt;9,"",IF(OR(G106="",G101=""),"",IF(G101=0,"",(G106/G101)-1)))</f>
        <v/>
      </c>
      <c r="T106" s="23" t="str">
        <f>IF(ROW()&lt;7,"",IF(OR(L106="",L103=""),"",IF(L103=0,"",(L106/L103)-1)))</f>
        <v/>
      </c>
      <c r="U106" s="23" t="str">
        <f>IF(ROW()&lt;9,"",IF(OR(L106="",L101=""),"",IF(L101=0,"",(L106/L101)-1)))</f>
        <v/>
      </c>
      <c r="V106" s="23" t="str">
        <f>IF(ROW()&lt;7,"",IF(OR(N106="",N103=""),"",IF(N103=0,"",(N106/N103)-1)))</f>
        <v/>
      </c>
      <c r="W106" s="23" t="str">
        <f>IF(ROW()&lt;9,"",IF(OR(N106="",N101=""),"",IF(N101=0,"",(N106/N101)-1)))</f>
        <v/>
      </c>
      <c r="X106" s="23" t="str">
        <f>IF(OR(F106="",M106=""),"",F106-M106)</f>
        <v/>
      </c>
      <c r="Y106" s="23" t="str">
        <f>IF(OR(P106="",T106=""),"",P106-T106)</f>
        <v/>
      </c>
      <c r="Z106" s="23" t="str">
        <f>IF(OR(Q106="",U106=""),"",Q106-U106)</f>
        <v/>
      </c>
      <c r="AA106" s="23" t="str">
        <f>IF(OR(H106="",O106=""),"",H106-O106)</f>
        <v/>
      </c>
      <c r="AB106" s="23" t="str">
        <f>IF(OR(R106="",V106=""),"",R106-V106)</f>
        <v/>
      </c>
      <c r="AC106" s="23" t="str">
        <f>IF(OR(S106="",W106=""),"",S106-W106)</f>
        <v/>
      </c>
      <c r="AD106" s="13"/>
      <c r="AE106" s="23" t="str">
        <f>IF(OR(AD106="",AD105=""),"",IF(AD105=0,"",(AD106/AD105)-1))</f>
        <v/>
      </c>
      <c r="AF106" s="23" t="str">
        <f>IF(ROW()&lt;7,"",IF(OR(AD106="",AD103=""),"",IF(AD103=0,"",(AD106/AD103)-1)))</f>
        <v/>
      </c>
      <c r="AG106" s="23" t="str">
        <f>IF(ROW()&lt;9,"",IF(OR(AD106="",AD101=""),"",IF(AD101=0,"",(AD106/AD101)-1)))</f>
        <v/>
      </c>
      <c r="AH106" s="23" t="str">
        <f>IF(OR(AF106="",AG106=""),"",IF(AND(AF106&gt;0,AG106&gt;0),"Bull",IF(AND(AF106&lt;0,AG106&lt;0),"Bear","Mixed")))</f>
        <v/>
      </c>
      <c r="AI106" s="13"/>
      <c r="AJ106" s="13" t="str">
        <f>IF(OR(AI106="",AI105=""),"",IF(AI105=0,"",(AI106/AI105)-1))</f>
        <v/>
      </c>
      <c r="AK106" s="23" t="str">
        <f>IF(OR(AJ106="",AJ105=""),"",IF(AJ105=0,"",(AJ106/AJ105)-1))</f>
        <v/>
      </c>
      <c r="AL106" s="23" t="str">
        <f>IF(ROW()&lt;7,"",IF(OR(AJ106="",AJ103=""),"",IF(AJ103=0,"",(AJ106/AJ103)-1)))</f>
        <v/>
      </c>
      <c r="AM106" s="23" t="str">
        <f>IF(ROW()&lt;9,"",IF(OR(AJ106="",AJ101=""),"",IF(AJ101=0,"",(AJ106/AJ101)-1)))</f>
        <v/>
      </c>
      <c r="AN106" t="str">
        <f>IF(OR(AL106="",AM106=""),"",IF(AND(AL106&gt;0,AM106&gt;0),"Bull",IF(AND(AL106&lt;0,AM106&lt;0),"Bear","Mixed")))</f>
        <v/>
      </c>
      <c r="AO106" t="str">
        <f>IF(OR(AH106="",AN106=""),"",IF(AND(AH106="Bull",AN106="Bull"),"YES","NO"))</f>
        <v/>
      </c>
      <c r="AP106" t="str">
        <f>IF(OR(AH106="",AN106=""),"",IF(AND(AH106="Bear",AN106="Bear"),"YES","NO"))</f>
        <v/>
      </c>
      <c r="AQ106" t="str">
        <f>IF(AO106="YES",IF(SUM(N(X106),N(Y106),N(Z106))&gt;0,"SOXL","TQQQ"),IF(AP106="YES",IF(SUM(N(AA106),N(AB106),N(AC106))&gt;0,"SOXS","SQQQ"),"WAIT"))</f>
        <v>WAIT</v>
      </c>
      <c r="AR106" s="23" t="str">
        <f>IF(AO106="YES",IF(SUM(N(X106),N(Y106),N(Z106))&gt;0,"TQQQ","SOXL"),IF(AP106="YES",IF(SUM(N(AA106),N(AB106),N(AC106))&gt;0,"SQQQ","SOXS"),""))</f>
        <v/>
      </c>
      <c r="AS106" s="23" t="str">
        <f>IF(AQ106="WAIT","",IF(AR106="",1,0.6))</f>
        <v/>
      </c>
      <c r="AT106" s="23">
        <f>IF(AR106="",0,0.4)</f>
        <v>0</v>
      </c>
      <c r="AU106" s="23" t="str">
        <f>IF(AQ106="WAIT","WAIT",IF(AO106="YES","BULL",IF(AP106="YES","BEAR","WAIT")))</f>
        <v>WAIT</v>
      </c>
      <c r="AV106" t="str">
        <f>IF(AQ106="WAIT","Low",IF(OR(AND(AU106="BULL",ABS(SUM(N(X106),N(Y106),N(Z106)))&gt;=0.15),AND(AU106="BEAR",ABS(SUM(N(AA106),N(AB106),N(AC106)))&gt;=0.15)),"Strong",IF(OR(AND(AU106="BULL",ABS(SUM(N(X106),N(Y106),N(Z106)))&gt;=0.05),AND(AU106="BEAR",ABS(SUM(N(AA106),N(AB106),N(AC106)))&gt;=0.05)),"Moderate","Low")))</f>
        <v>Low</v>
      </c>
      <c r="AW106" t="str">
        <f>IF(AQ106="WAIT","QQQ and SMH not aligned",IF(AU106="BULL",IF(AQ106="SOXL","Bull regime; semiconductors leading","Bull regime; tech leading"),IF(AQ106="SOXS","Bear regime; semiconductors weakest","Bear regime; tech weakest")))</f>
        <v>QQQ and SMH not aligned</v>
      </c>
      <c r="AX106" t="str">
        <f>IF(AR106="WAIT","QQQ and SMH not aligned",IF(AV106="BULL",IF(AR106="SOXL","Bull regime; semiconductors leading","Bull regime; tech leading"),IF(AR106="SOXS","Bear regime; semiconductors weakest","Bear regime; tech weakest")))</f>
        <v>Bear regime; tech weakest</v>
      </c>
    </row>
    <row r="107" spans="1:50" x14ac:dyDescent="0.2">
      <c r="A107" s="12"/>
      <c r="B107" s="13"/>
      <c r="C107" s="13"/>
      <c r="D107" s="13"/>
      <c r="E107" s="13"/>
      <c r="F107" s="11" t="str">
        <f>IF(OR(E107="",E106=""),"",IF(E106=0,"",(E107/E106)-1))</f>
        <v/>
      </c>
      <c r="G107" s="13"/>
      <c r="H107" s="11" t="str">
        <f>IF(OR(G107="",G106=""),"",IF(G106=0,"",(G107/G106)-1))</f>
        <v/>
      </c>
      <c r="I107" s="13"/>
      <c r="J107" s="13"/>
      <c r="K107" s="13"/>
      <c r="L107" s="13"/>
      <c r="M107" s="23" t="str">
        <f>IF(OR(L107="",L106=""),"",IF(L106=0,"",(L107/L106)-1))</f>
        <v/>
      </c>
      <c r="N107" s="26" t="str">
        <f>IFERROR((M107/M106)-1,"")</f>
        <v/>
      </c>
      <c r="O107" s="23" t="str">
        <f>IF(OR(N107="",N106=""),"",IF(N106=0,"",(N107/N106)-1))</f>
        <v/>
      </c>
      <c r="P107" s="11" t="str">
        <f>IF(ROW()&lt;7,"",IF(OR(E107="",E104=""),"",IF(E104=0,"",(E107/E104)-1)))</f>
        <v/>
      </c>
      <c r="Q107" s="23" t="str">
        <f>IF(ROW()&lt;9,"",IF(OR(E107="",E102=""),"",IF(E102=0,"",(E107/E102)-1)))</f>
        <v/>
      </c>
      <c r="R107" s="23" t="str">
        <f>IF(ROW()&lt;7,"",IF(OR(G107="",G104=""),"",IF(G104=0,"",(G107/G104)-1)))</f>
        <v/>
      </c>
      <c r="S107" s="23" t="str">
        <f>IF(ROW()&lt;9,"",IF(OR(G107="",G102=""),"",IF(G102=0,"",(G107/G102)-1)))</f>
        <v/>
      </c>
      <c r="T107" s="23" t="str">
        <f>IF(ROW()&lt;7,"",IF(OR(L107="",L104=""),"",IF(L104=0,"",(L107/L104)-1)))</f>
        <v/>
      </c>
      <c r="U107" s="23" t="str">
        <f>IF(ROW()&lt;9,"",IF(OR(L107="",L102=""),"",IF(L102=0,"",(L107/L102)-1)))</f>
        <v/>
      </c>
      <c r="V107" s="23" t="str">
        <f>IF(ROW()&lt;7,"",IF(OR(N107="",N104=""),"",IF(N104=0,"",(N107/N104)-1)))</f>
        <v/>
      </c>
      <c r="W107" s="23" t="str">
        <f>IF(ROW()&lt;9,"",IF(OR(N107="",N102=""),"",IF(N102=0,"",(N107/N102)-1)))</f>
        <v/>
      </c>
      <c r="X107" s="23" t="str">
        <f>IF(OR(F107="",M107=""),"",F107-M107)</f>
        <v/>
      </c>
      <c r="Y107" s="23" t="str">
        <f>IF(OR(P107="",T107=""),"",P107-T107)</f>
        <v/>
      </c>
      <c r="Z107" s="23" t="str">
        <f>IF(OR(Q107="",U107=""),"",Q107-U107)</f>
        <v/>
      </c>
      <c r="AA107" s="23" t="str">
        <f>IF(OR(H107="",O107=""),"",H107-O107)</f>
        <v/>
      </c>
      <c r="AB107" s="23" t="str">
        <f>IF(OR(R107="",V107=""),"",R107-V107)</f>
        <v/>
      </c>
      <c r="AC107" s="23" t="str">
        <f>IF(OR(S107="",W107=""),"",S107-W107)</f>
        <v/>
      </c>
      <c r="AD107" s="13"/>
      <c r="AE107" s="23" t="str">
        <f>IF(OR(AD107="",AD106=""),"",IF(AD106=0,"",(AD107/AD106)-1))</f>
        <v/>
      </c>
      <c r="AF107" s="23" t="str">
        <f>IF(ROW()&lt;7,"",IF(OR(AD107="",AD104=""),"",IF(AD104=0,"",(AD107/AD104)-1)))</f>
        <v/>
      </c>
      <c r="AG107" s="23" t="str">
        <f>IF(ROW()&lt;9,"",IF(OR(AD107="",AD102=""),"",IF(AD102=0,"",(AD107/AD102)-1)))</f>
        <v/>
      </c>
      <c r="AH107" s="23" t="str">
        <f>IF(OR(AF107="",AG107=""),"",IF(AND(AF107&gt;0,AG107&gt;0),"Bull",IF(AND(AF107&lt;0,AG107&lt;0),"Bear","Mixed")))</f>
        <v/>
      </c>
      <c r="AI107" s="13"/>
      <c r="AJ107" s="13" t="str">
        <f>IF(OR(AI107="",AI106=""),"",IF(AI106=0,"",(AI107/AI106)-1))</f>
        <v/>
      </c>
      <c r="AK107" s="23" t="str">
        <f>IF(OR(AJ107="",AJ106=""),"",IF(AJ106=0,"",(AJ107/AJ106)-1))</f>
        <v/>
      </c>
      <c r="AL107" s="23" t="str">
        <f>IF(ROW()&lt;7,"",IF(OR(AJ107="",AJ104=""),"",IF(AJ104=0,"",(AJ107/AJ104)-1)))</f>
        <v/>
      </c>
      <c r="AM107" s="23" t="str">
        <f>IF(ROW()&lt;9,"",IF(OR(AJ107="",AJ102=""),"",IF(AJ102=0,"",(AJ107/AJ102)-1)))</f>
        <v/>
      </c>
      <c r="AN107" t="str">
        <f>IF(OR(AL107="",AM107=""),"",IF(AND(AL107&gt;0,AM107&gt;0),"Bull",IF(AND(AL107&lt;0,AM107&lt;0),"Bear","Mixed")))</f>
        <v/>
      </c>
      <c r="AO107" t="str">
        <f>IF(OR(AH107="",AN107=""),"",IF(AND(AH107="Bull",AN107="Bull"),"YES","NO"))</f>
        <v/>
      </c>
      <c r="AP107" t="str">
        <f>IF(OR(AH107="",AN107=""),"",IF(AND(AH107="Bear",AN107="Bear"),"YES","NO"))</f>
        <v/>
      </c>
      <c r="AQ107" t="str">
        <f>IF(AO107="YES",IF(SUM(N(X107),N(Y107),N(Z107))&gt;0,"SOXL","TQQQ"),IF(AP107="YES",IF(SUM(N(AA107),N(AB107),N(AC107))&gt;0,"SOXS","SQQQ"),"WAIT"))</f>
        <v>WAIT</v>
      </c>
      <c r="AR107" s="23" t="str">
        <f>IF(AO107="YES",IF(SUM(N(X107),N(Y107),N(Z107))&gt;0,"TQQQ","SOXL"),IF(AP107="YES",IF(SUM(N(AA107),N(AB107),N(AC107))&gt;0,"SQQQ","SOXS"),""))</f>
        <v/>
      </c>
      <c r="AS107" s="23" t="str">
        <f>IF(AQ107="WAIT","",IF(AR107="",1,0.6))</f>
        <v/>
      </c>
      <c r="AT107" s="23">
        <f>IF(AR107="",0,0.4)</f>
        <v>0</v>
      </c>
      <c r="AU107" s="23" t="str">
        <f>IF(AQ107="WAIT","WAIT",IF(AO107="YES","BULL",IF(AP107="YES","BEAR","WAIT")))</f>
        <v>WAIT</v>
      </c>
      <c r="AV107" t="str">
        <f>IF(AQ107="WAIT","Low",IF(OR(AND(AU107="BULL",ABS(SUM(N(X107),N(Y107),N(Z107)))&gt;=0.15),AND(AU107="BEAR",ABS(SUM(N(AA107),N(AB107),N(AC107)))&gt;=0.15)),"Strong",IF(OR(AND(AU107="BULL",ABS(SUM(N(X107),N(Y107),N(Z107)))&gt;=0.05),AND(AU107="BEAR",ABS(SUM(N(AA107),N(AB107),N(AC107)))&gt;=0.05)),"Moderate","Low")))</f>
        <v>Low</v>
      </c>
      <c r="AW107" t="str">
        <f>IF(AQ107="WAIT","QQQ and SMH not aligned",IF(AU107="BULL",IF(AQ107="SOXL","Bull regime; semiconductors leading","Bull regime; tech leading"),IF(AQ107="SOXS","Bear regime; semiconductors weakest","Bear regime; tech weakest")))</f>
        <v>QQQ and SMH not aligned</v>
      </c>
      <c r="AX107" t="str">
        <f>IF(AR107="WAIT","QQQ and SMH not aligned",IF(AV107="BULL",IF(AR107="SOXL","Bull regime; semiconductors leading","Bull regime; tech leading"),IF(AR107="SOXS","Bear regime; semiconductors weakest","Bear regime; tech weakest")))</f>
        <v>Bear regime; tech weakest</v>
      </c>
    </row>
    <row r="108" spans="1:50" x14ac:dyDescent="0.2">
      <c r="A108" s="12"/>
      <c r="B108" s="13"/>
      <c r="C108" s="13"/>
      <c r="D108" s="13"/>
      <c r="E108" s="13"/>
      <c r="F108" s="11" t="str">
        <f>IF(OR(E108="",E107=""),"",IF(E107=0,"",(E108/E107)-1))</f>
        <v/>
      </c>
      <c r="G108" s="13"/>
      <c r="H108" s="11" t="str">
        <f>IF(OR(G108="",G107=""),"",IF(G107=0,"",(G108/G107)-1))</f>
        <v/>
      </c>
      <c r="I108" s="13"/>
      <c r="J108" s="13"/>
      <c r="K108" s="13"/>
      <c r="L108" s="13"/>
      <c r="M108" s="23" t="str">
        <f>IF(OR(L108="",L107=""),"",IF(L107=0,"",(L108/L107)-1))</f>
        <v/>
      </c>
      <c r="N108" s="26" t="str">
        <f>IFERROR((M108/M107)-1,"")</f>
        <v/>
      </c>
      <c r="O108" s="23" t="str">
        <f>IF(OR(N108="",N107=""),"",IF(N107=0,"",(N108/N107)-1))</f>
        <v/>
      </c>
      <c r="P108" s="11" t="str">
        <f>IF(ROW()&lt;7,"",IF(OR(E108="",E105=""),"",IF(E105=0,"",(E108/E105)-1)))</f>
        <v/>
      </c>
      <c r="Q108" s="23" t="str">
        <f>IF(ROW()&lt;9,"",IF(OR(E108="",E103=""),"",IF(E103=0,"",(E108/E103)-1)))</f>
        <v/>
      </c>
      <c r="R108" s="23" t="str">
        <f>IF(ROW()&lt;7,"",IF(OR(G108="",G105=""),"",IF(G105=0,"",(G108/G105)-1)))</f>
        <v/>
      </c>
      <c r="S108" s="23" t="str">
        <f>IF(ROW()&lt;9,"",IF(OR(G108="",G103=""),"",IF(G103=0,"",(G108/G103)-1)))</f>
        <v/>
      </c>
      <c r="T108" s="23" t="str">
        <f>IF(ROW()&lt;7,"",IF(OR(L108="",L105=""),"",IF(L105=0,"",(L108/L105)-1)))</f>
        <v/>
      </c>
      <c r="U108" s="23" t="str">
        <f>IF(ROW()&lt;9,"",IF(OR(L108="",L103=""),"",IF(L103=0,"",(L108/L103)-1)))</f>
        <v/>
      </c>
      <c r="V108" s="23" t="str">
        <f>IF(ROW()&lt;7,"",IF(OR(N108="",N105=""),"",IF(N105=0,"",(N108/N105)-1)))</f>
        <v/>
      </c>
      <c r="W108" s="23" t="str">
        <f>IF(ROW()&lt;9,"",IF(OR(N108="",N103=""),"",IF(N103=0,"",(N108/N103)-1)))</f>
        <v/>
      </c>
      <c r="X108" s="23" t="str">
        <f>IF(OR(F108="",M108=""),"",F108-M108)</f>
        <v/>
      </c>
      <c r="Y108" s="23" t="str">
        <f>IF(OR(P108="",T108=""),"",P108-T108)</f>
        <v/>
      </c>
      <c r="Z108" s="23" t="str">
        <f>IF(OR(Q108="",U108=""),"",Q108-U108)</f>
        <v/>
      </c>
      <c r="AA108" s="23" t="str">
        <f>IF(OR(H108="",O108=""),"",H108-O108)</f>
        <v/>
      </c>
      <c r="AB108" s="23" t="str">
        <f>IF(OR(R108="",V108=""),"",R108-V108)</f>
        <v/>
      </c>
      <c r="AC108" s="23" t="str">
        <f>IF(OR(S108="",W108=""),"",S108-W108)</f>
        <v/>
      </c>
      <c r="AD108" s="13"/>
      <c r="AE108" s="23" t="str">
        <f>IF(OR(AD108="",AD107=""),"",IF(AD107=0,"",(AD108/AD107)-1))</f>
        <v/>
      </c>
      <c r="AF108" s="23" t="str">
        <f>IF(ROW()&lt;7,"",IF(OR(AD108="",AD105=""),"",IF(AD105=0,"",(AD108/AD105)-1)))</f>
        <v/>
      </c>
      <c r="AG108" s="23" t="str">
        <f>IF(ROW()&lt;9,"",IF(OR(AD108="",AD103=""),"",IF(AD103=0,"",(AD108/AD103)-1)))</f>
        <v/>
      </c>
      <c r="AH108" s="23" t="str">
        <f>IF(OR(AF108="",AG108=""),"",IF(AND(AF108&gt;0,AG108&gt;0),"Bull",IF(AND(AF108&lt;0,AG108&lt;0),"Bear","Mixed")))</f>
        <v/>
      </c>
      <c r="AI108" s="13"/>
      <c r="AJ108" s="13" t="str">
        <f>IF(OR(AI108="",AI107=""),"",IF(AI107=0,"",(AI108/AI107)-1))</f>
        <v/>
      </c>
      <c r="AK108" s="23" t="str">
        <f>IF(OR(AJ108="",AJ107=""),"",IF(AJ107=0,"",(AJ108/AJ107)-1))</f>
        <v/>
      </c>
      <c r="AL108" s="23" t="str">
        <f>IF(ROW()&lt;7,"",IF(OR(AJ108="",AJ105=""),"",IF(AJ105=0,"",(AJ108/AJ105)-1)))</f>
        <v/>
      </c>
      <c r="AM108" s="23" t="str">
        <f>IF(ROW()&lt;9,"",IF(OR(AJ108="",AJ103=""),"",IF(AJ103=0,"",(AJ108/AJ103)-1)))</f>
        <v/>
      </c>
      <c r="AN108" t="str">
        <f>IF(OR(AL108="",AM108=""),"",IF(AND(AL108&gt;0,AM108&gt;0),"Bull",IF(AND(AL108&lt;0,AM108&lt;0),"Bear","Mixed")))</f>
        <v/>
      </c>
      <c r="AO108" t="str">
        <f>IF(OR(AH108="",AN108=""),"",IF(AND(AH108="Bull",AN108="Bull"),"YES","NO"))</f>
        <v/>
      </c>
      <c r="AP108" t="str">
        <f>IF(OR(AH108="",AN108=""),"",IF(AND(AH108="Bear",AN108="Bear"),"YES","NO"))</f>
        <v/>
      </c>
      <c r="AQ108" t="str">
        <f>IF(AO108="YES",IF(SUM(N(X108),N(Y108),N(Z108))&gt;0,"SOXL","TQQQ"),IF(AP108="YES",IF(SUM(N(AA108),N(AB108),N(AC108))&gt;0,"SOXS","SQQQ"),"WAIT"))</f>
        <v>WAIT</v>
      </c>
      <c r="AR108" s="23" t="str">
        <f>IF(AO108="YES",IF(SUM(N(X108),N(Y108),N(Z108))&gt;0,"TQQQ","SOXL"),IF(AP108="YES",IF(SUM(N(AA108),N(AB108),N(AC108))&gt;0,"SQQQ","SOXS"),""))</f>
        <v/>
      </c>
      <c r="AS108" s="23" t="str">
        <f>IF(AQ108="WAIT","",IF(AR108="",1,0.6))</f>
        <v/>
      </c>
      <c r="AT108" s="23">
        <f>IF(AR108="",0,0.4)</f>
        <v>0</v>
      </c>
      <c r="AU108" s="23" t="str">
        <f>IF(AQ108="WAIT","WAIT",IF(AO108="YES","BULL",IF(AP108="YES","BEAR","WAIT")))</f>
        <v>WAIT</v>
      </c>
      <c r="AV108" t="str">
        <f>IF(AQ108="WAIT","Low",IF(OR(AND(AU108="BULL",ABS(SUM(N(X108),N(Y108),N(Z108)))&gt;=0.15),AND(AU108="BEAR",ABS(SUM(N(AA108),N(AB108),N(AC108)))&gt;=0.15)),"Strong",IF(OR(AND(AU108="BULL",ABS(SUM(N(X108),N(Y108),N(Z108)))&gt;=0.05),AND(AU108="BEAR",ABS(SUM(N(AA108),N(AB108),N(AC108)))&gt;=0.05)),"Moderate","Low")))</f>
        <v>Low</v>
      </c>
      <c r="AW108" t="str">
        <f>IF(AQ108="WAIT","QQQ and SMH not aligned",IF(AU108="BULL",IF(AQ108="SOXL","Bull regime; semiconductors leading","Bull regime; tech leading"),IF(AQ108="SOXS","Bear regime; semiconductors weakest","Bear regime; tech weakest")))</f>
        <v>QQQ and SMH not aligned</v>
      </c>
      <c r="AX108" t="str">
        <f>IF(AR108="WAIT","QQQ and SMH not aligned",IF(AV108="BULL",IF(AR108="SOXL","Bull regime; semiconductors leading","Bull regime; tech leading"),IF(AR108="SOXS","Bear regime; semiconductors weakest","Bear regime; tech weakest")))</f>
        <v>Bear regime; tech weakest</v>
      </c>
    </row>
    <row r="109" spans="1:50" x14ac:dyDescent="0.2">
      <c r="A109" s="12"/>
      <c r="B109" s="13"/>
      <c r="C109" s="13"/>
      <c r="D109" s="13"/>
      <c r="E109" s="13"/>
      <c r="F109" s="11" t="str">
        <f>IF(OR(E109="",E108=""),"",IF(E108=0,"",(E109/E108)-1))</f>
        <v/>
      </c>
      <c r="G109" s="13"/>
      <c r="H109" s="11" t="str">
        <f>IF(OR(G109="",G108=""),"",IF(G108=0,"",(G109/G108)-1))</f>
        <v/>
      </c>
      <c r="I109" s="13"/>
      <c r="J109" s="13"/>
      <c r="K109" s="13"/>
      <c r="L109" s="13"/>
      <c r="M109" s="23" t="str">
        <f>IF(OR(L109="",L108=""),"",IF(L108=0,"",(L109/L108)-1))</f>
        <v/>
      </c>
      <c r="N109" s="26" t="str">
        <f>IFERROR((M109/M108)-1,"")</f>
        <v/>
      </c>
      <c r="O109" s="23" t="str">
        <f>IF(OR(N109="",N108=""),"",IF(N108=0,"",(N109/N108)-1))</f>
        <v/>
      </c>
      <c r="P109" s="11" t="str">
        <f>IF(ROW()&lt;7,"",IF(OR(E109="",E106=""),"",IF(E106=0,"",(E109/E106)-1)))</f>
        <v/>
      </c>
      <c r="Q109" s="23" t="str">
        <f>IF(ROW()&lt;9,"",IF(OR(E109="",E104=""),"",IF(E104=0,"",(E109/E104)-1)))</f>
        <v/>
      </c>
      <c r="R109" s="23" t="str">
        <f>IF(ROW()&lt;7,"",IF(OR(G109="",G106=""),"",IF(G106=0,"",(G109/G106)-1)))</f>
        <v/>
      </c>
      <c r="S109" s="23" t="str">
        <f>IF(ROW()&lt;9,"",IF(OR(G109="",G104=""),"",IF(G104=0,"",(G109/G104)-1)))</f>
        <v/>
      </c>
      <c r="T109" s="23" t="str">
        <f>IF(ROW()&lt;7,"",IF(OR(L109="",L106=""),"",IF(L106=0,"",(L109/L106)-1)))</f>
        <v/>
      </c>
      <c r="U109" s="23" t="str">
        <f>IF(ROW()&lt;9,"",IF(OR(L109="",L104=""),"",IF(L104=0,"",(L109/L104)-1)))</f>
        <v/>
      </c>
      <c r="V109" s="23" t="str">
        <f>IF(ROW()&lt;7,"",IF(OR(N109="",N106=""),"",IF(N106=0,"",(N109/N106)-1)))</f>
        <v/>
      </c>
      <c r="W109" s="23" t="str">
        <f>IF(ROW()&lt;9,"",IF(OR(N109="",N104=""),"",IF(N104=0,"",(N109/N104)-1)))</f>
        <v/>
      </c>
      <c r="X109" s="23" t="str">
        <f>IF(OR(F109="",M109=""),"",F109-M109)</f>
        <v/>
      </c>
      <c r="Y109" s="23" t="str">
        <f>IF(OR(P109="",T109=""),"",P109-T109)</f>
        <v/>
      </c>
      <c r="Z109" s="23" t="str">
        <f>IF(OR(Q109="",U109=""),"",Q109-U109)</f>
        <v/>
      </c>
      <c r="AA109" s="23" t="str">
        <f>IF(OR(H109="",O109=""),"",H109-O109)</f>
        <v/>
      </c>
      <c r="AB109" s="23" t="str">
        <f>IF(OR(R109="",V109=""),"",R109-V109)</f>
        <v/>
      </c>
      <c r="AC109" s="23" t="str">
        <f>IF(OR(S109="",W109=""),"",S109-W109)</f>
        <v/>
      </c>
      <c r="AD109" s="13"/>
      <c r="AE109" s="23" t="str">
        <f>IF(OR(AD109="",AD108=""),"",IF(AD108=0,"",(AD109/AD108)-1))</f>
        <v/>
      </c>
      <c r="AF109" s="23" t="str">
        <f>IF(ROW()&lt;7,"",IF(OR(AD109="",AD106=""),"",IF(AD106=0,"",(AD109/AD106)-1)))</f>
        <v/>
      </c>
      <c r="AG109" s="23" t="str">
        <f>IF(ROW()&lt;9,"",IF(OR(AD109="",AD104=""),"",IF(AD104=0,"",(AD109/AD104)-1)))</f>
        <v/>
      </c>
      <c r="AH109" s="23" t="str">
        <f>IF(OR(AF109="",AG109=""),"",IF(AND(AF109&gt;0,AG109&gt;0),"Bull",IF(AND(AF109&lt;0,AG109&lt;0),"Bear","Mixed")))</f>
        <v/>
      </c>
      <c r="AI109" s="13"/>
      <c r="AJ109" s="13" t="str">
        <f>IF(OR(AI109="",AI108=""),"",IF(AI108=0,"",(AI109/AI108)-1))</f>
        <v/>
      </c>
      <c r="AK109" s="23" t="str">
        <f>IF(OR(AJ109="",AJ108=""),"",IF(AJ108=0,"",(AJ109/AJ108)-1))</f>
        <v/>
      </c>
      <c r="AL109" s="23" t="str">
        <f>IF(ROW()&lt;7,"",IF(OR(AJ109="",AJ106=""),"",IF(AJ106=0,"",(AJ109/AJ106)-1)))</f>
        <v/>
      </c>
      <c r="AM109" s="23" t="str">
        <f>IF(ROW()&lt;9,"",IF(OR(AJ109="",AJ104=""),"",IF(AJ104=0,"",(AJ109/AJ104)-1)))</f>
        <v/>
      </c>
      <c r="AN109" t="str">
        <f>IF(OR(AL109="",AM109=""),"",IF(AND(AL109&gt;0,AM109&gt;0),"Bull",IF(AND(AL109&lt;0,AM109&lt;0),"Bear","Mixed")))</f>
        <v/>
      </c>
      <c r="AO109" t="str">
        <f>IF(OR(AH109="",AN109=""),"",IF(AND(AH109="Bull",AN109="Bull"),"YES","NO"))</f>
        <v/>
      </c>
      <c r="AP109" t="str">
        <f>IF(OR(AH109="",AN109=""),"",IF(AND(AH109="Bear",AN109="Bear"),"YES","NO"))</f>
        <v/>
      </c>
      <c r="AQ109" t="str">
        <f>IF(AO109="YES",IF(SUM(N(X109),N(Y109),N(Z109))&gt;0,"SOXL","TQQQ"),IF(AP109="YES",IF(SUM(N(AA109),N(AB109),N(AC109))&gt;0,"SOXS","SQQQ"),"WAIT"))</f>
        <v>WAIT</v>
      </c>
      <c r="AR109" s="23" t="str">
        <f>IF(AO109="YES",IF(SUM(N(X109),N(Y109),N(Z109))&gt;0,"TQQQ","SOXL"),IF(AP109="YES",IF(SUM(N(AA109),N(AB109),N(AC109))&gt;0,"SQQQ","SOXS"),""))</f>
        <v/>
      </c>
      <c r="AS109" s="23" t="str">
        <f>IF(AQ109="WAIT","",IF(AR109="",1,0.6))</f>
        <v/>
      </c>
      <c r="AT109" s="23">
        <f>IF(AR109="",0,0.4)</f>
        <v>0</v>
      </c>
      <c r="AU109" s="23" t="str">
        <f>IF(AQ109="WAIT","WAIT",IF(AO109="YES","BULL",IF(AP109="YES","BEAR","WAIT")))</f>
        <v>WAIT</v>
      </c>
      <c r="AV109" t="str">
        <f>IF(AQ109="WAIT","Low",IF(OR(AND(AU109="BULL",ABS(SUM(N(X109),N(Y109),N(Z109)))&gt;=0.15),AND(AU109="BEAR",ABS(SUM(N(AA109),N(AB109),N(AC109)))&gt;=0.15)),"Strong",IF(OR(AND(AU109="BULL",ABS(SUM(N(X109),N(Y109),N(Z109)))&gt;=0.05),AND(AU109="BEAR",ABS(SUM(N(AA109),N(AB109),N(AC109)))&gt;=0.05)),"Moderate","Low")))</f>
        <v>Low</v>
      </c>
      <c r="AW109" t="str">
        <f>IF(AQ109="WAIT","QQQ and SMH not aligned",IF(AU109="BULL",IF(AQ109="SOXL","Bull regime; semiconductors leading","Bull regime; tech leading"),IF(AQ109="SOXS","Bear regime; semiconductors weakest","Bear regime; tech weakest")))</f>
        <v>QQQ and SMH not aligned</v>
      </c>
      <c r="AX109" t="str">
        <f>IF(AR109="WAIT","QQQ and SMH not aligned",IF(AV109="BULL",IF(AR109="SOXL","Bull regime; semiconductors leading","Bull regime; tech leading"),IF(AR109="SOXS","Bear regime; semiconductors weakest","Bear regime; tech weakest")))</f>
        <v>Bear regime; tech weakest</v>
      </c>
    </row>
    <row r="110" spans="1:50" x14ac:dyDescent="0.2">
      <c r="A110" s="12"/>
      <c r="B110" s="13"/>
      <c r="C110" s="13"/>
      <c r="D110" s="13"/>
      <c r="E110" s="13"/>
      <c r="F110" s="11" t="str">
        <f>IF(OR(E110="",E109=""),"",IF(E109=0,"",(E110/E109)-1))</f>
        <v/>
      </c>
      <c r="G110" s="13"/>
      <c r="H110" s="11" t="str">
        <f>IF(OR(G110="",G109=""),"",IF(G109=0,"",(G110/G109)-1))</f>
        <v/>
      </c>
      <c r="I110" s="13"/>
      <c r="J110" s="13"/>
      <c r="K110" s="13"/>
      <c r="L110" s="13"/>
      <c r="M110" s="23" t="str">
        <f>IF(OR(L110="",L109=""),"",IF(L109=0,"",(L110/L109)-1))</f>
        <v/>
      </c>
      <c r="N110" s="26" t="str">
        <f>IFERROR((M110/M109)-1,"")</f>
        <v/>
      </c>
      <c r="O110" s="23" t="str">
        <f>IF(OR(N110="",N109=""),"",IF(N109=0,"",(N110/N109)-1))</f>
        <v/>
      </c>
      <c r="P110" s="11" t="str">
        <f>IF(ROW()&lt;7,"",IF(OR(E110="",E107=""),"",IF(E107=0,"",(E110/E107)-1)))</f>
        <v/>
      </c>
      <c r="Q110" s="23" t="str">
        <f>IF(ROW()&lt;9,"",IF(OR(E110="",E105=""),"",IF(E105=0,"",(E110/E105)-1)))</f>
        <v/>
      </c>
      <c r="R110" s="23" t="str">
        <f>IF(ROW()&lt;7,"",IF(OR(G110="",G107=""),"",IF(G107=0,"",(G110/G107)-1)))</f>
        <v/>
      </c>
      <c r="S110" s="23" t="str">
        <f>IF(ROW()&lt;9,"",IF(OR(G110="",G105=""),"",IF(G105=0,"",(G110/G105)-1)))</f>
        <v/>
      </c>
      <c r="T110" s="23" t="str">
        <f>IF(ROW()&lt;7,"",IF(OR(L110="",L107=""),"",IF(L107=0,"",(L110/L107)-1)))</f>
        <v/>
      </c>
      <c r="U110" s="23" t="str">
        <f>IF(ROW()&lt;9,"",IF(OR(L110="",L105=""),"",IF(L105=0,"",(L110/L105)-1)))</f>
        <v/>
      </c>
      <c r="V110" s="23" t="str">
        <f>IF(ROW()&lt;7,"",IF(OR(N110="",N107=""),"",IF(N107=0,"",(N110/N107)-1)))</f>
        <v/>
      </c>
      <c r="W110" s="23" t="str">
        <f>IF(ROW()&lt;9,"",IF(OR(N110="",N105=""),"",IF(N105=0,"",(N110/N105)-1)))</f>
        <v/>
      </c>
      <c r="X110" s="23" t="str">
        <f>IF(OR(F110="",M110=""),"",F110-M110)</f>
        <v/>
      </c>
      <c r="Y110" s="23" t="str">
        <f>IF(OR(P110="",T110=""),"",P110-T110)</f>
        <v/>
      </c>
      <c r="Z110" s="23" t="str">
        <f>IF(OR(Q110="",U110=""),"",Q110-U110)</f>
        <v/>
      </c>
      <c r="AA110" s="23" t="str">
        <f>IF(OR(H110="",O110=""),"",H110-O110)</f>
        <v/>
      </c>
      <c r="AB110" s="23" t="str">
        <f>IF(OR(R110="",V110=""),"",R110-V110)</f>
        <v/>
      </c>
      <c r="AC110" s="23" t="str">
        <f>IF(OR(S110="",W110=""),"",S110-W110)</f>
        <v/>
      </c>
      <c r="AD110" s="13"/>
      <c r="AE110" s="23" t="str">
        <f>IF(OR(AD110="",AD109=""),"",IF(AD109=0,"",(AD110/AD109)-1))</f>
        <v/>
      </c>
      <c r="AF110" s="23" t="str">
        <f>IF(ROW()&lt;7,"",IF(OR(AD110="",AD107=""),"",IF(AD107=0,"",(AD110/AD107)-1)))</f>
        <v/>
      </c>
      <c r="AG110" s="23" t="str">
        <f>IF(ROW()&lt;9,"",IF(OR(AD110="",AD105=""),"",IF(AD105=0,"",(AD110/AD105)-1)))</f>
        <v/>
      </c>
      <c r="AH110" s="23" t="str">
        <f>IF(OR(AF110="",AG110=""),"",IF(AND(AF110&gt;0,AG110&gt;0),"Bull",IF(AND(AF110&lt;0,AG110&lt;0),"Bear","Mixed")))</f>
        <v/>
      </c>
      <c r="AI110" s="13"/>
      <c r="AJ110" s="13" t="str">
        <f>IF(OR(AI110="",AI109=""),"",IF(AI109=0,"",(AI110/AI109)-1))</f>
        <v/>
      </c>
      <c r="AK110" s="23" t="str">
        <f>IF(OR(AJ110="",AJ109=""),"",IF(AJ109=0,"",(AJ110/AJ109)-1))</f>
        <v/>
      </c>
      <c r="AL110" s="23" t="str">
        <f>IF(ROW()&lt;7,"",IF(OR(AJ110="",AJ107=""),"",IF(AJ107=0,"",(AJ110/AJ107)-1)))</f>
        <v/>
      </c>
      <c r="AM110" s="23" t="str">
        <f>IF(ROW()&lt;9,"",IF(OR(AJ110="",AJ105=""),"",IF(AJ105=0,"",(AJ110/AJ105)-1)))</f>
        <v/>
      </c>
      <c r="AN110" t="str">
        <f>IF(OR(AL110="",AM110=""),"",IF(AND(AL110&gt;0,AM110&gt;0),"Bull",IF(AND(AL110&lt;0,AM110&lt;0),"Bear","Mixed")))</f>
        <v/>
      </c>
      <c r="AO110" t="str">
        <f>IF(OR(AH110="",AN110=""),"",IF(AND(AH110="Bull",AN110="Bull"),"YES","NO"))</f>
        <v/>
      </c>
      <c r="AP110" t="str">
        <f>IF(OR(AH110="",AN110=""),"",IF(AND(AH110="Bear",AN110="Bear"),"YES","NO"))</f>
        <v/>
      </c>
      <c r="AQ110" t="str">
        <f>IF(AO110="YES",IF(SUM(N(X110),N(Y110),N(Z110))&gt;0,"SOXL","TQQQ"),IF(AP110="YES",IF(SUM(N(AA110),N(AB110),N(AC110))&gt;0,"SOXS","SQQQ"),"WAIT"))</f>
        <v>WAIT</v>
      </c>
      <c r="AR110" s="23" t="str">
        <f>IF(AO110="YES",IF(SUM(N(X110),N(Y110),N(Z110))&gt;0,"TQQQ","SOXL"),IF(AP110="YES",IF(SUM(N(AA110),N(AB110),N(AC110))&gt;0,"SQQQ","SOXS"),""))</f>
        <v/>
      </c>
      <c r="AS110" s="23" t="str">
        <f>IF(AQ110="WAIT","",IF(AR110="",1,0.6))</f>
        <v/>
      </c>
      <c r="AT110" s="23">
        <f>IF(AR110="",0,0.4)</f>
        <v>0</v>
      </c>
      <c r="AU110" s="23" t="str">
        <f>IF(AQ110="WAIT","WAIT",IF(AO110="YES","BULL",IF(AP110="YES","BEAR","WAIT")))</f>
        <v>WAIT</v>
      </c>
      <c r="AV110" t="str">
        <f>IF(AQ110="WAIT","Low",IF(OR(AND(AU110="BULL",ABS(SUM(N(X110),N(Y110),N(Z110)))&gt;=0.15),AND(AU110="BEAR",ABS(SUM(N(AA110),N(AB110),N(AC110)))&gt;=0.15)),"Strong",IF(OR(AND(AU110="BULL",ABS(SUM(N(X110),N(Y110),N(Z110)))&gt;=0.05),AND(AU110="BEAR",ABS(SUM(N(AA110),N(AB110),N(AC110)))&gt;=0.05)),"Moderate","Low")))</f>
        <v>Low</v>
      </c>
      <c r="AW110" t="str">
        <f>IF(AQ110="WAIT","QQQ and SMH not aligned",IF(AU110="BULL",IF(AQ110="SOXL","Bull regime; semiconductors leading","Bull regime; tech leading"),IF(AQ110="SOXS","Bear regime; semiconductors weakest","Bear regime; tech weakest")))</f>
        <v>QQQ and SMH not aligned</v>
      </c>
      <c r="AX110" t="str">
        <f>IF(AR110="WAIT","QQQ and SMH not aligned",IF(AV110="BULL",IF(AR110="SOXL","Bull regime; semiconductors leading","Bull regime; tech leading"),IF(AR110="SOXS","Bear regime; semiconductors weakest","Bear regime; tech weakest")))</f>
        <v>Bear regime; tech weakest</v>
      </c>
    </row>
    <row r="111" spans="1:50" x14ac:dyDescent="0.2">
      <c r="A111" s="12"/>
      <c r="B111" s="13"/>
      <c r="C111" s="13"/>
      <c r="D111" s="13"/>
      <c r="E111" s="13"/>
      <c r="F111" s="11" t="str">
        <f>IF(OR(E111="",E110=""),"",IF(E110=0,"",(E111/E110)-1))</f>
        <v/>
      </c>
      <c r="G111" s="13"/>
      <c r="H111" s="11" t="str">
        <f>IF(OR(G111="",G110=""),"",IF(G110=0,"",(G111/G110)-1))</f>
        <v/>
      </c>
      <c r="I111" s="13"/>
      <c r="J111" s="13"/>
      <c r="K111" s="13"/>
      <c r="L111" s="13"/>
      <c r="M111" s="23" t="str">
        <f>IF(OR(L111="",L110=""),"",IF(L110=0,"",(L111/L110)-1))</f>
        <v/>
      </c>
      <c r="N111" s="26" t="str">
        <f>IFERROR((M111/M110)-1,"")</f>
        <v/>
      </c>
      <c r="O111" s="23" t="str">
        <f>IF(OR(N111="",N110=""),"",IF(N110=0,"",(N111/N110)-1))</f>
        <v/>
      </c>
      <c r="P111" s="11" t="str">
        <f>IF(ROW()&lt;7,"",IF(OR(E111="",E108=""),"",IF(E108=0,"",(E111/E108)-1)))</f>
        <v/>
      </c>
      <c r="Q111" s="23" t="str">
        <f>IF(ROW()&lt;9,"",IF(OR(E111="",E106=""),"",IF(E106=0,"",(E111/E106)-1)))</f>
        <v/>
      </c>
      <c r="R111" s="23" t="str">
        <f>IF(ROW()&lt;7,"",IF(OR(G111="",G108=""),"",IF(G108=0,"",(G111/G108)-1)))</f>
        <v/>
      </c>
      <c r="S111" s="23" t="str">
        <f>IF(ROW()&lt;9,"",IF(OR(G111="",G106=""),"",IF(G106=0,"",(G111/G106)-1)))</f>
        <v/>
      </c>
      <c r="T111" s="23" t="str">
        <f>IF(ROW()&lt;7,"",IF(OR(L111="",L108=""),"",IF(L108=0,"",(L111/L108)-1)))</f>
        <v/>
      </c>
      <c r="U111" s="23" t="str">
        <f>IF(ROW()&lt;9,"",IF(OR(L111="",L106=""),"",IF(L106=0,"",(L111/L106)-1)))</f>
        <v/>
      </c>
      <c r="V111" s="23" t="str">
        <f>IF(ROW()&lt;7,"",IF(OR(N111="",N108=""),"",IF(N108=0,"",(N111/N108)-1)))</f>
        <v/>
      </c>
      <c r="W111" s="23" t="str">
        <f>IF(ROW()&lt;9,"",IF(OR(N111="",N106=""),"",IF(N106=0,"",(N111/N106)-1)))</f>
        <v/>
      </c>
      <c r="X111" s="23" t="str">
        <f>IF(OR(F111="",M111=""),"",F111-M111)</f>
        <v/>
      </c>
      <c r="Y111" s="23" t="str">
        <f>IF(OR(P111="",T111=""),"",P111-T111)</f>
        <v/>
      </c>
      <c r="Z111" s="23" t="str">
        <f>IF(OR(Q111="",U111=""),"",Q111-U111)</f>
        <v/>
      </c>
      <c r="AA111" s="23" t="str">
        <f>IF(OR(H111="",O111=""),"",H111-O111)</f>
        <v/>
      </c>
      <c r="AB111" s="23" t="str">
        <f>IF(OR(R111="",V111=""),"",R111-V111)</f>
        <v/>
      </c>
      <c r="AC111" s="23" t="str">
        <f>IF(OR(S111="",W111=""),"",S111-W111)</f>
        <v/>
      </c>
      <c r="AD111" s="13"/>
      <c r="AE111" s="23" t="str">
        <f>IF(OR(AD111="",AD110=""),"",IF(AD110=0,"",(AD111/AD110)-1))</f>
        <v/>
      </c>
      <c r="AF111" s="23" t="str">
        <f>IF(ROW()&lt;7,"",IF(OR(AD111="",AD108=""),"",IF(AD108=0,"",(AD111/AD108)-1)))</f>
        <v/>
      </c>
      <c r="AG111" s="23" t="str">
        <f>IF(ROW()&lt;9,"",IF(OR(AD111="",AD106=""),"",IF(AD106=0,"",(AD111/AD106)-1)))</f>
        <v/>
      </c>
      <c r="AH111" s="23" t="str">
        <f>IF(OR(AF111="",AG111=""),"",IF(AND(AF111&gt;0,AG111&gt;0),"Bull",IF(AND(AF111&lt;0,AG111&lt;0),"Bear","Mixed")))</f>
        <v/>
      </c>
      <c r="AI111" s="13"/>
      <c r="AJ111" s="13" t="str">
        <f>IF(OR(AI111="",AI110=""),"",IF(AI110=0,"",(AI111/AI110)-1))</f>
        <v/>
      </c>
      <c r="AK111" s="23" t="str">
        <f>IF(OR(AJ111="",AJ110=""),"",IF(AJ110=0,"",(AJ111/AJ110)-1))</f>
        <v/>
      </c>
      <c r="AL111" s="23" t="str">
        <f>IF(ROW()&lt;7,"",IF(OR(AJ111="",AJ108=""),"",IF(AJ108=0,"",(AJ111/AJ108)-1)))</f>
        <v/>
      </c>
      <c r="AM111" s="23" t="str">
        <f>IF(ROW()&lt;9,"",IF(OR(AJ111="",AJ106=""),"",IF(AJ106=0,"",(AJ111/AJ106)-1)))</f>
        <v/>
      </c>
      <c r="AN111" t="str">
        <f>IF(OR(AL111="",AM111=""),"",IF(AND(AL111&gt;0,AM111&gt;0),"Bull",IF(AND(AL111&lt;0,AM111&lt;0),"Bear","Mixed")))</f>
        <v/>
      </c>
      <c r="AO111" t="str">
        <f>IF(OR(AH111="",AN111=""),"",IF(AND(AH111="Bull",AN111="Bull"),"YES","NO"))</f>
        <v/>
      </c>
      <c r="AP111" t="str">
        <f>IF(OR(AH111="",AN111=""),"",IF(AND(AH111="Bear",AN111="Bear"),"YES","NO"))</f>
        <v/>
      </c>
      <c r="AQ111" t="str">
        <f>IF(AO111="YES",IF(SUM(N(X111),N(Y111),N(Z111))&gt;0,"SOXL","TQQQ"),IF(AP111="YES",IF(SUM(N(AA111),N(AB111),N(AC111))&gt;0,"SOXS","SQQQ"),"WAIT"))</f>
        <v>WAIT</v>
      </c>
      <c r="AR111" s="23" t="str">
        <f>IF(AO111="YES",IF(SUM(N(X111),N(Y111),N(Z111))&gt;0,"TQQQ","SOXL"),IF(AP111="YES",IF(SUM(N(AA111),N(AB111),N(AC111))&gt;0,"SQQQ","SOXS"),""))</f>
        <v/>
      </c>
      <c r="AS111" s="23" t="str">
        <f>IF(AQ111="WAIT","",IF(AR111="",1,0.6))</f>
        <v/>
      </c>
      <c r="AT111" s="23">
        <f>IF(AR111="",0,0.4)</f>
        <v>0</v>
      </c>
      <c r="AU111" s="23" t="str">
        <f>IF(AQ111="WAIT","WAIT",IF(AO111="YES","BULL",IF(AP111="YES","BEAR","WAIT")))</f>
        <v>WAIT</v>
      </c>
      <c r="AV111" t="str">
        <f>IF(AQ111="WAIT","Low",IF(OR(AND(AU111="BULL",ABS(SUM(N(X111),N(Y111),N(Z111)))&gt;=0.15),AND(AU111="BEAR",ABS(SUM(N(AA111),N(AB111),N(AC111)))&gt;=0.15)),"Strong",IF(OR(AND(AU111="BULL",ABS(SUM(N(X111),N(Y111),N(Z111)))&gt;=0.05),AND(AU111="BEAR",ABS(SUM(N(AA111),N(AB111),N(AC111)))&gt;=0.05)),"Moderate","Low")))</f>
        <v>Low</v>
      </c>
      <c r="AW111" t="str">
        <f>IF(AQ111="WAIT","QQQ and SMH not aligned",IF(AU111="BULL",IF(AQ111="SOXL","Bull regime; semiconductors leading","Bull regime; tech leading"),IF(AQ111="SOXS","Bear regime; semiconductors weakest","Bear regime; tech weakest")))</f>
        <v>QQQ and SMH not aligned</v>
      </c>
      <c r="AX111" t="str">
        <f>IF(AR111="WAIT","QQQ and SMH not aligned",IF(AV111="BULL",IF(AR111="SOXL","Bull regime; semiconductors leading","Bull regime; tech leading"),IF(AR111="SOXS","Bear regime; semiconductors weakest","Bear regime; tech weakest")))</f>
        <v>Bear regime; tech weakest</v>
      </c>
    </row>
    <row r="112" spans="1:50" x14ac:dyDescent="0.2">
      <c r="A112" s="12"/>
      <c r="B112" s="13"/>
      <c r="C112" s="13"/>
      <c r="D112" s="13"/>
      <c r="E112" s="13"/>
      <c r="F112" s="11" t="str">
        <f>IF(OR(E112="",E111=""),"",IF(E111=0,"",(E112/E111)-1))</f>
        <v/>
      </c>
      <c r="G112" s="13"/>
      <c r="H112" s="11" t="str">
        <f>IF(OR(G112="",G111=""),"",IF(G111=0,"",(G112/G111)-1))</f>
        <v/>
      </c>
      <c r="I112" s="13"/>
      <c r="J112" s="13"/>
      <c r="K112" s="13"/>
      <c r="L112" s="13"/>
      <c r="M112" s="23" t="str">
        <f>IF(OR(L112="",L111=""),"",IF(L111=0,"",(L112/L111)-1))</f>
        <v/>
      </c>
      <c r="N112" s="26" t="str">
        <f>IFERROR((M112/M111)-1,"")</f>
        <v/>
      </c>
      <c r="O112" s="23" t="str">
        <f>IF(OR(N112="",N111=""),"",IF(N111=0,"",(N112/N111)-1))</f>
        <v/>
      </c>
      <c r="P112" s="11" t="str">
        <f>IF(ROW()&lt;7,"",IF(OR(E112="",E109=""),"",IF(E109=0,"",(E112/E109)-1)))</f>
        <v/>
      </c>
      <c r="Q112" s="23" t="str">
        <f>IF(ROW()&lt;9,"",IF(OR(E112="",E107=""),"",IF(E107=0,"",(E112/E107)-1)))</f>
        <v/>
      </c>
      <c r="R112" s="23" t="str">
        <f>IF(ROW()&lt;7,"",IF(OR(G112="",G109=""),"",IF(G109=0,"",(G112/G109)-1)))</f>
        <v/>
      </c>
      <c r="S112" s="23" t="str">
        <f>IF(ROW()&lt;9,"",IF(OR(G112="",G107=""),"",IF(G107=0,"",(G112/G107)-1)))</f>
        <v/>
      </c>
      <c r="T112" s="23" t="str">
        <f>IF(ROW()&lt;7,"",IF(OR(L112="",L109=""),"",IF(L109=0,"",(L112/L109)-1)))</f>
        <v/>
      </c>
      <c r="U112" s="23" t="str">
        <f>IF(ROW()&lt;9,"",IF(OR(L112="",L107=""),"",IF(L107=0,"",(L112/L107)-1)))</f>
        <v/>
      </c>
      <c r="V112" s="23" t="str">
        <f>IF(ROW()&lt;7,"",IF(OR(N112="",N109=""),"",IF(N109=0,"",(N112/N109)-1)))</f>
        <v/>
      </c>
      <c r="W112" s="23" t="str">
        <f>IF(ROW()&lt;9,"",IF(OR(N112="",N107=""),"",IF(N107=0,"",(N112/N107)-1)))</f>
        <v/>
      </c>
      <c r="X112" s="23" t="str">
        <f>IF(OR(F112="",M112=""),"",F112-M112)</f>
        <v/>
      </c>
      <c r="Y112" s="23" t="str">
        <f>IF(OR(P112="",T112=""),"",P112-T112)</f>
        <v/>
      </c>
      <c r="Z112" s="23" t="str">
        <f>IF(OR(Q112="",U112=""),"",Q112-U112)</f>
        <v/>
      </c>
      <c r="AA112" s="23" t="str">
        <f>IF(OR(H112="",O112=""),"",H112-O112)</f>
        <v/>
      </c>
      <c r="AB112" s="23" t="str">
        <f>IF(OR(R112="",V112=""),"",R112-V112)</f>
        <v/>
      </c>
      <c r="AC112" s="23" t="str">
        <f>IF(OR(S112="",W112=""),"",S112-W112)</f>
        <v/>
      </c>
      <c r="AD112" s="13"/>
      <c r="AE112" s="23" t="str">
        <f>IF(OR(AD112="",AD111=""),"",IF(AD111=0,"",(AD112/AD111)-1))</f>
        <v/>
      </c>
      <c r="AF112" s="23" t="str">
        <f>IF(ROW()&lt;7,"",IF(OR(AD112="",AD109=""),"",IF(AD109=0,"",(AD112/AD109)-1)))</f>
        <v/>
      </c>
      <c r="AG112" s="23" t="str">
        <f>IF(ROW()&lt;9,"",IF(OR(AD112="",AD107=""),"",IF(AD107=0,"",(AD112/AD107)-1)))</f>
        <v/>
      </c>
      <c r="AH112" s="23" t="str">
        <f>IF(OR(AF112="",AG112=""),"",IF(AND(AF112&gt;0,AG112&gt;0),"Bull",IF(AND(AF112&lt;0,AG112&lt;0),"Bear","Mixed")))</f>
        <v/>
      </c>
      <c r="AI112" s="13"/>
      <c r="AJ112" s="13" t="str">
        <f>IF(OR(AI112="",AI111=""),"",IF(AI111=0,"",(AI112/AI111)-1))</f>
        <v/>
      </c>
      <c r="AK112" s="23" t="str">
        <f>IF(OR(AJ112="",AJ111=""),"",IF(AJ111=0,"",(AJ112/AJ111)-1))</f>
        <v/>
      </c>
      <c r="AL112" s="23" t="str">
        <f>IF(ROW()&lt;7,"",IF(OR(AJ112="",AJ109=""),"",IF(AJ109=0,"",(AJ112/AJ109)-1)))</f>
        <v/>
      </c>
      <c r="AM112" s="23" t="str">
        <f>IF(ROW()&lt;9,"",IF(OR(AJ112="",AJ107=""),"",IF(AJ107=0,"",(AJ112/AJ107)-1)))</f>
        <v/>
      </c>
      <c r="AN112" t="str">
        <f>IF(OR(AL112="",AM112=""),"",IF(AND(AL112&gt;0,AM112&gt;0),"Bull",IF(AND(AL112&lt;0,AM112&lt;0),"Bear","Mixed")))</f>
        <v/>
      </c>
      <c r="AO112" t="str">
        <f>IF(OR(AH112="",AN112=""),"",IF(AND(AH112="Bull",AN112="Bull"),"YES","NO"))</f>
        <v/>
      </c>
      <c r="AP112" t="str">
        <f>IF(OR(AH112="",AN112=""),"",IF(AND(AH112="Bear",AN112="Bear"),"YES","NO"))</f>
        <v/>
      </c>
      <c r="AQ112" t="str">
        <f>IF(AO112="YES",IF(SUM(N(X112),N(Y112),N(Z112))&gt;0,"SOXL","TQQQ"),IF(AP112="YES",IF(SUM(N(AA112),N(AB112),N(AC112))&gt;0,"SOXS","SQQQ"),"WAIT"))</f>
        <v>WAIT</v>
      </c>
      <c r="AR112" s="23" t="str">
        <f>IF(AO112="YES",IF(SUM(N(X112),N(Y112),N(Z112))&gt;0,"TQQQ","SOXL"),IF(AP112="YES",IF(SUM(N(AA112),N(AB112),N(AC112))&gt;0,"SQQQ","SOXS"),""))</f>
        <v/>
      </c>
      <c r="AS112" s="23" t="str">
        <f>IF(AQ112="WAIT","",IF(AR112="",1,0.6))</f>
        <v/>
      </c>
      <c r="AT112" s="23">
        <f>IF(AR112="",0,0.4)</f>
        <v>0</v>
      </c>
      <c r="AU112" s="23" t="str">
        <f>IF(AQ112="WAIT","WAIT",IF(AO112="YES","BULL",IF(AP112="YES","BEAR","WAIT")))</f>
        <v>WAIT</v>
      </c>
      <c r="AV112" t="str">
        <f>IF(AQ112="WAIT","Low",IF(OR(AND(AU112="BULL",ABS(SUM(N(X112),N(Y112),N(Z112)))&gt;=0.15),AND(AU112="BEAR",ABS(SUM(N(AA112),N(AB112),N(AC112)))&gt;=0.15)),"Strong",IF(OR(AND(AU112="BULL",ABS(SUM(N(X112),N(Y112),N(Z112)))&gt;=0.05),AND(AU112="BEAR",ABS(SUM(N(AA112),N(AB112),N(AC112)))&gt;=0.05)),"Moderate","Low")))</f>
        <v>Low</v>
      </c>
      <c r="AW112" t="str">
        <f>IF(AQ112="WAIT","QQQ and SMH not aligned",IF(AU112="BULL",IF(AQ112="SOXL","Bull regime; semiconductors leading","Bull regime; tech leading"),IF(AQ112="SOXS","Bear regime; semiconductors weakest","Bear regime; tech weakest")))</f>
        <v>QQQ and SMH not aligned</v>
      </c>
      <c r="AX112" t="str">
        <f>IF(AR112="WAIT","QQQ and SMH not aligned",IF(AV112="BULL",IF(AR112="SOXL","Bull regime; semiconductors leading","Bull regime; tech leading"),IF(AR112="SOXS","Bear regime; semiconductors weakest","Bear regime; tech weakest")))</f>
        <v>Bear regime; tech weakest</v>
      </c>
    </row>
    <row r="113" spans="1:50" x14ac:dyDescent="0.2">
      <c r="A113" s="12"/>
      <c r="B113" s="13"/>
      <c r="C113" s="13"/>
      <c r="D113" s="13"/>
      <c r="E113" s="13"/>
      <c r="F113" s="11" t="str">
        <f>IF(OR(E113="",E112=""),"",IF(E112=0,"",(E113/E112)-1))</f>
        <v/>
      </c>
      <c r="G113" s="13"/>
      <c r="H113" s="11" t="str">
        <f>IF(OR(G113="",G112=""),"",IF(G112=0,"",(G113/G112)-1))</f>
        <v/>
      </c>
      <c r="I113" s="13"/>
      <c r="J113" s="13"/>
      <c r="K113" s="13"/>
      <c r="L113" s="13"/>
      <c r="M113" s="23" t="str">
        <f>IF(OR(L113="",L112=""),"",IF(L112=0,"",(L113/L112)-1))</f>
        <v/>
      </c>
      <c r="N113" s="26" t="str">
        <f>IFERROR((M113/M112)-1,"")</f>
        <v/>
      </c>
      <c r="O113" s="23" t="str">
        <f>IF(OR(N113="",N112=""),"",IF(N112=0,"",(N113/N112)-1))</f>
        <v/>
      </c>
      <c r="P113" s="11" t="str">
        <f>IF(ROW()&lt;7,"",IF(OR(E113="",E110=""),"",IF(E110=0,"",(E113/E110)-1)))</f>
        <v/>
      </c>
      <c r="Q113" s="23" t="str">
        <f>IF(ROW()&lt;9,"",IF(OR(E113="",E108=""),"",IF(E108=0,"",(E113/E108)-1)))</f>
        <v/>
      </c>
      <c r="R113" s="23" t="str">
        <f>IF(ROW()&lt;7,"",IF(OR(G113="",G110=""),"",IF(G110=0,"",(G113/G110)-1)))</f>
        <v/>
      </c>
      <c r="S113" s="23" t="str">
        <f>IF(ROW()&lt;9,"",IF(OR(G113="",G108=""),"",IF(G108=0,"",(G113/G108)-1)))</f>
        <v/>
      </c>
      <c r="T113" s="23" t="str">
        <f>IF(ROW()&lt;7,"",IF(OR(L113="",L110=""),"",IF(L110=0,"",(L113/L110)-1)))</f>
        <v/>
      </c>
      <c r="U113" s="23" t="str">
        <f>IF(ROW()&lt;9,"",IF(OR(L113="",L108=""),"",IF(L108=0,"",(L113/L108)-1)))</f>
        <v/>
      </c>
      <c r="V113" s="23" t="str">
        <f>IF(ROW()&lt;7,"",IF(OR(N113="",N110=""),"",IF(N110=0,"",(N113/N110)-1)))</f>
        <v/>
      </c>
      <c r="W113" s="23" t="str">
        <f>IF(ROW()&lt;9,"",IF(OR(N113="",N108=""),"",IF(N108=0,"",(N113/N108)-1)))</f>
        <v/>
      </c>
      <c r="X113" s="23" t="str">
        <f>IF(OR(F113="",M113=""),"",F113-M113)</f>
        <v/>
      </c>
      <c r="Y113" s="23" t="str">
        <f>IF(OR(P113="",T113=""),"",P113-T113)</f>
        <v/>
      </c>
      <c r="Z113" s="23" t="str">
        <f>IF(OR(Q113="",U113=""),"",Q113-U113)</f>
        <v/>
      </c>
      <c r="AA113" s="23" t="str">
        <f>IF(OR(H113="",O113=""),"",H113-O113)</f>
        <v/>
      </c>
      <c r="AB113" s="23" t="str">
        <f>IF(OR(R113="",V113=""),"",R113-V113)</f>
        <v/>
      </c>
      <c r="AC113" s="23" t="str">
        <f>IF(OR(S113="",W113=""),"",S113-W113)</f>
        <v/>
      </c>
      <c r="AD113" s="13"/>
      <c r="AE113" s="23" t="str">
        <f>IF(OR(AD113="",AD112=""),"",IF(AD112=0,"",(AD113/AD112)-1))</f>
        <v/>
      </c>
      <c r="AF113" s="23" t="str">
        <f>IF(ROW()&lt;7,"",IF(OR(AD113="",AD110=""),"",IF(AD110=0,"",(AD113/AD110)-1)))</f>
        <v/>
      </c>
      <c r="AG113" s="23" t="str">
        <f>IF(ROW()&lt;9,"",IF(OR(AD113="",AD108=""),"",IF(AD108=0,"",(AD113/AD108)-1)))</f>
        <v/>
      </c>
      <c r="AH113" s="23" t="str">
        <f>IF(OR(AF113="",AG113=""),"",IF(AND(AF113&gt;0,AG113&gt;0),"Bull",IF(AND(AF113&lt;0,AG113&lt;0),"Bear","Mixed")))</f>
        <v/>
      </c>
      <c r="AI113" s="13"/>
      <c r="AJ113" s="13" t="str">
        <f>IF(OR(AI113="",AI112=""),"",IF(AI112=0,"",(AI113/AI112)-1))</f>
        <v/>
      </c>
      <c r="AK113" s="23" t="str">
        <f>IF(OR(AJ113="",AJ112=""),"",IF(AJ112=0,"",(AJ113/AJ112)-1))</f>
        <v/>
      </c>
      <c r="AL113" s="23" t="str">
        <f>IF(ROW()&lt;7,"",IF(OR(AJ113="",AJ110=""),"",IF(AJ110=0,"",(AJ113/AJ110)-1)))</f>
        <v/>
      </c>
      <c r="AM113" s="23" t="str">
        <f>IF(ROW()&lt;9,"",IF(OR(AJ113="",AJ108=""),"",IF(AJ108=0,"",(AJ113/AJ108)-1)))</f>
        <v/>
      </c>
      <c r="AN113" t="str">
        <f>IF(OR(AL113="",AM113=""),"",IF(AND(AL113&gt;0,AM113&gt;0),"Bull",IF(AND(AL113&lt;0,AM113&lt;0),"Bear","Mixed")))</f>
        <v/>
      </c>
      <c r="AO113" t="str">
        <f>IF(OR(AH113="",AN113=""),"",IF(AND(AH113="Bull",AN113="Bull"),"YES","NO"))</f>
        <v/>
      </c>
      <c r="AP113" t="str">
        <f>IF(OR(AH113="",AN113=""),"",IF(AND(AH113="Bear",AN113="Bear"),"YES","NO"))</f>
        <v/>
      </c>
      <c r="AQ113" t="str">
        <f>IF(AO113="YES",IF(SUM(N(X113),N(Y113),N(Z113))&gt;0,"SOXL","TQQQ"),IF(AP113="YES",IF(SUM(N(AA113),N(AB113),N(AC113))&gt;0,"SOXS","SQQQ"),"WAIT"))</f>
        <v>WAIT</v>
      </c>
      <c r="AR113" s="23" t="str">
        <f>IF(AO113="YES",IF(SUM(N(X113),N(Y113),N(Z113))&gt;0,"TQQQ","SOXL"),IF(AP113="YES",IF(SUM(N(AA113),N(AB113),N(AC113))&gt;0,"SQQQ","SOXS"),""))</f>
        <v/>
      </c>
      <c r="AS113" s="23" t="str">
        <f>IF(AQ113="WAIT","",IF(AR113="",1,0.6))</f>
        <v/>
      </c>
      <c r="AT113" s="23">
        <f>IF(AR113="",0,0.4)</f>
        <v>0</v>
      </c>
      <c r="AU113" s="23" t="str">
        <f>IF(AQ113="WAIT","WAIT",IF(AO113="YES","BULL",IF(AP113="YES","BEAR","WAIT")))</f>
        <v>WAIT</v>
      </c>
      <c r="AV113" t="str">
        <f>IF(AQ113="WAIT","Low",IF(OR(AND(AU113="BULL",ABS(SUM(N(X113),N(Y113),N(Z113)))&gt;=0.15),AND(AU113="BEAR",ABS(SUM(N(AA113),N(AB113),N(AC113)))&gt;=0.15)),"Strong",IF(OR(AND(AU113="BULL",ABS(SUM(N(X113),N(Y113),N(Z113)))&gt;=0.05),AND(AU113="BEAR",ABS(SUM(N(AA113),N(AB113),N(AC113)))&gt;=0.05)),"Moderate","Low")))</f>
        <v>Low</v>
      </c>
      <c r="AW113" t="str">
        <f>IF(AQ113="WAIT","QQQ and SMH not aligned",IF(AU113="BULL",IF(AQ113="SOXL","Bull regime; semiconductors leading","Bull regime; tech leading"),IF(AQ113="SOXS","Bear regime; semiconductors weakest","Bear regime; tech weakest")))</f>
        <v>QQQ and SMH not aligned</v>
      </c>
      <c r="AX113" t="str">
        <f>IF(AR113="WAIT","QQQ and SMH not aligned",IF(AV113="BULL",IF(AR113="SOXL","Bull regime; semiconductors leading","Bull regime; tech leading"),IF(AR113="SOXS","Bear regime; semiconductors weakest","Bear regime; tech weakest")))</f>
        <v>Bear regime; tech weakest</v>
      </c>
    </row>
    <row r="114" spans="1:50" x14ac:dyDescent="0.2">
      <c r="A114" s="12"/>
      <c r="B114" s="13"/>
      <c r="C114" s="13"/>
      <c r="D114" s="13"/>
      <c r="E114" s="13"/>
      <c r="F114" s="11" t="str">
        <f>IF(OR(E114="",E113=""),"",IF(E113=0,"",(E114/E113)-1))</f>
        <v/>
      </c>
      <c r="G114" s="13"/>
      <c r="H114" s="11" t="str">
        <f>IF(OR(G114="",G113=""),"",IF(G113=0,"",(G114/G113)-1))</f>
        <v/>
      </c>
      <c r="I114" s="13"/>
      <c r="J114" s="13"/>
      <c r="K114" s="13"/>
      <c r="L114" s="13"/>
      <c r="M114" s="23" t="str">
        <f>IF(OR(L114="",L113=""),"",IF(L113=0,"",(L114/L113)-1))</f>
        <v/>
      </c>
      <c r="N114" s="26" t="str">
        <f>IFERROR((M114/M113)-1,"")</f>
        <v/>
      </c>
      <c r="O114" s="23" t="str">
        <f>IF(OR(N114="",N113=""),"",IF(N113=0,"",(N114/N113)-1))</f>
        <v/>
      </c>
      <c r="P114" s="11" t="str">
        <f>IF(ROW()&lt;7,"",IF(OR(E114="",E111=""),"",IF(E111=0,"",(E114/E111)-1)))</f>
        <v/>
      </c>
      <c r="Q114" s="23" t="str">
        <f>IF(ROW()&lt;9,"",IF(OR(E114="",E109=""),"",IF(E109=0,"",(E114/E109)-1)))</f>
        <v/>
      </c>
      <c r="R114" s="23" t="str">
        <f>IF(ROW()&lt;7,"",IF(OR(G114="",G111=""),"",IF(G111=0,"",(G114/G111)-1)))</f>
        <v/>
      </c>
      <c r="S114" s="23" t="str">
        <f>IF(ROW()&lt;9,"",IF(OR(G114="",G109=""),"",IF(G109=0,"",(G114/G109)-1)))</f>
        <v/>
      </c>
      <c r="T114" s="23" t="str">
        <f>IF(ROW()&lt;7,"",IF(OR(L114="",L111=""),"",IF(L111=0,"",(L114/L111)-1)))</f>
        <v/>
      </c>
      <c r="U114" s="23" t="str">
        <f>IF(ROW()&lt;9,"",IF(OR(L114="",L109=""),"",IF(L109=0,"",(L114/L109)-1)))</f>
        <v/>
      </c>
      <c r="V114" s="23" t="str">
        <f>IF(ROW()&lt;7,"",IF(OR(N114="",N111=""),"",IF(N111=0,"",(N114/N111)-1)))</f>
        <v/>
      </c>
      <c r="W114" s="23" t="str">
        <f>IF(ROW()&lt;9,"",IF(OR(N114="",N109=""),"",IF(N109=0,"",(N114/N109)-1)))</f>
        <v/>
      </c>
      <c r="X114" s="23" t="str">
        <f>IF(OR(F114="",M114=""),"",F114-M114)</f>
        <v/>
      </c>
      <c r="Y114" s="23" t="str">
        <f>IF(OR(P114="",T114=""),"",P114-T114)</f>
        <v/>
      </c>
      <c r="Z114" s="23" t="str">
        <f>IF(OR(Q114="",U114=""),"",Q114-U114)</f>
        <v/>
      </c>
      <c r="AA114" s="23" t="str">
        <f>IF(OR(H114="",O114=""),"",H114-O114)</f>
        <v/>
      </c>
      <c r="AB114" s="23" t="str">
        <f>IF(OR(R114="",V114=""),"",R114-V114)</f>
        <v/>
      </c>
      <c r="AC114" s="23" t="str">
        <f>IF(OR(S114="",W114=""),"",S114-W114)</f>
        <v/>
      </c>
      <c r="AD114" s="13"/>
      <c r="AE114" s="23" t="str">
        <f>IF(OR(AD114="",AD113=""),"",IF(AD113=0,"",(AD114/AD113)-1))</f>
        <v/>
      </c>
      <c r="AF114" s="23" t="str">
        <f>IF(ROW()&lt;7,"",IF(OR(AD114="",AD111=""),"",IF(AD111=0,"",(AD114/AD111)-1)))</f>
        <v/>
      </c>
      <c r="AG114" s="23" t="str">
        <f>IF(ROW()&lt;9,"",IF(OR(AD114="",AD109=""),"",IF(AD109=0,"",(AD114/AD109)-1)))</f>
        <v/>
      </c>
      <c r="AH114" s="23" t="str">
        <f>IF(OR(AF114="",AG114=""),"",IF(AND(AF114&gt;0,AG114&gt;0),"Bull",IF(AND(AF114&lt;0,AG114&lt;0),"Bear","Mixed")))</f>
        <v/>
      </c>
      <c r="AI114" s="13"/>
      <c r="AJ114" s="13" t="str">
        <f>IF(OR(AI114="",AI113=""),"",IF(AI113=0,"",(AI114/AI113)-1))</f>
        <v/>
      </c>
      <c r="AK114" s="23" t="str">
        <f>IF(OR(AJ114="",AJ113=""),"",IF(AJ113=0,"",(AJ114/AJ113)-1))</f>
        <v/>
      </c>
      <c r="AL114" s="23" t="str">
        <f>IF(ROW()&lt;7,"",IF(OR(AJ114="",AJ111=""),"",IF(AJ111=0,"",(AJ114/AJ111)-1)))</f>
        <v/>
      </c>
      <c r="AM114" s="23" t="str">
        <f>IF(ROW()&lt;9,"",IF(OR(AJ114="",AJ109=""),"",IF(AJ109=0,"",(AJ114/AJ109)-1)))</f>
        <v/>
      </c>
      <c r="AN114" t="str">
        <f>IF(OR(AL114="",AM114=""),"",IF(AND(AL114&gt;0,AM114&gt;0),"Bull",IF(AND(AL114&lt;0,AM114&lt;0),"Bear","Mixed")))</f>
        <v/>
      </c>
      <c r="AO114" t="str">
        <f>IF(OR(AH114="",AN114=""),"",IF(AND(AH114="Bull",AN114="Bull"),"YES","NO"))</f>
        <v/>
      </c>
      <c r="AP114" t="str">
        <f>IF(OR(AH114="",AN114=""),"",IF(AND(AH114="Bear",AN114="Bear"),"YES","NO"))</f>
        <v/>
      </c>
      <c r="AQ114" t="str">
        <f>IF(AO114="YES",IF(SUM(N(X114),N(Y114),N(Z114))&gt;0,"SOXL","TQQQ"),IF(AP114="YES",IF(SUM(N(AA114),N(AB114),N(AC114))&gt;0,"SOXS","SQQQ"),"WAIT"))</f>
        <v>WAIT</v>
      </c>
      <c r="AR114" s="23" t="str">
        <f>IF(AO114="YES",IF(SUM(N(X114),N(Y114),N(Z114))&gt;0,"TQQQ","SOXL"),IF(AP114="YES",IF(SUM(N(AA114),N(AB114),N(AC114))&gt;0,"SQQQ","SOXS"),""))</f>
        <v/>
      </c>
      <c r="AS114" s="23" t="str">
        <f>IF(AQ114="WAIT","",IF(AR114="",1,0.6))</f>
        <v/>
      </c>
      <c r="AT114" s="23">
        <f>IF(AR114="",0,0.4)</f>
        <v>0</v>
      </c>
      <c r="AU114" s="23" t="str">
        <f>IF(AQ114="WAIT","WAIT",IF(AO114="YES","BULL",IF(AP114="YES","BEAR","WAIT")))</f>
        <v>WAIT</v>
      </c>
      <c r="AV114" t="str">
        <f>IF(AQ114="WAIT","Low",IF(OR(AND(AU114="BULL",ABS(SUM(N(X114),N(Y114),N(Z114)))&gt;=0.15),AND(AU114="BEAR",ABS(SUM(N(AA114),N(AB114),N(AC114)))&gt;=0.15)),"Strong",IF(OR(AND(AU114="BULL",ABS(SUM(N(X114),N(Y114),N(Z114)))&gt;=0.05),AND(AU114="BEAR",ABS(SUM(N(AA114),N(AB114),N(AC114)))&gt;=0.05)),"Moderate","Low")))</f>
        <v>Low</v>
      </c>
      <c r="AW114" t="str">
        <f>IF(AQ114="WAIT","QQQ and SMH not aligned",IF(AU114="BULL",IF(AQ114="SOXL","Bull regime; semiconductors leading","Bull regime; tech leading"),IF(AQ114="SOXS","Bear regime; semiconductors weakest","Bear regime; tech weakest")))</f>
        <v>QQQ and SMH not aligned</v>
      </c>
      <c r="AX114" t="str">
        <f>IF(AR114="WAIT","QQQ and SMH not aligned",IF(AV114="BULL",IF(AR114="SOXL","Bull regime; semiconductors leading","Bull regime; tech leading"),IF(AR114="SOXS","Bear regime; semiconductors weakest","Bear regime; tech weakest")))</f>
        <v>Bear regime; tech weakest</v>
      </c>
    </row>
    <row r="115" spans="1:50" x14ac:dyDescent="0.2">
      <c r="A115" s="12"/>
      <c r="B115" s="13"/>
      <c r="C115" s="13"/>
      <c r="D115" s="13"/>
      <c r="E115" s="13"/>
      <c r="F115" s="11" t="str">
        <f>IF(OR(E115="",E114=""),"",IF(E114=0,"",(E115/E114)-1))</f>
        <v/>
      </c>
      <c r="G115" s="13"/>
      <c r="H115" s="11" t="str">
        <f>IF(OR(G115="",G114=""),"",IF(G114=0,"",(G115/G114)-1))</f>
        <v/>
      </c>
      <c r="I115" s="13"/>
      <c r="J115" s="13"/>
      <c r="K115" s="13"/>
      <c r="L115" s="13"/>
      <c r="M115" s="23" t="str">
        <f>IF(OR(L115="",L114=""),"",IF(L114=0,"",(L115/L114)-1))</f>
        <v/>
      </c>
      <c r="N115" s="26" t="str">
        <f>IFERROR((M115/M114)-1,"")</f>
        <v/>
      </c>
      <c r="O115" s="23" t="str">
        <f>IF(OR(N115="",N114=""),"",IF(N114=0,"",(N115/N114)-1))</f>
        <v/>
      </c>
      <c r="P115" s="11" t="str">
        <f>IF(ROW()&lt;7,"",IF(OR(E115="",E112=""),"",IF(E112=0,"",(E115/E112)-1)))</f>
        <v/>
      </c>
      <c r="Q115" s="23" t="str">
        <f>IF(ROW()&lt;9,"",IF(OR(E115="",E110=""),"",IF(E110=0,"",(E115/E110)-1)))</f>
        <v/>
      </c>
      <c r="R115" s="23" t="str">
        <f>IF(ROW()&lt;7,"",IF(OR(G115="",G112=""),"",IF(G112=0,"",(G115/G112)-1)))</f>
        <v/>
      </c>
      <c r="S115" s="23" t="str">
        <f>IF(ROW()&lt;9,"",IF(OR(G115="",G110=""),"",IF(G110=0,"",(G115/G110)-1)))</f>
        <v/>
      </c>
      <c r="T115" s="23" t="str">
        <f>IF(ROW()&lt;7,"",IF(OR(L115="",L112=""),"",IF(L112=0,"",(L115/L112)-1)))</f>
        <v/>
      </c>
      <c r="U115" s="23" t="str">
        <f>IF(ROW()&lt;9,"",IF(OR(L115="",L110=""),"",IF(L110=0,"",(L115/L110)-1)))</f>
        <v/>
      </c>
      <c r="V115" s="23" t="str">
        <f>IF(ROW()&lt;7,"",IF(OR(N115="",N112=""),"",IF(N112=0,"",(N115/N112)-1)))</f>
        <v/>
      </c>
      <c r="W115" s="23" t="str">
        <f>IF(ROW()&lt;9,"",IF(OR(N115="",N110=""),"",IF(N110=0,"",(N115/N110)-1)))</f>
        <v/>
      </c>
      <c r="X115" s="23" t="str">
        <f>IF(OR(F115="",M115=""),"",F115-M115)</f>
        <v/>
      </c>
      <c r="Y115" s="23" t="str">
        <f>IF(OR(P115="",T115=""),"",P115-T115)</f>
        <v/>
      </c>
      <c r="Z115" s="23" t="str">
        <f>IF(OR(Q115="",U115=""),"",Q115-U115)</f>
        <v/>
      </c>
      <c r="AA115" s="23" t="str">
        <f>IF(OR(H115="",O115=""),"",H115-O115)</f>
        <v/>
      </c>
      <c r="AB115" s="23" t="str">
        <f>IF(OR(R115="",V115=""),"",R115-V115)</f>
        <v/>
      </c>
      <c r="AC115" s="23" t="str">
        <f>IF(OR(S115="",W115=""),"",S115-W115)</f>
        <v/>
      </c>
      <c r="AD115" s="13"/>
      <c r="AE115" s="23" t="str">
        <f>IF(OR(AD115="",AD114=""),"",IF(AD114=0,"",(AD115/AD114)-1))</f>
        <v/>
      </c>
      <c r="AF115" s="23" t="str">
        <f>IF(ROW()&lt;7,"",IF(OR(AD115="",AD112=""),"",IF(AD112=0,"",(AD115/AD112)-1)))</f>
        <v/>
      </c>
      <c r="AG115" s="23" t="str">
        <f>IF(ROW()&lt;9,"",IF(OR(AD115="",AD110=""),"",IF(AD110=0,"",(AD115/AD110)-1)))</f>
        <v/>
      </c>
      <c r="AH115" s="23" t="str">
        <f>IF(OR(AF115="",AG115=""),"",IF(AND(AF115&gt;0,AG115&gt;0),"Bull",IF(AND(AF115&lt;0,AG115&lt;0),"Bear","Mixed")))</f>
        <v/>
      </c>
      <c r="AI115" s="13"/>
      <c r="AJ115" s="13" t="str">
        <f>IF(OR(AI115="",AI114=""),"",IF(AI114=0,"",(AI115/AI114)-1))</f>
        <v/>
      </c>
      <c r="AK115" s="23" t="str">
        <f>IF(OR(AJ115="",AJ114=""),"",IF(AJ114=0,"",(AJ115/AJ114)-1))</f>
        <v/>
      </c>
      <c r="AL115" s="23" t="str">
        <f>IF(ROW()&lt;7,"",IF(OR(AJ115="",AJ112=""),"",IF(AJ112=0,"",(AJ115/AJ112)-1)))</f>
        <v/>
      </c>
      <c r="AM115" s="23" t="str">
        <f>IF(ROW()&lt;9,"",IF(OR(AJ115="",AJ110=""),"",IF(AJ110=0,"",(AJ115/AJ110)-1)))</f>
        <v/>
      </c>
      <c r="AN115" t="str">
        <f>IF(OR(AL115="",AM115=""),"",IF(AND(AL115&gt;0,AM115&gt;0),"Bull",IF(AND(AL115&lt;0,AM115&lt;0),"Bear","Mixed")))</f>
        <v/>
      </c>
      <c r="AO115" t="str">
        <f>IF(OR(AH115="",AN115=""),"",IF(AND(AH115="Bull",AN115="Bull"),"YES","NO"))</f>
        <v/>
      </c>
      <c r="AP115" t="str">
        <f>IF(OR(AH115="",AN115=""),"",IF(AND(AH115="Bear",AN115="Bear"),"YES","NO"))</f>
        <v/>
      </c>
      <c r="AQ115" t="str">
        <f>IF(AO115="YES",IF(SUM(N(X115),N(Y115),N(Z115))&gt;0,"SOXL","TQQQ"),IF(AP115="YES",IF(SUM(N(AA115),N(AB115),N(AC115))&gt;0,"SOXS","SQQQ"),"WAIT"))</f>
        <v>WAIT</v>
      </c>
      <c r="AR115" s="23" t="str">
        <f>IF(AO115="YES",IF(SUM(N(X115),N(Y115),N(Z115))&gt;0,"TQQQ","SOXL"),IF(AP115="YES",IF(SUM(N(AA115),N(AB115),N(AC115))&gt;0,"SQQQ","SOXS"),""))</f>
        <v/>
      </c>
      <c r="AS115" s="23" t="str">
        <f>IF(AQ115="WAIT","",IF(AR115="",1,0.6))</f>
        <v/>
      </c>
      <c r="AT115" s="23">
        <f>IF(AR115="",0,0.4)</f>
        <v>0</v>
      </c>
      <c r="AU115" s="23" t="str">
        <f>IF(AQ115="WAIT","WAIT",IF(AO115="YES","BULL",IF(AP115="YES","BEAR","WAIT")))</f>
        <v>WAIT</v>
      </c>
      <c r="AV115" t="str">
        <f>IF(AQ115="WAIT","Low",IF(OR(AND(AU115="BULL",ABS(SUM(N(X115),N(Y115),N(Z115)))&gt;=0.15),AND(AU115="BEAR",ABS(SUM(N(AA115),N(AB115),N(AC115)))&gt;=0.15)),"Strong",IF(OR(AND(AU115="BULL",ABS(SUM(N(X115),N(Y115),N(Z115)))&gt;=0.05),AND(AU115="BEAR",ABS(SUM(N(AA115),N(AB115),N(AC115)))&gt;=0.05)),"Moderate","Low")))</f>
        <v>Low</v>
      </c>
      <c r="AW115" t="str">
        <f>IF(AQ115="WAIT","QQQ and SMH not aligned",IF(AU115="BULL",IF(AQ115="SOXL","Bull regime; semiconductors leading","Bull regime; tech leading"),IF(AQ115="SOXS","Bear regime; semiconductors weakest","Bear regime; tech weakest")))</f>
        <v>QQQ and SMH not aligned</v>
      </c>
      <c r="AX115" t="str">
        <f>IF(AR115="WAIT","QQQ and SMH not aligned",IF(AV115="BULL",IF(AR115="SOXL","Bull regime; semiconductors leading","Bull regime; tech leading"),IF(AR115="SOXS","Bear regime; semiconductors weakest","Bear regime; tech weakest")))</f>
        <v>Bear regime; tech weakest</v>
      </c>
    </row>
    <row r="116" spans="1:50" x14ac:dyDescent="0.2">
      <c r="A116" s="12"/>
      <c r="B116" s="13"/>
      <c r="C116" s="13"/>
      <c r="D116" s="13"/>
      <c r="E116" s="13"/>
      <c r="F116" s="11" t="str">
        <f>IF(OR(E116="",E115=""),"",IF(E115=0,"",(E116/E115)-1))</f>
        <v/>
      </c>
      <c r="G116" s="13"/>
      <c r="H116" s="11" t="str">
        <f>IF(OR(G116="",G115=""),"",IF(G115=0,"",(G116/G115)-1))</f>
        <v/>
      </c>
      <c r="I116" s="13"/>
      <c r="J116" s="13"/>
      <c r="K116" s="13"/>
      <c r="L116" s="13"/>
      <c r="M116" s="23" t="str">
        <f>IF(OR(L116="",L115=""),"",IF(L115=0,"",(L116/L115)-1))</f>
        <v/>
      </c>
      <c r="N116" s="26" t="str">
        <f>IFERROR((M116/M115)-1,"")</f>
        <v/>
      </c>
      <c r="O116" s="23" t="str">
        <f>IF(OR(N116="",N115=""),"",IF(N115=0,"",(N116/N115)-1))</f>
        <v/>
      </c>
      <c r="P116" s="11" t="str">
        <f>IF(ROW()&lt;7,"",IF(OR(E116="",E113=""),"",IF(E113=0,"",(E116/E113)-1)))</f>
        <v/>
      </c>
      <c r="Q116" s="23" t="str">
        <f>IF(ROW()&lt;9,"",IF(OR(E116="",E111=""),"",IF(E111=0,"",(E116/E111)-1)))</f>
        <v/>
      </c>
      <c r="R116" s="23" t="str">
        <f>IF(ROW()&lt;7,"",IF(OR(G116="",G113=""),"",IF(G113=0,"",(G116/G113)-1)))</f>
        <v/>
      </c>
      <c r="S116" s="23" t="str">
        <f>IF(ROW()&lt;9,"",IF(OR(G116="",G111=""),"",IF(G111=0,"",(G116/G111)-1)))</f>
        <v/>
      </c>
      <c r="T116" s="23" t="str">
        <f>IF(ROW()&lt;7,"",IF(OR(L116="",L113=""),"",IF(L113=0,"",(L116/L113)-1)))</f>
        <v/>
      </c>
      <c r="U116" s="23" t="str">
        <f>IF(ROW()&lt;9,"",IF(OR(L116="",L111=""),"",IF(L111=0,"",(L116/L111)-1)))</f>
        <v/>
      </c>
      <c r="V116" s="23" t="str">
        <f>IF(ROW()&lt;7,"",IF(OR(N116="",N113=""),"",IF(N113=0,"",(N116/N113)-1)))</f>
        <v/>
      </c>
      <c r="W116" s="23" t="str">
        <f>IF(ROW()&lt;9,"",IF(OR(N116="",N111=""),"",IF(N111=0,"",(N116/N111)-1)))</f>
        <v/>
      </c>
      <c r="X116" s="23" t="str">
        <f>IF(OR(F116="",M116=""),"",F116-M116)</f>
        <v/>
      </c>
      <c r="Y116" s="23" t="str">
        <f>IF(OR(P116="",T116=""),"",P116-T116)</f>
        <v/>
      </c>
      <c r="Z116" s="23" t="str">
        <f>IF(OR(Q116="",U116=""),"",Q116-U116)</f>
        <v/>
      </c>
      <c r="AA116" s="23" t="str">
        <f>IF(OR(H116="",O116=""),"",H116-O116)</f>
        <v/>
      </c>
      <c r="AB116" s="23" t="str">
        <f>IF(OR(R116="",V116=""),"",R116-V116)</f>
        <v/>
      </c>
      <c r="AC116" s="23" t="str">
        <f>IF(OR(S116="",W116=""),"",S116-W116)</f>
        <v/>
      </c>
      <c r="AD116" s="13"/>
      <c r="AE116" s="23" t="str">
        <f>IF(OR(AD116="",AD115=""),"",IF(AD115=0,"",(AD116/AD115)-1))</f>
        <v/>
      </c>
      <c r="AF116" s="23" t="str">
        <f>IF(ROW()&lt;7,"",IF(OR(AD116="",AD113=""),"",IF(AD113=0,"",(AD116/AD113)-1)))</f>
        <v/>
      </c>
      <c r="AG116" s="23" t="str">
        <f>IF(ROW()&lt;9,"",IF(OR(AD116="",AD111=""),"",IF(AD111=0,"",(AD116/AD111)-1)))</f>
        <v/>
      </c>
      <c r="AH116" s="23" t="str">
        <f>IF(OR(AF116="",AG116=""),"",IF(AND(AF116&gt;0,AG116&gt;0),"Bull",IF(AND(AF116&lt;0,AG116&lt;0),"Bear","Mixed")))</f>
        <v/>
      </c>
      <c r="AI116" s="13"/>
      <c r="AJ116" s="13" t="str">
        <f>IF(OR(AI116="",AI115=""),"",IF(AI115=0,"",(AI116/AI115)-1))</f>
        <v/>
      </c>
      <c r="AK116" s="23" t="str">
        <f>IF(OR(AJ116="",AJ115=""),"",IF(AJ115=0,"",(AJ116/AJ115)-1))</f>
        <v/>
      </c>
      <c r="AL116" s="23" t="str">
        <f>IF(ROW()&lt;7,"",IF(OR(AJ116="",AJ113=""),"",IF(AJ113=0,"",(AJ116/AJ113)-1)))</f>
        <v/>
      </c>
      <c r="AM116" s="23" t="str">
        <f>IF(ROW()&lt;9,"",IF(OR(AJ116="",AJ111=""),"",IF(AJ111=0,"",(AJ116/AJ111)-1)))</f>
        <v/>
      </c>
      <c r="AN116" t="str">
        <f>IF(OR(AL116="",AM116=""),"",IF(AND(AL116&gt;0,AM116&gt;0),"Bull",IF(AND(AL116&lt;0,AM116&lt;0),"Bear","Mixed")))</f>
        <v/>
      </c>
      <c r="AO116" t="str">
        <f>IF(OR(AH116="",AN116=""),"",IF(AND(AH116="Bull",AN116="Bull"),"YES","NO"))</f>
        <v/>
      </c>
      <c r="AP116" t="str">
        <f>IF(OR(AH116="",AN116=""),"",IF(AND(AH116="Bear",AN116="Bear"),"YES","NO"))</f>
        <v/>
      </c>
      <c r="AQ116" t="str">
        <f>IF(AO116="YES",IF(SUM(N(X116),N(Y116),N(Z116))&gt;0,"SOXL","TQQQ"),IF(AP116="YES",IF(SUM(N(AA116),N(AB116),N(AC116))&gt;0,"SOXS","SQQQ"),"WAIT"))</f>
        <v>WAIT</v>
      </c>
      <c r="AR116" s="23" t="str">
        <f>IF(AO116="YES",IF(SUM(N(X116),N(Y116),N(Z116))&gt;0,"TQQQ","SOXL"),IF(AP116="YES",IF(SUM(N(AA116),N(AB116),N(AC116))&gt;0,"SQQQ","SOXS"),""))</f>
        <v/>
      </c>
      <c r="AS116" s="23" t="str">
        <f>IF(AQ116="WAIT","",IF(AR116="",1,0.6))</f>
        <v/>
      </c>
      <c r="AT116" s="23">
        <f>IF(AR116="",0,0.4)</f>
        <v>0</v>
      </c>
      <c r="AU116" s="23" t="str">
        <f>IF(AQ116="WAIT","WAIT",IF(AO116="YES","BULL",IF(AP116="YES","BEAR","WAIT")))</f>
        <v>WAIT</v>
      </c>
      <c r="AV116" t="str">
        <f>IF(AQ116="WAIT","Low",IF(OR(AND(AU116="BULL",ABS(SUM(N(X116),N(Y116),N(Z116)))&gt;=0.15),AND(AU116="BEAR",ABS(SUM(N(AA116),N(AB116),N(AC116)))&gt;=0.15)),"Strong",IF(OR(AND(AU116="BULL",ABS(SUM(N(X116),N(Y116),N(Z116)))&gt;=0.05),AND(AU116="BEAR",ABS(SUM(N(AA116),N(AB116),N(AC116)))&gt;=0.05)),"Moderate","Low")))</f>
        <v>Low</v>
      </c>
      <c r="AW116" t="str">
        <f>IF(AQ116="WAIT","QQQ and SMH not aligned",IF(AU116="BULL",IF(AQ116="SOXL","Bull regime; semiconductors leading","Bull regime; tech leading"),IF(AQ116="SOXS","Bear regime; semiconductors weakest","Bear regime; tech weakest")))</f>
        <v>QQQ and SMH not aligned</v>
      </c>
      <c r="AX116" t="str">
        <f>IF(AR116="WAIT","QQQ and SMH not aligned",IF(AV116="BULL",IF(AR116="SOXL","Bull regime; semiconductors leading","Bull regime; tech leading"),IF(AR116="SOXS","Bear regime; semiconductors weakest","Bear regime; tech weakest")))</f>
        <v>Bear regime; tech weakest</v>
      </c>
    </row>
    <row r="117" spans="1:50" x14ac:dyDescent="0.2">
      <c r="A117" s="12"/>
      <c r="B117" s="13"/>
      <c r="C117" s="13"/>
      <c r="D117" s="13"/>
      <c r="E117" s="13"/>
      <c r="F117" s="11" t="str">
        <f>IF(OR(E117="",E116=""),"",IF(E116=0,"",(E117/E116)-1))</f>
        <v/>
      </c>
      <c r="G117" s="13"/>
      <c r="H117" s="11" t="str">
        <f>IF(OR(G117="",G116=""),"",IF(G116=0,"",(G117/G116)-1))</f>
        <v/>
      </c>
      <c r="I117" s="13"/>
      <c r="J117" s="13"/>
      <c r="K117" s="13"/>
      <c r="L117" s="13"/>
      <c r="M117" s="23" t="str">
        <f>IF(OR(L117="",L116=""),"",IF(L116=0,"",(L117/L116)-1))</f>
        <v/>
      </c>
      <c r="N117" s="26" t="str">
        <f>IFERROR((M117/M116)-1,"")</f>
        <v/>
      </c>
      <c r="O117" s="23" t="str">
        <f>IF(OR(N117="",N116=""),"",IF(N116=0,"",(N117/N116)-1))</f>
        <v/>
      </c>
      <c r="P117" s="11" t="str">
        <f>IF(ROW()&lt;7,"",IF(OR(E117="",E114=""),"",IF(E114=0,"",(E117/E114)-1)))</f>
        <v/>
      </c>
      <c r="Q117" s="23" t="str">
        <f>IF(ROW()&lt;9,"",IF(OR(E117="",E112=""),"",IF(E112=0,"",(E117/E112)-1)))</f>
        <v/>
      </c>
      <c r="R117" s="23" t="str">
        <f>IF(ROW()&lt;7,"",IF(OR(G117="",G114=""),"",IF(G114=0,"",(G117/G114)-1)))</f>
        <v/>
      </c>
      <c r="S117" s="23" t="str">
        <f>IF(ROW()&lt;9,"",IF(OR(G117="",G112=""),"",IF(G112=0,"",(G117/G112)-1)))</f>
        <v/>
      </c>
      <c r="T117" s="23" t="str">
        <f>IF(ROW()&lt;7,"",IF(OR(L117="",L114=""),"",IF(L114=0,"",(L117/L114)-1)))</f>
        <v/>
      </c>
      <c r="U117" s="23" t="str">
        <f>IF(ROW()&lt;9,"",IF(OR(L117="",L112=""),"",IF(L112=0,"",(L117/L112)-1)))</f>
        <v/>
      </c>
      <c r="V117" s="23" t="str">
        <f>IF(ROW()&lt;7,"",IF(OR(N117="",N114=""),"",IF(N114=0,"",(N117/N114)-1)))</f>
        <v/>
      </c>
      <c r="W117" s="23" t="str">
        <f>IF(ROW()&lt;9,"",IF(OR(N117="",N112=""),"",IF(N112=0,"",(N117/N112)-1)))</f>
        <v/>
      </c>
      <c r="X117" s="23" t="str">
        <f>IF(OR(F117="",M117=""),"",F117-M117)</f>
        <v/>
      </c>
      <c r="Y117" s="23" t="str">
        <f>IF(OR(P117="",T117=""),"",P117-T117)</f>
        <v/>
      </c>
      <c r="Z117" s="23" t="str">
        <f>IF(OR(Q117="",U117=""),"",Q117-U117)</f>
        <v/>
      </c>
      <c r="AA117" s="23" t="str">
        <f>IF(OR(H117="",O117=""),"",H117-O117)</f>
        <v/>
      </c>
      <c r="AB117" s="23" t="str">
        <f>IF(OR(R117="",V117=""),"",R117-V117)</f>
        <v/>
      </c>
      <c r="AC117" s="23" t="str">
        <f>IF(OR(S117="",W117=""),"",S117-W117)</f>
        <v/>
      </c>
      <c r="AD117" s="13"/>
      <c r="AE117" s="23" t="str">
        <f>IF(OR(AD117="",AD116=""),"",IF(AD116=0,"",(AD117/AD116)-1))</f>
        <v/>
      </c>
      <c r="AF117" s="23" t="str">
        <f>IF(ROW()&lt;7,"",IF(OR(AD117="",AD114=""),"",IF(AD114=0,"",(AD117/AD114)-1)))</f>
        <v/>
      </c>
      <c r="AG117" s="23" t="str">
        <f>IF(ROW()&lt;9,"",IF(OR(AD117="",AD112=""),"",IF(AD112=0,"",(AD117/AD112)-1)))</f>
        <v/>
      </c>
      <c r="AH117" s="23" t="str">
        <f>IF(OR(AF117="",AG117=""),"",IF(AND(AF117&gt;0,AG117&gt;0),"Bull",IF(AND(AF117&lt;0,AG117&lt;0),"Bear","Mixed")))</f>
        <v/>
      </c>
      <c r="AI117" s="13"/>
      <c r="AJ117" s="13" t="str">
        <f>IF(OR(AI117="",AI116=""),"",IF(AI116=0,"",(AI117/AI116)-1))</f>
        <v/>
      </c>
      <c r="AK117" s="23" t="str">
        <f>IF(OR(AJ117="",AJ116=""),"",IF(AJ116=0,"",(AJ117/AJ116)-1))</f>
        <v/>
      </c>
      <c r="AL117" s="23" t="str">
        <f>IF(ROW()&lt;7,"",IF(OR(AJ117="",AJ114=""),"",IF(AJ114=0,"",(AJ117/AJ114)-1)))</f>
        <v/>
      </c>
      <c r="AM117" s="23" t="str">
        <f>IF(ROW()&lt;9,"",IF(OR(AJ117="",AJ112=""),"",IF(AJ112=0,"",(AJ117/AJ112)-1)))</f>
        <v/>
      </c>
      <c r="AN117" t="str">
        <f>IF(OR(AL117="",AM117=""),"",IF(AND(AL117&gt;0,AM117&gt;0),"Bull",IF(AND(AL117&lt;0,AM117&lt;0),"Bear","Mixed")))</f>
        <v/>
      </c>
      <c r="AO117" t="str">
        <f>IF(OR(AH117="",AN117=""),"",IF(AND(AH117="Bull",AN117="Bull"),"YES","NO"))</f>
        <v/>
      </c>
      <c r="AP117" t="str">
        <f>IF(OR(AH117="",AN117=""),"",IF(AND(AH117="Bear",AN117="Bear"),"YES","NO"))</f>
        <v/>
      </c>
      <c r="AQ117" t="str">
        <f>IF(AO117="YES",IF(SUM(N(X117),N(Y117),N(Z117))&gt;0,"SOXL","TQQQ"),IF(AP117="YES",IF(SUM(N(AA117),N(AB117),N(AC117))&gt;0,"SOXS","SQQQ"),"WAIT"))</f>
        <v>WAIT</v>
      </c>
      <c r="AR117" s="23" t="str">
        <f>IF(AO117="YES",IF(SUM(N(X117),N(Y117),N(Z117))&gt;0,"TQQQ","SOXL"),IF(AP117="YES",IF(SUM(N(AA117),N(AB117),N(AC117))&gt;0,"SQQQ","SOXS"),""))</f>
        <v/>
      </c>
      <c r="AS117" s="23" t="str">
        <f>IF(AQ117="WAIT","",IF(AR117="",1,0.6))</f>
        <v/>
      </c>
      <c r="AT117" s="23">
        <f>IF(AR117="",0,0.4)</f>
        <v>0</v>
      </c>
      <c r="AU117" s="23" t="str">
        <f>IF(AQ117="WAIT","WAIT",IF(AO117="YES","BULL",IF(AP117="YES","BEAR","WAIT")))</f>
        <v>WAIT</v>
      </c>
      <c r="AV117" t="str">
        <f>IF(AQ117="WAIT","Low",IF(OR(AND(AU117="BULL",ABS(SUM(N(X117),N(Y117),N(Z117)))&gt;=0.15),AND(AU117="BEAR",ABS(SUM(N(AA117),N(AB117),N(AC117)))&gt;=0.15)),"Strong",IF(OR(AND(AU117="BULL",ABS(SUM(N(X117),N(Y117),N(Z117)))&gt;=0.05),AND(AU117="BEAR",ABS(SUM(N(AA117),N(AB117),N(AC117)))&gt;=0.05)),"Moderate","Low")))</f>
        <v>Low</v>
      </c>
      <c r="AW117" t="str">
        <f>IF(AQ117="WAIT","QQQ and SMH not aligned",IF(AU117="BULL",IF(AQ117="SOXL","Bull regime; semiconductors leading","Bull regime; tech leading"),IF(AQ117="SOXS","Bear regime; semiconductors weakest","Bear regime; tech weakest")))</f>
        <v>QQQ and SMH not aligned</v>
      </c>
      <c r="AX117" t="str">
        <f>IF(AR117="WAIT","QQQ and SMH not aligned",IF(AV117="BULL",IF(AR117="SOXL","Bull regime; semiconductors leading","Bull regime; tech leading"),IF(AR117="SOXS","Bear regime; semiconductors weakest","Bear regime; tech weakest")))</f>
        <v>Bear regime; tech weakest</v>
      </c>
    </row>
    <row r="118" spans="1:50" x14ac:dyDescent="0.2">
      <c r="A118" s="12"/>
      <c r="B118" s="13"/>
      <c r="C118" s="13"/>
      <c r="D118" s="13"/>
      <c r="E118" s="13"/>
      <c r="F118" s="11" t="str">
        <f>IF(OR(E118="",E117=""),"",IF(E117=0,"",(E118/E117)-1))</f>
        <v/>
      </c>
      <c r="G118" s="13"/>
      <c r="H118" s="11" t="str">
        <f>IF(OR(G118="",G117=""),"",IF(G117=0,"",(G118/G117)-1))</f>
        <v/>
      </c>
      <c r="I118" s="13"/>
      <c r="J118" s="13"/>
      <c r="K118" s="13"/>
      <c r="L118" s="13"/>
      <c r="M118" s="23" t="str">
        <f>IF(OR(L118="",L117=""),"",IF(L117=0,"",(L118/L117)-1))</f>
        <v/>
      </c>
      <c r="N118" s="26" t="str">
        <f>IFERROR((M118/M117)-1,"")</f>
        <v/>
      </c>
      <c r="O118" s="23" t="str">
        <f>IF(OR(N118="",N117=""),"",IF(N117=0,"",(N118/N117)-1))</f>
        <v/>
      </c>
      <c r="P118" s="11" t="str">
        <f>IF(ROW()&lt;7,"",IF(OR(E118="",E115=""),"",IF(E115=0,"",(E118/E115)-1)))</f>
        <v/>
      </c>
      <c r="Q118" s="23" t="str">
        <f>IF(ROW()&lt;9,"",IF(OR(E118="",E113=""),"",IF(E113=0,"",(E118/E113)-1)))</f>
        <v/>
      </c>
      <c r="R118" s="23" t="str">
        <f>IF(ROW()&lt;7,"",IF(OR(G118="",G115=""),"",IF(G115=0,"",(G118/G115)-1)))</f>
        <v/>
      </c>
      <c r="S118" s="23" t="str">
        <f>IF(ROW()&lt;9,"",IF(OR(G118="",G113=""),"",IF(G113=0,"",(G118/G113)-1)))</f>
        <v/>
      </c>
      <c r="T118" s="23" t="str">
        <f>IF(ROW()&lt;7,"",IF(OR(L118="",L115=""),"",IF(L115=0,"",(L118/L115)-1)))</f>
        <v/>
      </c>
      <c r="U118" s="23" t="str">
        <f>IF(ROW()&lt;9,"",IF(OR(L118="",L113=""),"",IF(L113=0,"",(L118/L113)-1)))</f>
        <v/>
      </c>
      <c r="V118" s="23" t="str">
        <f>IF(ROW()&lt;7,"",IF(OR(N118="",N115=""),"",IF(N115=0,"",(N118/N115)-1)))</f>
        <v/>
      </c>
      <c r="W118" s="23" t="str">
        <f>IF(ROW()&lt;9,"",IF(OR(N118="",N113=""),"",IF(N113=0,"",(N118/N113)-1)))</f>
        <v/>
      </c>
      <c r="X118" s="23" t="str">
        <f>IF(OR(F118="",M118=""),"",F118-M118)</f>
        <v/>
      </c>
      <c r="Y118" s="23" t="str">
        <f>IF(OR(P118="",T118=""),"",P118-T118)</f>
        <v/>
      </c>
      <c r="Z118" s="23" t="str">
        <f>IF(OR(Q118="",U118=""),"",Q118-U118)</f>
        <v/>
      </c>
      <c r="AA118" s="23" t="str">
        <f>IF(OR(H118="",O118=""),"",H118-O118)</f>
        <v/>
      </c>
      <c r="AB118" s="23" t="str">
        <f>IF(OR(R118="",V118=""),"",R118-V118)</f>
        <v/>
      </c>
      <c r="AC118" s="23" t="str">
        <f>IF(OR(S118="",W118=""),"",S118-W118)</f>
        <v/>
      </c>
      <c r="AD118" s="13"/>
      <c r="AE118" s="23" t="str">
        <f>IF(OR(AD118="",AD117=""),"",IF(AD117=0,"",(AD118/AD117)-1))</f>
        <v/>
      </c>
      <c r="AF118" s="23" t="str">
        <f>IF(ROW()&lt;7,"",IF(OR(AD118="",AD115=""),"",IF(AD115=0,"",(AD118/AD115)-1)))</f>
        <v/>
      </c>
      <c r="AG118" s="23" t="str">
        <f>IF(ROW()&lt;9,"",IF(OR(AD118="",AD113=""),"",IF(AD113=0,"",(AD118/AD113)-1)))</f>
        <v/>
      </c>
      <c r="AH118" s="23" t="str">
        <f>IF(OR(AF118="",AG118=""),"",IF(AND(AF118&gt;0,AG118&gt;0),"Bull",IF(AND(AF118&lt;0,AG118&lt;0),"Bear","Mixed")))</f>
        <v/>
      </c>
      <c r="AI118" s="13"/>
      <c r="AJ118" s="13" t="str">
        <f>IF(OR(AI118="",AI117=""),"",IF(AI117=0,"",(AI118/AI117)-1))</f>
        <v/>
      </c>
      <c r="AK118" s="23" t="str">
        <f>IF(OR(AJ118="",AJ117=""),"",IF(AJ117=0,"",(AJ118/AJ117)-1))</f>
        <v/>
      </c>
      <c r="AL118" s="23" t="str">
        <f>IF(ROW()&lt;7,"",IF(OR(AJ118="",AJ115=""),"",IF(AJ115=0,"",(AJ118/AJ115)-1)))</f>
        <v/>
      </c>
      <c r="AM118" s="23" t="str">
        <f>IF(ROW()&lt;9,"",IF(OR(AJ118="",AJ113=""),"",IF(AJ113=0,"",(AJ118/AJ113)-1)))</f>
        <v/>
      </c>
      <c r="AN118" t="str">
        <f>IF(OR(AL118="",AM118=""),"",IF(AND(AL118&gt;0,AM118&gt;0),"Bull",IF(AND(AL118&lt;0,AM118&lt;0),"Bear","Mixed")))</f>
        <v/>
      </c>
      <c r="AO118" t="str">
        <f>IF(OR(AH118="",AN118=""),"",IF(AND(AH118="Bull",AN118="Bull"),"YES","NO"))</f>
        <v/>
      </c>
      <c r="AP118" t="str">
        <f>IF(OR(AH118="",AN118=""),"",IF(AND(AH118="Bear",AN118="Bear"),"YES","NO"))</f>
        <v/>
      </c>
      <c r="AQ118" t="str">
        <f>IF(AO118="YES",IF(SUM(N(X118),N(Y118),N(Z118))&gt;0,"SOXL","TQQQ"),IF(AP118="YES",IF(SUM(N(AA118),N(AB118),N(AC118))&gt;0,"SOXS","SQQQ"),"WAIT"))</f>
        <v>WAIT</v>
      </c>
      <c r="AR118" s="23" t="str">
        <f>IF(AO118="YES",IF(SUM(N(X118),N(Y118),N(Z118))&gt;0,"TQQQ","SOXL"),IF(AP118="YES",IF(SUM(N(AA118),N(AB118),N(AC118))&gt;0,"SQQQ","SOXS"),""))</f>
        <v/>
      </c>
      <c r="AS118" s="23" t="str">
        <f>IF(AQ118="WAIT","",IF(AR118="",1,0.6))</f>
        <v/>
      </c>
      <c r="AT118" s="23">
        <f>IF(AR118="",0,0.4)</f>
        <v>0</v>
      </c>
      <c r="AU118" s="23" t="str">
        <f>IF(AQ118="WAIT","WAIT",IF(AO118="YES","BULL",IF(AP118="YES","BEAR","WAIT")))</f>
        <v>WAIT</v>
      </c>
      <c r="AV118" t="str">
        <f>IF(AQ118="WAIT","Low",IF(OR(AND(AU118="BULL",ABS(SUM(N(X118),N(Y118),N(Z118)))&gt;=0.15),AND(AU118="BEAR",ABS(SUM(N(AA118),N(AB118),N(AC118)))&gt;=0.15)),"Strong",IF(OR(AND(AU118="BULL",ABS(SUM(N(X118),N(Y118),N(Z118)))&gt;=0.05),AND(AU118="BEAR",ABS(SUM(N(AA118),N(AB118),N(AC118)))&gt;=0.05)),"Moderate","Low")))</f>
        <v>Low</v>
      </c>
      <c r="AW118" t="str">
        <f>IF(AQ118="WAIT","QQQ and SMH not aligned",IF(AU118="BULL",IF(AQ118="SOXL","Bull regime; semiconductors leading","Bull regime; tech leading"),IF(AQ118="SOXS","Bear regime; semiconductors weakest","Bear regime; tech weakest")))</f>
        <v>QQQ and SMH not aligned</v>
      </c>
      <c r="AX118" t="str">
        <f>IF(AR118="WAIT","QQQ and SMH not aligned",IF(AV118="BULL",IF(AR118="SOXL","Bull regime; semiconductors leading","Bull regime; tech leading"),IF(AR118="SOXS","Bear regime; semiconductors weakest","Bear regime; tech weakest")))</f>
        <v>Bear regime; tech weakest</v>
      </c>
    </row>
    <row r="119" spans="1:50" x14ac:dyDescent="0.2">
      <c r="A119" s="12"/>
      <c r="B119" s="13"/>
      <c r="C119" s="13"/>
      <c r="D119" s="13"/>
      <c r="E119" s="13"/>
      <c r="F119" s="11" t="str">
        <f>IF(OR(E119="",E118=""),"",IF(E118=0,"",(E119/E118)-1))</f>
        <v/>
      </c>
      <c r="G119" s="13"/>
      <c r="H119" s="11" t="str">
        <f>IF(OR(G119="",G118=""),"",IF(G118=0,"",(G119/G118)-1))</f>
        <v/>
      </c>
      <c r="I119" s="13"/>
      <c r="J119" s="13"/>
      <c r="K119" s="13"/>
      <c r="L119" s="13"/>
      <c r="M119" s="23" t="str">
        <f>IF(OR(L119="",L118=""),"",IF(L118=0,"",(L119/L118)-1))</f>
        <v/>
      </c>
      <c r="N119" s="26" t="str">
        <f>IFERROR((M119/M118)-1,"")</f>
        <v/>
      </c>
      <c r="O119" s="23" t="str">
        <f>IF(OR(N119="",N118=""),"",IF(N118=0,"",(N119/N118)-1))</f>
        <v/>
      </c>
      <c r="P119" s="11" t="str">
        <f>IF(ROW()&lt;7,"",IF(OR(E119="",E116=""),"",IF(E116=0,"",(E119/E116)-1)))</f>
        <v/>
      </c>
      <c r="Q119" s="23" t="str">
        <f>IF(ROW()&lt;9,"",IF(OR(E119="",E114=""),"",IF(E114=0,"",(E119/E114)-1)))</f>
        <v/>
      </c>
      <c r="R119" s="23" t="str">
        <f>IF(ROW()&lt;7,"",IF(OR(G119="",G116=""),"",IF(G116=0,"",(G119/G116)-1)))</f>
        <v/>
      </c>
      <c r="S119" s="23" t="str">
        <f>IF(ROW()&lt;9,"",IF(OR(G119="",G114=""),"",IF(G114=0,"",(G119/G114)-1)))</f>
        <v/>
      </c>
      <c r="T119" s="23" t="str">
        <f>IF(ROW()&lt;7,"",IF(OR(L119="",L116=""),"",IF(L116=0,"",(L119/L116)-1)))</f>
        <v/>
      </c>
      <c r="U119" s="23" t="str">
        <f>IF(ROW()&lt;9,"",IF(OR(L119="",L114=""),"",IF(L114=0,"",(L119/L114)-1)))</f>
        <v/>
      </c>
      <c r="V119" s="23" t="str">
        <f>IF(ROW()&lt;7,"",IF(OR(N119="",N116=""),"",IF(N116=0,"",(N119/N116)-1)))</f>
        <v/>
      </c>
      <c r="W119" s="23" t="str">
        <f>IF(ROW()&lt;9,"",IF(OR(N119="",N114=""),"",IF(N114=0,"",(N119/N114)-1)))</f>
        <v/>
      </c>
      <c r="X119" s="23" t="str">
        <f>IF(OR(F119="",M119=""),"",F119-M119)</f>
        <v/>
      </c>
      <c r="Y119" s="23" t="str">
        <f>IF(OR(P119="",T119=""),"",P119-T119)</f>
        <v/>
      </c>
      <c r="Z119" s="23" t="str">
        <f>IF(OR(Q119="",U119=""),"",Q119-U119)</f>
        <v/>
      </c>
      <c r="AA119" s="23" t="str">
        <f>IF(OR(H119="",O119=""),"",H119-O119)</f>
        <v/>
      </c>
      <c r="AB119" s="23" t="str">
        <f>IF(OR(R119="",V119=""),"",R119-V119)</f>
        <v/>
      </c>
      <c r="AC119" s="23" t="str">
        <f>IF(OR(S119="",W119=""),"",S119-W119)</f>
        <v/>
      </c>
      <c r="AD119" s="13"/>
      <c r="AE119" s="23" t="str">
        <f>IF(OR(AD119="",AD118=""),"",IF(AD118=0,"",(AD119/AD118)-1))</f>
        <v/>
      </c>
      <c r="AF119" s="23" t="str">
        <f>IF(ROW()&lt;7,"",IF(OR(AD119="",AD116=""),"",IF(AD116=0,"",(AD119/AD116)-1)))</f>
        <v/>
      </c>
      <c r="AG119" s="23" t="str">
        <f>IF(ROW()&lt;9,"",IF(OR(AD119="",AD114=""),"",IF(AD114=0,"",(AD119/AD114)-1)))</f>
        <v/>
      </c>
      <c r="AH119" s="23" t="str">
        <f>IF(OR(AF119="",AG119=""),"",IF(AND(AF119&gt;0,AG119&gt;0),"Bull",IF(AND(AF119&lt;0,AG119&lt;0),"Bear","Mixed")))</f>
        <v/>
      </c>
      <c r="AI119" s="13"/>
      <c r="AJ119" s="13" t="str">
        <f>IF(OR(AI119="",AI118=""),"",IF(AI118=0,"",(AI119/AI118)-1))</f>
        <v/>
      </c>
      <c r="AK119" s="23" t="str">
        <f>IF(OR(AJ119="",AJ118=""),"",IF(AJ118=0,"",(AJ119/AJ118)-1))</f>
        <v/>
      </c>
      <c r="AL119" s="23" t="str">
        <f>IF(ROW()&lt;7,"",IF(OR(AJ119="",AJ116=""),"",IF(AJ116=0,"",(AJ119/AJ116)-1)))</f>
        <v/>
      </c>
      <c r="AM119" s="23" t="str">
        <f>IF(ROW()&lt;9,"",IF(OR(AJ119="",AJ114=""),"",IF(AJ114=0,"",(AJ119/AJ114)-1)))</f>
        <v/>
      </c>
      <c r="AN119" t="str">
        <f>IF(OR(AL119="",AM119=""),"",IF(AND(AL119&gt;0,AM119&gt;0),"Bull",IF(AND(AL119&lt;0,AM119&lt;0),"Bear","Mixed")))</f>
        <v/>
      </c>
      <c r="AO119" t="str">
        <f>IF(OR(AH119="",AN119=""),"",IF(AND(AH119="Bull",AN119="Bull"),"YES","NO"))</f>
        <v/>
      </c>
      <c r="AP119" t="str">
        <f>IF(OR(AH119="",AN119=""),"",IF(AND(AH119="Bear",AN119="Bear"),"YES","NO"))</f>
        <v/>
      </c>
      <c r="AQ119" t="str">
        <f>IF(AO119="YES",IF(SUM(N(X119),N(Y119),N(Z119))&gt;0,"SOXL","TQQQ"),IF(AP119="YES",IF(SUM(N(AA119),N(AB119),N(AC119))&gt;0,"SOXS","SQQQ"),"WAIT"))</f>
        <v>WAIT</v>
      </c>
      <c r="AR119" s="23" t="str">
        <f>IF(AO119="YES",IF(SUM(N(X119),N(Y119),N(Z119))&gt;0,"TQQQ","SOXL"),IF(AP119="YES",IF(SUM(N(AA119),N(AB119),N(AC119))&gt;0,"SQQQ","SOXS"),""))</f>
        <v/>
      </c>
      <c r="AS119" s="23" t="str">
        <f>IF(AQ119="WAIT","",IF(AR119="",1,0.6))</f>
        <v/>
      </c>
      <c r="AT119" s="23">
        <f>IF(AR119="",0,0.4)</f>
        <v>0</v>
      </c>
      <c r="AU119" s="23" t="str">
        <f>IF(AQ119="WAIT","WAIT",IF(AO119="YES","BULL",IF(AP119="YES","BEAR","WAIT")))</f>
        <v>WAIT</v>
      </c>
      <c r="AV119" t="str">
        <f>IF(AQ119="WAIT","Low",IF(OR(AND(AU119="BULL",ABS(SUM(N(X119),N(Y119),N(Z119)))&gt;=0.15),AND(AU119="BEAR",ABS(SUM(N(AA119),N(AB119),N(AC119)))&gt;=0.15)),"Strong",IF(OR(AND(AU119="BULL",ABS(SUM(N(X119),N(Y119),N(Z119)))&gt;=0.05),AND(AU119="BEAR",ABS(SUM(N(AA119),N(AB119),N(AC119)))&gt;=0.05)),"Moderate","Low")))</f>
        <v>Low</v>
      </c>
      <c r="AW119" t="str">
        <f>IF(AQ119="WAIT","QQQ and SMH not aligned",IF(AU119="BULL",IF(AQ119="SOXL","Bull regime; semiconductors leading","Bull regime; tech leading"),IF(AQ119="SOXS","Bear regime; semiconductors weakest","Bear regime; tech weakest")))</f>
        <v>QQQ and SMH not aligned</v>
      </c>
      <c r="AX119" t="str">
        <f>IF(AR119="WAIT","QQQ and SMH not aligned",IF(AV119="BULL",IF(AR119="SOXL","Bull regime; semiconductors leading","Bull regime; tech leading"),IF(AR119="SOXS","Bear regime; semiconductors weakest","Bear regime; tech weakest")))</f>
        <v>Bear regime; tech weakest</v>
      </c>
    </row>
    <row r="120" spans="1:50" x14ac:dyDescent="0.2">
      <c r="A120" s="12"/>
      <c r="B120" s="13"/>
      <c r="C120" s="13"/>
      <c r="D120" s="13"/>
      <c r="E120" s="13"/>
      <c r="F120" s="11" t="str">
        <f>IF(OR(E120="",E119=""),"",IF(E119=0,"",(E120/E119)-1))</f>
        <v/>
      </c>
      <c r="G120" s="13"/>
      <c r="H120" s="11" t="str">
        <f>IF(OR(G120="",G119=""),"",IF(G119=0,"",(G120/G119)-1))</f>
        <v/>
      </c>
      <c r="I120" s="13"/>
      <c r="J120" s="13"/>
      <c r="K120" s="13"/>
      <c r="L120" s="13"/>
      <c r="M120" s="23" t="str">
        <f>IF(OR(L120="",L119=""),"",IF(L119=0,"",(L120/L119)-1))</f>
        <v/>
      </c>
      <c r="N120" s="26" t="str">
        <f>IFERROR((M120/M119)-1,"")</f>
        <v/>
      </c>
      <c r="O120" s="23" t="str">
        <f>IF(OR(N120="",N119=""),"",IF(N119=0,"",(N120/N119)-1))</f>
        <v/>
      </c>
      <c r="P120" s="11" t="str">
        <f>IF(ROW()&lt;7,"",IF(OR(E120="",E117=""),"",IF(E117=0,"",(E120/E117)-1)))</f>
        <v/>
      </c>
      <c r="Q120" s="23" t="str">
        <f>IF(ROW()&lt;9,"",IF(OR(E120="",E115=""),"",IF(E115=0,"",(E120/E115)-1)))</f>
        <v/>
      </c>
      <c r="R120" s="23" t="str">
        <f>IF(ROW()&lt;7,"",IF(OR(G120="",G117=""),"",IF(G117=0,"",(G120/G117)-1)))</f>
        <v/>
      </c>
      <c r="S120" s="23" t="str">
        <f>IF(ROW()&lt;9,"",IF(OR(G120="",G115=""),"",IF(G115=0,"",(G120/G115)-1)))</f>
        <v/>
      </c>
      <c r="T120" s="23" t="str">
        <f>IF(ROW()&lt;7,"",IF(OR(L120="",L117=""),"",IF(L117=0,"",(L120/L117)-1)))</f>
        <v/>
      </c>
      <c r="U120" s="23" t="str">
        <f>IF(ROW()&lt;9,"",IF(OR(L120="",L115=""),"",IF(L115=0,"",(L120/L115)-1)))</f>
        <v/>
      </c>
      <c r="V120" s="23" t="str">
        <f>IF(ROW()&lt;7,"",IF(OR(N120="",N117=""),"",IF(N117=0,"",(N120/N117)-1)))</f>
        <v/>
      </c>
      <c r="W120" s="23" t="str">
        <f>IF(ROW()&lt;9,"",IF(OR(N120="",N115=""),"",IF(N115=0,"",(N120/N115)-1)))</f>
        <v/>
      </c>
      <c r="X120" s="23" t="str">
        <f>IF(OR(F120="",M120=""),"",F120-M120)</f>
        <v/>
      </c>
      <c r="Y120" s="23" t="str">
        <f>IF(OR(P120="",T120=""),"",P120-T120)</f>
        <v/>
      </c>
      <c r="Z120" s="23" t="str">
        <f>IF(OR(Q120="",U120=""),"",Q120-U120)</f>
        <v/>
      </c>
      <c r="AA120" s="23" t="str">
        <f>IF(OR(H120="",O120=""),"",H120-O120)</f>
        <v/>
      </c>
      <c r="AB120" s="23" t="str">
        <f>IF(OR(R120="",V120=""),"",R120-V120)</f>
        <v/>
      </c>
      <c r="AC120" s="23" t="str">
        <f>IF(OR(S120="",W120=""),"",S120-W120)</f>
        <v/>
      </c>
      <c r="AD120" s="13"/>
      <c r="AE120" s="23" t="str">
        <f>IF(OR(AD120="",AD119=""),"",IF(AD119=0,"",(AD120/AD119)-1))</f>
        <v/>
      </c>
      <c r="AF120" s="23" t="str">
        <f>IF(ROW()&lt;7,"",IF(OR(AD120="",AD117=""),"",IF(AD117=0,"",(AD120/AD117)-1)))</f>
        <v/>
      </c>
      <c r="AG120" s="23" t="str">
        <f>IF(ROW()&lt;9,"",IF(OR(AD120="",AD115=""),"",IF(AD115=0,"",(AD120/AD115)-1)))</f>
        <v/>
      </c>
      <c r="AH120" s="23" t="str">
        <f>IF(OR(AF120="",AG120=""),"",IF(AND(AF120&gt;0,AG120&gt;0),"Bull",IF(AND(AF120&lt;0,AG120&lt;0),"Bear","Mixed")))</f>
        <v/>
      </c>
      <c r="AI120" s="13"/>
      <c r="AJ120" s="13" t="str">
        <f>IF(OR(AI120="",AI119=""),"",IF(AI119=0,"",(AI120/AI119)-1))</f>
        <v/>
      </c>
      <c r="AK120" s="23" t="str">
        <f>IF(OR(AJ120="",AJ119=""),"",IF(AJ119=0,"",(AJ120/AJ119)-1))</f>
        <v/>
      </c>
      <c r="AL120" s="23" t="str">
        <f>IF(ROW()&lt;7,"",IF(OR(AJ120="",AJ117=""),"",IF(AJ117=0,"",(AJ120/AJ117)-1)))</f>
        <v/>
      </c>
      <c r="AM120" s="23" t="str">
        <f>IF(ROW()&lt;9,"",IF(OR(AJ120="",AJ115=""),"",IF(AJ115=0,"",(AJ120/AJ115)-1)))</f>
        <v/>
      </c>
      <c r="AN120" t="str">
        <f>IF(OR(AL120="",AM120=""),"",IF(AND(AL120&gt;0,AM120&gt;0),"Bull",IF(AND(AL120&lt;0,AM120&lt;0),"Bear","Mixed")))</f>
        <v/>
      </c>
      <c r="AO120" t="str">
        <f>IF(OR(AH120="",AN120=""),"",IF(AND(AH120="Bull",AN120="Bull"),"YES","NO"))</f>
        <v/>
      </c>
      <c r="AP120" t="str">
        <f>IF(OR(AH120="",AN120=""),"",IF(AND(AH120="Bear",AN120="Bear"),"YES","NO"))</f>
        <v/>
      </c>
      <c r="AQ120" t="str">
        <f>IF(AO120="YES",IF(SUM(N(X120),N(Y120),N(Z120))&gt;0,"SOXL","TQQQ"),IF(AP120="YES",IF(SUM(N(AA120),N(AB120),N(AC120))&gt;0,"SOXS","SQQQ"),"WAIT"))</f>
        <v>WAIT</v>
      </c>
      <c r="AR120" s="23" t="str">
        <f>IF(AO120="YES",IF(SUM(N(X120),N(Y120),N(Z120))&gt;0,"TQQQ","SOXL"),IF(AP120="YES",IF(SUM(N(AA120),N(AB120),N(AC120))&gt;0,"SQQQ","SOXS"),""))</f>
        <v/>
      </c>
      <c r="AS120" s="23" t="str">
        <f>IF(AQ120="WAIT","",IF(AR120="",1,0.6))</f>
        <v/>
      </c>
      <c r="AT120" s="23">
        <f>IF(AR120="",0,0.4)</f>
        <v>0</v>
      </c>
      <c r="AU120" s="23" t="str">
        <f>IF(AQ120="WAIT","WAIT",IF(AO120="YES","BULL",IF(AP120="YES","BEAR","WAIT")))</f>
        <v>WAIT</v>
      </c>
      <c r="AV120" t="str">
        <f>IF(AQ120="WAIT","Low",IF(OR(AND(AU120="BULL",ABS(SUM(N(X120),N(Y120),N(Z120)))&gt;=0.15),AND(AU120="BEAR",ABS(SUM(N(AA120),N(AB120),N(AC120)))&gt;=0.15)),"Strong",IF(OR(AND(AU120="BULL",ABS(SUM(N(X120),N(Y120),N(Z120)))&gt;=0.05),AND(AU120="BEAR",ABS(SUM(N(AA120),N(AB120),N(AC120)))&gt;=0.05)),"Moderate","Low")))</f>
        <v>Low</v>
      </c>
      <c r="AW120" t="str">
        <f>IF(AQ120="WAIT","QQQ and SMH not aligned",IF(AU120="BULL",IF(AQ120="SOXL","Bull regime; semiconductors leading","Bull regime; tech leading"),IF(AQ120="SOXS","Bear regime; semiconductors weakest","Bear regime; tech weakest")))</f>
        <v>QQQ and SMH not aligned</v>
      </c>
      <c r="AX120" t="str">
        <f>IF(AR120="WAIT","QQQ and SMH not aligned",IF(AV120="BULL",IF(AR120="SOXL","Bull regime; semiconductors leading","Bull regime; tech leading"),IF(AR120="SOXS","Bear regime; semiconductors weakest","Bear regime; tech weakest")))</f>
        <v>Bear regime; tech weakest</v>
      </c>
    </row>
    <row r="121" spans="1:50" x14ac:dyDescent="0.2">
      <c r="A121" s="12"/>
      <c r="B121" s="13"/>
      <c r="C121" s="13"/>
      <c r="D121" s="13"/>
      <c r="E121" s="13"/>
      <c r="F121" s="11" t="str">
        <f>IF(OR(E121="",E120=""),"",IF(E120=0,"",(E121/E120)-1))</f>
        <v/>
      </c>
      <c r="G121" s="13"/>
      <c r="H121" s="11" t="str">
        <f>IF(OR(G121="",G120=""),"",IF(G120=0,"",(G121/G120)-1))</f>
        <v/>
      </c>
      <c r="I121" s="13"/>
      <c r="J121" s="13"/>
      <c r="K121" s="13"/>
      <c r="L121" s="13"/>
      <c r="M121" s="23" t="str">
        <f>IF(OR(L121="",L120=""),"",IF(L120=0,"",(L121/L120)-1))</f>
        <v/>
      </c>
      <c r="N121" s="26" t="str">
        <f>IFERROR((M121/M120)-1,"")</f>
        <v/>
      </c>
      <c r="O121" s="23" t="str">
        <f>IF(OR(N121="",N120=""),"",IF(N120=0,"",(N121/N120)-1))</f>
        <v/>
      </c>
      <c r="P121" s="11" t="str">
        <f>IF(ROW()&lt;7,"",IF(OR(E121="",E118=""),"",IF(E118=0,"",(E121/E118)-1)))</f>
        <v/>
      </c>
      <c r="Q121" s="23" t="str">
        <f>IF(ROW()&lt;9,"",IF(OR(E121="",E116=""),"",IF(E116=0,"",(E121/E116)-1)))</f>
        <v/>
      </c>
      <c r="R121" s="23" t="str">
        <f>IF(ROW()&lt;7,"",IF(OR(G121="",G118=""),"",IF(G118=0,"",(G121/G118)-1)))</f>
        <v/>
      </c>
      <c r="S121" s="23" t="str">
        <f>IF(ROW()&lt;9,"",IF(OR(G121="",G116=""),"",IF(G116=0,"",(G121/G116)-1)))</f>
        <v/>
      </c>
      <c r="T121" s="23" t="str">
        <f>IF(ROW()&lt;7,"",IF(OR(L121="",L118=""),"",IF(L118=0,"",(L121/L118)-1)))</f>
        <v/>
      </c>
      <c r="U121" s="23" t="str">
        <f>IF(ROW()&lt;9,"",IF(OR(L121="",L116=""),"",IF(L116=0,"",(L121/L116)-1)))</f>
        <v/>
      </c>
      <c r="V121" s="23" t="str">
        <f>IF(ROW()&lt;7,"",IF(OR(N121="",N118=""),"",IF(N118=0,"",(N121/N118)-1)))</f>
        <v/>
      </c>
      <c r="W121" s="23" t="str">
        <f>IF(ROW()&lt;9,"",IF(OR(N121="",N116=""),"",IF(N116=0,"",(N121/N116)-1)))</f>
        <v/>
      </c>
      <c r="X121" s="23" t="str">
        <f>IF(OR(F121="",M121=""),"",F121-M121)</f>
        <v/>
      </c>
      <c r="Y121" s="23" t="str">
        <f>IF(OR(P121="",T121=""),"",P121-T121)</f>
        <v/>
      </c>
      <c r="Z121" s="23" t="str">
        <f>IF(OR(Q121="",U121=""),"",Q121-U121)</f>
        <v/>
      </c>
      <c r="AA121" s="23" t="str">
        <f>IF(OR(H121="",O121=""),"",H121-O121)</f>
        <v/>
      </c>
      <c r="AB121" s="23" t="str">
        <f>IF(OR(R121="",V121=""),"",R121-V121)</f>
        <v/>
      </c>
      <c r="AC121" s="23" t="str">
        <f>IF(OR(S121="",W121=""),"",S121-W121)</f>
        <v/>
      </c>
      <c r="AD121" s="13"/>
      <c r="AE121" s="23" t="str">
        <f>IF(OR(AD121="",AD120=""),"",IF(AD120=0,"",(AD121/AD120)-1))</f>
        <v/>
      </c>
      <c r="AF121" s="23" t="str">
        <f>IF(ROW()&lt;7,"",IF(OR(AD121="",AD118=""),"",IF(AD118=0,"",(AD121/AD118)-1)))</f>
        <v/>
      </c>
      <c r="AG121" s="23" t="str">
        <f>IF(ROW()&lt;9,"",IF(OR(AD121="",AD116=""),"",IF(AD116=0,"",(AD121/AD116)-1)))</f>
        <v/>
      </c>
      <c r="AH121" s="23" t="str">
        <f>IF(OR(AF121="",AG121=""),"",IF(AND(AF121&gt;0,AG121&gt;0),"Bull",IF(AND(AF121&lt;0,AG121&lt;0),"Bear","Mixed")))</f>
        <v/>
      </c>
      <c r="AI121" s="13"/>
      <c r="AJ121" s="13" t="str">
        <f>IF(OR(AI121="",AI120=""),"",IF(AI120=0,"",(AI121/AI120)-1))</f>
        <v/>
      </c>
      <c r="AK121" s="23" t="str">
        <f>IF(OR(AJ121="",AJ120=""),"",IF(AJ120=0,"",(AJ121/AJ120)-1))</f>
        <v/>
      </c>
      <c r="AL121" s="23" t="str">
        <f>IF(ROW()&lt;7,"",IF(OR(AJ121="",AJ118=""),"",IF(AJ118=0,"",(AJ121/AJ118)-1)))</f>
        <v/>
      </c>
      <c r="AM121" s="23" t="str">
        <f>IF(ROW()&lt;9,"",IF(OR(AJ121="",AJ116=""),"",IF(AJ116=0,"",(AJ121/AJ116)-1)))</f>
        <v/>
      </c>
      <c r="AN121" t="str">
        <f>IF(OR(AL121="",AM121=""),"",IF(AND(AL121&gt;0,AM121&gt;0),"Bull",IF(AND(AL121&lt;0,AM121&lt;0),"Bear","Mixed")))</f>
        <v/>
      </c>
      <c r="AO121" t="str">
        <f>IF(OR(AH121="",AN121=""),"",IF(AND(AH121="Bull",AN121="Bull"),"YES","NO"))</f>
        <v/>
      </c>
      <c r="AP121" t="str">
        <f>IF(OR(AH121="",AN121=""),"",IF(AND(AH121="Bear",AN121="Bear"),"YES","NO"))</f>
        <v/>
      </c>
      <c r="AQ121" t="str">
        <f>IF(AO121="YES",IF(SUM(N(X121),N(Y121),N(Z121))&gt;0,"SOXL","TQQQ"),IF(AP121="YES",IF(SUM(N(AA121),N(AB121),N(AC121))&gt;0,"SOXS","SQQQ"),"WAIT"))</f>
        <v>WAIT</v>
      </c>
      <c r="AR121" s="23" t="str">
        <f>IF(AO121="YES",IF(SUM(N(X121),N(Y121),N(Z121))&gt;0,"TQQQ","SOXL"),IF(AP121="YES",IF(SUM(N(AA121),N(AB121),N(AC121))&gt;0,"SQQQ","SOXS"),""))</f>
        <v/>
      </c>
      <c r="AS121" s="23" t="str">
        <f>IF(AQ121="WAIT","",IF(AR121="",1,0.6))</f>
        <v/>
      </c>
      <c r="AT121" s="23">
        <f>IF(AR121="",0,0.4)</f>
        <v>0</v>
      </c>
      <c r="AU121" s="23" t="str">
        <f>IF(AQ121="WAIT","WAIT",IF(AO121="YES","BULL",IF(AP121="YES","BEAR","WAIT")))</f>
        <v>WAIT</v>
      </c>
      <c r="AV121" t="str">
        <f>IF(AQ121="WAIT","Low",IF(OR(AND(AU121="BULL",ABS(SUM(N(X121),N(Y121),N(Z121)))&gt;=0.15),AND(AU121="BEAR",ABS(SUM(N(AA121),N(AB121),N(AC121)))&gt;=0.15)),"Strong",IF(OR(AND(AU121="BULL",ABS(SUM(N(X121),N(Y121),N(Z121)))&gt;=0.05),AND(AU121="BEAR",ABS(SUM(N(AA121),N(AB121),N(AC121)))&gt;=0.05)),"Moderate","Low")))</f>
        <v>Low</v>
      </c>
      <c r="AW121" t="str">
        <f>IF(AQ121="WAIT","QQQ and SMH not aligned",IF(AU121="BULL",IF(AQ121="SOXL","Bull regime; semiconductors leading","Bull regime; tech leading"),IF(AQ121="SOXS","Bear regime; semiconductors weakest","Bear regime; tech weakest")))</f>
        <v>QQQ and SMH not aligned</v>
      </c>
      <c r="AX121" t="str">
        <f>IF(AR121="WAIT","QQQ and SMH not aligned",IF(AV121="BULL",IF(AR121="SOXL","Bull regime; semiconductors leading","Bull regime; tech leading"),IF(AR121="SOXS","Bear regime; semiconductors weakest","Bear regime; tech weakest")))</f>
        <v>Bear regime; tech weakest</v>
      </c>
    </row>
    <row r="122" spans="1:50" x14ac:dyDescent="0.2">
      <c r="A122" s="12"/>
      <c r="B122" s="13"/>
      <c r="C122" s="13"/>
      <c r="D122" s="13"/>
      <c r="E122" s="13"/>
      <c r="F122" s="11" t="str">
        <f>IF(OR(E122="",E121=""),"",IF(E121=0,"",(E122/E121)-1))</f>
        <v/>
      </c>
      <c r="G122" s="13"/>
      <c r="H122" s="11" t="str">
        <f>IF(OR(G122="",G121=""),"",IF(G121=0,"",(G122/G121)-1))</f>
        <v/>
      </c>
      <c r="I122" s="13"/>
      <c r="J122" s="13"/>
      <c r="K122" s="13"/>
      <c r="L122" s="13"/>
      <c r="M122" s="23" t="str">
        <f>IF(OR(L122="",L121=""),"",IF(L121=0,"",(L122/L121)-1))</f>
        <v/>
      </c>
      <c r="N122" s="26" t="str">
        <f>IFERROR((M122/M121)-1,"")</f>
        <v/>
      </c>
      <c r="O122" s="23" t="str">
        <f>IF(OR(N122="",N121=""),"",IF(N121=0,"",(N122/N121)-1))</f>
        <v/>
      </c>
      <c r="P122" s="11" t="str">
        <f>IF(ROW()&lt;7,"",IF(OR(E122="",E119=""),"",IF(E119=0,"",(E122/E119)-1)))</f>
        <v/>
      </c>
      <c r="Q122" s="23" t="str">
        <f>IF(ROW()&lt;9,"",IF(OR(E122="",E117=""),"",IF(E117=0,"",(E122/E117)-1)))</f>
        <v/>
      </c>
      <c r="R122" s="23" t="str">
        <f>IF(ROW()&lt;7,"",IF(OR(G122="",G119=""),"",IF(G119=0,"",(G122/G119)-1)))</f>
        <v/>
      </c>
      <c r="S122" s="23" t="str">
        <f>IF(ROW()&lt;9,"",IF(OR(G122="",G117=""),"",IF(G117=0,"",(G122/G117)-1)))</f>
        <v/>
      </c>
      <c r="T122" s="23" t="str">
        <f>IF(ROW()&lt;7,"",IF(OR(L122="",L119=""),"",IF(L119=0,"",(L122/L119)-1)))</f>
        <v/>
      </c>
      <c r="U122" s="23" t="str">
        <f>IF(ROW()&lt;9,"",IF(OR(L122="",L117=""),"",IF(L117=0,"",(L122/L117)-1)))</f>
        <v/>
      </c>
      <c r="V122" s="23" t="str">
        <f>IF(ROW()&lt;7,"",IF(OR(N122="",N119=""),"",IF(N119=0,"",(N122/N119)-1)))</f>
        <v/>
      </c>
      <c r="W122" s="23" t="str">
        <f>IF(ROW()&lt;9,"",IF(OR(N122="",N117=""),"",IF(N117=0,"",(N122/N117)-1)))</f>
        <v/>
      </c>
      <c r="X122" s="23" t="str">
        <f>IF(OR(F122="",M122=""),"",F122-M122)</f>
        <v/>
      </c>
      <c r="Y122" s="23" t="str">
        <f>IF(OR(P122="",T122=""),"",P122-T122)</f>
        <v/>
      </c>
      <c r="Z122" s="23" t="str">
        <f>IF(OR(Q122="",U122=""),"",Q122-U122)</f>
        <v/>
      </c>
      <c r="AA122" s="23" t="str">
        <f>IF(OR(H122="",O122=""),"",H122-O122)</f>
        <v/>
      </c>
      <c r="AB122" s="23" t="str">
        <f>IF(OR(R122="",V122=""),"",R122-V122)</f>
        <v/>
      </c>
      <c r="AC122" s="23" t="str">
        <f>IF(OR(S122="",W122=""),"",S122-W122)</f>
        <v/>
      </c>
      <c r="AD122" s="13"/>
      <c r="AE122" s="23" t="str">
        <f>IF(OR(AD122="",AD121=""),"",IF(AD121=0,"",(AD122/AD121)-1))</f>
        <v/>
      </c>
      <c r="AF122" s="23" t="str">
        <f>IF(ROW()&lt;7,"",IF(OR(AD122="",AD119=""),"",IF(AD119=0,"",(AD122/AD119)-1)))</f>
        <v/>
      </c>
      <c r="AG122" s="23" t="str">
        <f>IF(ROW()&lt;9,"",IF(OR(AD122="",AD117=""),"",IF(AD117=0,"",(AD122/AD117)-1)))</f>
        <v/>
      </c>
      <c r="AH122" s="23" t="str">
        <f>IF(OR(AF122="",AG122=""),"",IF(AND(AF122&gt;0,AG122&gt;0),"Bull",IF(AND(AF122&lt;0,AG122&lt;0),"Bear","Mixed")))</f>
        <v/>
      </c>
      <c r="AI122" s="13"/>
      <c r="AJ122" s="13" t="str">
        <f>IF(OR(AI122="",AI121=""),"",IF(AI121=0,"",(AI122/AI121)-1))</f>
        <v/>
      </c>
      <c r="AK122" s="23" t="str">
        <f>IF(OR(AJ122="",AJ121=""),"",IF(AJ121=0,"",(AJ122/AJ121)-1))</f>
        <v/>
      </c>
      <c r="AL122" s="23" t="str">
        <f>IF(ROW()&lt;7,"",IF(OR(AJ122="",AJ119=""),"",IF(AJ119=0,"",(AJ122/AJ119)-1)))</f>
        <v/>
      </c>
      <c r="AM122" s="23" t="str">
        <f>IF(ROW()&lt;9,"",IF(OR(AJ122="",AJ117=""),"",IF(AJ117=0,"",(AJ122/AJ117)-1)))</f>
        <v/>
      </c>
      <c r="AN122" t="str">
        <f>IF(OR(AL122="",AM122=""),"",IF(AND(AL122&gt;0,AM122&gt;0),"Bull",IF(AND(AL122&lt;0,AM122&lt;0),"Bear","Mixed")))</f>
        <v/>
      </c>
      <c r="AO122" t="str">
        <f>IF(OR(AH122="",AN122=""),"",IF(AND(AH122="Bull",AN122="Bull"),"YES","NO"))</f>
        <v/>
      </c>
      <c r="AP122" t="str">
        <f>IF(OR(AH122="",AN122=""),"",IF(AND(AH122="Bear",AN122="Bear"),"YES","NO"))</f>
        <v/>
      </c>
      <c r="AQ122" t="str">
        <f>IF(AO122="YES",IF(SUM(N(X122),N(Y122),N(Z122))&gt;0,"SOXL","TQQQ"),IF(AP122="YES",IF(SUM(N(AA122),N(AB122),N(AC122))&gt;0,"SOXS","SQQQ"),"WAIT"))</f>
        <v>WAIT</v>
      </c>
      <c r="AR122" s="23" t="str">
        <f>IF(AO122="YES",IF(SUM(N(X122),N(Y122),N(Z122))&gt;0,"TQQQ","SOXL"),IF(AP122="YES",IF(SUM(N(AA122),N(AB122),N(AC122))&gt;0,"SQQQ","SOXS"),""))</f>
        <v/>
      </c>
      <c r="AS122" s="23" t="str">
        <f>IF(AQ122="WAIT","",IF(AR122="",1,0.6))</f>
        <v/>
      </c>
      <c r="AT122" s="23">
        <f>IF(AR122="",0,0.4)</f>
        <v>0</v>
      </c>
      <c r="AU122" s="23" t="str">
        <f>IF(AQ122="WAIT","WAIT",IF(AO122="YES","BULL",IF(AP122="YES","BEAR","WAIT")))</f>
        <v>WAIT</v>
      </c>
      <c r="AV122" t="str">
        <f>IF(AQ122="WAIT","Low",IF(OR(AND(AU122="BULL",ABS(SUM(N(X122),N(Y122),N(Z122)))&gt;=0.15),AND(AU122="BEAR",ABS(SUM(N(AA122),N(AB122),N(AC122)))&gt;=0.15)),"Strong",IF(OR(AND(AU122="BULL",ABS(SUM(N(X122),N(Y122),N(Z122)))&gt;=0.05),AND(AU122="BEAR",ABS(SUM(N(AA122),N(AB122),N(AC122)))&gt;=0.05)),"Moderate","Low")))</f>
        <v>Low</v>
      </c>
      <c r="AW122" t="str">
        <f>IF(AQ122="WAIT","QQQ and SMH not aligned",IF(AU122="BULL",IF(AQ122="SOXL","Bull regime; semiconductors leading","Bull regime; tech leading"),IF(AQ122="SOXS","Bear regime; semiconductors weakest","Bear regime; tech weakest")))</f>
        <v>QQQ and SMH not aligned</v>
      </c>
      <c r="AX122" t="str">
        <f>IF(AR122="WAIT","QQQ and SMH not aligned",IF(AV122="BULL",IF(AR122="SOXL","Bull regime; semiconductors leading","Bull regime; tech leading"),IF(AR122="SOXS","Bear regime; semiconductors weakest","Bear regime; tech weakest")))</f>
        <v>Bear regime; tech weakest</v>
      </c>
    </row>
    <row r="123" spans="1:50" x14ac:dyDescent="0.2">
      <c r="A123" s="12"/>
      <c r="B123" s="13"/>
      <c r="C123" s="13"/>
      <c r="D123" s="13"/>
      <c r="E123" s="13"/>
      <c r="F123" s="11" t="str">
        <f>IF(OR(E123="",E122=""),"",IF(E122=0,"",(E123/E122)-1))</f>
        <v/>
      </c>
      <c r="G123" s="13"/>
      <c r="H123" s="11" t="str">
        <f>IF(OR(G123="",G122=""),"",IF(G122=0,"",(G123/G122)-1))</f>
        <v/>
      </c>
      <c r="I123" s="13"/>
      <c r="J123" s="13"/>
      <c r="K123" s="13"/>
      <c r="L123" s="13"/>
      <c r="M123" s="23" t="str">
        <f>IF(OR(L123="",L122=""),"",IF(L122=0,"",(L123/L122)-1))</f>
        <v/>
      </c>
      <c r="N123" s="26" t="str">
        <f>IFERROR((M123/M122)-1,"")</f>
        <v/>
      </c>
      <c r="O123" s="23" t="str">
        <f>IF(OR(N123="",N122=""),"",IF(N122=0,"",(N123/N122)-1))</f>
        <v/>
      </c>
      <c r="P123" s="11" t="str">
        <f>IF(ROW()&lt;7,"",IF(OR(E123="",E120=""),"",IF(E120=0,"",(E123/E120)-1)))</f>
        <v/>
      </c>
      <c r="Q123" s="23" t="str">
        <f>IF(ROW()&lt;9,"",IF(OR(E123="",E118=""),"",IF(E118=0,"",(E123/E118)-1)))</f>
        <v/>
      </c>
      <c r="R123" s="23" t="str">
        <f>IF(ROW()&lt;7,"",IF(OR(G123="",G120=""),"",IF(G120=0,"",(G123/G120)-1)))</f>
        <v/>
      </c>
      <c r="S123" s="23" t="str">
        <f>IF(ROW()&lt;9,"",IF(OR(G123="",G118=""),"",IF(G118=0,"",(G123/G118)-1)))</f>
        <v/>
      </c>
      <c r="T123" s="23" t="str">
        <f>IF(ROW()&lt;7,"",IF(OR(L123="",L120=""),"",IF(L120=0,"",(L123/L120)-1)))</f>
        <v/>
      </c>
      <c r="U123" s="23" t="str">
        <f>IF(ROW()&lt;9,"",IF(OR(L123="",L118=""),"",IF(L118=0,"",(L123/L118)-1)))</f>
        <v/>
      </c>
      <c r="V123" s="23" t="str">
        <f>IF(ROW()&lt;7,"",IF(OR(N123="",N120=""),"",IF(N120=0,"",(N123/N120)-1)))</f>
        <v/>
      </c>
      <c r="W123" s="23" t="str">
        <f>IF(ROW()&lt;9,"",IF(OR(N123="",N118=""),"",IF(N118=0,"",(N123/N118)-1)))</f>
        <v/>
      </c>
      <c r="X123" s="23" t="str">
        <f>IF(OR(F123="",M123=""),"",F123-M123)</f>
        <v/>
      </c>
      <c r="Y123" s="23" t="str">
        <f>IF(OR(P123="",T123=""),"",P123-T123)</f>
        <v/>
      </c>
      <c r="Z123" s="23" t="str">
        <f>IF(OR(Q123="",U123=""),"",Q123-U123)</f>
        <v/>
      </c>
      <c r="AA123" s="23" t="str">
        <f>IF(OR(H123="",O123=""),"",H123-O123)</f>
        <v/>
      </c>
      <c r="AB123" s="23" t="str">
        <f>IF(OR(R123="",V123=""),"",R123-V123)</f>
        <v/>
      </c>
      <c r="AC123" s="23" t="str">
        <f>IF(OR(S123="",W123=""),"",S123-W123)</f>
        <v/>
      </c>
      <c r="AD123" s="13"/>
      <c r="AE123" s="23" t="str">
        <f>IF(OR(AD123="",AD122=""),"",IF(AD122=0,"",(AD123/AD122)-1))</f>
        <v/>
      </c>
      <c r="AF123" s="23" t="str">
        <f>IF(ROW()&lt;7,"",IF(OR(AD123="",AD120=""),"",IF(AD120=0,"",(AD123/AD120)-1)))</f>
        <v/>
      </c>
      <c r="AG123" s="23" t="str">
        <f>IF(ROW()&lt;9,"",IF(OR(AD123="",AD118=""),"",IF(AD118=0,"",(AD123/AD118)-1)))</f>
        <v/>
      </c>
      <c r="AH123" s="23" t="str">
        <f>IF(OR(AF123="",AG123=""),"",IF(AND(AF123&gt;0,AG123&gt;0),"Bull",IF(AND(AF123&lt;0,AG123&lt;0),"Bear","Mixed")))</f>
        <v/>
      </c>
      <c r="AI123" s="13"/>
      <c r="AJ123" s="13" t="str">
        <f>IF(OR(AI123="",AI122=""),"",IF(AI122=0,"",(AI123/AI122)-1))</f>
        <v/>
      </c>
      <c r="AK123" s="23" t="str">
        <f>IF(OR(AJ123="",AJ122=""),"",IF(AJ122=0,"",(AJ123/AJ122)-1))</f>
        <v/>
      </c>
      <c r="AL123" s="23" t="str">
        <f>IF(ROW()&lt;7,"",IF(OR(AJ123="",AJ120=""),"",IF(AJ120=0,"",(AJ123/AJ120)-1)))</f>
        <v/>
      </c>
      <c r="AM123" s="23" t="str">
        <f>IF(ROW()&lt;9,"",IF(OR(AJ123="",AJ118=""),"",IF(AJ118=0,"",(AJ123/AJ118)-1)))</f>
        <v/>
      </c>
      <c r="AN123" t="str">
        <f>IF(OR(AL123="",AM123=""),"",IF(AND(AL123&gt;0,AM123&gt;0),"Bull",IF(AND(AL123&lt;0,AM123&lt;0),"Bear","Mixed")))</f>
        <v/>
      </c>
      <c r="AO123" t="str">
        <f>IF(OR(AH123="",AN123=""),"",IF(AND(AH123="Bull",AN123="Bull"),"YES","NO"))</f>
        <v/>
      </c>
      <c r="AP123" t="str">
        <f>IF(OR(AH123="",AN123=""),"",IF(AND(AH123="Bear",AN123="Bear"),"YES","NO"))</f>
        <v/>
      </c>
      <c r="AQ123" t="str">
        <f>IF(AO123="YES",IF(SUM(N(X123),N(Y123),N(Z123))&gt;0,"SOXL","TQQQ"),IF(AP123="YES",IF(SUM(N(AA123),N(AB123),N(AC123))&gt;0,"SOXS","SQQQ"),"WAIT"))</f>
        <v>WAIT</v>
      </c>
      <c r="AR123" s="23" t="str">
        <f>IF(AO123="YES",IF(SUM(N(X123),N(Y123),N(Z123))&gt;0,"TQQQ","SOXL"),IF(AP123="YES",IF(SUM(N(AA123),N(AB123),N(AC123))&gt;0,"SQQQ","SOXS"),""))</f>
        <v/>
      </c>
      <c r="AS123" s="23" t="str">
        <f>IF(AQ123="WAIT","",IF(AR123="",1,0.6))</f>
        <v/>
      </c>
      <c r="AT123" s="23">
        <f>IF(AR123="",0,0.4)</f>
        <v>0</v>
      </c>
      <c r="AU123" s="23" t="str">
        <f>IF(AQ123="WAIT","WAIT",IF(AO123="YES","BULL",IF(AP123="YES","BEAR","WAIT")))</f>
        <v>WAIT</v>
      </c>
      <c r="AV123" t="str">
        <f>IF(AQ123="WAIT","Low",IF(OR(AND(AU123="BULL",ABS(SUM(N(X123),N(Y123),N(Z123)))&gt;=0.15),AND(AU123="BEAR",ABS(SUM(N(AA123),N(AB123),N(AC123)))&gt;=0.15)),"Strong",IF(OR(AND(AU123="BULL",ABS(SUM(N(X123),N(Y123),N(Z123)))&gt;=0.05),AND(AU123="BEAR",ABS(SUM(N(AA123),N(AB123),N(AC123)))&gt;=0.05)),"Moderate","Low")))</f>
        <v>Low</v>
      </c>
      <c r="AW123" t="str">
        <f>IF(AQ123="WAIT","QQQ and SMH not aligned",IF(AU123="BULL",IF(AQ123="SOXL","Bull regime; semiconductors leading","Bull regime; tech leading"),IF(AQ123="SOXS","Bear regime; semiconductors weakest","Bear regime; tech weakest")))</f>
        <v>QQQ and SMH not aligned</v>
      </c>
      <c r="AX123" t="str">
        <f>IF(AR123="WAIT","QQQ and SMH not aligned",IF(AV123="BULL",IF(AR123="SOXL","Bull regime; semiconductors leading","Bull regime; tech leading"),IF(AR123="SOXS","Bear regime; semiconductors weakest","Bear regime; tech weakest")))</f>
        <v>Bear regime; tech weakest</v>
      </c>
    </row>
    <row r="124" spans="1:50" x14ac:dyDescent="0.2">
      <c r="A124" s="12"/>
      <c r="B124" s="13"/>
      <c r="C124" s="13"/>
      <c r="D124" s="13"/>
      <c r="E124" s="13"/>
      <c r="F124" s="11" t="str">
        <f>IF(OR(E124="",E123=""),"",IF(E123=0,"",(E124/E123)-1))</f>
        <v/>
      </c>
      <c r="G124" s="13"/>
      <c r="H124" s="11" t="str">
        <f>IF(OR(G124="",G123=""),"",IF(G123=0,"",(G124/G123)-1))</f>
        <v/>
      </c>
      <c r="I124" s="13"/>
      <c r="J124" s="13"/>
      <c r="K124" s="13"/>
      <c r="L124" s="13"/>
      <c r="M124" s="23" t="str">
        <f>IF(OR(L124="",L123=""),"",IF(L123=0,"",(L124/L123)-1))</f>
        <v/>
      </c>
      <c r="N124" s="26" t="str">
        <f>IFERROR((M124/M123)-1,"")</f>
        <v/>
      </c>
      <c r="O124" s="23" t="str">
        <f>IF(OR(N124="",N123=""),"",IF(N123=0,"",(N124/N123)-1))</f>
        <v/>
      </c>
      <c r="P124" s="11" t="str">
        <f>IF(ROW()&lt;7,"",IF(OR(E124="",E121=""),"",IF(E121=0,"",(E124/E121)-1)))</f>
        <v/>
      </c>
      <c r="Q124" s="23" t="str">
        <f>IF(ROW()&lt;9,"",IF(OR(E124="",E119=""),"",IF(E119=0,"",(E124/E119)-1)))</f>
        <v/>
      </c>
      <c r="R124" s="23" t="str">
        <f>IF(ROW()&lt;7,"",IF(OR(G124="",G121=""),"",IF(G121=0,"",(G124/G121)-1)))</f>
        <v/>
      </c>
      <c r="S124" s="23" t="str">
        <f>IF(ROW()&lt;9,"",IF(OR(G124="",G119=""),"",IF(G119=0,"",(G124/G119)-1)))</f>
        <v/>
      </c>
      <c r="T124" s="23" t="str">
        <f>IF(ROW()&lt;7,"",IF(OR(L124="",L121=""),"",IF(L121=0,"",(L124/L121)-1)))</f>
        <v/>
      </c>
      <c r="U124" s="23" t="str">
        <f>IF(ROW()&lt;9,"",IF(OR(L124="",L119=""),"",IF(L119=0,"",(L124/L119)-1)))</f>
        <v/>
      </c>
      <c r="V124" s="23" t="str">
        <f>IF(ROW()&lt;7,"",IF(OR(N124="",N121=""),"",IF(N121=0,"",(N124/N121)-1)))</f>
        <v/>
      </c>
      <c r="W124" s="23" t="str">
        <f>IF(ROW()&lt;9,"",IF(OR(N124="",N119=""),"",IF(N119=0,"",(N124/N119)-1)))</f>
        <v/>
      </c>
      <c r="X124" s="23" t="str">
        <f>IF(OR(F124="",M124=""),"",F124-M124)</f>
        <v/>
      </c>
      <c r="Y124" s="23" t="str">
        <f>IF(OR(P124="",T124=""),"",P124-T124)</f>
        <v/>
      </c>
      <c r="Z124" s="23" t="str">
        <f>IF(OR(Q124="",U124=""),"",Q124-U124)</f>
        <v/>
      </c>
      <c r="AA124" s="23" t="str">
        <f>IF(OR(H124="",O124=""),"",H124-O124)</f>
        <v/>
      </c>
      <c r="AB124" s="23" t="str">
        <f>IF(OR(R124="",V124=""),"",R124-V124)</f>
        <v/>
      </c>
      <c r="AC124" s="23" t="str">
        <f>IF(OR(S124="",W124=""),"",S124-W124)</f>
        <v/>
      </c>
      <c r="AD124" s="13"/>
      <c r="AE124" s="23" t="str">
        <f>IF(OR(AD124="",AD123=""),"",IF(AD123=0,"",(AD124/AD123)-1))</f>
        <v/>
      </c>
      <c r="AF124" s="23" t="str">
        <f>IF(ROW()&lt;7,"",IF(OR(AD124="",AD121=""),"",IF(AD121=0,"",(AD124/AD121)-1)))</f>
        <v/>
      </c>
      <c r="AG124" s="23" t="str">
        <f>IF(ROW()&lt;9,"",IF(OR(AD124="",AD119=""),"",IF(AD119=0,"",(AD124/AD119)-1)))</f>
        <v/>
      </c>
      <c r="AH124" s="23" t="str">
        <f>IF(OR(AF124="",AG124=""),"",IF(AND(AF124&gt;0,AG124&gt;0),"Bull",IF(AND(AF124&lt;0,AG124&lt;0),"Bear","Mixed")))</f>
        <v/>
      </c>
      <c r="AI124" s="13"/>
      <c r="AJ124" s="13" t="str">
        <f>IF(OR(AI124="",AI123=""),"",IF(AI123=0,"",(AI124/AI123)-1))</f>
        <v/>
      </c>
      <c r="AK124" s="23" t="str">
        <f>IF(OR(AJ124="",AJ123=""),"",IF(AJ123=0,"",(AJ124/AJ123)-1))</f>
        <v/>
      </c>
      <c r="AL124" s="23" t="str">
        <f>IF(ROW()&lt;7,"",IF(OR(AJ124="",AJ121=""),"",IF(AJ121=0,"",(AJ124/AJ121)-1)))</f>
        <v/>
      </c>
      <c r="AM124" s="23" t="str">
        <f>IF(ROW()&lt;9,"",IF(OR(AJ124="",AJ119=""),"",IF(AJ119=0,"",(AJ124/AJ119)-1)))</f>
        <v/>
      </c>
      <c r="AN124" t="str">
        <f>IF(OR(AL124="",AM124=""),"",IF(AND(AL124&gt;0,AM124&gt;0),"Bull",IF(AND(AL124&lt;0,AM124&lt;0),"Bear","Mixed")))</f>
        <v/>
      </c>
      <c r="AO124" t="str">
        <f>IF(OR(AH124="",AN124=""),"",IF(AND(AH124="Bull",AN124="Bull"),"YES","NO"))</f>
        <v/>
      </c>
      <c r="AP124" t="str">
        <f>IF(OR(AH124="",AN124=""),"",IF(AND(AH124="Bear",AN124="Bear"),"YES","NO"))</f>
        <v/>
      </c>
      <c r="AQ124" t="str">
        <f>IF(AO124="YES",IF(SUM(N(X124),N(Y124),N(Z124))&gt;0,"SOXL","TQQQ"),IF(AP124="YES",IF(SUM(N(AA124),N(AB124),N(AC124))&gt;0,"SOXS","SQQQ"),"WAIT"))</f>
        <v>WAIT</v>
      </c>
      <c r="AR124" s="23" t="str">
        <f>IF(AO124="YES",IF(SUM(N(X124),N(Y124),N(Z124))&gt;0,"TQQQ","SOXL"),IF(AP124="YES",IF(SUM(N(AA124),N(AB124),N(AC124))&gt;0,"SQQQ","SOXS"),""))</f>
        <v/>
      </c>
      <c r="AS124" s="23" t="str">
        <f>IF(AQ124="WAIT","",IF(AR124="",1,0.6))</f>
        <v/>
      </c>
      <c r="AT124" s="23">
        <f>IF(AR124="",0,0.4)</f>
        <v>0</v>
      </c>
      <c r="AU124" s="23" t="str">
        <f>IF(AQ124="WAIT","WAIT",IF(AO124="YES","BULL",IF(AP124="YES","BEAR","WAIT")))</f>
        <v>WAIT</v>
      </c>
      <c r="AV124" t="str">
        <f>IF(AQ124="WAIT","Low",IF(OR(AND(AU124="BULL",ABS(SUM(N(X124),N(Y124),N(Z124)))&gt;=0.15),AND(AU124="BEAR",ABS(SUM(N(AA124),N(AB124),N(AC124)))&gt;=0.15)),"Strong",IF(OR(AND(AU124="BULL",ABS(SUM(N(X124),N(Y124),N(Z124)))&gt;=0.05),AND(AU124="BEAR",ABS(SUM(N(AA124),N(AB124),N(AC124)))&gt;=0.05)),"Moderate","Low")))</f>
        <v>Low</v>
      </c>
      <c r="AW124" t="str">
        <f>IF(AQ124="WAIT","QQQ and SMH not aligned",IF(AU124="BULL",IF(AQ124="SOXL","Bull regime; semiconductors leading","Bull regime; tech leading"),IF(AQ124="SOXS","Bear regime; semiconductors weakest","Bear regime; tech weakest")))</f>
        <v>QQQ and SMH not aligned</v>
      </c>
      <c r="AX124" t="str">
        <f>IF(AR124="WAIT","QQQ and SMH not aligned",IF(AV124="BULL",IF(AR124="SOXL","Bull regime; semiconductors leading","Bull regime; tech leading"),IF(AR124="SOXS","Bear regime; semiconductors weakest","Bear regime; tech weakest")))</f>
        <v>Bear regime; tech weakest</v>
      </c>
    </row>
    <row r="125" spans="1:50" x14ac:dyDescent="0.2">
      <c r="A125" s="12"/>
      <c r="B125" s="13"/>
      <c r="C125" s="13"/>
      <c r="D125" s="13"/>
      <c r="E125" s="13"/>
      <c r="F125" s="11" t="str">
        <f>IF(OR(E125="",E124=""),"",IF(E124=0,"",(E125/E124)-1))</f>
        <v/>
      </c>
      <c r="G125" s="13"/>
      <c r="H125" s="11" t="str">
        <f>IF(OR(G125="",G124=""),"",IF(G124=0,"",(G125/G124)-1))</f>
        <v/>
      </c>
      <c r="I125" s="13"/>
      <c r="J125" s="13"/>
      <c r="K125" s="13"/>
      <c r="L125" s="13"/>
      <c r="M125" s="23" t="str">
        <f>IF(OR(L125="",L124=""),"",IF(L124=0,"",(L125/L124)-1))</f>
        <v/>
      </c>
      <c r="N125" s="26" t="str">
        <f>IFERROR((M125/M124)-1,"")</f>
        <v/>
      </c>
      <c r="O125" s="23" t="str">
        <f>IF(OR(N125="",N124=""),"",IF(N124=0,"",(N125/N124)-1))</f>
        <v/>
      </c>
      <c r="P125" s="11" t="str">
        <f>IF(ROW()&lt;7,"",IF(OR(E125="",E122=""),"",IF(E122=0,"",(E125/E122)-1)))</f>
        <v/>
      </c>
      <c r="Q125" s="23" t="str">
        <f>IF(ROW()&lt;9,"",IF(OR(E125="",E120=""),"",IF(E120=0,"",(E125/E120)-1)))</f>
        <v/>
      </c>
      <c r="R125" s="23" t="str">
        <f>IF(ROW()&lt;7,"",IF(OR(G125="",G122=""),"",IF(G122=0,"",(G125/G122)-1)))</f>
        <v/>
      </c>
      <c r="S125" s="23" t="str">
        <f>IF(ROW()&lt;9,"",IF(OR(G125="",G120=""),"",IF(G120=0,"",(G125/G120)-1)))</f>
        <v/>
      </c>
      <c r="T125" s="23" t="str">
        <f>IF(ROW()&lt;7,"",IF(OR(L125="",L122=""),"",IF(L122=0,"",(L125/L122)-1)))</f>
        <v/>
      </c>
      <c r="U125" s="23" t="str">
        <f>IF(ROW()&lt;9,"",IF(OR(L125="",L120=""),"",IF(L120=0,"",(L125/L120)-1)))</f>
        <v/>
      </c>
      <c r="V125" s="23" t="str">
        <f>IF(ROW()&lt;7,"",IF(OR(N125="",N122=""),"",IF(N122=0,"",(N125/N122)-1)))</f>
        <v/>
      </c>
      <c r="W125" s="23" t="str">
        <f>IF(ROW()&lt;9,"",IF(OR(N125="",N120=""),"",IF(N120=0,"",(N125/N120)-1)))</f>
        <v/>
      </c>
      <c r="X125" s="23" t="str">
        <f>IF(OR(F125="",M125=""),"",F125-M125)</f>
        <v/>
      </c>
      <c r="Y125" s="23" t="str">
        <f>IF(OR(P125="",T125=""),"",P125-T125)</f>
        <v/>
      </c>
      <c r="Z125" s="23" t="str">
        <f>IF(OR(Q125="",U125=""),"",Q125-U125)</f>
        <v/>
      </c>
      <c r="AA125" s="23" t="str">
        <f>IF(OR(H125="",O125=""),"",H125-O125)</f>
        <v/>
      </c>
      <c r="AB125" s="23" t="str">
        <f>IF(OR(R125="",V125=""),"",R125-V125)</f>
        <v/>
      </c>
      <c r="AC125" s="23" t="str">
        <f>IF(OR(S125="",W125=""),"",S125-W125)</f>
        <v/>
      </c>
      <c r="AD125" s="13"/>
      <c r="AE125" s="23" t="str">
        <f>IF(OR(AD125="",AD124=""),"",IF(AD124=0,"",(AD125/AD124)-1))</f>
        <v/>
      </c>
      <c r="AF125" s="23" t="str">
        <f>IF(ROW()&lt;7,"",IF(OR(AD125="",AD122=""),"",IF(AD122=0,"",(AD125/AD122)-1)))</f>
        <v/>
      </c>
      <c r="AG125" s="23" t="str">
        <f>IF(ROW()&lt;9,"",IF(OR(AD125="",AD120=""),"",IF(AD120=0,"",(AD125/AD120)-1)))</f>
        <v/>
      </c>
      <c r="AH125" s="23" t="str">
        <f>IF(OR(AF125="",AG125=""),"",IF(AND(AF125&gt;0,AG125&gt;0),"Bull",IF(AND(AF125&lt;0,AG125&lt;0),"Bear","Mixed")))</f>
        <v/>
      </c>
      <c r="AI125" s="13"/>
      <c r="AJ125" s="13" t="str">
        <f>IF(OR(AI125="",AI124=""),"",IF(AI124=0,"",(AI125/AI124)-1))</f>
        <v/>
      </c>
      <c r="AK125" s="23" t="str">
        <f>IF(OR(AJ125="",AJ124=""),"",IF(AJ124=0,"",(AJ125/AJ124)-1))</f>
        <v/>
      </c>
      <c r="AL125" s="23" t="str">
        <f>IF(ROW()&lt;7,"",IF(OR(AJ125="",AJ122=""),"",IF(AJ122=0,"",(AJ125/AJ122)-1)))</f>
        <v/>
      </c>
      <c r="AM125" s="23" t="str">
        <f>IF(ROW()&lt;9,"",IF(OR(AJ125="",AJ120=""),"",IF(AJ120=0,"",(AJ125/AJ120)-1)))</f>
        <v/>
      </c>
      <c r="AN125" t="str">
        <f>IF(OR(AL125="",AM125=""),"",IF(AND(AL125&gt;0,AM125&gt;0),"Bull",IF(AND(AL125&lt;0,AM125&lt;0),"Bear","Mixed")))</f>
        <v/>
      </c>
      <c r="AO125" t="str">
        <f>IF(OR(AH125="",AN125=""),"",IF(AND(AH125="Bull",AN125="Bull"),"YES","NO"))</f>
        <v/>
      </c>
      <c r="AP125" t="str">
        <f>IF(OR(AH125="",AN125=""),"",IF(AND(AH125="Bear",AN125="Bear"),"YES","NO"))</f>
        <v/>
      </c>
      <c r="AQ125" t="str">
        <f>IF(AO125="YES",IF(SUM(N(X125),N(Y125),N(Z125))&gt;0,"SOXL","TQQQ"),IF(AP125="YES",IF(SUM(N(AA125),N(AB125),N(AC125))&gt;0,"SOXS","SQQQ"),"WAIT"))</f>
        <v>WAIT</v>
      </c>
      <c r="AR125" s="23" t="str">
        <f>IF(AO125="YES",IF(SUM(N(X125),N(Y125),N(Z125))&gt;0,"TQQQ","SOXL"),IF(AP125="YES",IF(SUM(N(AA125),N(AB125),N(AC125))&gt;0,"SQQQ","SOXS"),""))</f>
        <v/>
      </c>
      <c r="AS125" s="23" t="str">
        <f>IF(AQ125="WAIT","",IF(AR125="",1,0.6))</f>
        <v/>
      </c>
      <c r="AT125" s="23">
        <f>IF(AR125="",0,0.4)</f>
        <v>0</v>
      </c>
      <c r="AU125" s="23" t="str">
        <f>IF(AQ125="WAIT","WAIT",IF(AO125="YES","BULL",IF(AP125="YES","BEAR","WAIT")))</f>
        <v>WAIT</v>
      </c>
      <c r="AV125" t="str">
        <f>IF(AQ125="WAIT","Low",IF(OR(AND(AU125="BULL",ABS(SUM(N(X125),N(Y125),N(Z125)))&gt;=0.15),AND(AU125="BEAR",ABS(SUM(N(AA125),N(AB125),N(AC125)))&gt;=0.15)),"Strong",IF(OR(AND(AU125="BULL",ABS(SUM(N(X125),N(Y125),N(Z125)))&gt;=0.05),AND(AU125="BEAR",ABS(SUM(N(AA125),N(AB125),N(AC125)))&gt;=0.05)),"Moderate","Low")))</f>
        <v>Low</v>
      </c>
      <c r="AW125" t="str">
        <f>IF(AQ125="WAIT","QQQ and SMH not aligned",IF(AU125="BULL",IF(AQ125="SOXL","Bull regime; semiconductors leading","Bull regime; tech leading"),IF(AQ125="SOXS","Bear regime; semiconductors weakest","Bear regime; tech weakest")))</f>
        <v>QQQ and SMH not aligned</v>
      </c>
      <c r="AX125" t="str">
        <f>IF(AR125="WAIT","QQQ and SMH not aligned",IF(AV125="BULL",IF(AR125="SOXL","Bull regime; semiconductors leading","Bull regime; tech leading"),IF(AR125="SOXS","Bear regime; semiconductors weakest","Bear regime; tech weakest")))</f>
        <v>Bear regime; tech weakest</v>
      </c>
    </row>
    <row r="126" spans="1:50" x14ac:dyDescent="0.2">
      <c r="A126" s="12"/>
      <c r="B126" s="13"/>
      <c r="C126" s="13"/>
      <c r="D126" s="13"/>
      <c r="E126" s="13"/>
      <c r="F126" s="11" t="str">
        <f>IF(OR(E126="",E125=""),"",IF(E125=0,"",(E126/E125)-1))</f>
        <v/>
      </c>
      <c r="G126" s="13"/>
      <c r="H126" s="11" t="str">
        <f>IF(OR(G126="",G125=""),"",IF(G125=0,"",(G126/G125)-1))</f>
        <v/>
      </c>
      <c r="I126" s="13"/>
      <c r="J126" s="13"/>
      <c r="K126" s="13"/>
      <c r="L126" s="13"/>
      <c r="M126" s="23" t="str">
        <f>IF(OR(L126="",L125=""),"",IF(L125=0,"",(L126/L125)-1))</f>
        <v/>
      </c>
      <c r="N126" s="26" t="str">
        <f>IFERROR((M126/M125)-1,"")</f>
        <v/>
      </c>
      <c r="O126" s="23" t="str">
        <f>IF(OR(N126="",N125=""),"",IF(N125=0,"",(N126/N125)-1))</f>
        <v/>
      </c>
      <c r="P126" s="11" t="str">
        <f>IF(ROW()&lt;7,"",IF(OR(E126="",E123=""),"",IF(E123=0,"",(E126/E123)-1)))</f>
        <v/>
      </c>
      <c r="Q126" s="23" t="str">
        <f>IF(ROW()&lt;9,"",IF(OR(E126="",E121=""),"",IF(E121=0,"",(E126/E121)-1)))</f>
        <v/>
      </c>
      <c r="R126" s="23" t="str">
        <f>IF(ROW()&lt;7,"",IF(OR(G126="",G123=""),"",IF(G123=0,"",(G126/G123)-1)))</f>
        <v/>
      </c>
      <c r="S126" s="23" t="str">
        <f>IF(ROW()&lt;9,"",IF(OR(G126="",G121=""),"",IF(G121=0,"",(G126/G121)-1)))</f>
        <v/>
      </c>
      <c r="T126" s="23" t="str">
        <f>IF(ROW()&lt;7,"",IF(OR(L126="",L123=""),"",IF(L123=0,"",(L126/L123)-1)))</f>
        <v/>
      </c>
      <c r="U126" s="23" t="str">
        <f>IF(ROW()&lt;9,"",IF(OR(L126="",L121=""),"",IF(L121=0,"",(L126/L121)-1)))</f>
        <v/>
      </c>
      <c r="V126" s="23" t="str">
        <f>IF(ROW()&lt;7,"",IF(OR(N126="",N123=""),"",IF(N123=0,"",(N126/N123)-1)))</f>
        <v/>
      </c>
      <c r="W126" s="23" t="str">
        <f>IF(ROW()&lt;9,"",IF(OR(N126="",N121=""),"",IF(N121=0,"",(N126/N121)-1)))</f>
        <v/>
      </c>
      <c r="X126" s="23" t="str">
        <f>IF(OR(F126="",M126=""),"",F126-M126)</f>
        <v/>
      </c>
      <c r="Y126" s="23" t="str">
        <f>IF(OR(P126="",T126=""),"",P126-T126)</f>
        <v/>
      </c>
      <c r="Z126" s="23" t="str">
        <f>IF(OR(Q126="",U126=""),"",Q126-U126)</f>
        <v/>
      </c>
      <c r="AA126" s="23" t="str">
        <f>IF(OR(H126="",O126=""),"",H126-O126)</f>
        <v/>
      </c>
      <c r="AB126" s="23" t="str">
        <f>IF(OR(R126="",V126=""),"",R126-V126)</f>
        <v/>
      </c>
      <c r="AC126" s="23" t="str">
        <f>IF(OR(S126="",W126=""),"",S126-W126)</f>
        <v/>
      </c>
      <c r="AD126" s="13"/>
      <c r="AE126" s="23" t="str">
        <f>IF(OR(AD126="",AD125=""),"",IF(AD125=0,"",(AD126/AD125)-1))</f>
        <v/>
      </c>
      <c r="AF126" s="23" t="str">
        <f>IF(ROW()&lt;7,"",IF(OR(AD126="",AD123=""),"",IF(AD123=0,"",(AD126/AD123)-1)))</f>
        <v/>
      </c>
      <c r="AG126" s="23" t="str">
        <f>IF(ROW()&lt;9,"",IF(OR(AD126="",AD121=""),"",IF(AD121=0,"",(AD126/AD121)-1)))</f>
        <v/>
      </c>
      <c r="AH126" s="23" t="str">
        <f>IF(OR(AF126="",AG126=""),"",IF(AND(AF126&gt;0,AG126&gt;0),"Bull",IF(AND(AF126&lt;0,AG126&lt;0),"Bear","Mixed")))</f>
        <v/>
      </c>
      <c r="AI126" s="13"/>
      <c r="AJ126" s="13" t="str">
        <f>IF(OR(AI126="",AI125=""),"",IF(AI125=0,"",(AI126/AI125)-1))</f>
        <v/>
      </c>
      <c r="AK126" s="23" t="str">
        <f>IF(OR(AJ126="",AJ125=""),"",IF(AJ125=0,"",(AJ126/AJ125)-1))</f>
        <v/>
      </c>
      <c r="AL126" s="23" t="str">
        <f>IF(ROW()&lt;7,"",IF(OR(AJ126="",AJ123=""),"",IF(AJ123=0,"",(AJ126/AJ123)-1)))</f>
        <v/>
      </c>
      <c r="AM126" s="23" t="str">
        <f>IF(ROW()&lt;9,"",IF(OR(AJ126="",AJ121=""),"",IF(AJ121=0,"",(AJ126/AJ121)-1)))</f>
        <v/>
      </c>
      <c r="AN126" t="str">
        <f>IF(OR(AL126="",AM126=""),"",IF(AND(AL126&gt;0,AM126&gt;0),"Bull",IF(AND(AL126&lt;0,AM126&lt;0),"Bear","Mixed")))</f>
        <v/>
      </c>
      <c r="AO126" t="str">
        <f>IF(OR(AH126="",AN126=""),"",IF(AND(AH126="Bull",AN126="Bull"),"YES","NO"))</f>
        <v/>
      </c>
      <c r="AP126" t="str">
        <f>IF(OR(AH126="",AN126=""),"",IF(AND(AH126="Bear",AN126="Bear"),"YES","NO"))</f>
        <v/>
      </c>
      <c r="AQ126" t="str">
        <f>IF(AO126="YES",IF(SUM(N(X126),N(Y126),N(Z126))&gt;0,"SOXL","TQQQ"),IF(AP126="YES",IF(SUM(N(AA126),N(AB126),N(AC126))&gt;0,"SOXS","SQQQ"),"WAIT"))</f>
        <v>WAIT</v>
      </c>
      <c r="AR126" s="23" t="str">
        <f>IF(AO126="YES",IF(SUM(N(X126),N(Y126),N(Z126))&gt;0,"TQQQ","SOXL"),IF(AP126="YES",IF(SUM(N(AA126),N(AB126),N(AC126))&gt;0,"SQQQ","SOXS"),""))</f>
        <v/>
      </c>
      <c r="AS126" s="23" t="str">
        <f>IF(AQ126="WAIT","",IF(AR126="",1,0.6))</f>
        <v/>
      </c>
      <c r="AT126" s="23">
        <f>IF(AR126="",0,0.4)</f>
        <v>0</v>
      </c>
      <c r="AU126" s="23" t="str">
        <f>IF(AQ126="WAIT","WAIT",IF(AO126="YES","BULL",IF(AP126="YES","BEAR","WAIT")))</f>
        <v>WAIT</v>
      </c>
      <c r="AV126" t="str">
        <f>IF(AQ126="WAIT","Low",IF(OR(AND(AU126="BULL",ABS(SUM(N(X126),N(Y126),N(Z126)))&gt;=0.15),AND(AU126="BEAR",ABS(SUM(N(AA126),N(AB126),N(AC126)))&gt;=0.15)),"Strong",IF(OR(AND(AU126="BULL",ABS(SUM(N(X126),N(Y126),N(Z126)))&gt;=0.05),AND(AU126="BEAR",ABS(SUM(N(AA126),N(AB126),N(AC126)))&gt;=0.05)),"Moderate","Low")))</f>
        <v>Low</v>
      </c>
      <c r="AW126" t="str">
        <f>IF(AQ126="WAIT","QQQ and SMH not aligned",IF(AU126="BULL",IF(AQ126="SOXL","Bull regime; semiconductors leading","Bull regime; tech leading"),IF(AQ126="SOXS","Bear regime; semiconductors weakest","Bear regime; tech weakest")))</f>
        <v>QQQ and SMH not aligned</v>
      </c>
      <c r="AX126" t="str">
        <f>IF(AR126="WAIT","QQQ and SMH not aligned",IF(AV126="BULL",IF(AR126="SOXL","Bull regime; semiconductors leading","Bull regime; tech leading"),IF(AR126="SOXS","Bear regime; semiconductors weakest","Bear regime; tech weakest")))</f>
        <v>Bear regime; tech weakest</v>
      </c>
    </row>
    <row r="127" spans="1:50" x14ac:dyDescent="0.2">
      <c r="A127" s="12"/>
      <c r="B127" s="13"/>
      <c r="C127" s="13"/>
      <c r="D127" s="13"/>
      <c r="E127" s="13"/>
      <c r="F127" s="11" t="str">
        <f>IF(OR(E127="",E126=""),"",IF(E126=0,"",(E127/E126)-1))</f>
        <v/>
      </c>
      <c r="G127" s="13"/>
      <c r="H127" s="11" t="str">
        <f>IF(OR(G127="",G126=""),"",IF(G126=0,"",(G127/G126)-1))</f>
        <v/>
      </c>
      <c r="I127" s="13"/>
      <c r="J127" s="13"/>
      <c r="K127" s="13"/>
      <c r="L127" s="13"/>
      <c r="M127" s="23" t="str">
        <f>IF(OR(L127="",L126=""),"",IF(L126=0,"",(L127/L126)-1))</f>
        <v/>
      </c>
      <c r="N127" s="26" t="str">
        <f>IFERROR((M127/M126)-1,"")</f>
        <v/>
      </c>
      <c r="O127" s="23" t="str">
        <f>IF(OR(N127="",N126=""),"",IF(N126=0,"",(N127/N126)-1))</f>
        <v/>
      </c>
      <c r="P127" s="11" t="str">
        <f>IF(ROW()&lt;7,"",IF(OR(E127="",E124=""),"",IF(E124=0,"",(E127/E124)-1)))</f>
        <v/>
      </c>
      <c r="Q127" s="23" t="str">
        <f>IF(ROW()&lt;9,"",IF(OR(E127="",E122=""),"",IF(E122=0,"",(E127/E122)-1)))</f>
        <v/>
      </c>
      <c r="R127" s="23" t="str">
        <f>IF(ROW()&lt;7,"",IF(OR(G127="",G124=""),"",IF(G124=0,"",(G127/G124)-1)))</f>
        <v/>
      </c>
      <c r="S127" s="23" t="str">
        <f>IF(ROW()&lt;9,"",IF(OR(G127="",G122=""),"",IF(G122=0,"",(G127/G122)-1)))</f>
        <v/>
      </c>
      <c r="T127" s="23" t="str">
        <f>IF(ROW()&lt;7,"",IF(OR(L127="",L124=""),"",IF(L124=0,"",(L127/L124)-1)))</f>
        <v/>
      </c>
      <c r="U127" s="23" t="str">
        <f>IF(ROW()&lt;9,"",IF(OR(L127="",L122=""),"",IF(L122=0,"",(L127/L122)-1)))</f>
        <v/>
      </c>
      <c r="V127" s="23" t="str">
        <f>IF(ROW()&lt;7,"",IF(OR(N127="",N124=""),"",IF(N124=0,"",(N127/N124)-1)))</f>
        <v/>
      </c>
      <c r="W127" s="23" t="str">
        <f>IF(ROW()&lt;9,"",IF(OR(N127="",N122=""),"",IF(N122=0,"",(N127/N122)-1)))</f>
        <v/>
      </c>
      <c r="X127" s="23" t="str">
        <f>IF(OR(F127="",M127=""),"",F127-M127)</f>
        <v/>
      </c>
      <c r="Y127" s="23" t="str">
        <f>IF(OR(P127="",T127=""),"",P127-T127)</f>
        <v/>
      </c>
      <c r="Z127" s="23" t="str">
        <f>IF(OR(Q127="",U127=""),"",Q127-U127)</f>
        <v/>
      </c>
      <c r="AA127" s="23" t="str">
        <f>IF(OR(H127="",O127=""),"",H127-O127)</f>
        <v/>
      </c>
      <c r="AB127" s="23" t="str">
        <f>IF(OR(R127="",V127=""),"",R127-V127)</f>
        <v/>
      </c>
      <c r="AC127" s="23" t="str">
        <f>IF(OR(S127="",W127=""),"",S127-W127)</f>
        <v/>
      </c>
      <c r="AD127" s="13"/>
      <c r="AE127" s="23" t="str">
        <f>IF(OR(AD127="",AD126=""),"",IF(AD126=0,"",(AD127/AD126)-1))</f>
        <v/>
      </c>
      <c r="AF127" s="23" t="str">
        <f>IF(ROW()&lt;7,"",IF(OR(AD127="",AD124=""),"",IF(AD124=0,"",(AD127/AD124)-1)))</f>
        <v/>
      </c>
      <c r="AG127" s="23" t="str">
        <f>IF(ROW()&lt;9,"",IF(OR(AD127="",AD122=""),"",IF(AD122=0,"",(AD127/AD122)-1)))</f>
        <v/>
      </c>
      <c r="AH127" s="23" t="str">
        <f>IF(OR(AF127="",AG127=""),"",IF(AND(AF127&gt;0,AG127&gt;0),"Bull",IF(AND(AF127&lt;0,AG127&lt;0),"Bear","Mixed")))</f>
        <v/>
      </c>
      <c r="AI127" s="13"/>
      <c r="AJ127" s="13" t="str">
        <f>IF(OR(AI127="",AI126=""),"",IF(AI126=0,"",(AI127/AI126)-1))</f>
        <v/>
      </c>
      <c r="AK127" s="23" t="str">
        <f>IF(OR(AJ127="",AJ126=""),"",IF(AJ126=0,"",(AJ127/AJ126)-1))</f>
        <v/>
      </c>
      <c r="AL127" s="23" t="str">
        <f>IF(ROW()&lt;7,"",IF(OR(AJ127="",AJ124=""),"",IF(AJ124=0,"",(AJ127/AJ124)-1)))</f>
        <v/>
      </c>
      <c r="AM127" s="23" t="str">
        <f>IF(ROW()&lt;9,"",IF(OR(AJ127="",AJ122=""),"",IF(AJ122=0,"",(AJ127/AJ122)-1)))</f>
        <v/>
      </c>
      <c r="AN127" t="str">
        <f>IF(OR(AL127="",AM127=""),"",IF(AND(AL127&gt;0,AM127&gt;0),"Bull",IF(AND(AL127&lt;0,AM127&lt;0),"Bear","Mixed")))</f>
        <v/>
      </c>
      <c r="AO127" t="str">
        <f>IF(OR(AH127="",AN127=""),"",IF(AND(AH127="Bull",AN127="Bull"),"YES","NO"))</f>
        <v/>
      </c>
      <c r="AP127" t="str">
        <f>IF(OR(AH127="",AN127=""),"",IF(AND(AH127="Bear",AN127="Bear"),"YES","NO"))</f>
        <v/>
      </c>
      <c r="AQ127" t="str">
        <f>IF(AO127="YES",IF(SUM(N(X127),N(Y127),N(Z127))&gt;0,"SOXL","TQQQ"),IF(AP127="YES",IF(SUM(N(AA127),N(AB127),N(AC127))&gt;0,"SOXS","SQQQ"),"WAIT"))</f>
        <v>WAIT</v>
      </c>
      <c r="AR127" s="23" t="str">
        <f>IF(AO127="YES",IF(SUM(N(X127),N(Y127),N(Z127))&gt;0,"TQQQ","SOXL"),IF(AP127="YES",IF(SUM(N(AA127),N(AB127),N(AC127))&gt;0,"SQQQ","SOXS"),""))</f>
        <v/>
      </c>
      <c r="AS127" s="23" t="str">
        <f>IF(AQ127="WAIT","",IF(AR127="",1,0.6))</f>
        <v/>
      </c>
      <c r="AT127" s="23">
        <f>IF(AR127="",0,0.4)</f>
        <v>0</v>
      </c>
      <c r="AU127" s="23" t="str">
        <f>IF(AQ127="WAIT","WAIT",IF(AO127="YES","BULL",IF(AP127="YES","BEAR","WAIT")))</f>
        <v>WAIT</v>
      </c>
      <c r="AV127" t="str">
        <f>IF(AQ127="WAIT","Low",IF(OR(AND(AU127="BULL",ABS(SUM(N(X127),N(Y127),N(Z127)))&gt;=0.15),AND(AU127="BEAR",ABS(SUM(N(AA127),N(AB127),N(AC127)))&gt;=0.15)),"Strong",IF(OR(AND(AU127="BULL",ABS(SUM(N(X127),N(Y127),N(Z127)))&gt;=0.05),AND(AU127="BEAR",ABS(SUM(N(AA127),N(AB127),N(AC127)))&gt;=0.05)),"Moderate","Low")))</f>
        <v>Low</v>
      </c>
      <c r="AW127" t="str">
        <f>IF(AQ127="WAIT","QQQ and SMH not aligned",IF(AU127="BULL",IF(AQ127="SOXL","Bull regime; semiconductors leading","Bull regime; tech leading"),IF(AQ127="SOXS","Bear regime; semiconductors weakest","Bear regime; tech weakest")))</f>
        <v>QQQ and SMH not aligned</v>
      </c>
      <c r="AX127" t="str">
        <f>IF(AR127="WAIT","QQQ and SMH not aligned",IF(AV127="BULL",IF(AR127="SOXL","Bull regime; semiconductors leading","Bull regime; tech leading"),IF(AR127="SOXS","Bear regime; semiconductors weakest","Bear regime; tech weakest")))</f>
        <v>Bear regime; tech weakest</v>
      </c>
    </row>
    <row r="128" spans="1:50" x14ac:dyDescent="0.2">
      <c r="A128" s="12"/>
      <c r="B128" s="13"/>
      <c r="C128" s="13"/>
      <c r="D128" s="13"/>
      <c r="E128" s="13"/>
      <c r="F128" s="11" t="str">
        <f>IF(OR(E128="",E127=""),"",IF(E127=0,"",(E128/E127)-1))</f>
        <v/>
      </c>
      <c r="G128" s="13"/>
      <c r="H128" s="11" t="str">
        <f>IF(OR(G128="",G127=""),"",IF(G127=0,"",(G128/G127)-1))</f>
        <v/>
      </c>
      <c r="I128" s="13"/>
      <c r="J128" s="13"/>
      <c r="K128" s="13"/>
      <c r="L128" s="13"/>
      <c r="M128" s="23" t="str">
        <f>IF(OR(L128="",L127=""),"",IF(L127=0,"",(L128/L127)-1))</f>
        <v/>
      </c>
      <c r="N128" s="26" t="str">
        <f>IFERROR((M128/M127)-1,"")</f>
        <v/>
      </c>
      <c r="O128" s="23" t="str">
        <f>IF(OR(N128="",N127=""),"",IF(N127=0,"",(N128/N127)-1))</f>
        <v/>
      </c>
      <c r="P128" s="11" t="str">
        <f>IF(ROW()&lt;7,"",IF(OR(E128="",E125=""),"",IF(E125=0,"",(E128/E125)-1)))</f>
        <v/>
      </c>
      <c r="Q128" s="23" t="str">
        <f>IF(ROW()&lt;9,"",IF(OR(E128="",E123=""),"",IF(E123=0,"",(E128/E123)-1)))</f>
        <v/>
      </c>
      <c r="R128" s="23" t="str">
        <f>IF(ROW()&lt;7,"",IF(OR(G128="",G125=""),"",IF(G125=0,"",(G128/G125)-1)))</f>
        <v/>
      </c>
      <c r="S128" s="23" t="str">
        <f>IF(ROW()&lt;9,"",IF(OR(G128="",G123=""),"",IF(G123=0,"",(G128/G123)-1)))</f>
        <v/>
      </c>
      <c r="T128" s="23" t="str">
        <f>IF(ROW()&lt;7,"",IF(OR(L128="",L125=""),"",IF(L125=0,"",(L128/L125)-1)))</f>
        <v/>
      </c>
      <c r="U128" s="23" t="str">
        <f>IF(ROW()&lt;9,"",IF(OR(L128="",L123=""),"",IF(L123=0,"",(L128/L123)-1)))</f>
        <v/>
      </c>
      <c r="V128" s="23" t="str">
        <f>IF(ROW()&lt;7,"",IF(OR(N128="",N125=""),"",IF(N125=0,"",(N128/N125)-1)))</f>
        <v/>
      </c>
      <c r="W128" s="23" t="str">
        <f>IF(ROW()&lt;9,"",IF(OR(N128="",N123=""),"",IF(N123=0,"",(N128/N123)-1)))</f>
        <v/>
      </c>
      <c r="X128" s="23" t="str">
        <f>IF(OR(F128="",M128=""),"",F128-M128)</f>
        <v/>
      </c>
      <c r="Y128" s="23" t="str">
        <f>IF(OR(P128="",T128=""),"",P128-T128)</f>
        <v/>
      </c>
      <c r="Z128" s="23" t="str">
        <f>IF(OR(Q128="",U128=""),"",Q128-U128)</f>
        <v/>
      </c>
      <c r="AA128" s="23" t="str">
        <f>IF(OR(H128="",O128=""),"",H128-O128)</f>
        <v/>
      </c>
      <c r="AB128" s="23" t="str">
        <f>IF(OR(R128="",V128=""),"",R128-V128)</f>
        <v/>
      </c>
      <c r="AC128" s="23" t="str">
        <f>IF(OR(S128="",W128=""),"",S128-W128)</f>
        <v/>
      </c>
      <c r="AD128" s="13"/>
      <c r="AE128" s="23" t="str">
        <f>IF(OR(AD128="",AD127=""),"",IF(AD127=0,"",(AD128/AD127)-1))</f>
        <v/>
      </c>
      <c r="AF128" s="23" t="str">
        <f>IF(ROW()&lt;7,"",IF(OR(AD128="",AD125=""),"",IF(AD125=0,"",(AD128/AD125)-1)))</f>
        <v/>
      </c>
      <c r="AG128" s="23" t="str">
        <f>IF(ROW()&lt;9,"",IF(OR(AD128="",AD123=""),"",IF(AD123=0,"",(AD128/AD123)-1)))</f>
        <v/>
      </c>
      <c r="AH128" s="23" t="str">
        <f>IF(OR(AF128="",AG128=""),"",IF(AND(AF128&gt;0,AG128&gt;0),"Bull",IF(AND(AF128&lt;0,AG128&lt;0),"Bear","Mixed")))</f>
        <v/>
      </c>
      <c r="AI128" s="13"/>
      <c r="AJ128" s="13" t="str">
        <f>IF(OR(AI128="",AI127=""),"",IF(AI127=0,"",(AI128/AI127)-1))</f>
        <v/>
      </c>
      <c r="AK128" s="23" t="str">
        <f>IF(OR(AJ128="",AJ127=""),"",IF(AJ127=0,"",(AJ128/AJ127)-1))</f>
        <v/>
      </c>
      <c r="AL128" s="23" t="str">
        <f>IF(ROW()&lt;7,"",IF(OR(AJ128="",AJ125=""),"",IF(AJ125=0,"",(AJ128/AJ125)-1)))</f>
        <v/>
      </c>
      <c r="AM128" s="23" t="str">
        <f>IF(ROW()&lt;9,"",IF(OR(AJ128="",AJ123=""),"",IF(AJ123=0,"",(AJ128/AJ123)-1)))</f>
        <v/>
      </c>
      <c r="AN128" t="str">
        <f>IF(OR(AL128="",AM128=""),"",IF(AND(AL128&gt;0,AM128&gt;0),"Bull",IF(AND(AL128&lt;0,AM128&lt;0),"Bear","Mixed")))</f>
        <v/>
      </c>
      <c r="AO128" t="str">
        <f>IF(OR(AH128="",AN128=""),"",IF(AND(AH128="Bull",AN128="Bull"),"YES","NO"))</f>
        <v/>
      </c>
      <c r="AP128" t="str">
        <f>IF(OR(AH128="",AN128=""),"",IF(AND(AH128="Bear",AN128="Bear"),"YES","NO"))</f>
        <v/>
      </c>
      <c r="AQ128" t="str">
        <f>IF(AO128="YES",IF(SUM(N(X128),N(Y128),N(Z128))&gt;0,"SOXL","TQQQ"),IF(AP128="YES",IF(SUM(N(AA128),N(AB128),N(AC128))&gt;0,"SOXS","SQQQ"),"WAIT"))</f>
        <v>WAIT</v>
      </c>
      <c r="AR128" s="23" t="str">
        <f>IF(AO128="YES",IF(SUM(N(X128),N(Y128),N(Z128))&gt;0,"TQQQ","SOXL"),IF(AP128="YES",IF(SUM(N(AA128),N(AB128),N(AC128))&gt;0,"SQQQ","SOXS"),""))</f>
        <v/>
      </c>
      <c r="AS128" s="23" t="str">
        <f>IF(AQ128="WAIT","",IF(AR128="",1,0.6))</f>
        <v/>
      </c>
      <c r="AT128" s="23">
        <f>IF(AR128="",0,0.4)</f>
        <v>0</v>
      </c>
      <c r="AU128" s="23" t="str">
        <f>IF(AQ128="WAIT","WAIT",IF(AO128="YES","BULL",IF(AP128="YES","BEAR","WAIT")))</f>
        <v>WAIT</v>
      </c>
      <c r="AV128" t="str">
        <f>IF(AQ128="WAIT","Low",IF(OR(AND(AU128="BULL",ABS(SUM(N(X128),N(Y128),N(Z128)))&gt;=0.15),AND(AU128="BEAR",ABS(SUM(N(AA128),N(AB128),N(AC128)))&gt;=0.15)),"Strong",IF(OR(AND(AU128="BULL",ABS(SUM(N(X128),N(Y128),N(Z128)))&gt;=0.05),AND(AU128="BEAR",ABS(SUM(N(AA128),N(AB128),N(AC128)))&gt;=0.05)),"Moderate","Low")))</f>
        <v>Low</v>
      </c>
      <c r="AW128" t="str">
        <f>IF(AQ128="WAIT","QQQ and SMH not aligned",IF(AU128="BULL",IF(AQ128="SOXL","Bull regime; semiconductors leading","Bull regime; tech leading"),IF(AQ128="SOXS","Bear regime; semiconductors weakest","Bear regime; tech weakest")))</f>
        <v>QQQ and SMH not aligned</v>
      </c>
      <c r="AX128" t="str">
        <f>IF(AR128="WAIT","QQQ and SMH not aligned",IF(AV128="BULL",IF(AR128="SOXL","Bull regime; semiconductors leading","Bull regime; tech leading"),IF(AR128="SOXS","Bear regime; semiconductors weakest","Bear regime; tech weakest")))</f>
        <v>Bear regime; tech weakest</v>
      </c>
    </row>
    <row r="129" spans="1:50" x14ac:dyDescent="0.2">
      <c r="A129" s="12"/>
      <c r="B129" s="13"/>
      <c r="C129" s="13"/>
      <c r="D129" s="13"/>
      <c r="E129" s="13"/>
      <c r="F129" s="11" t="str">
        <f>IF(OR(E129="",E128=""),"",IF(E128=0,"",(E129/E128)-1))</f>
        <v/>
      </c>
      <c r="G129" s="13"/>
      <c r="H129" s="11" t="str">
        <f>IF(OR(G129="",G128=""),"",IF(G128=0,"",(G129/G128)-1))</f>
        <v/>
      </c>
      <c r="I129" s="13"/>
      <c r="J129" s="13"/>
      <c r="K129" s="13"/>
      <c r="L129" s="13"/>
      <c r="M129" s="23" t="str">
        <f>IF(OR(L129="",L128=""),"",IF(L128=0,"",(L129/L128)-1))</f>
        <v/>
      </c>
      <c r="N129" s="26" t="str">
        <f>IFERROR((M129/M128)-1,"")</f>
        <v/>
      </c>
      <c r="O129" s="23" t="str">
        <f>IF(OR(N129="",N128=""),"",IF(N128=0,"",(N129/N128)-1))</f>
        <v/>
      </c>
      <c r="P129" s="11" t="str">
        <f>IF(ROW()&lt;7,"",IF(OR(E129="",E126=""),"",IF(E126=0,"",(E129/E126)-1)))</f>
        <v/>
      </c>
      <c r="Q129" s="23" t="str">
        <f>IF(ROW()&lt;9,"",IF(OR(E129="",E124=""),"",IF(E124=0,"",(E129/E124)-1)))</f>
        <v/>
      </c>
      <c r="R129" s="23" t="str">
        <f>IF(ROW()&lt;7,"",IF(OR(G129="",G126=""),"",IF(G126=0,"",(G129/G126)-1)))</f>
        <v/>
      </c>
      <c r="S129" s="23" t="str">
        <f>IF(ROW()&lt;9,"",IF(OR(G129="",G124=""),"",IF(G124=0,"",(G129/G124)-1)))</f>
        <v/>
      </c>
      <c r="T129" s="23" t="str">
        <f>IF(ROW()&lt;7,"",IF(OR(L129="",L126=""),"",IF(L126=0,"",(L129/L126)-1)))</f>
        <v/>
      </c>
      <c r="U129" s="23" t="str">
        <f>IF(ROW()&lt;9,"",IF(OR(L129="",L124=""),"",IF(L124=0,"",(L129/L124)-1)))</f>
        <v/>
      </c>
      <c r="V129" s="23" t="str">
        <f>IF(ROW()&lt;7,"",IF(OR(N129="",N126=""),"",IF(N126=0,"",(N129/N126)-1)))</f>
        <v/>
      </c>
      <c r="W129" s="23" t="str">
        <f>IF(ROW()&lt;9,"",IF(OR(N129="",N124=""),"",IF(N124=0,"",(N129/N124)-1)))</f>
        <v/>
      </c>
      <c r="X129" s="23" t="str">
        <f>IF(OR(F129="",M129=""),"",F129-M129)</f>
        <v/>
      </c>
      <c r="Y129" s="23" t="str">
        <f>IF(OR(P129="",T129=""),"",P129-T129)</f>
        <v/>
      </c>
      <c r="Z129" s="23" t="str">
        <f>IF(OR(Q129="",U129=""),"",Q129-U129)</f>
        <v/>
      </c>
      <c r="AA129" s="23" t="str">
        <f>IF(OR(H129="",O129=""),"",H129-O129)</f>
        <v/>
      </c>
      <c r="AB129" s="23" t="str">
        <f>IF(OR(R129="",V129=""),"",R129-V129)</f>
        <v/>
      </c>
      <c r="AC129" s="23" t="str">
        <f>IF(OR(S129="",W129=""),"",S129-W129)</f>
        <v/>
      </c>
      <c r="AD129" s="13"/>
      <c r="AE129" s="23" t="str">
        <f>IF(OR(AD129="",AD128=""),"",IF(AD128=0,"",(AD129/AD128)-1))</f>
        <v/>
      </c>
      <c r="AF129" s="23" t="str">
        <f>IF(ROW()&lt;7,"",IF(OR(AD129="",AD126=""),"",IF(AD126=0,"",(AD129/AD126)-1)))</f>
        <v/>
      </c>
      <c r="AG129" s="23" t="str">
        <f>IF(ROW()&lt;9,"",IF(OR(AD129="",AD124=""),"",IF(AD124=0,"",(AD129/AD124)-1)))</f>
        <v/>
      </c>
      <c r="AH129" s="23" t="str">
        <f>IF(OR(AF129="",AG129=""),"",IF(AND(AF129&gt;0,AG129&gt;0),"Bull",IF(AND(AF129&lt;0,AG129&lt;0),"Bear","Mixed")))</f>
        <v/>
      </c>
      <c r="AI129" s="13"/>
      <c r="AJ129" s="13" t="str">
        <f>IF(OR(AI129="",AI128=""),"",IF(AI128=0,"",(AI129/AI128)-1))</f>
        <v/>
      </c>
      <c r="AK129" s="23" t="str">
        <f>IF(OR(AJ129="",AJ128=""),"",IF(AJ128=0,"",(AJ129/AJ128)-1))</f>
        <v/>
      </c>
      <c r="AL129" s="23" t="str">
        <f>IF(ROW()&lt;7,"",IF(OR(AJ129="",AJ126=""),"",IF(AJ126=0,"",(AJ129/AJ126)-1)))</f>
        <v/>
      </c>
      <c r="AM129" s="23" t="str">
        <f>IF(ROW()&lt;9,"",IF(OR(AJ129="",AJ124=""),"",IF(AJ124=0,"",(AJ129/AJ124)-1)))</f>
        <v/>
      </c>
      <c r="AN129" t="str">
        <f>IF(OR(AL129="",AM129=""),"",IF(AND(AL129&gt;0,AM129&gt;0),"Bull",IF(AND(AL129&lt;0,AM129&lt;0),"Bear","Mixed")))</f>
        <v/>
      </c>
      <c r="AO129" t="str">
        <f>IF(OR(AH129="",AN129=""),"",IF(AND(AH129="Bull",AN129="Bull"),"YES","NO"))</f>
        <v/>
      </c>
      <c r="AP129" t="str">
        <f>IF(OR(AH129="",AN129=""),"",IF(AND(AH129="Bear",AN129="Bear"),"YES","NO"))</f>
        <v/>
      </c>
      <c r="AQ129" t="str">
        <f>IF(AO129="YES",IF(SUM(N(X129),N(Y129),N(Z129))&gt;0,"SOXL","TQQQ"),IF(AP129="YES",IF(SUM(N(AA129),N(AB129),N(AC129))&gt;0,"SOXS","SQQQ"),"WAIT"))</f>
        <v>WAIT</v>
      </c>
      <c r="AR129" s="23" t="str">
        <f>IF(AO129="YES",IF(SUM(N(X129),N(Y129),N(Z129))&gt;0,"TQQQ","SOXL"),IF(AP129="YES",IF(SUM(N(AA129),N(AB129),N(AC129))&gt;0,"SQQQ","SOXS"),""))</f>
        <v/>
      </c>
      <c r="AS129" s="23" t="str">
        <f>IF(AQ129="WAIT","",IF(AR129="",1,0.6))</f>
        <v/>
      </c>
      <c r="AT129" s="23">
        <f>IF(AR129="",0,0.4)</f>
        <v>0</v>
      </c>
      <c r="AU129" s="23" t="str">
        <f>IF(AQ129="WAIT","WAIT",IF(AO129="YES","BULL",IF(AP129="YES","BEAR","WAIT")))</f>
        <v>WAIT</v>
      </c>
      <c r="AV129" t="str">
        <f>IF(AQ129="WAIT","Low",IF(OR(AND(AU129="BULL",ABS(SUM(N(X129),N(Y129),N(Z129)))&gt;=0.15),AND(AU129="BEAR",ABS(SUM(N(AA129),N(AB129),N(AC129)))&gt;=0.15)),"Strong",IF(OR(AND(AU129="BULL",ABS(SUM(N(X129),N(Y129),N(Z129)))&gt;=0.05),AND(AU129="BEAR",ABS(SUM(N(AA129),N(AB129),N(AC129)))&gt;=0.05)),"Moderate","Low")))</f>
        <v>Low</v>
      </c>
      <c r="AW129" t="str">
        <f>IF(AQ129="WAIT","QQQ and SMH not aligned",IF(AU129="BULL",IF(AQ129="SOXL","Bull regime; semiconductors leading","Bull regime; tech leading"),IF(AQ129="SOXS","Bear regime; semiconductors weakest","Bear regime; tech weakest")))</f>
        <v>QQQ and SMH not aligned</v>
      </c>
      <c r="AX129" t="str">
        <f>IF(AR129="WAIT","QQQ and SMH not aligned",IF(AV129="BULL",IF(AR129="SOXL","Bull regime; semiconductors leading","Bull regime; tech leading"),IF(AR129="SOXS","Bear regime; semiconductors weakest","Bear regime; tech weakest")))</f>
        <v>Bear regime; tech weakest</v>
      </c>
    </row>
    <row r="130" spans="1:50" x14ac:dyDescent="0.2">
      <c r="A130" s="12"/>
      <c r="B130" s="13"/>
      <c r="C130" s="13"/>
      <c r="D130" s="13"/>
      <c r="E130" s="13"/>
      <c r="F130" s="11" t="str">
        <f>IF(OR(E130="",E129=""),"",IF(E129=0,"",(E130/E129)-1))</f>
        <v/>
      </c>
      <c r="G130" s="13"/>
      <c r="H130" s="11" t="str">
        <f>IF(OR(G130="",G129=""),"",IF(G129=0,"",(G130/G129)-1))</f>
        <v/>
      </c>
      <c r="I130" s="13"/>
      <c r="J130" s="13"/>
      <c r="K130" s="13"/>
      <c r="L130" s="13"/>
      <c r="M130" s="23" t="str">
        <f>IF(OR(L130="",L129=""),"",IF(L129=0,"",(L130/L129)-1))</f>
        <v/>
      </c>
      <c r="N130" s="26" t="str">
        <f>IFERROR((M130/M129)-1,"")</f>
        <v/>
      </c>
      <c r="O130" s="23" t="str">
        <f>IF(OR(N130="",N129=""),"",IF(N129=0,"",(N130/N129)-1))</f>
        <v/>
      </c>
      <c r="P130" s="11" t="str">
        <f>IF(ROW()&lt;7,"",IF(OR(E130="",E127=""),"",IF(E127=0,"",(E130/E127)-1)))</f>
        <v/>
      </c>
      <c r="Q130" s="23" t="str">
        <f>IF(ROW()&lt;9,"",IF(OR(E130="",E125=""),"",IF(E125=0,"",(E130/E125)-1)))</f>
        <v/>
      </c>
      <c r="R130" s="23" t="str">
        <f>IF(ROW()&lt;7,"",IF(OR(G130="",G127=""),"",IF(G127=0,"",(G130/G127)-1)))</f>
        <v/>
      </c>
      <c r="S130" s="23" t="str">
        <f>IF(ROW()&lt;9,"",IF(OR(G130="",G125=""),"",IF(G125=0,"",(G130/G125)-1)))</f>
        <v/>
      </c>
      <c r="T130" s="23" t="str">
        <f>IF(ROW()&lt;7,"",IF(OR(L130="",L127=""),"",IF(L127=0,"",(L130/L127)-1)))</f>
        <v/>
      </c>
      <c r="U130" s="23" t="str">
        <f>IF(ROW()&lt;9,"",IF(OR(L130="",L125=""),"",IF(L125=0,"",(L130/L125)-1)))</f>
        <v/>
      </c>
      <c r="V130" s="23" t="str">
        <f>IF(ROW()&lt;7,"",IF(OR(N130="",N127=""),"",IF(N127=0,"",(N130/N127)-1)))</f>
        <v/>
      </c>
      <c r="W130" s="23" t="str">
        <f>IF(ROW()&lt;9,"",IF(OR(N130="",N125=""),"",IF(N125=0,"",(N130/N125)-1)))</f>
        <v/>
      </c>
      <c r="X130" s="23" t="str">
        <f>IF(OR(F130="",M130=""),"",F130-M130)</f>
        <v/>
      </c>
      <c r="Y130" s="23" t="str">
        <f>IF(OR(P130="",T130=""),"",P130-T130)</f>
        <v/>
      </c>
      <c r="Z130" s="23" t="str">
        <f>IF(OR(Q130="",U130=""),"",Q130-U130)</f>
        <v/>
      </c>
      <c r="AA130" s="23" t="str">
        <f>IF(OR(H130="",O130=""),"",H130-O130)</f>
        <v/>
      </c>
      <c r="AB130" s="23" t="str">
        <f>IF(OR(R130="",V130=""),"",R130-V130)</f>
        <v/>
      </c>
      <c r="AC130" s="23" t="str">
        <f>IF(OR(S130="",W130=""),"",S130-W130)</f>
        <v/>
      </c>
      <c r="AD130" s="13"/>
      <c r="AE130" s="23" t="str">
        <f>IF(OR(AD130="",AD129=""),"",IF(AD129=0,"",(AD130/AD129)-1))</f>
        <v/>
      </c>
      <c r="AF130" s="23" t="str">
        <f>IF(ROW()&lt;7,"",IF(OR(AD130="",AD127=""),"",IF(AD127=0,"",(AD130/AD127)-1)))</f>
        <v/>
      </c>
      <c r="AG130" s="23" t="str">
        <f>IF(ROW()&lt;9,"",IF(OR(AD130="",AD125=""),"",IF(AD125=0,"",(AD130/AD125)-1)))</f>
        <v/>
      </c>
      <c r="AH130" s="23" t="str">
        <f>IF(OR(AF130="",AG130=""),"",IF(AND(AF130&gt;0,AG130&gt;0),"Bull",IF(AND(AF130&lt;0,AG130&lt;0),"Bear","Mixed")))</f>
        <v/>
      </c>
      <c r="AI130" s="13"/>
      <c r="AJ130" s="13" t="str">
        <f>IF(OR(AI130="",AI129=""),"",IF(AI129=0,"",(AI130/AI129)-1))</f>
        <v/>
      </c>
      <c r="AK130" s="23" t="str">
        <f>IF(OR(AJ130="",AJ129=""),"",IF(AJ129=0,"",(AJ130/AJ129)-1))</f>
        <v/>
      </c>
      <c r="AL130" s="23" t="str">
        <f>IF(ROW()&lt;7,"",IF(OR(AJ130="",AJ127=""),"",IF(AJ127=0,"",(AJ130/AJ127)-1)))</f>
        <v/>
      </c>
      <c r="AM130" s="23" t="str">
        <f>IF(ROW()&lt;9,"",IF(OR(AJ130="",AJ125=""),"",IF(AJ125=0,"",(AJ130/AJ125)-1)))</f>
        <v/>
      </c>
      <c r="AN130" t="str">
        <f>IF(OR(AL130="",AM130=""),"",IF(AND(AL130&gt;0,AM130&gt;0),"Bull",IF(AND(AL130&lt;0,AM130&lt;0),"Bear","Mixed")))</f>
        <v/>
      </c>
      <c r="AO130" t="str">
        <f>IF(OR(AH130="",AN130=""),"",IF(AND(AH130="Bull",AN130="Bull"),"YES","NO"))</f>
        <v/>
      </c>
      <c r="AP130" t="str">
        <f>IF(OR(AH130="",AN130=""),"",IF(AND(AH130="Bear",AN130="Bear"),"YES","NO"))</f>
        <v/>
      </c>
      <c r="AQ130" t="str">
        <f>IF(AO130="YES",IF(SUM(N(X130),N(Y130),N(Z130))&gt;0,"SOXL","TQQQ"),IF(AP130="YES",IF(SUM(N(AA130),N(AB130),N(AC130))&gt;0,"SOXS","SQQQ"),"WAIT"))</f>
        <v>WAIT</v>
      </c>
      <c r="AR130" s="23" t="str">
        <f>IF(AO130="YES",IF(SUM(N(X130),N(Y130),N(Z130))&gt;0,"TQQQ","SOXL"),IF(AP130="YES",IF(SUM(N(AA130),N(AB130),N(AC130))&gt;0,"SQQQ","SOXS"),""))</f>
        <v/>
      </c>
      <c r="AS130" s="23" t="str">
        <f>IF(AQ130="WAIT","",IF(AR130="",1,0.6))</f>
        <v/>
      </c>
      <c r="AT130" s="23">
        <f>IF(AR130="",0,0.4)</f>
        <v>0</v>
      </c>
      <c r="AU130" s="23" t="str">
        <f>IF(AQ130="WAIT","WAIT",IF(AO130="YES","BULL",IF(AP130="YES","BEAR","WAIT")))</f>
        <v>WAIT</v>
      </c>
      <c r="AV130" t="str">
        <f>IF(AQ130="WAIT","Low",IF(OR(AND(AU130="BULL",ABS(SUM(N(X130),N(Y130),N(Z130)))&gt;=0.15),AND(AU130="BEAR",ABS(SUM(N(AA130),N(AB130),N(AC130)))&gt;=0.15)),"Strong",IF(OR(AND(AU130="BULL",ABS(SUM(N(X130),N(Y130),N(Z130)))&gt;=0.05),AND(AU130="BEAR",ABS(SUM(N(AA130),N(AB130),N(AC130)))&gt;=0.05)),"Moderate","Low")))</f>
        <v>Low</v>
      </c>
      <c r="AW130" t="str">
        <f>IF(AQ130="WAIT","QQQ and SMH not aligned",IF(AU130="BULL",IF(AQ130="SOXL","Bull regime; semiconductors leading","Bull regime; tech leading"),IF(AQ130="SOXS","Bear regime; semiconductors weakest","Bear regime; tech weakest")))</f>
        <v>QQQ and SMH not aligned</v>
      </c>
      <c r="AX130" t="str">
        <f>IF(AR130="WAIT","QQQ and SMH not aligned",IF(AV130="BULL",IF(AR130="SOXL","Bull regime; semiconductors leading","Bull regime; tech leading"),IF(AR130="SOXS","Bear regime; semiconductors weakest","Bear regime; tech weakest")))</f>
        <v>Bear regime; tech weakest</v>
      </c>
    </row>
    <row r="131" spans="1:50" x14ac:dyDescent="0.2">
      <c r="A131" s="12"/>
      <c r="B131" s="13"/>
      <c r="C131" s="13"/>
      <c r="D131" s="13"/>
      <c r="E131" s="13"/>
      <c r="F131" s="11" t="str">
        <f>IF(OR(E131="",E130=""),"",IF(E130=0,"",(E131/E130)-1))</f>
        <v/>
      </c>
      <c r="G131" s="13"/>
      <c r="H131" s="11" t="str">
        <f>IF(OR(G131="",G130=""),"",IF(G130=0,"",(G131/G130)-1))</f>
        <v/>
      </c>
      <c r="I131" s="13"/>
      <c r="J131" s="13"/>
      <c r="K131" s="13"/>
      <c r="L131" s="13"/>
      <c r="M131" s="23" t="str">
        <f>IF(OR(L131="",L130=""),"",IF(L130=0,"",(L131/L130)-1))</f>
        <v/>
      </c>
      <c r="N131" s="26" t="str">
        <f>IFERROR((M131/M130)-1,"")</f>
        <v/>
      </c>
      <c r="O131" s="23" t="str">
        <f>IF(OR(N131="",N130=""),"",IF(N130=0,"",(N131/N130)-1))</f>
        <v/>
      </c>
      <c r="P131" s="11" t="str">
        <f>IF(ROW()&lt;7,"",IF(OR(E131="",E128=""),"",IF(E128=0,"",(E131/E128)-1)))</f>
        <v/>
      </c>
      <c r="Q131" s="23" t="str">
        <f>IF(ROW()&lt;9,"",IF(OR(E131="",E126=""),"",IF(E126=0,"",(E131/E126)-1)))</f>
        <v/>
      </c>
      <c r="R131" s="23" t="str">
        <f>IF(ROW()&lt;7,"",IF(OR(G131="",G128=""),"",IF(G128=0,"",(G131/G128)-1)))</f>
        <v/>
      </c>
      <c r="S131" s="23" t="str">
        <f>IF(ROW()&lt;9,"",IF(OR(G131="",G126=""),"",IF(G126=0,"",(G131/G126)-1)))</f>
        <v/>
      </c>
      <c r="T131" s="23" t="str">
        <f>IF(ROW()&lt;7,"",IF(OR(L131="",L128=""),"",IF(L128=0,"",(L131/L128)-1)))</f>
        <v/>
      </c>
      <c r="U131" s="23" t="str">
        <f>IF(ROW()&lt;9,"",IF(OR(L131="",L126=""),"",IF(L126=0,"",(L131/L126)-1)))</f>
        <v/>
      </c>
      <c r="V131" s="23" t="str">
        <f>IF(ROW()&lt;7,"",IF(OR(N131="",N128=""),"",IF(N128=0,"",(N131/N128)-1)))</f>
        <v/>
      </c>
      <c r="W131" s="23" t="str">
        <f>IF(ROW()&lt;9,"",IF(OR(N131="",N126=""),"",IF(N126=0,"",(N131/N126)-1)))</f>
        <v/>
      </c>
      <c r="X131" s="23" t="str">
        <f>IF(OR(F131="",M131=""),"",F131-M131)</f>
        <v/>
      </c>
      <c r="Y131" s="23" t="str">
        <f>IF(OR(P131="",T131=""),"",P131-T131)</f>
        <v/>
      </c>
      <c r="Z131" s="23" t="str">
        <f>IF(OR(Q131="",U131=""),"",Q131-U131)</f>
        <v/>
      </c>
      <c r="AA131" s="23" t="str">
        <f>IF(OR(H131="",O131=""),"",H131-O131)</f>
        <v/>
      </c>
      <c r="AB131" s="23" t="str">
        <f>IF(OR(R131="",V131=""),"",R131-V131)</f>
        <v/>
      </c>
      <c r="AC131" s="23" t="str">
        <f>IF(OR(S131="",W131=""),"",S131-W131)</f>
        <v/>
      </c>
      <c r="AD131" s="13"/>
      <c r="AE131" s="23" t="str">
        <f>IF(OR(AD131="",AD130=""),"",IF(AD130=0,"",(AD131/AD130)-1))</f>
        <v/>
      </c>
      <c r="AF131" s="23" t="str">
        <f>IF(ROW()&lt;7,"",IF(OR(AD131="",AD128=""),"",IF(AD128=0,"",(AD131/AD128)-1)))</f>
        <v/>
      </c>
      <c r="AG131" s="23" t="str">
        <f>IF(ROW()&lt;9,"",IF(OR(AD131="",AD126=""),"",IF(AD126=0,"",(AD131/AD126)-1)))</f>
        <v/>
      </c>
      <c r="AH131" s="23" t="str">
        <f>IF(OR(AF131="",AG131=""),"",IF(AND(AF131&gt;0,AG131&gt;0),"Bull",IF(AND(AF131&lt;0,AG131&lt;0),"Bear","Mixed")))</f>
        <v/>
      </c>
      <c r="AI131" s="13"/>
      <c r="AJ131" s="13" t="str">
        <f>IF(OR(AI131="",AI130=""),"",IF(AI130=0,"",(AI131/AI130)-1))</f>
        <v/>
      </c>
      <c r="AK131" s="23" t="str">
        <f>IF(OR(AJ131="",AJ130=""),"",IF(AJ130=0,"",(AJ131/AJ130)-1))</f>
        <v/>
      </c>
      <c r="AL131" s="23" t="str">
        <f>IF(ROW()&lt;7,"",IF(OR(AJ131="",AJ128=""),"",IF(AJ128=0,"",(AJ131/AJ128)-1)))</f>
        <v/>
      </c>
      <c r="AM131" s="23" t="str">
        <f>IF(ROW()&lt;9,"",IF(OR(AJ131="",AJ126=""),"",IF(AJ126=0,"",(AJ131/AJ126)-1)))</f>
        <v/>
      </c>
      <c r="AN131" t="str">
        <f>IF(OR(AL131="",AM131=""),"",IF(AND(AL131&gt;0,AM131&gt;0),"Bull",IF(AND(AL131&lt;0,AM131&lt;0),"Bear","Mixed")))</f>
        <v/>
      </c>
      <c r="AO131" t="str">
        <f>IF(OR(AH131="",AN131=""),"",IF(AND(AH131="Bull",AN131="Bull"),"YES","NO"))</f>
        <v/>
      </c>
      <c r="AP131" t="str">
        <f>IF(OR(AH131="",AN131=""),"",IF(AND(AH131="Bear",AN131="Bear"),"YES","NO"))</f>
        <v/>
      </c>
      <c r="AQ131" t="str">
        <f>IF(AO131="YES",IF(SUM(N(X131),N(Y131),N(Z131))&gt;0,"SOXL","TQQQ"),IF(AP131="YES",IF(SUM(N(AA131),N(AB131),N(AC131))&gt;0,"SOXS","SQQQ"),"WAIT"))</f>
        <v>WAIT</v>
      </c>
      <c r="AR131" s="23" t="str">
        <f>IF(AO131="YES",IF(SUM(N(X131),N(Y131),N(Z131))&gt;0,"TQQQ","SOXL"),IF(AP131="YES",IF(SUM(N(AA131),N(AB131),N(AC131))&gt;0,"SQQQ","SOXS"),""))</f>
        <v/>
      </c>
      <c r="AS131" s="23" t="str">
        <f>IF(AQ131="WAIT","",IF(AR131="",1,0.6))</f>
        <v/>
      </c>
      <c r="AT131" s="23">
        <f>IF(AR131="",0,0.4)</f>
        <v>0</v>
      </c>
      <c r="AU131" s="23" t="str">
        <f>IF(AQ131="WAIT","WAIT",IF(AO131="YES","BULL",IF(AP131="YES","BEAR","WAIT")))</f>
        <v>WAIT</v>
      </c>
      <c r="AV131" t="str">
        <f>IF(AQ131="WAIT","Low",IF(OR(AND(AU131="BULL",ABS(SUM(N(X131),N(Y131),N(Z131)))&gt;=0.15),AND(AU131="BEAR",ABS(SUM(N(AA131),N(AB131),N(AC131)))&gt;=0.15)),"Strong",IF(OR(AND(AU131="BULL",ABS(SUM(N(X131),N(Y131),N(Z131)))&gt;=0.05),AND(AU131="BEAR",ABS(SUM(N(AA131),N(AB131),N(AC131)))&gt;=0.05)),"Moderate","Low")))</f>
        <v>Low</v>
      </c>
      <c r="AW131" t="str">
        <f>IF(AQ131="WAIT","QQQ and SMH not aligned",IF(AU131="BULL",IF(AQ131="SOXL","Bull regime; semiconductors leading","Bull regime; tech leading"),IF(AQ131="SOXS","Bear regime; semiconductors weakest","Bear regime; tech weakest")))</f>
        <v>QQQ and SMH not aligned</v>
      </c>
      <c r="AX131" t="str">
        <f>IF(AR131="WAIT","QQQ and SMH not aligned",IF(AV131="BULL",IF(AR131="SOXL","Bull regime; semiconductors leading","Bull regime; tech leading"),IF(AR131="SOXS","Bear regime; semiconductors weakest","Bear regime; tech weakest")))</f>
        <v>Bear regime; tech weakest</v>
      </c>
    </row>
    <row r="132" spans="1:50" x14ac:dyDescent="0.2">
      <c r="A132" s="12"/>
      <c r="B132" s="13"/>
      <c r="C132" s="13"/>
      <c r="D132" s="13"/>
      <c r="E132" s="13"/>
      <c r="F132" s="11" t="str">
        <f>IF(OR(E132="",E131=""),"",IF(E131=0,"",(E132/E131)-1))</f>
        <v/>
      </c>
      <c r="G132" s="13"/>
      <c r="H132" s="11" t="str">
        <f>IF(OR(G132="",G131=""),"",IF(G131=0,"",(G132/G131)-1))</f>
        <v/>
      </c>
      <c r="I132" s="13"/>
      <c r="J132" s="13"/>
      <c r="K132" s="13"/>
      <c r="L132" s="13"/>
      <c r="M132" s="23" t="str">
        <f>IF(OR(L132="",L131=""),"",IF(L131=0,"",(L132/L131)-1))</f>
        <v/>
      </c>
      <c r="N132" s="26" t="str">
        <f>IFERROR((M132/M131)-1,"")</f>
        <v/>
      </c>
      <c r="O132" s="23" t="str">
        <f>IF(OR(N132="",N131=""),"",IF(N131=0,"",(N132/N131)-1))</f>
        <v/>
      </c>
      <c r="P132" s="11" t="str">
        <f>IF(ROW()&lt;7,"",IF(OR(E132="",E129=""),"",IF(E129=0,"",(E132/E129)-1)))</f>
        <v/>
      </c>
      <c r="Q132" s="23" t="str">
        <f>IF(ROW()&lt;9,"",IF(OR(E132="",E127=""),"",IF(E127=0,"",(E132/E127)-1)))</f>
        <v/>
      </c>
      <c r="R132" s="23" t="str">
        <f>IF(ROW()&lt;7,"",IF(OR(G132="",G129=""),"",IF(G129=0,"",(G132/G129)-1)))</f>
        <v/>
      </c>
      <c r="S132" s="23" t="str">
        <f>IF(ROW()&lt;9,"",IF(OR(G132="",G127=""),"",IF(G127=0,"",(G132/G127)-1)))</f>
        <v/>
      </c>
      <c r="T132" s="23" t="str">
        <f>IF(ROW()&lt;7,"",IF(OR(L132="",L129=""),"",IF(L129=0,"",(L132/L129)-1)))</f>
        <v/>
      </c>
      <c r="U132" s="23" t="str">
        <f>IF(ROW()&lt;9,"",IF(OR(L132="",L127=""),"",IF(L127=0,"",(L132/L127)-1)))</f>
        <v/>
      </c>
      <c r="V132" s="23" t="str">
        <f>IF(ROW()&lt;7,"",IF(OR(N132="",N129=""),"",IF(N129=0,"",(N132/N129)-1)))</f>
        <v/>
      </c>
      <c r="W132" s="23" t="str">
        <f>IF(ROW()&lt;9,"",IF(OR(N132="",N127=""),"",IF(N127=0,"",(N132/N127)-1)))</f>
        <v/>
      </c>
      <c r="X132" s="23" t="str">
        <f>IF(OR(F132="",M132=""),"",F132-M132)</f>
        <v/>
      </c>
      <c r="Y132" s="23" t="str">
        <f>IF(OR(P132="",T132=""),"",P132-T132)</f>
        <v/>
      </c>
      <c r="Z132" s="23" t="str">
        <f>IF(OR(Q132="",U132=""),"",Q132-U132)</f>
        <v/>
      </c>
      <c r="AA132" s="23" t="str">
        <f>IF(OR(H132="",O132=""),"",H132-O132)</f>
        <v/>
      </c>
      <c r="AB132" s="23" t="str">
        <f>IF(OR(R132="",V132=""),"",R132-V132)</f>
        <v/>
      </c>
      <c r="AC132" s="23" t="str">
        <f>IF(OR(S132="",W132=""),"",S132-W132)</f>
        <v/>
      </c>
      <c r="AD132" s="13"/>
      <c r="AE132" s="23" t="str">
        <f>IF(OR(AD132="",AD131=""),"",IF(AD131=0,"",(AD132/AD131)-1))</f>
        <v/>
      </c>
      <c r="AF132" s="23" t="str">
        <f>IF(ROW()&lt;7,"",IF(OR(AD132="",AD129=""),"",IF(AD129=0,"",(AD132/AD129)-1)))</f>
        <v/>
      </c>
      <c r="AG132" s="23" t="str">
        <f>IF(ROW()&lt;9,"",IF(OR(AD132="",AD127=""),"",IF(AD127=0,"",(AD132/AD127)-1)))</f>
        <v/>
      </c>
      <c r="AH132" s="23" t="str">
        <f>IF(OR(AF132="",AG132=""),"",IF(AND(AF132&gt;0,AG132&gt;0),"Bull",IF(AND(AF132&lt;0,AG132&lt;0),"Bear","Mixed")))</f>
        <v/>
      </c>
      <c r="AI132" s="13"/>
      <c r="AJ132" s="13" t="str">
        <f>IF(OR(AI132="",AI131=""),"",IF(AI131=0,"",(AI132/AI131)-1))</f>
        <v/>
      </c>
      <c r="AK132" s="23" t="str">
        <f>IF(OR(AJ132="",AJ131=""),"",IF(AJ131=0,"",(AJ132/AJ131)-1))</f>
        <v/>
      </c>
      <c r="AL132" s="23" t="str">
        <f>IF(ROW()&lt;7,"",IF(OR(AJ132="",AJ129=""),"",IF(AJ129=0,"",(AJ132/AJ129)-1)))</f>
        <v/>
      </c>
      <c r="AM132" s="23" t="str">
        <f>IF(ROW()&lt;9,"",IF(OR(AJ132="",AJ127=""),"",IF(AJ127=0,"",(AJ132/AJ127)-1)))</f>
        <v/>
      </c>
      <c r="AN132" t="str">
        <f>IF(OR(AL132="",AM132=""),"",IF(AND(AL132&gt;0,AM132&gt;0),"Bull",IF(AND(AL132&lt;0,AM132&lt;0),"Bear","Mixed")))</f>
        <v/>
      </c>
      <c r="AO132" t="str">
        <f>IF(OR(AH132="",AN132=""),"",IF(AND(AH132="Bull",AN132="Bull"),"YES","NO"))</f>
        <v/>
      </c>
      <c r="AP132" t="str">
        <f>IF(OR(AH132="",AN132=""),"",IF(AND(AH132="Bear",AN132="Bear"),"YES","NO"))</f>
        <v/>
      </c>
      <c r="AQ132" t="str">
        <f>IF(AO132="YES",IF(SUM(N(X132),N(Y132),N(Z132))&gt;0,"SOXL","TQQQ"),IF(AP132="YES",IF(SUM(N(AA132),N(AB132),N(AC132))&gt;0,"SOXS","SQQQ"),"WAIT"))</f>
        <v>WAIT</v>
      </c>
      <c r="AR132" s="23" t="str">
        <f>IF(AO132="YES",IF(SUM(N(X132),N(Y132),N(Z132))&gt;0,"TQQQ","SOXL"),IF(AP132="YES",IF(SUM(N(AA132),N(AB132),N(AC132))&gt;0,"SQQQ","SOXS"),""))</f>
        <v/>
      </c>
      <c r="AS132" s="23" t="str">
        <f>IF(AQ132="WAIT","",IF(AR132="",1,0.6))</f>
        <v/>
      </c>
      <c r="AT132" s="23">
        <f>IF(AR132="",0,0.4)</f>
        <v>0</v>
      </c>
      <c r="AU132" s="23" t="str">
        <f>IF(AQ132="WAIT","WAIT",IF(AO132="YES","BULL",IF(AP132="YES","BEAR","WAIT")))</f>
        <v>WAIT</v>
      </c>
      <c r="AV132" t="str">
        <f>IF(AQ132="WAIT","Low",IF(OR(AND(AU132="BULL",ABS(SUM(N(X132),N(Y132),N(Z132)))&gt;=0.15),AND(AU132="BEAR",ABS(SUM(N(AA132),N(AB132),N(AC132)))&gt;=0.15)),"Strong",IF(OR(AND(AU132="BULL",ABS(SUM(N(X132),N(Y132),N(Z132)))&gt;=0.05),AND(AU132="BEAR",ABS(SUM(N(AA132),N(AB132),N(AC132)))&gt;=0.05)),"Moderate","Low")))</f>
        <v>Low</v>
      </c>
      <c r="AW132" t="str">
        <f>IF(AQ132="WAIT","QQQ and SMH not aligned",IF(AU132="BULL",IF(AQ132="SOXL","Bull regime; semiconductors leading","Bull regime; tech leading"),IF(AQ132="SOXS","Bear regime; semiconductors weakest","Bear regime; tech weakest")))</f>
        <v>QQQ and SMH not aligned</v>
      </c>
      <c r="AX132" t="str">
        <f>IF(AR132="WAIT","QQQ and SMH not aligned",IF(AV132="BULL",IF(AR132="SOXL","Bull regime; semiconductors leading","Bull regime; tech leading"),IF(AR132="SOXS","Bear regime; semiconductors weakest","Bear regime; tech weakest")))</f>
        <v>Bear regime; tech weakest</v>
      </c>
    </row>
    <row r="133" spans="1:50" x14ac:dyDescent="0.2">
      <c r="A133" s="12"/>
      <c r="B133" s="13"/>
      <c r="C133" s="13"/>
      <c r="D133" s="13"/>
      <c r="E133" s="13"/>
      <c r="F133" s="11" t="str">
        <f>IF(OR(E133="",E132=""),"",IF(E132=0,"",(E133/E132)-1))</f>
        <v/>
      </c>
      <c r="G133" s="13"/>
      <c r="H133" s="11" t="str">
        <f>IF(OR(G133="",G132=""),"",IF(G132=0,"",(G133/G132)-1))</f>
        <v/>
      </c>
      <c r="I133" s="13"/>
      <c r="J133" s="13"/>
      <c r="K133" s="13"/>
      <c r="L133" s="13"/>
      <c r="M133" s="23" t="str">
        <f>IF(OR(L133="",L132=""),"",IF(L132=0,"",(L133/L132)-1))</f>
        <v/>
      </c>
      <c r="N133" s="26" t="str">
        <f>IFERROR((M133/M132)-1,"")</f>
        <v/>
      </c>
      <c r="O133" s="23" t="str">
        <f>IF(OR(N133="",N132=""),"",IF(N132=0,"",(N133/N132)-1))</f>
        <v/>
      </c>
      <c r="P133" s="11" t="str">
        <f>IF(ROW()&lt;7,"",IF(OR(E133="",E130=""),"",IF(E130=0,"",(E133/E130)-1)))</f>
        <v/>
      </c>
      <c r="Q133" s="23" t="str">
        <f>IF(ROW()&lt;9,"",IF(OR(E133="",E128=""),"",IF(E128=0,"",(E133/E128)-1)))</f>
        <v/>
      </c>
      <c r="R133" s="23" t="str">
        <f>IF(ROW()&lt;7,"",IF(OR(G133="",G130=""),"",IF(G130=0,"",(G133/G130)-1)))</f>
        <v/>
      </c>
      <c r="S133" s="23" t="str">
        <f>IF(ROW()&lt;9,"",IF(OR(G133="",G128=""),"",IF(G128=0,"",(G133/G128)-1)))</f>
        <v/>
      </c>
      <c r="T133" s="23" t="str">
        <f>IF(ROW()&lt;7,"",IF(OR(L133="",L130=""),"",IF(L130=0,"",(L133/L130)-1)))</f>
        <v/>
      </c>
      <c r="U133" s="23" t="str">
        <f>IF(ROW()&lt;9,"",IF(OR(L133="",L128=""),"",IF(L128=0,"",(L133/L128)-1)))</f>
        <v/>
      </c>
      <c r="V133" s="23" t="str">
        <f>IF(ROW()&lt;7,"",IF(OR(N133="",N130=""),"",IF(N130=0,"",(N133/N130)-1)))</f>
        <v/>
      </c>
      <c r="W133" s="23" t="str">
        <f>IF(ROW()&lt;9,"",IF(OR(N133="",N128=""),"",IF(N128=0,"",(N133/N128)-1)))</f>
        <v/>
      </c>
      <c r="X133" s="23" t="str">
        <f>IF(OR(F133="",M133=""),"",F133-M133)</f>
        <v/>
      </c>
      <c r="Y133" s="23" t="str">
        <f>IF(OR(P133="",T133=""),"",P133-T133)</f>
        <v/>
      </c>
      <c r="Z133" s="23" t="str">
        <f>IF(OR(Q133="",U133=""),"",Q133-U133)</f>
        <v/>
      </c>
      <c r="AA133" s="23" t="str">
        <f>IF(OR(H133="",O133=""),"",H133-O133)</f>
        <v/>
      </c>
      <c r="AB133" s="23" t="str">
        <f>IF(OR(R133="",V133=""),"",R133-V133)</f>
        <v/>
      </c>
      <c r="AC133" s="23" t="str">
        <f>IF(OR(S133="",W133=""),"",S133-W133)</f>
        <v/>
      </c>
      <c r="AD133" s="13"/>
      <c r="AE133" s="23" t="str">
        <f>IF(OR(AD133="",AD132=""),"",IF(AD132=0,"",(AD133/AD132)-1))</f>
        <v/>
      </c>
      <c r="AF133" s="23" t="str">
        <f>IF(ROW()&lt;7,"",IF(OR(AD133="",AD130=""),"",IF(AD130=0,"",(AD133/AD130)-1)))</f>
        <v/>
      </c>
      <c r="AG133" s="23" t="str">
        <f>IF(ROW()&lt;9,"",IF(OR(AD133="",AD128=""),"",IF(AD128=0,"",(AD133/AD128)-1)))</f>
        <v/>
      </c>
      <c r="AH133" s="23" t="str">
        <f>IF(OR(AF133="",AG133=""),"",IF(AND(AF133&gt;0,AG133&gt;0),"Bull",IF(AND(AF133&lt;0,AG133&lt;0),"Bear","Mixed")))</f>
        <v/>
      </c>
      <c r="AI133" s="13"/>
      <c r="AJ133" s="13" t="str">
        <f>IF(OR(AI133="",AI132=""),"",IF(AI132=0,"",(AI133/AI132)-1))</f>
        <v/>
      </c>
      <c r="AK133" s="23" t="str">
        <f>IF(OR(AJ133="",AJ132=""),"",IF(AJ132=0,"",(AJ133/AJ132)-1))</f>
        <v/>
      </c>
      <c r="AL133" s="23" t="str">
        <f>IF(ROW()&lt;7,"",IF(OR(AJ133="",AJ130=""),"",IF(AJ130=0,"",(AJ133/AJ130)-1)))</f>
        <v/>
      </c>
      <c r="AM133" s="23" t="str">
        <f>IF(ROW()&lt;9,"",IF(OR(AJ133="",AJ128=""),"",IF(AJ128=0,"",(AJ133/AJ128)-1)))</f>
        <v/>
      </c>
      <c r="AN133" t="str">
        <f>IF(OR(AL133="",AM133=""),"",IF(AND(AL133&gt;0,AM133&gt;0),"Bull",IF(AND(AL133&lt;0,AM133&lt;0),"Bear","Mixed")))</f>
        <v/>
      </c>
      <c r="AO133" t="str">
        <f>IF(OR(AH133="",AN133=""),"",IF(AND(AH133="Bull",AN133="Bull"),"YES","NO"))</f>
        <v/>
      </c>
      <c r="AP133" t="str">
        <f>IF(OR(AH133="",AN133=""),"",IF(AND(AH133="Bear",AN133="Bear"),"YES","NO"))</f>
        <v/>
      </c>
      <c r="AQ133" t="str">
        <f>IF(AO133="YES",IF(SUM(N(X133),N(Y133),N(Z133))&gt;0,"SOXL","TQQQ"),IF(AP133="YES",IF(SUM(N(AA133),N(AB133),N(AC133))&gt;0,"SOXS","SQQQ"),"WAIT"))</f>
        <v>WAIT</v>
      </c>
      <c r="AR133" s="23" t="str">
        <f>IF(AO133="YES",IF(SUM(N(X133),N(Y133),N(Z133))&gt;0,"TQQQ","SOXL"),IF(AP133="YES",IF(SUM(N(AA133),N(AB133),N(AC133))&gt;0,"SQQQ","SOXS"),""))</f>
        <v/>
      </c>
      <c r="AS133" s="23" t="str">
        <f>IF(AQ133="WAIT","",IF(AR133="",1,0.6))</f>
        <v/>
      </c>
      <c r="AT133" s="23">
        <f>IF(AR133="",0,0.4)</f>
        <v>0</v>
      </c>
      <c r="AU133" s="23" t="str">
        <f>IF(AQ133="WAIT","WAIT",IF(AO133="YES","BULL",IF(AP133="YES","BEAR","WAIT")))</f>
        <v>WAIT</v>
      </c>
      <c r="AV133" t="str">
        <f>IF(AQ133="WAIT","Low",IF(OR(AND(AU133="BULL",ABS(SUM(N(X133),N(Y133),N(Z133)))&gt;=0.15),AND(AU133="BEAR",ABS(SUM(N(AA133),N(AB133),N(AC133)))&gt;=0.15)),"Strong",IF(OR(AND(AU133="BULL",ABS(SUM(N(X133),N(Y133),N(Z133)))&gt;=0.05),AND(AU133="BEAR",ABS(SUM(N(AA133),N(AB133),N(AC133)))&gt;=0.05)),"Moderate","Low")))</f>
        <v>Low</v>
      </c>
      <c r="AW133" t="str">
        <f>IF(AQ133="WAIT","QQQ and SMH not aligned",IF(AU133="BULL",IF(AQ133="SOXL","Bull regime; semiconductors leading","Bull regime; tech leading"),IF(AQ133="SOXS","Bear regime; semiconductors weakest","Bear regime; tech weakest")))</f>
        <v>QQQ and SMH not aligned</v>
      </c>
      <c r="AX133" t="str">
        <f>IF(AR133="WAIT","QQQ and SMH not aligned",IF(AV133="BULL",IF(AR133="SOXL","Bull regime; semiconductors leading","Bull regime; tech leading"),IF(AR133="SOXS","Bear regime; semiconductors weakest","Bear regime; tech weakest")))</f>
        <v>Bear regime; tech weakest</v>
      </c>
    </row>
    <row r="134" spans="1:50" x14ac:dyDescent="0.2">
      <c r="A134" s="12"/>
      <c r="B134" s="13"/>
      <c r="C134" s="13"/>
      <c r="D134" s="13"/>
      <c r="E134" s="13"/>
      <c r="F134" s="11" t="str">
        <f>IF(OR(E134="",E133=""),"",IF(E133=0,"",(E134/E133)-1))</f>
        <v/>
      </c>
      <c r="G134" s="13"/>
      <c r="H134" s="11" t="str">
        <f>IF(OR(G134="",G133=""),"",IF(G133=0,"",(G134/G133)-1))</f>
        <v/>
      </c>
      <c r="I134" s="13"/>
      <c r="J134" s="13"/>
      <c r="K134" s="13"/>
      <c r="L134" s="13"/>
      <c r="M134" s="23" t="str">
        <f>IF(OR(L134="",L133=""),"",IF(L133=0,"",(L134/L133)-1))</f>
        <v/>
      </c>
      <c r="N134" s="26" t="str">
        <f>IFERROR((M134/M133)-1,"")</f>
        <v/>
      </c>
      <c r="O134" s="23" t="str">
        <f>IF(OR(N134="",N133=""),"",IF(N133=0,"",(N134/N133)-1))</f>
        <v/>
      </c>
      <c r="P134" s="11" t="str">
        <f>IF(ROW()&lt;7,"",IF(OR(E134="",E131=""),"",IF(E131=0,"",(E134/E131)-1)))</f>
        <v/>
      </c>
      <c r="Q134" s="23" t="str">
        <f>IF(ROW()&lt;9,"",IF(OR(E134="",E129=""),"",IF(E129=0,"",(E134/E129)-1)))</f>
        <v/>
      </c>
      <c r="R134" s="23" t="str">
        <f>IF(ROW()&lt;7,"",IF(OR(G134="",G131=""),"",IF(G131=0,"",(G134/G131)-1)))</f>
        <v/>
      </c>
      <c r="S134" s="23" t="str">
        <f>IF(ROW()&lt;9,"",IF(OR(G134="",G129=""),"",IF(G129=0,"",(G134/G129)-1)))</f>
        <v/>
      </c>
      <c r="T134" s="23" t="str">
        <f>IF(ROW()&lt;7,"",IF(OR(L134="",L131=""),"",IF(L131=0,"",(L134/L131)-1)))</f>
        <v/>
      </c>
      <c r="U134" s="23" t="str">
        <f>IF(ROW()&lt;9,"",IF(OR(L134="",L129=""),"",IF(L129=0,"",(L134/L129)-1)))</f>
        <v/>
      </c>
      <c r="V134" s="23" t="str">
        <f>IF(ROW()&lt;7,"",IF(OR(N134="",N131=""),"",IF(N131=0,"",(N134/N131)-1)))</f>
        <v/>
      </c>
      <c r="W134" s="23" t="str">
        <f>IF(ROW()&lt;9,"",IF(OR(N134="",N129=""),"",IF(N129=0,"",(N134/N129)-1)))</f>
        <v/>
      </c>
      <c r="X134" s="23" t="str">
        <f>IF(OR(F134="",M134=""),"",F134-M134)</f>
        <v/>
      </c>
      <c r="Y134" s="23" t="str">
        <f>IF(OR(P134="",T134=""),"",P134-T134)</f>
        <v/>
      </c>
      <c r="Z134" s="23" t="str">
        <f>IF(OR(Q134="",U134=""),"",Q134-U134)</f>
        <v/>
      </c>
      <c r="AA134" s="23" t="str">
        <f>IF(OR(H134="",O134=""),"",H134-O134)</f>
        <v/>
      </c>
      <c r="AB134" s="23" t="str">
        <f>IF(OR(R134="",V134=""),"",R134-V134)</f>
        <v/>
      </c>
      <c r="AC134" s="23" t="str">
        <f>IF(OR(S134="",W134=""),"",S134-W134)</f>
        <v/>
      </c>
      <c r="AD134" s="13"/>
      <c r="AE134" s="23" t="str">
        <f>IF(OR(AD134="",AD133=""),"",IF(AD133=0,"",(AD134/AD133)-1))</f>
        <v/>
      </c>
      <c r="AF134" s="23" t="str">
        <f>IF(ROW()&lt;7,"",IF(OR(AD134="",AD131=""),"",IF(AD131=0,"",(AD134/AD131)-1)))</f>
        <v/>
      </c>
      <c r="AG134" s="23" t="str">
        <f>IF(ROW()&lt;9,"",IF(OR(AD134="",AD129=""),"",IF(AD129=0,"",(AD134/AD129)-1)))</f>
        <v/>
      </c>
      <c r="AH134" s="23" t="str">
        <f>IF(OR(AF134="",AG134=""),"",IF(AND(AF134&gt;0,AG134&gt;0),"Bull",IF(AND(AF134&lt;0,AG134&lt;0),"Bear","Mixed")))</f>
        <v/>
      </c>
      <c r="AI134" s="13"/>
      <c r="AJ134" s="13" t="str">
        <f>IF(OR(AI134="",AI133=""),"",IF(AI133=0,"",(AI134/AI133)-1))</f>
        <v/>
      </c>
      <c r="AK134" s="23" t="str">
        <f>IF(OR(AJ134="",AJ133=""),"",IF(AJ133=0,"",(AJ134/AJ133)-1))</f>
        <v/>
      </c>
      <c r="AL134" s="23" t="str">
        <f>IF(ROW()&lt;7,"",IF(OR(AJ134="",AJ131=""),"",IF(AJ131=0,"",(AJ134/AJ131)-1)))</f>
        <v/>
      </c>
      <c r="AM134" s="23" t="str">
        <f>IF(ROW()&lt;9,"",IF(OR(AJ134="",AJ129=""),"",IF(AJ129=0,"",(AJ134/AJ129)-1)))</f>
        <v/>
      </c>
      <c r="AN134" t="str">
        <f>IF(OR(AL134="",AM134=""),"",IF(AND(AL134&gt;0,AM134&gt;0),"Bull",IF(AND(AL134&lt;0,AM134&lt;0),"Bear","Mixed")))</f>
        <v/>
      </c>
      <c r="AO134" t="str">
        <f>IF(OR(AH134="",AN134=""),"",IF(AND(AH134="Bull",AN134="Bull"),"YES","NO"))</f>
        <v/>
      </c>
      <c r="AP134" t="str">
        <f>IF(OR(AH134="",AN134=""),"",IF(AND(AH134="Bear",AN134="Bear"),"YES","NO"))</f>
        <v/>
      </c>
      <c r="AQ134" t="str">
        <f>IF(AO134="YES",IF(SUM(N(X134),N(Y134),N(Z134))&gt;0,"SOXL","TQQQ"),IF(AP134="YES",IF(SUM(N(AA134),N(AB134),N(AC134))&gt;0,"SOXS","SQQQ"),"WAIT"))</f>
        <v>WAIT</v>
      </c>
      <c r="AR134" s="23" t="str">
        <f>IF(AO134="YES",IF(SUM(N(X134),N(Y134),N(Z134))&gt;0,"TQQQ","SOXL"),IF(AP134="YES",IF(SUM(N(AA134),N(AB134),N(AC134))&gt;0,"SQQQ","SOXS"),""))</f>
        <v/>
      </c>
      <c r="AS134" s="23" t="str">
        <f>IF(AQ134="WAIT","",IF(AR134="",1,0.6))</f>
        <v/>
      </c>
      <c r="AT134" s="23">
        <f>IF(AR134="",0,0.4)</f>
        <v>0</v>
      </c>
      <c r="AU134" s="23" t="str">
        <f>IF(AQ134="WAIT","WAIT",IF(AO134="YES","BULL",IF(AP134="YES","BEAR","WAIT")))</f>
        <v>WAIT</v>
      </c>
      <c r="AV134" t="str">
        <f>IF(AQ134="WAIT","Low",IF(OR(AND(AU134="BULL",ABS(SUM(N(X134),N(Y134),N(Z134)))&gt;=0.15),AND(AU134="BEAR",ABS(SUM(N(AA134),N(AB134),N(AC134)))&gt;=0.15)),"Strong",IF(OR(AND(AU134="BULL",ABS(SUM(N(X134),N(Y134),N(Z134)))&gt;=0.05),AND(AU134="BEAR",ABS(SUM(N(AA134),N(AB134),N(AC134)))&gt;=0.05)),"Moderate","Low")))</f>
        <v>Low</v>
      </c>
      <c r="AW134" t="str">
        <f>IF(AQ134="WAIT","QQQ and SMH not aligned",IF(AU134="BULL",IF(AQ134="SOXL","Bull regime; semiconductors leading","Bull regime; tech leading"),IF(AQ134="SOXS","Bear regime; semiconductors weakest","Bear regime; tech weakest")))</f>
        <v>QQQ and SMH not aligned</v>
      </c>
      <c r="AX134" t="str">
        <f>IF(AR134="WAIT","QQQ and SMH not aligned",IF(AV134="BULL",IF(AR134="SOXL","Bull regime; semiconductors leading","Bull regime; tech leading"),IF(AR134="SOXS","Bear regime; semiconductors weakest","Bear regime; tech weakest")))</f>
        <v>Bear regime; tech weakest</v>
      </c>
    </row>
    <row r="135" spans="1:50" x14ac:dyDescent="0.2">
      <c r="A135" s="12"/>
      <c r="B135" s="13"/>
      <c r="C135" s="13"/>
      <c r="D135" s="13"/>
      <c r="E135" s="13"/>
      <c r="F135" s="11" t="str">
        <f>IF(OR(E135="",E134=""),"",IF(E134=0,"",(E135/E134)-1))</f>
        <v/>
      </c>
      <c r="G135" s="13"/>
      <c r="H135" s="11" t="str">
        <f>IF(OR(G135="",G134=""),"",IF(G134=0,"",(G135/G134)-1))</f>
        <v/>
      </c>
      <c r="I135" s="13"/>
      <c r="J135" s="13"/>
      <c r="K135" s="13"/>
      <c r="L135" s="13"/>
      <c r="M135" s="23" t="str">
        <f>IF(OR(L135="",L134=""),"",IF(L134=0,"",(L135/L134)-1))</f>
        <v/>
      </c>
      <c r="N135" s="26" t="str">
        <f>IFERROR((M135/M134)-1,"")</f>
        <v/>
      </c>
      <c r="O135" s="23" t="str">
        <f>IF(OR(N135="",N134=""),"",IF(N134=0,"",(N135/N134)-1))</f>
        <v/>
      </c>
      <c r="P135" s="11" t="str">
        <f>IF(ROW()&lt;7,"",IF(OR(E135="",E132=""),"",IF(E132=0,"",(E135/E132)-1)))</f>
        <v/>
      </c>
      <c r="Q135" s="23" t="str">
        <f>IF(ROW()&lt;9,"",IF(OR(E135="",E130=""),"",IF(E130=0,"",(E135/E130)-1)))</f>
        <v/>
      </c>
      <c r="R135" s="23" t="str">
        <f>IF(ROW()&lt;7,"",IF(OR(G135="",G132=""),"",IF(G132=0,"",(G135/G132)-1)))</f>
        <v/>
      </c>
      <c r="S135" s="23" t="str">
        <f>IF(ROW()&lt;9,"",IF(OR(G135="",G130=""),"",IF(G130=0,"",(G135/G130)-1)))</f>
        <v/>
      </c>
      <c r="T135" s="23" t="str">
        <f>IF(ROW()&lt;7,"",IF(OR(L135="",L132=""),"",IF(L132=0,"",(L135/L132)-1)))</f>
        <v/>
      </c>
      <c r="U135" s="23" t="str">
        <f>IF(ROW()&lt;9,"",IF(OR(L135="",L130=""),"",IF(L130=0,"",(L135/L130)-1)))</f>
        <v/>
      </c>
      <c r="V135" s="23" t="str">
        <f>IF(ROW()&lt;7,"",IF(OR(N135="",N132=""),"",IF(N132=0,"",(N135/N132)-1)))</f>
        <v/>
      </c>
      <c r="W135" s="23" t="str">
        <f>IF(ROW()&lt;9,"",IF(OR(N135="",N130=""),"",IF(N130=0,"",(N135/N130)-1)))</f>
        <v/>
      </c>
      <c r="X135" s="23" t="str">
        <f>IF(OR(F135="",M135=""),"",F135-M135)</f>
        <v/>
      </c>
      <c r="Y135" s="23" t="str">
        <f>IF(OR(P135="",T135=""),"",P135-T135)</f>
        <v/>
      </c>
      <c r="Z135" s="23" t="str">
        <f>IF(OR(Q135="",U135=""),"",Q135-U135)</f>
        <v/>
      </c>
      <c r="AA135" s="23" t="str">
        <f>IF(OR(H135="",O135=""),"",H135-O135)</f>
        <v/>
      </c>
      <c r="AB135" s="23" t="str">
        <f>IF(OR(R135="",V135=""),"",R135-V135)</f>
        <v/>
      </c>
      <c r="AC135" s="23" t="str">
        <f>IF(OR(S135="",W135=""),"",S135-W135)</f>
        <v/>
      </c>
      <c r="AD135" s="13"/>
      <c r="AE135" s="23" t="str">
        <f>IF(OR(AD135="",AD134=""),"",IF(AD134=0,"",(AD135/AD134)-1))</f>
        <v/>
      </c>
      <c r="AF135" s="23" t="str">
        <f>IF(ROW()&lt;7,"",IF(OR(AD135="",AD132=""),"",IF(AD132=0,"",(AD135/AD132)-1)))</f>
        <v/>
      </c>
      <c r="AG135" s="23" t="str">
        <f>IF(ROW()&lt;9,"",IF(OR(AD135="",AD130=""),"",IF(AD130=0,"",(AD135/AD130)-1)))</f>
        <v/>
      </c>
      <c r="AH135" s="23" t="str">
        <f>IF(OR(AF135="",AG135=""),"",IF(AND(AF135&gt;0,AG135&gt;0),"Bull",IF(AND(AF135&lt;0,AG135&lt;0),"Bear","Mixed")))</f>
        <v/>
      </c>
      <c r="AI135" s="13"/>
      <c r="AJ135" s="13" t="str">
        <f>IF(OR(AI135="",AI134=""),"",IF(AI134=0,"",(AI135/AI134)-1))</f>
        <v/>
      </c>
      <c r="AK135" s="23" t="str">
        <f>IF(OR(AJ135="",AJ134=""),"",IF(AJ134=0,"",(AJ135/AJ134)-1))</f>
        <v/>
      </c>
      <c r="AL135" s="23" t="str">
        <f>IF(ROW()&lt;7,"",IF(OR(AJ135="",AJ132=""),"",IF(AJ132=0,"",(AJ135/AJ132)-1)))</f>
        <v/>
      </c>
      <c r="AM135" s="23" t="str">
        <f>IF(ROW()&lt;9,"",IF(OR(AJ135="",AJ130=""),"",IF(AJ130=0,"",(AJ135/AJ130)-1)))</f>
        <v/>
      </c>
      <c r="AN135" t="str">
        <f>IF(OR(AL135="",AM135=""),"",IF(AND(AL135&gt;0,AM135&gt;0),"Bull",IF(AND(AL135&lt;0,AM135&lt;0),"Bear","Mixed")))</f>
        <v/>
      </c>
      <c r="AO135" t="str">
        <f>IF(OR(AH135="",AN135=""),"",IF(AND(AH135="Bull",AN135="Bull"),"YES","NO"))</f>
        <v/>
      </c>
      <c r="AP135" t="str">
        <f>IF(OR(AH135="",AN135=""),"",IF(AND(AH135="Bear",AN135="Bear"),"YES","NO"))</f>
        <v/>
      </c>
      <c r="AQ135" t="str">
        <f>IF(AO135="YES",IF(SUM(N(X135),N(Y135),N(Z135))&gt;0,"SOXL","TQQQ"),IF(AP135="YES",IF(SUM(N(AA135),N(AB135),N(AC135))&gt;0,"SOXS","SQQQ"),"WAIT"))</f>
        <v>WAIT</v>
      </c>
      <c r="AR135" s="23" t="str">
        <f>IF(AO135="YES",IF(SUM(N(X135),N(Y135),N(Z135))&gt;0,"TQQQ","SOXL"),IF(AP135="YES",IF(SUM(N(AA135),N(AB135),N(AC135))&gt;0,"SQQQ","SOXS"),""))</f>
        <v/>
      </c>
      <c r="AS135" s="23" t="str">
        <f>IF(AQ135="WAIT","",IF(AR135="",1,0.6))</f>
        <v/>
      </c>
      <c r="AT135" s="23">
        <f>IF(AR135="",0,0.4)</f>
        <v>0</v>
      </c>
      <c r="AU135" s="23" t="str">
        <f>IF(AQ135="WAIT","WAIT",IF(AO135="YES","BULL",IF(AP135="YES","BEAR","WAIT")))</f>
        <v>WAIT</v>
      </c>
      <c r="AV135" t="str">
        <f>IF(AQ135="WAIT","Low",IF(OR(AND(AU135="BULL",ABS(SUM(N(X135),N(Y135),N(Z135)))&gt;=0.15),AND(AU135="BEAR",ABS(SUM(N(AA135),N(AB135),N(AC135)))&gt;=0.15)),"Strong",IF(OR(AND(AU135="BULL",ABS(SUM(N(X135),N(Y135),N(Z135)))&gt;=0.05),AND(AU135="BEAR",ABS(SUM(N(AA135),N(AB135),N(AC135)))&gt;=0.05)),"Moderate","Low")))</f>
        <v>Low</v>
      </c>
      <c r="AW135" t="str">
        <f>IF(AQ135="WAIT","QQQ and SMH not aligned",IF(AU135="BULL",IF(AQ135="SOXL","Bull regime; semiconductors leading","Bull regime; tech leading"),IF(AQ135="SOXS","Bear regime; semiconductors weakest","Bear regime; tech weakest")))</f>
        <v>QQQ and SMH not aligned</v>
      </c>
      <c r="AX135" t="str">
        <f>IF(AR135="WAIT","QQQ and SMH not aligned",IF(AV135="BULL",IF(AR135="SOXL","Bull regime; semiconductors leading","Bull regime; tech leading"),IF(AR135="SOXS","Bear regime; semiconductors weakest","Bear regime; tech weakest")))</f>
        <v>Bear regime; tech weakest</v>
      </c>
    </row>
    <row r="136" spans="1:50" x14ac:dyDescent="0.2">
      <c r="A136" s="12"/>
      <c r="B136" s="13"/>
      <c r="C136" s="13"/>
      <c r="D136" s="13"/>
      <c r="E136" s="13"/>
      <c r="F136" s="11" t="str">
        <f>IF(OR(E136="",E135=""),"",IF(E135=0,"",(E136/E135)-1))</f>
        <v/>
      </c>
      <c r="G136" s="13"/>
      <c r="H136" s="11" t="str">
        <f>IF(OR(G136="",G135=""),"",IF(G135=0,"",(G136/G135)-1))</f>
        <v/>
      </c>
      <c r="I136" s="13"/>
      <c r="J136" s="13"/>
      <c r="K136" s="13"/>
      <c r="L136" s="13"/>
      <c r="M136" s="23" t="str">
        <f>IF(OR(L136="",L135=""),"",IF(L135=0,"",(L136/L135)-1))</f>
        <v/>
      </c>
      <c r="N136" s="26" t="str">
        <f>IFERROR((M136/M135)-1,"")</f>
        <v/>
      </c>
      <c r="O136" s="23" t="str">
        <f>IF(OR(N136="",N135=""),"",IF(N135=0,"",(N136/N135)-1))</f>
        <v/>
      </c>
      <c r="P136" s="11" t="str">
        <f>IF(ROW()&lt;7,"",IF(OR(E136="",E133=""),"",IF(E133=0,"",(E136/E133)-1)))</f>
        <v/>
      </c>
      <c r="Q136" s="23" t="str">
        <f>IF(ROW()&lt;9,"",IF(OR(E136="",E131=""),"",IF(E131=0,"",(E136/E131)-1)))</f>
        <v/>
      </c>
      <c r="R136" s="23" t="str">
        <f>IF(ROW()&lt;7,"",IF(OR(G136="",G133=""),"",IF(G133=0,"",(G136/G133)-1)))</f>
        <v/>
      </c>
      <c r="S136" s="23" t="str">
        <f>IF(ROW()&lt;9,"",IF(OR(G136="",G131=""),"",IF(G131=0,"",(G136/G131)-1)))</f>
        <v/>
      </c>
      <c r="T136" s="23" t="str">
        <f>IF(ROW()&lt;7,"",IF(OR(L136="",L133=""),"",IF(L133=0,"",(L136/L133)-1)))</f>
        <v/>
      </c>
      <c r="U136" s="23" t="str">
        <f>IF(ROW()&lt;9,"",IF(OR(L136="",L131=""),"",IF(L131=0,"",(L136/L131)-1)))</f>
        <v/>
      </c>
      <c r="V136" s="23" t="str">
        <f>IF(ROW()&lt;7,"",IF(OR(N136="",N133=""),"",IF(N133=0,"",(N136/N133)-1)))</f>
        <v/>
      </c>
      <c r="W136" s="23" t="str">
        <f>IF(ROW()&lt;9,"",IF(OR(N136="",N131=""),"",IF(N131=0,"",(N136/N131)-1)))</f>
        <v/>
      </c>
      <c r="X136" s="23" t="str">
        <f>IF(OR(F136="",M136=""),"",F136-M136)</f>
        <v/>
      </c>
      <c r="Y136" s="23" t="str">
        <f>IF(OR(P136="",T136=""),"",P136-T136)</f>
        <v/>
      </c>
      <c r="Z136" s="23" t="str">
        <f>IF(OR(Q136="",U136=""),"",Q136-U136)</f>
        <v/>
      </c>
      <c r="AA136" s="23" t="str">
        <f>IF(OR(H136="",O136=""),"",H136-O136)</f>
        <v/>
      </c>
      <c r="AB136" s="23" t="str">
        <f>IF(OR(R136="",V136=""),"",R136-V136)</f>
        <v/>
      </c>
      <c r="AC136" s="23" t="str">
        <f>IF(OR(S136="",W136=""),"",S136-W136)</f>
        <v/>
      </c>
      <c r="AD136" s="13"/>
      <c r="AE136" s="23" t="str">
        <f>IF(OR(AD136="",AD135=""),"",IF(AD135=0,"",(AD136/AD135)-1))</f>
        <v/>
      </c>
      <c r="AF136" s="23" t="str">
        <f>IF(ROW()&lt;7,"",IF(OR(AD136="",AD133=""),"",IF(AD133=0,"",(AD136/AD133)-1)))</f>
        <v/>
      </c>
      <c r="AG136" s="23" t="str">
        <f>IF(ROW()&lt;9,"",IF(OR(AD136="",AD131=""),"",IF(AD131=0,"",(AD136/AD131)-1)))</f>
        <v/>
      </c>
      <c r="AH136" s="23" t="str">
        <f>IF(OR(AF136="",AG136=""),"",IF(AND(AF136&gt;0,AG136&gt;0),"Bull",IF(AND(AF136&lt;0,AG136&lt;0),"Bear","Mixed")))</f>
        <v/>
      </c>
      <c r="AI136" s="13"/>
      <c r="AJ136" s="13" t="str">
        <f>IF(OR(AI136="",AI135=""),"",IF(AI135=0,"",(AI136/AI135)-1))</f>
        <v/>
      </c>
      <c r="AK136" s="23" t="str">
        <f>IF(OR(AJ136="",AJ135=""),"",IF(AJ135=0,"",(AJ136/AJ135)-1))</f>
        <v/>
      </c>
      <c r="AL136" s="23" t="str">
        <f>IF(ROW()&lt;7,"",IF(OR(AJ136="",AJ133=""),"",IF(AJ133=0,"",(AJ136/AJ133)-1)))</f>
        <v/>
      </c>
      <c r="AM136" s="23" t="str">
        <f>IF(ROW()&lt;9,"",IF(OR(AJ136="",AJ131=""),"",IF(AJ131=0,"",(AJ136/AJ131)-1)))</f>
        <v/>
      </c>
      <c r="AN136" t="str">
        <f>IF(OR(AL136="",AM136=""),"",IF(AND(AL136&gt;0,AM136&gt;0),"Bull",IF(AND(AL136&lt;0,AM136&lt;0),"Bear","Mixed")))</f>
        <v/>
      </c>
      <c r="AO136" t="str">
        <f>IF(OR(AH136="",AN136=""),"",IF(AND(AH136="Bull",AN136="Bull"),"YES","NO"))</f>
        <v/>
      </c>
      <c r="AP136" t="str">
        <f>IF(OR(AH136="",AN136=""),"",IF(AND(AH136="Bear",AN136="Bear"),"YES","NO"))</f>
        <v/>
      </c>
      <c r="AQ136" t="str">
        <f>IF(AO136="YES",IF(SUM(N(X136),N(Y136),N(Z136))&gt;0,"SOXL","TQQQ"),IF(AP136="YES",IF(SUM(N(AA136),N(AB136),N(AC136))&gt;0,"SOXS","SQQQ"),"WAIT"))</f>
        <v>WAIT</v>
      </c>
      <c r="AR136" s="23" t="str">
        <f>IF(AO136="YES",IF(SUM(N(X136),N(Y136),N(Z136))&gt;0,"TQQQ","SOXL"),IF(AP136="YES",IF(SUM(N(AA136),N(AB136),N(AC136))&gt;0,"SQQQ","SOXS"),""))</f>
        <v/>
      </c>
      <c r="AS136" s="23" t="str">
        <f>IF(AQ136="WAIT","",IF(AR136="",1,0.6))</f>
        <v/>
      </c>
      <c r="AT136" s="23">
        <f>IF(AR136="",0,0.4)</f>
        <v>0</v>
      </c>
      <c r="AU136" s="23" t="str">
        <f>IF(AQ136="WAIT","WAIT",IF(AO136="YES","BULL",IF(AP136="YES","BEAR","WAIT")))</f>
        <v>WAIT</v>
      </c>
      <c r="AV136" t="str">
        <f>IF(AQ136="WAIT","Low",IF(OR(AND(AU136="BULL",ABS(SUM(N(X136),N(Y136),N(Z136)))&gt;=0.15),AND(AU136="BEAR",ABS(SUM(N(AA136),N(AB136),N(AC136)))&gt;=0.15)),"Strong",IF(OR(AND(AU136="BULL",ABS(SUM(N(X136),N(Y136),N(Z136)))&gt;=0.05),AND(AU136="BEAR",ABS(SUM(N(AA136),N(AB136),N(AC136)))&gt;=0.05)),"Moderate","Low")))</f>
        <v>Low</v>
      </c>
      <c r="AW136" t="str">
        <f>IF(AQ136="WAIT","QQQ and SMH not aligned",IF(AU136="BULL",IF(AQ136="SOXL","Bull regime; semiconductors leading","Bull regime; tech leading"),IF(AQ136="SOXS","Bear regime; semiconductors weakest","Bear regime; tech weakest")))</f>
        <v>QQQ and SMH not aligned</v>
      </c>
      <c r="AX136" t="str">
        <f>IF(AR136="WAIT","QQQ and SMH not aligned",IF(AV136="BULL",IF(AR136="SOXL","Bull regime; semiconductors leading","Bull regime; tech leading"),IF(AR136="SOXS","Bear regime; semiconductors weakest","Bear regime; tech weakest")))</f>
        <v>Bear regime; tech weakest</v>
      </c>
    </row>
    <row r="137" spans="1:50" x14ac:dyDescent="0.2">
      <c r="A137" s="12"/>
      <c r="B137" s="13"/>
      <c r="C137" s="13"/>
      <c r="D137" s="13"/>
      <c r="E137" s="13"/>
      <c r="F137" s="11" t="str">
        <f>IF(OR(E137="",E136=""),"",IF(E136=0,"",(E137/E136)-1))</f>
        <v/>
      </c>
      <c r="G137" s="13"/>
      <c r="H137" s="11" t="str">
        <f>IF(OR(G137="",G136=""),"",IF(G136=0,"",(G137/G136)-1))</f>
        <v/>
      </c>
      <c r="I137" s="13"/>
      <c r="J137" s="13"/>
      <c r="K137" s="13"/>
      <c r="L137" s="13"/>
      <c r="M137" s="23" t="str">
        <f>IF(OR(L137="",L136=""),"",IF(L136=0,"",(L137/L136)-1))</f>
        <v/>
      </c>
      <c r="N137" s="26" t="str">
        <f>IFERROR((M137/M136)-1,"")</f>
        <v/>
      </c>
      <c r="O137" s="23" t="str">
        <f>IF(OR(N137="",N136=""),"",IF(N136=0,"",(N137/N136)-1))</f>
        <v/>
      </c>
      <c r="P137" s="11" t="str">
        <f>IF(ROW()&lt;7,"",IF(OR(E137="",E134=""),"",IF(E134=0,"",(E137/E134)-1)))</f>
        <v/>
      </c>
      <c r="Q137" s="23" t="str">
        <f>IF(ROW()&lt;9,"",IF(OR(E137="",E132=""),"",IF(E132=0,"",(E137/E132)-1)))</f>
        <v/>
      </c>
      <c r="R137" s="23" t="str">
        <f>IF(ROW()&lt;7,"",IF(OR(G137="",G134=""),"",IF(G134=0,"",(G137/G134)-1)))</f>
        <v/>
      </c>
      <c r="S137" s="23" t="str">
        <f>IF(ROW()&lt;9,"",IF(OR(G137="",G132=""),"",IF(G132=0,"",(G137/G132)-1)))</f>
        <v/>
      </c>
      <c r="T137" s="23" t="str">
        <f>IF(ROW()&lt;7,"",IF(OR(L137="",L134=""),"",IF(L134=0,"",(L137/L134)-1)))</f>
        <v/>
      </c>
      <c r="U137" s="23" t="str">
        <f>IF(ROW()&lt;9,"",IF(OR(L137="",L132=""),"",IF(L132=0,"",(L137/L132)-1)))</f>
        <v/>
      </c>
      <c r="V137" s="23" t="str">
        <f>IF(ROW()&lt;7,"",IF(OR(N137="",N134=""),"",IF(N134=0,"",(N137/N134)-1)))</f>
        <v/>
      </c>
      <c r="W137" s="23" t="str">
        <f>IF(ROW()&lt;9,"",IF(OR(N137="",N132=""),"",IF(N132=0,"",(N137/N132)-1)))</f>
        <v/>
      </c>
      <c r="X137" s="23" t="str">
        <f>IF(OR(F137="",M137=""),"",F137-M137)</f>
        <v/>
      </c>
      <c r="Y137" s="23" t="str">
        <f>IF(OR(P137="",T137=""),"",P137-T137)</f>
        <v/>
      </c>
      <c r="Z137" s="23" t="str">
        <f>IF(OR(Q137="",U137=""),"",Q137-U137)</f>
        <v/>
      </c>
      <c r="AA137" s="23" t="str">
        <f>IF(OR(H137="",O137=""),"",H137-O137)</f>
        <v/>
      </c>
      <c r="AB137" s="23" t="str">
        <f>IF(OR(R137="",V137=""),"",R137-V137)</f>
        <v/>
      </c>
      <c r="AC137" s="23" t="str">
        <f>IF(OR(S137="",W137=""),"",S137-W137)</f>
        <v/>
      </c>
      <c r="AD137" s="13"/>
      <c r="AE137" s="23" t="str">
        <f>IF(OR(AD137="",AD136=""),"",IF(AD136=0,"",(AD137/AD136)-1))</f>
        <v/>
      </c>
      <c r="AF137" s="23" t="str">
        <f>IF(ROW()&lt;7,"",IF(OR(AD137="",AD134=""),"",IF(AD134=0,"",(AD137/AD134)-1)))</f>
        <v/>
      </c>
      <c r="AG137" s="23" t="str">
        <f>IF(ROW()&lt;9,"",IF(OR(AD137="",AD132=""),"",IF(AD132=0,"",(AD137/AD132)-1)))</f>
        <v/>
      </c>
      <c r="AH137" s="23" t="str">
        <f>IF(OR(AF137="",AG137=""),"",IF(AND(AF137&gt;0,AG137&gt;0),"Bull",IF(AND(AF137&lt;0,AG137&lt;0),"Bear","Mixed")))</f>
        <v/>
      </c>
      <c r="AI137" s="13"/>
      <c r="AJ137" s="13" t="str">
        <f>IF(OR(AI137="",AI136=""),"",IF(AI136=0,"",(AI137/AI136)-1))</f>
        <v/>
      </c>
      <c r="AK137" s="23" t="str">
        <f>IF(OR(AJ137="",AJ136=""),"",IF(AJ136=0,"",(AJ137/AJ136)-1))</f>
        <v/>
      </c>
      <c r="AL137" s="23" t="str">
        <f>IF(ROW()&lt;7,"",IF(OR(AJ137="",AJ134=""),"",IF(AJ134=0,"",(AJ137/AJ134)-1)))</f>
        <v/>
      </c>
      <c r="AM137" s="23" t="str">
        <f>IF(ROW()&lt;9,"",IF(OR(AJ137="",AJ132=""),"",IF(AJ132=0,"",(AJ137/AJ132)-1)))</f>
        <v/>
      </c>
      <c r="AN137" t="str">
        <f>IF(OR(AL137="",AM137=""),"",IF(AND(AL137&gt;0,AM137&gt;0),"Bull",IF(AND(AL137&lt;0,AM137&lt;0),"Bear","Mixed")))</f>
        <v/>
      </c>
      <c r="AO137" t="str">
        <f>IF(OR(AH137="",AN137=""),"",IF(AND(AH137="Bull",AN137="Bull"),"YES","NO"))</f>
        <v/>
      </c>
      <c r="AP137" t="str">
        <f>IF(OR(AH137="",AN137=""),"",IF(AND(AH137="Bear",AN137="Bear"),"YES","NO"))</f>
        <v/>
      </c>
      <c r="AQ137" t="str">
        <f>IF(AO137="YES",IF(SUM(N(X137),N(Y137),N(Z137))&gt;0,"SOXL","TQQQ"),IF(AP137="YES",IF(SUM(N(AA137),N(AB137),N(AC137))&gt;0,"SOXS","SQQQ"),"WAIT"))</f>
        <v>WAIT</v>
      </c>
      <c r="AR137" s="23" t="str">
        <f>IF(AO137="YES",IF(SUM(N(X137),N(Y137),N(Z137))&gt;0,"TQQQ","SOXL"),IF(AP137="YES",IF(SUM(N(AA137),N(AB137),N(AC137))&gt;0,"SQQQ","SOXS"),""))</f>
        <v/>
      </c>
      <c r="AS137" s="23" t="str">
        <f>IF(AQ137="WAIT","",IF(AR137="",1,0.6))</f>
        <v/>
      </c>
      <c r="AT137" s="23">
        <f>IF(AR137="",0,0.4)</f>
        <v>0</v>
      </c>
      <c r="AU137" s="23" t="str">
        <f>IF(AQ137="WAIT","WAIT",IF(AO137="YES","BULL",IF(AP137="YES","BEAR","WAIT")))</f>
        <v>WAIT</v>
      </c>
      <c r="AV137" t="str">
        <f>IF(AQ137="WAIT","Low",IF(OR(AND(AU137="BULL",ABS(SUM(N(X137),N(Y137),N(Z137)))&gt;=0.15),AND(AU137="BEAR",ABS(SUM(N(AA137),N(AB137),N(AC137)))&gt;=0.15)),"Strong",IF(OR(AND(AU137="BULL",ABS(SUM(N(X137),N(Y137),N(Z137)))&gt;=0.05),AND(AU137="BEAR",ABS(SUM(N(AA137),N(AB137),N(AC137)))&gt;=0.05)),"Moderate","Low")))</f>
        <v>Low</v>
      </c>
      <c r="AW137" t="str">
        <f>IF(AQ137="WAIT","QQQ and SMH not aligned",IF(AU137="BULL",IF(AQ137="SOXL","Bull regime; semiconductors leading","Bull regime; tech leading"),IF(AQ137="SOXS","Bear regime; semiconductors weakest","Bear regime; tech weakest")))</f>
        <v>QQQ and SMH not aligned</v>
      </c>
      <c r="AX137" t="str">
        <f>IF(AR137="WAIT","QQQ and SMH not aligned",IF(AV137="BULL",IF(AR137="SOXL","Bull regime; semiconductors leading","Bull regime; tech leading"),IF(AR137="SOXS","Bear regime; semiconductors weakest","Bear regime; tech weakest")))</f>
        <v>Bear regime; tech weakest</v>
      </c>
    </row>
    <row r="138" spans="1:50" x14ac:dyDescent="0.2">
      <c r="A138" s="12"/>
      <c r="B138" s="13"/>
      <c r="C138" s="13"/>
      <c r="D138" s="13"/>
      <c r="E138" s="13"/>
      <c r="F138" s="11" t="str">
        <f>IF(OR(E138="",E137=""),"",IF(E137=0,"",(E138/E137)-1))</f>
        <v/>
      </c>
      <c r="G138" s="13"/>
      <c r="H138" s="11" t="str">
        <f>IF(OR(G138="",G137=""),"",IF(G137=0,"",(G138/G137)-1))</f>
        <v/>
      </c>
      <c r="I138" s="13"/>
      <c r="J138" s="13"/>
      <c r="K138" s="13"/>
      <c r="L138" s="13"/>
      <c r="M138" s="23" t="str">
        <f>IF(OR(L138="",L137=""),"",IF(L137=0,"",(L138/L137)-1))</f>
        <v/>
      </c>
      <c r="N138" s="26" t="str">
        <f>IFERROR((M138/M137)-1,"")</f>
        <v/>
      </c>
      <c r="O138" s="23" t="str">
        <f>IF(OR(N138="",N137=""),"",IF(N137=0,"",(N138/N137)-1))</f>
        <v/>
      </c>
      <c r="P138" s="11" t="str">
        <f>IF(ROW()&lt;7,"",IF(OR(E138="",E135=""),"",IF(E135=0,"",(E138/E135)-1)))</f>
        <v/>
      </c>
      <c r="Q138" s="23" t="str">
        <f>IF(ROW()&lt;9,"",IF(OR(E138="",E133=""),"",IF(E133=0,"",(E138/E133)-1)))</f>
        <v/>
      </c>
      <c r="R138" s="23" t="str">
        <f>IF(ROW()&lt;7,"",IF(OR(G138="",G135=""),"",IF(G135=0,"",(G138/G135)-1)))</f>
        <v/>
      </c>
      <c r="S138" s="23" t="str">
        <f>IF(ROW()&lt;9,"",IF(OR(G138="",G133=""),"",IF(G133=0,"",(G138/G133)-1)))</f>
        <v/>
      </c>
      <c r="T138" s="23" t="str">
        <f>IF(ROW()&lt;7,"",IF(OR(L138="",L135=""),"",IF(L135=0,"",(L138/L135)-1)))</f>
        <v/>
      </c>
      <c r="U138" s="23" t="str">
        <f>IF(ROW()&lt;9,"",IF(OR(L138="",L133=""),"",IF(L133=0,"",(L138/L133)-1)))</f>
        <v/>
      </c>
      <c r="V138" s="23" t="str">
        <f>IF(ROW()&lt;7,"",IF(OR(N138="",N135=""),"",IF(N135=0,"",(N138/N135)-1)))</f>
        <v/>
      </c>
      <c r="W138" s="23" t="str">
        <f>IF(ROW()&lt;9,"",IF(OR(N138="",N133=""),"",IF(N133=0,"",(N138/N133)-1)))</f>
        <v/>
      </c>
      <c r="X138" s="23" t="str">
        <f>IF(OR(F138="",M138=""),"",F138-M138)</f>
        <v/>
      </c>
      <c r="Y138" s="23" t="str">
        <f>IF(OR(P138="",T138=""),"",P138-T138)</f>
        <v/>
      </c>
      <c r="Z138" s="23" t="str">
        <f>IF(OR(Q138="",U138=""),"",Q138-U138)</f>
        <v/>
      </c>
      <c r="AA138" s="23" t="str">
        <f>IF(OR(H138="",O138=""),"",H138-O138)</f>
        <v/>
      </c>
      <c r="AB138" s="23" t="str">
        <f>IF(OR(R138="",V138=""),"",R138-V138)</f>
        <v/>
      </c>
      <c r="AC138" s="23" t="str">
        <f>IF(OR(S138="",W138=""),"",S138-W138)</f>
        <v/>
      </c>
      <c r="AD138" s="13"/>
      <c r="AE138" s="23" t="str">
        <f>IF(OR(AD138="",AD137=""),"",IF(AD137=0,"",(AD138/AD137)-1))</f>
        <v/>
      </c>
      <c r="AF138" s="23" t="str">
        <f>IF(ROW()&lt;7,"",IF(OR(AD138="",AD135=""),"",IF(AD135=0,"",(AD138/AD135)-1)))</f>
        <v/>
      </c>
      <c r="AG138" s="23" t="str">
        <f>IF(ROW()&lt;9,"",IF(OR(AD138="",AD133=""),"",IF(AD133=0,"",(AD138/AD133)-1)))</f>
        <v/>
      </c>
      <c r="AH138" s="23" t="str">
        <f>IF(OR(AF138="",AG138=""),"",IF(AND(AF138&gt;0,AG138&gt;0),"Bull",IF(AND(AF138&lt;0,AG138&lt;0),"Bear","Mixed")))</f>
        <v/>
      </c>
      <c r="AI138" s="13"/>
      <c r="AJ138" s="13" t="str">
        <f>IF(OR(AI138="",AI137=""),"",IF(AI137=0,"",(AI138/AI137)-1))</f>
        <v/>
      </c>
      <c r="AK138" s="23" t="str">
        <f>IF(OR(AJ138="",AJ137=""),"",IF(AJ137=0,"",(AJ138/AJ137)-1))</f>
        <v/>
      </c>
      <c r="AL138" s="23" t="str">
        <f>IF(ROW()&lt;7,"",IF(OR(AJ138="",AJ135=""),"",IF(AJ135=0,"",(AJ138/AJ135)-1)))</f>
        <v/>
      </c>
      <c r="AM138" s="23" t="str">
        <f>IF(ROW()&lt;9,"",IF(OR(AJ138="",AJ133=""),"",IF(AJ133=0,"",(AJ138/AJ133)-1)))</f>
        <v/>
      </c>
      <c r="AN138" t="str">
        <f>IF(OR(AL138="",AM138=""),"",IF(AND(AL138&gt;0,AM138&gt;0),"Bull",IF(AND(AL138&lt;0,AM138&lt;0),"Bear","Mixed")))</f>
        <v/>
      </c>
      <c r="AO138" t="str">
        <f>IF(OR(AH138="",AN138=""),"",IF(AND(AH138="Bull",AN138="Bull"),"YES","NO"))</f>
        <v/>
      </c>
      <c r="AP138" t="str">
        <f>IF(OR(AH138="",AN138=""),"",IF(AND(AH138="Bear",AN138="Bear"),"YES","NO"))</f>
        <v/>
      </c>
      <c r="AQ138" t="str">
        <f>IF(AO138="YES",IF(SUM(N(X138),N(Y138),N(Z138))&gt;0,"SOXL","TQQQ"),IF(AP138="YES",IF(SUM(N(AA138),N(AB138),N(AC138))&gt;0,"SOXS","SQQQ"),"WAIT"))</f>
        <v>WAIT</v>
      </c>
      <c r="AR138" s="23" t="str">
        <f>IF(AO138="YES",IF(SUM(N(X138),N(Y138),N(Z138))&gt;0,"TQQQ","SOXL"),IF(AP138="YES",IF(SUM(N(AA138),N(AB138),N(AC138))&gt;0,"SQQQ","SOXS"),""))</f>
        <v/>
      </c>
      <c r="AS138" s="23" t="str">
        <f>IF(AQ138="WAIT","",IF(AR138="",1,0.6))</f>
        <v/>
      </c>
      <c r="AT138" s="23">
        <f>IF(AR138="",0,0.4)</f>
        <v>0</v>
      </c>
      <c r="AU138" s="23" t="str">
        <f>IF(AQ138="WAIT","WAIT",IF(AO138="YES","BULL",IF(AP138="YES","BEAR","WAIT")))</f>
        <v>WAIT</v>
      </c>
      <c r="AV138" t="str">
        <f>IF(AQ138="WAIT","Low",IF(OR(AND(AU138="BULL",ABS(SUM(N(X138),N(Y138),N(Z138)))&gt;=0.15),AND(AU138="BEAR",ABS(SUM(N(AA138),N(AB138),N(AC138)))&gt;=0.15)),"Strong",IF(OR(AND(AU138="BULL",ABS(SUM(N(X138),N(Y138),N(Z138)))&gt;=0.05),AND(AU138="BEAR",ABS(SUM(N(AA138),N(AB138),N(AC138)))&gt;=0.05)),"Moderate","Low")))</f>
        <v>Low</v>
      </c>
      <c r="AW138" t="str">
        <f>IF(AQ138="WAIT","QQQ and SMH not aligned",IF(AU138="BULL",IF(AQ138="SOXL","Bull regime; semiconductors leading","Bull regime; tech leading"),IF(AQ138="SOXS","Bear regime; semiconductors weakest","Bear regime; tech weakest")))</f>
        <v>QQQ and SMH not aligned</v>
      </c>
      <c r="AX138" t="str">
        <f>IF(AR138="WAIT","QQQ and SMH not aligned",IF(AV138="BULL",IF(AR138="SOXL","Bull regime; semiconductors leading","Bull regime; tech leading"),IF(AR138="SOXS","Bear regime; semiconductors weakest","Bear regime; tech weakest")))</f>
        <v>Bear regime; tech weakest</v>
      </c>
    </row>
    <row r="139" spans="1:50" x14ac:dyDescent="0.2">
      <c r="A139" s="12"/>
      <c r="B139" s="13"/>
      <c r="C139" s="13"/>
      <c r="D139" s="13"/>
      <c r="E139" s="13"/>
      <c r="F139" s="11" t="str">
        <f>IF(OR(E139="",E138=""),"",IF(E138=0,"",(E139/E138)-1))</f>
        <v/>
      </c>
      <c r="G139" s="13"/>
      <c r="H139" s="11" t="str">
        <f>IF(OR(G139="",G138=""),"",IF(G138=0,"",(G139/G138)-1))</f>
        <v/>
      </c>
      <c r="I139" s="13"/>
      <c r="J139" s="13"/>
      <c r="K139" s="13"/>
      <c r="L139" s="13"/>
      <c r="M139" s="23" t="str">
        <f>IF(OR(L139="",L138=""),"",IF(L138=0,"",(L139/L138)-1))</f>
        <v/>
      </c>
      <c r="N139" s="26" t="str">
        <f>IFERROR((M139/M138)-1,"")</f>
        <v/>
      </c>
      <c r="O139" s="23" t="str">
        <f>IF(OR(N139="",N138=""),"",IF(N138=0,"",(N139/N138)-1))</f>
        <v/>
      </c>
      <c r="P139" s="11" t="str">
        <f>IF(ROW()&lt;7,"",IF(OR(E139="",E136=""),"",IF(E136=0,"",(E139/E136)-1)))</f>
        <v/>
      </c>
      <c r="Q139" s="23" t="str">
        <f>IF(ROW()&lt;9,"",IF(OR(E139="",E134=""),"",IF(E134=0,"",(E139/E134)-1)))</f>
        <v/>
      </c>
      <c r="R139" s="23" t="str">
        <f>IF(ROW()&lt;7,"",IF(OR(G139="",G136=""),"",IF(G136=0,"",(G139/G136)-1)))</f>
        <v/>
      </c>
      <c r="S139" s="23" t="str">
        <f>IF(ROW()&lt;9,"",IF(OR(G139="",G134=""),"",IF(G134=0,"",(G139/G134)-1)))</f>
        <v/>
      </c>
      <c r="T139" s="23" t="str">
        <f>IF(ROW()&lt;7,"",IF(OR(L139="",L136=""),"",IF(L136=0,"",(L139/L136)-1)))</f>
        <v/>
      </c>
      <c r="U139" s="23" t="str">
        <f>IF(ROW()&lt;9,"",IF(OR(L139="",L134=""),"",IF(L134=0,"",(L139/L134)-1)))</f>
        <v/>
      </c>
      <c r="V139" s="23" t="str">
        <f>IF(ROW()&lt;7,"",IF(OR(N139="",N136=""),"",IF(N136=0,"",(N139/N136)-1)))</f>
        <v/>
      </c>
      <c r="W139" s="23" t="str">
        <f>IF(ROW()&lt;9,"",IF(OR(N139="",N134=""),"",IF(N134=0,"",(N139/N134)-1)))</f>
        <v/>
      </c>
      <c r="X139" s="23" t="str">
        <f>IF(OR(F139="",M139=""),"",F139-M139)</f>
        <v/>
      </c>
      <c r="Y139" s="23" t="str">
        <f>IF(OR(P139="",T139=""),"",P139-T139)</f>
        <v/>
      </c>
      <c r="Z139" s="23" t="str">
        <f>IF(OR(Q139="",U139=""),"",Q139-U139)</f>
        <v/>
      </c>
      <c r="AA139" s="23" t="str">
        <f>IF(OR(H139="",O139=""),"",H139-O139)</f>
        <v/>
      </c>
      <c r="AB139" s="23" t="str">
        <f>IF(OR(R139="",V139=""),"",R139-V139)</f>
        <v/>
      </c>
      <c r="AC139" s="23" t="str">
        <f>IF(OR(S139="",W139=""),"",S139-W139)</f>
        <v/>
      </c>
      <c r="AD139" s="13"/>
      <c r="AE139" s="23" t="str">
        <f>IF(OR(AD139="",AD138=""),"",IF(AD138=0,"",(AD139/AD138)-1))</f>
        <v/>
      </c>
      <c r="AF139" s="23" t="str">
        <f>IF(ROW()&lt;7,"",IF(OR(AD139="",AD136=""),"",IF(AD136=0,"",(AD139/AD136)-1)))</f>
        <v/>
      </c>
      <c r="AG139" s="23" t="str">
        <f>IF(ROW()&lt;9,"",IF(OR(AD139="",AD134=""),"",IF(AD134=0,"",(AD139/AD134)-1)))</f>
        <v/>
      </c>
      <c r="AH139" s="23" t="str">
        <f>IF(OR(AF139="",AG139=""),"",IF(AND(AF139&gt;0,AG139&gt;0),"Bull",IF(AND(AF139&lt;0,AG139&lt;0),"Bear","Mixed")))</f>
        <v/>
      </c>
      <c r="AI139" s="13"/>
      <c r="AJ139" s="13" t="str">
        <f>IF(OR(AI139="",AI138=""),"",IF(AI138=0,"",(AI139/AI138)-1))</f>
        <v/>
      </c>
      <c r="AK139" s="23" t="str">
        <f>IF(OR(AJ139="",AJ138=""),"",IF(AJ138=0,"",(AJ139/AJ138)-1))</f>
        <v/>
      </c>
      <c r="AL139" s="23" t="str">
        <f>IF(ROW()&lt;7,"",IF(OR(AJ139="",AJ136=""),"",IF(AJ136=0,"",(AJ139/AJ136)-1)))</f>
        <v/>
      </c>
      <c r="AM139" s="23" t="str">
        <f>IF(ROW()&lt;9,"",IF(OR(AJ139="",AJ134=""),"",IF(AJ134=0,"",(AJ139/AJ134)-1)))</f>
        <v/>
      </c>
      <c r="AN139" t="str">
        <f>IF(OR(AL139="",AM139=""),"",IF(AND(AL139&gt;0,AM139&gt;0),"Bull",IF(AND(AL139&lt;0,AM139&lt;0),"Bear","Mixed")))</f>
        <v/>
      </c>
      <c r="AO139" t="str">
        <f>IF(OR(AH139="",AN139=""),"",IF(AND(AH139="Bull",AN139="Bull"),"YES","NO"))</f>
        <v/>
      </c>
      <c r="AP139" t="str">
        <f>IF(OR(AH139="",AN139=""),"",IF(AND(AH139="Bear",AN139="Bear"),"YES","NO"))</f>
        <v/>
      </c>
      <c r="AQ139" t="str">
        <f>IF(AO139="YES",IF(SUM(N(X139),N(Y139),N(Z139))&gt;0,"SOXL","TQQQ"),IF(AP139="YES",IF(SUM(N(AA139),N(AB139),N(AC139))&gt;0,"SOXS","SQQQ"),"WAIT"))</f>
        <v>WAIT</v>
      </c>
      <c r="AR139" s="23" t="str">
        <f>IF(AO139="YES",IF(SUM(N(X139),N(Y139),N(Z139))&gt;0,"TQQQ","SOXL"),IF(AP139="YES",IF(SUM(N(AA139),N(AB139),N(AC139))&gt;0,"SQQQ","SOXS"),""))</f>
        <v/>
      </c>
      <c r="AS139" s="23" t="str">
        <f>IF(AQ139="WAIT","",IF(AR139="",1,0.6))</f>
        <v/>
      </c>
      <c r="AT139" s="23">
        <f>IF(AR139="",0,0.4)</f>
        <v>0</v>
      </c>
      <c r="AU139" s="23" t="str">
        <f>IF(AQ139="WAIT","WAIT",IF(AO139="YES","BULL",IF(AP139="YES","BEAR","WAIT")))</f>
        <v>WAIT</v>
      </c>
      <c r="AV139" t="str">
        <f>IF(AQ139="WAIT","Low",IF(OR(AND(AU139="BULL",ABS(SUM(N(X139),N(Y139),N(Z139)))&gt;=0.15),AND(AU139="BEAR",ABS(SUM(N(AA139),N(AB139),N(AC139)))&gt;=0.15)),"Strong",IF(OR(AND(AU139="BULL",ABS(SUM(N(X139),N(Y139),N(Z139)))&gt;=0.05),AND(AU139="BEAR",ABS(SUM(N(AA139),N(AB139),N(AC139)))&gt;=0.05)),"Moderate","Low")))</f>
        <v>Low</v>
      </c>
      <c r="AW139" t="str">
        <f>IF(AQ139="WAIT","QQQ and SMH not aligned",IF(AU139="BULL",IF(AQ139="SOXL","Bull regime; semiconductors leading","Bull regime; tech leading"),IF(AQ139="SOXS","Bear regime; semiconductors weakest","Bear regime; tech weakest")))</f>
        <v>QQQ and SMH not aligned</v>
      </c>
      <c r="AX139" t="str">
        <f>IF(AR139="WAIT","QQQ and SMH not aligned",IF(AV139="BULL",IF(AR139="SOXL","Bull regime; semiconductors leading","Bull regime; tech leading"),IF(AR139="SOXS","Bear regime; semiconductors weakest","Bear regime; tech weakest")))</f>
        <v>Bear regime; tech weakest</v>
      </c>
    </row>
    <row r="140" spans="1:50" x14ac:dyDescent="0.2">
      <c r="A140" s="12"/>
      <c r="B140" s="13"/>
      <c r="C140" s="13"/>
      <c r="D140" s="13"/>
      <c r="E140" s="13"/>
      <c r="F140" s="11" t="str">
        <f>IF(OR(E140="",E139=""),"",IF(E139=0,"",(E140/E139)-1))</f>
        <v/>
      </c>
      <c r="G140" s="13"/>
      <c r="H140" s="11" t="str">
        <f>IF(OR(G140="",G139=""),"",IF(G139=0,"",(G140/G139)-1))</f>
        <v/>
      </c>
      <c r="I140" s="13"/>
      <c r="J140" s="13"/>
      <c r="K140" s="13"/>
      <c r="L140" s="13"/>
      <c r="M140" s="23" t="str">
        <f>IF(OR(L140="",L139=""),"",IF(L139=0,"",(L140/L139)-1))</f>
        <v/>
      </c>
      <c r="N140" s="26" t="str">
        <f>IFERROR((M140/M139)-1,"")</f>
        <v/>
      </c>
      <c r="O140" s="23" t="str">
        <f>IF(OR(N140="",N139=""),"",IF(N139=0,"",(N140/N139)-1))</f>
        <v/>
      </c>
      <c r="P140" s="11" t="str">
        <f>IF(ROW()&lt;7,"",IF(OR(E140="",E137=""),"",IF(E137=0,"",(E140/E137)-1)))</f>
        <v/>
      </c>
      <c r="Q140" s="23" t="str">
        <f>IF(ROW()&lt;9,"",IF(OR(E140="",E135=""),"",IF(E135=0,"",(E140/E135)-1)))</f>
        <v/>
      </c>
      <c r="R140" s="23" t="str">
        <f>IF(ROW()&lt;7,"",IF(OR(G140="",G137=""),"",IF(G137=0,"",(G140/G137)-1)))</f>
        <v/>
      </c>
      <c r="S140" s="23" t="str">
        <f>IF(ROW()&lt;9,"",IF(OR(G140="",G135=""),"",IF(G135=0,"",(G140/G135)-1)))</f>
        <v/>
      </c>
      <c r="T140" s="23" t="str">
        <f>IF(ROW()&lt;7,"",IF(OR(L140="",L137=""),"",IF(L137=0,"",(L140/L137)-1)))</f>
        <v/>
      </c>
      <c r="U140" s="23" t="str">
        <f>IF(ROW()&lt;9,"",IF(OR(L140="",L135=""),"",IF(L135=0,"",(L140/L135)-1)))</f>
        <v/>
      </c>
      <c r="V140" s="23" t="str">
        <f>IF(ROW()&lt;7,"",IF(OR(N140="",N137=""),"",IF(N137=0,"",(N140/N137)-1)))</f>
        <v/>
      </c>
      <c r="W140" s="23" t="str">
        <f>IF(ROW()&lt;9,"",IF(OR(N140="",N135=""),"",IF(N135=0,"",(N140/N135)-1)))</f>
        <v/>
      </c>
      <c r="X140" s="23" t="str">
        <f>IF(OR(F140="",M140=""),"",F140-M140)</f>
        <v/>
      </c>
      <c r="Y140" s="23" t="str">
        <f>IF(OR(P140="",T140=""),"",P140-T140)</f>
        <v/>
      </c>
      <c r="Z140" s="23" t="str">
        <f>IF(OR(Q140="",U140=""),"",Q140-U140)</f>
        <v/>
      </c>
      <c r="AA140" s="23" t="str">
        <f>IF(OR(H140="",O140=""),"",H140-O140)</f>
        <v/>
      </c>
      <c r="AB140" s="23" t="str">
        <f>IF(OR(R140="",V140=""),"",R140-V140)</f>
        <v/>
      </c>
      <c r="AC140" s="23" t="str">
        <f>IF(OR(S140="",W140=""),"",S140-W140)</f>
        <v/>
      </c>
      <c r="AD140" s="13"/>
      <c r="AE140" s="23" t="str">
        <f>IF(OR(AD140="",AD139=""),"",IF(AD139=0,"",(AD140/AD139)-1))</f>
        <v/>
      </c>
      <c r="AF140" s="23" t="str">
        <f>IF(ROW()&lt;7,"",IF(OR(AD140="",AD137=""),"",IF(AD137=0,"",(AD140/AD137)-1)))</f>
        <v/>
      </c>
      <c r="AG140" s="23" t="str">
        <f>IF(ROW()&lt;9,"",IF(OR(AD140="",AD135=""),"",IF(AD135=0,"",(AD140/AD135)-1)))</f>
        <v/>
      </c>
      <c r="AH140" s="23" t="str">
        <f>IF(OR(AF140="",AG140=""),"",IF(AND(AF140&gt;0,AG140&gt;0),"Bull",IF(AND(AF140&lt;0,AG140&lt;0),"Bear","Mixed")))</f>
        <v/>
      </c>
      <c r="AI140" s="13"/>
      <c r="AJ140" s="13" t="str">
        <f>IF(OR(AI140="",AI139=""),"",IF(AI139=0,"",(AI140/AI139)-1))</f>
        <v/>
      </c>
      <c r="AK140" s="23" t="str">
        <f>IF(OR(AJ140="",AJ139=""),"",IF(AJ139=0,"",(AJ140/AJ139)-1))</f>
        <v/>
      </c>
      <c r="AL140" s="23" t="str">
        <f>IF(ROW()&lt;7,"",IF(OR(AJ140="",AJ137=""),"",IF(AJ137=0,"",(AJ140/AJ137)-1)))</f>
        <v/>
      </c>
      <c r="AM140" s="23" t="str">
        <f>IF(ROW()&lt;9,"",IF(OR(AJ140="",AJ135=""),"",IF(AJ135=0,"",(AJ140/AJ135)-1)))</f>
        <v/>
      </c>
      <c r="AN140" t="str">
        <f>IF(OR(AL140="",AM140=""),"",IF(AND(AL140&gt;0,AM140&gt;0),"Bull",IF(AND(AL140&lt;0,AM140&lt;0),"Bear","Mixed")))</f>
        <v/>
      </c>
      <c r="AO140" t="str">
        <f>IF(OR(AH140="",AN140=""),"",IF(AND(AH140="Bull",AN140="Bull"),"YES","NO"))</f>
        <v/>
      </c>
      <c r="AP140" t="str">
        <f>IF(OR(AH140="",AN140=""),"",IF(AND(AH140="Bear",AN140="Bear"),"YES","NO"))</f>
        <v/>
      </c>
      <c r="AQ140" t="str">
        <f>IF(AO140="YES",IF(SUM(N(X140),N(Y140),N(Z140))&gt;0,"SOXL","TQQQ"),IF(AP140="YES",IF(SUM(N(AA140),N(AB140),N(AC140))&gt;0,"SOXS","SQQQ"),"WAIT"))</f>
        <v>WAIT</v>
      </c>
      <c r="AR140" s="23" t="str">
        <f>IF(AO140="YES",IF(SUM(N(X140),N(Y140),N(Z140))&gt;0,"TQQQ","SOXL"),IF(AP140="YES",IF(SUM(N(AA140),N(AB140),N(AC140))&gt;0,"SQQQ","SOXS"),""))</f>
        <v/>
      </c>
      <c r="AS140" s="23" t="str">
        <f>IF(AQ140="WAIT","",IF(AR140="",1,0.6))</f>
        <v/>
      </c>
      <c r="AT140" s="23">
        <f>IF(AR140="",0,0.4)</f>
        <v>0</v>
      </c>
      <c r="AU140" s="23" t="str">
        <f>IF(AQ140="WAIT","WAIT",IF(AO140="YES","BULL",IF(AP140="YES","BEAR","WAIT")))</f>
        <v>WAIT</v>
      </c>
      <c r="AV140" t="str">
        <f>IF(AQ140="WAIT","Low",IF(OR(AND(AU140="BULL",ABS(SUM(N(X140),N(Y140),N(Z140)))&gt;=0.15),AND(AU140="BEAR",ABS(SUM(N(AA140),N(AB140),N(AC140)))&gt;=0.15)),"Strong",IF(OR(AND(AU140="BULL",ABS(SUM(N(X140),N(Y140),N(Z140)))&gt;=0.05),AND(AU140="BEAR",ABS(SUM(N(AA140),N(AB140),N(AC140)))&gt;=0.05)),"Moderate","Low")))</f>
        <v>Low</v>
      </c>
      <c r="AW140" t="str">
        <f>IF(AQ140="WAIT","QQQ and SMH not aligned",IF(AU140="BULL",IF(AQ140="SOXL","Bull regime; semiconductors leading","Bull regime; tech leading"),IF(AQ140="SOXS","Bear regime; semiconductors weakest","Bear regime; tech weakest")))</f>
        <v>QQQ and SMH not aligned</v>
      </c>
      <c r="AX140" t="str">
        <f>IF(AR140="WAIT","QQQ and SMH not aligned",IF(AV140="BULL",IF(AR140="SOXL","Bull regime; semiconductors leading","Bull regime; tech leading"),IF(AR140="SOXS","Bear regime; semiconductors weakest","Bear regime; tech weakest")))</f>
        <v>Bear regime; tech weakest</v>
      </c>
    </row>
    <row r="141" spans="1:50" x14ac:dyDescent="0.2">
      <c r="A141" s="12"/>
      <c r="B141" s="13"/>
      <c r="C141" s="13"/>
      <c r="D141" s="13"/>
      <c r="E141" s="13"/>
      <c r="F141" s="11" t="str">
        <f>IF(OR(E141="",E140=""),"",IF(E140=0,"",(E141/E140)-1))</f>
        <v/>
      </c>
      <c r="G141" s="13"/>
      <c r="H141" s="11" t="str">
        <f>IF(OR(G141="",G140=""),"",IF(G140=0,"",(G141/G140)-1))</f>
        <v/>
      </c>
      <c r="I141" s="13"/>
      <c r="J141" s="13"/>
      <c r="K141" s="13"/>
      <c r="L141" s="13"/>
      <c r="M141" s="23" t="str">
        <f>IF(OR(L141="",L140=""),"",IF(L140=0,"",(L141/L140)-1))</f>
        <v/>
      </c>
      <c r="N141" s="26" t="str">
        <f>IFERROR((M141/M140)-1,"")</f>
        <v/>
      </c>
      <c r="O141" s="23" t="str">
        <f>IF(OR(N141="",N140=""),"",IF(N140=0,"",(N141/N140)-1))</f>
        <v/>
      </c>
      <c r="P141" s="11" t="str">
        <f>IF(ROW()&lt;7,"",IF(OR(E141="",E138=""),"",IF(E138=0,"",(E141/E138)-1)))</f>
        <v/>
      </c>
      <c r="Q141" s="23" t="str">
        <f>IF(ROW()&lt;9,"",IF(OR(E141="",E136=""),"",IF(E136=0,"",(E141/E136)-1)))</f>
        <v/>
      </c>
      <c r="R141" s="23" t="str">
        <f>IF(ROW()&lt;7,"",IF(OR(G141="",G138=""),"",IF(G138=0,"",(G141/G138)-1)))</f>
        <v/>
      </c>
      <c r="S141" s="23" t="str">
        <f>IF(ROW()&lt;9,"",IF(OR(G141="",G136=""),"",IF(G136=0,"",(G141/G136)-1)))</f>
        <v/>
      </c>
      <c r="T141" s="23" t="str">
        <f>IF(ROW()&lt;7,"",IF(OR(L141="",L138=""),"",IF(L138=0,"",(L141/L138)-1)))</f>
        <v/>
      </c>
      <c r="U141" s="23" t="str">
        <f>IF(ROW()&lt;9,"",IF(OR(L141="",L136=""),"",IF(L136=0,"",(L141/L136)-1)))</f>
        <v/>
      </c>
      <c r="V141" s="23" t="str">
        <f>IF(ROW()&lt;7,"",IF(OR(N141="",N138=""),"",IF(N138=0,"",(N141/N138)-1)))</f>
        <v/>
      </c>
      <c r="W141" s="23" t="str">
        <f>IF(ROW()&lt;9,"",IF(OR(N141="",N136=""),"",IF(N136=0,"",(N141/N136)-1)))</f>
        <v/>
      </c>
      <c r="X141" s="23" t="str">
        <f>IF(OR(F141="",M141=""),"",F141-M141)</f>
        <v/>
      </c>
      <c r="Y141" s="23" t="str">
        <f>IF(OR(P141="",T141=""),"",P141-T141)</f>
        <v/>
      </c>
      <c r="Z141" s="23" t="str">
        <f>IF(OR(Q141="",U141=""),"",Q141-U141)</f>
        <v/>
      </c>
      <c r="AA141" s="23" t="str">
        <f>IF(OR(H141="",O141=""),"",H141-O141)</f>
        <v/>
      </c>
      <c r="AB141" s="23" t="str">
        <f>IF(OR(R141="",V141=""),"",R141-V141)</f>
        <v/>
      </c>
      <c r="AC141" s="23" t="str">
        <f>IF(OR(S141="",W141=""),"",S141-W141)</f>
        <v/>
      </c>
      <c r="AD141" s="13"/>
      <c r="AE141" s="23" t="str">
        <f>IF(OR(AD141="",AD140=""),"",IF(AD140=0,"",(AD141/AD140)-1))</f>
        <v/>
      </c>
      <c r="AF141" s="23" t="str">
        <f>IF(ROW()&lt;7,"",IF(OR(AD141="",AD138=""),"",IF(AD138=0,"",(AD141/AD138)-1)))</f>
        <v/>
      </c>
      <c r="AG141" s="23" t="str">
        <f>IF(ROW()&lt;9,"",IF(OR(AD141="",AD136=""),"",IF(AD136=0,"",(AD141/AD136)-1)))</f>
        <v/>
      </c>
      <c r="AH141" s="23" t="str">
        <f>IF(OR(AF141="",AG141=""),"",IF(AND(AF141&gt;0,AG141&gt;0),"Bull",IF(AND(AF141&lt;0,AG141&lt;0),"Bear","Mixed")))</f>
        <v/>
      </c>
      <c r="AI141" s="13"/>
      <c r="AJ141" s="13" t="str">
        <f>IF(OR(AI141="",AI140=""),"",IF(AI140=0,"",(AI141/AI140)-1))</f>
        <v/>
      </c>
      <c r="AK141" s="23" t="str">
        <f>IF(OR(AJ141="",AJ140=""),"",IF(AJ140=0,"",(AJ141/AJ140)-1))</f>
        <v/>
      </c>
      <c r="AL141" s="23" t="str">
        <f>IF(ROW()&lt;7,"",IF(OR(AJ141="",AJ138=""),"",IF(AJ138=0,"",(AJ141/AJ138)-1)))</f>
        <v/>
      </c>
      <c r="AM141" s="23" t="str">
        <f>IF(ROW()&lt;9,"",IF(OR(AJ141="",AJ136=""),"",IF(AJ136=0,"",(AJ141/AJ136)-1)))</f>
        <v/>
      </c>
      <c r="AN141" t="str">
        <f>IF(OR(AL141="",AM141=""),"",IF(AND(AL141&gt;0,AM141&gt;0),"Bull",IF(AND(AL141&lt;0,AM141&lt;0),"Bear","Mixed")))</f>
        <v/>
      </c>
      <c r="AO141" t="str">
        <f>IF(OR(AH141="",AN141=""),"",IF(AND(AH141="Bull",AN141="Bull"),"YES","NO"))</f>
        <v/>
      </c>
      <c r="AP141" t="str">
        <f>IF(OR(AH141="",AN141=""),"",IF(AND(AH141="Bear",AN141="Bear"),"YES","NO"))</f>
        <v/>
      </c>
      <c r="AQ141" t="str">
        <f>IF(AO141="YES",IF(SUM(N(X141),N(Y141),N(Z141))&gt;0,"SOXL","TQQQ"),IF(AP141="YES",IF(SUM(N(AA141),N(AB141),N(AC141))&gt;0,"SOXS","SQQQ"),"WAIT"))</f>
        <v>WAIT</v>
      </c>
      <c r="AR141" s="23" t="str">
        <f>IF(AO141="YES",IF(SUM(N(X141),N(Y141),N(Z141))&gt;0,"TQQQ","SOXL"),IF(AP141="YES",IF(SUM(N(AA141),N(AB141),N(AC141))&gt;0,"SQQQ","SOXS"),""))</f>
        <v/>
      </c>
      <c r="AS141" s="23" t="str">
        <f>IF(AQ141="WAIT","",IF(AR141="",1,0.6))</f>
        <v/>
      </c>
      <c r="AT141" s="23">
        <f>IF(AR141="",0,0.4)</f>
        <v>0</v>
      </c>
      <c r="AU141" s="23" t="str">
        <f>IF(AQ141="WAIT","WAIT",IF(AO141="YES","BULL",IF(AP141="YES","BEAR","WAIT")))</f>
        <v>WAIT</v>
      </c>
      <c r="AV141" t="str">
        <f>IF(AQ141="WAIT","Low",IF(OR(AND(AU141="BULL",ABS(SUM(N(X141),N(Y141),N(Z141)))&gt;=0.15),AND(AU141="BEAR",ABS(SUM(N(AA141),N(AB141),N(AC141)))&gt;=0.15)),"Strong",IF(OR(AND(AU141="BULL",ABS(SUM(N(X141),N(Y141),N(Z141)))&gt;=0.05),AND(AU141="BEAR",ABS(SUM(N(AA141),N(AB141),N(AC141)))&gt;=0.05)),"Moderate","Low")))</f>
        <v>Low</v>
      </c>
      <c r="AW141" t="str">
        <f>IF(AQ141="WAIT","QQQ and SMH not aligned",IF(AU141="BULL",IF(AQ141="SOXL","Bull regime; semiconductors leading","Bull regime; tech leading"),IF(AQ141="SOXS","Bear regime; semiconductors weakest","Bear regime; tech weakest")))</f>
        <v>QQQ and SMH not aligned</v>
      </c>
      <c r="AX141" t="str">
        <f>IF(AR141="WAIT","QQQ and SMH not aligned",IF(AV141="BULL",IF(AR141="SOXL","Bull regime; semiconductors leading","Bull regime; tech leading"),IF(AR141="SOXS","Bear regime; semiconductors weakest","Bear regime; tech weakest")))</f>
        <v>Bear regime; tech weakest</v>
      </c>
    </row>
    <row r="142" spans="1:50" x14ac:dyDescent="0.2">
      <c r="A142" s="12"/>
      <c r="B142" s="13"/>
      <c r="C142" s="13"/>
      <c r="D142" s="13"/>
      <c r="E142" s="13"/>
      <c r="F142" s="11" t="str">
        <f>IF(OR(E142="",E141=""),"",IF(E141=0,"",(E142/E141)-1))</f>
        <v/>
      </c>
      <c r="G142" s="13"/>
      <c r="H142" s="11" t="str">
        <f>IF(OR(G142="",G141=""),"",IF(G141=0,"",(G142/G141)-1))</f>
        <v/>
      </c>
      <c r="I142" s="13"/>
      <c r="J142" s="13"/>
      <c r="K142" s="13"/>
      <c r="L142" s="13"/>
      <c r="M142" s="23" t="str">
        <f>IF(OR(L142="",L141=""),"",IF(L141=0,"",(L142/L141)-1))</f>
        <v/>
      </c>
      <c r="N142" s="26" t="str">
        <f>IFERROR((M142/M141)-1,"")</f>
        <v/>
      </c>
      <c r="O142" s="23" t="str">
        <f>IF(OR(N142="",N141=""),"",IF(N141=0,"",(N142/N141)-1))</f>
        <v/>
      </c>
      <c r="P142" s="11" t="str">
        <f>IF(ROW()&lt;7,"",IF(OR(E142="",E139=""),"",IF(E139=0,"",(E142/E139)-1)))</f>
        <v/>
      </c>
      <c r="Q142" s="23" t="str">
        <f>IF(ROW()&lt;9,"",IF(OR(E142="",E137=""),"",IF(E137=0,"",(E142/E137)-1)))</f>
        <v/>
      </c>
      <c r="R142" s="23" t="str">
        <f>IF(ROW()&lt;7,"",IF(OR(G142="",G139=""),"",IF(G139=0,"",(G142/G139)-1)))</f>
        <v/>
      </c>
      <c r="S142" s="23" t="str">
        <f>IF(ROW()&lt;9,"",IF(OR(G142="",G137=""),"",IF(G137=0,"",(G142/G137)-1)))</f>
        <v/>
      </c>
      <c r="T142" s="23" t="str">
        <f>IF(ROW()&lt;7,"",IF(OR(L142="",L139=""),"",IF(L139=0,"",(L142/L139)-1)))</f>
        <v/>
      </c>
      <c r="U142" s="23" t="str">
        <f>IF(ROW()&lt;9,"",IF(OR(L142="",L137=""),"",IF(L137=0,"",(L142/L137)-1)))</f>
        <v/>
      </c>
      <c r="V142" s="23" t="str">
        <f>IF(ROW()&lt;7,"",IF(OR(N142="",N139=""),"",IF(N139=0,"",(N142/N139)-1)))</f>
        <v/>
      </c>
      <c r="W142" s="23" t="str">
        <f>IF(ROW()&lt;9,"",IF(OR(N142="",N137=""),"",IF(N137=0,"",(N142/N137)-1)))</f>
        <v/>
      </c>
      <c r="X142" s="23" t="str">
        <f>IF(OR(F142="",M142=""),"",F142-M142)</f>
        <v/>
      </c>
      <c r="Y142" s="23" t="str">
        <f>IF(OR(P142="",T142=""),"",P142-T142)</f>
        <v/>
      </c>
      <c r="Z142" s="23" t="str">
        <f>IF(OR(Q142="",U142=""),"",Q142-U142)</f>
        <v/>
      </c>
      <c r="AA142" s="23" t="str">
        <f>IF(OR(H142="",O142=""),"",H142-O142)</f>
        <v/>
      </c>
      <c r="AB142" s="23" t="str">
        <f>IF(OR(R142="",V142=""),"",R142-V142)</f>
        <v/>
      </c>
      <c r="AC142" s="23" t="str">
        <f>IF(OR(S142="",W142=""),"",S142-W142)</f>
        <v/>
      </c>
      <c r="AD142" s="13"/>
      <c r="AE142" s="23" t="str">
        <f>IF(OR(AD142="",AD141=""),"",IF(AD141=0,"",(AD142/AD141)-1))</f>
        <v/>
      </c>
      <c r="AF142" s="23" t="str">
        <f>IF(ROW()&lt;7,"",IF(OR(AD142="",AD139=""),"",IF(AD139=0,"",(AD142/AD139)-1)))</f>
        <v/>
      </c>
      <c r="AG142" s="23" t="str">
        <f>IF(ROW()&lt;9,"",IF(OR(AD142="",AD137=""),"",IF(AD137=0,"",(AD142/AD137)-1)))</f>
        <v/>
      </c>
      <c r="AH142" s="23" t="str">
        <f>IF(OR(AF142="",AG142=""),"",IF(AND(AF142&gt;0,AG142&gt;0),"Bull",IF(AND(AF142&lt;0,AG142&lt;0),"Bear","Mixed")))</f>
        <v/>
      </c>
      <c r="AI142" s="13"/>
      <c r="AJ142" s="13" t="str">
        <f>IF(OR(AI142="",AI141=""),"",IF(AI141=0,"",(AI142/AI141)-1))</f>
        <v/>
      </c>
      <c r="AK142" s="23" t="str">
        <f>IF(OR(AJ142="",AJ141=""),"",IF(AJ141=0,"",(AJ142/AJ141)-1))</f>
        <v/>
      </c>
      <c r="AL142" s="23" t="str">
        <f>IF(ROW()&lt;7,"",IF(OR(AJ142="",AJ139=""),"",IF(AJ139=0,"",(AJ142/AJ139)-1)))</f>
        <v/>
      </c>
      <c r="AM142" s="23" t="str">
        <f>IF(ROW()&lt;9,"",IF(OR(AJ142="",AJ137=""),"",IF(AJ137=0,"",(AJ142/AJ137)-1)))</f>
        <v/>
      </c>
      <c r="AN142" t="str">
        <f>IF(OR(AL142="",AM142=""),"",IF(AND(AL142&gt;0,AM142&gt;0),"Bull",IF(AND(AL142&lt;0,AM142&lt;0),"Bear","Mixed")))</f>
        <v/>
      </c>
      <c r="AO142" t="str">
        <f>IF(OR(AH142="",AN142=""),"",IF(AND(AH142="Bull",AN142="Bull"),"YES","NO"))</f>
        <v/>
      </c>
      <c r="AP142" t="str">
        <f>IF(OR(AH142="",AN142=""),"",IF(AND(AH142="Bear",AN142="Bear"),"YES","NO"))</f>
        <v/>
      </c>
      <c r="AQ142" t="str">
        <f>IF(AO142="YES",IF(SUM(N(X142),N(Y142),N(Z142))&gt;0,"SOXL","TQQQ"),IF(AP142="YES",IF(SUM(N(AA142),N(AB142),N(AC142))&gt;0,"SOXS","SQQQ"),"WAIT"))</f>
        <v>WAIT</v>
      </c>
      <c r="AR142" s="23" t="str">
        <f>IF(AO142="YES",IF(SUM(N(X142),N(Y142),N(Z142))&gt;0,"TQQQ","SOXL"),IF(AP142="YES",IF(SUM(N(AA142),N(AB142),N(AC142))&gt;0,"SQQQ","SOXS"),""))</f>
        <v/>
      </c>
      <c r="AS142" s="23" t="str">
        <f>IF(AQ142="WAIT","",IF(AR142="",1,0.6))</f>
        <v/>
      </c>
      <c r="AT142" s="23">
        <f>IF(AR142="",0,0.4)</f>
        <v>0</v>
      </c>
      <c r="AU142" s="23" t="str">
        <f>IF(AQ142="WAIT","WAIT",IF(AO142="YES","BULL",IF(AP142="YES","BEAR","WAIT")))</f>
        <v>WAIT</v>
      </c>
      <c r="AV142" t="str">
        <f>IF(AQ142="WAIT","Low",IF(OR(AND(AU142="BULL",ABS(SUM(N(X142),N(Y142),N(Z142)))&gt;=0.15),AND(AU142="BEAR",ABS(SUM(N(AA142),N(AB142),N(AC142)))&gt;=0.15)),"Strong",IF(OR(AND(AU142="BULL",ABS(SUM(N(X142),N(Y142),N(Z142)))&gt;=0.05),AND(AU142="BEAR",ABS(SUM(N(AA142),N(AB142),N(AC142)))&gt;=0.05)),"Moderate","Low")))</f>
        <v>Low</v>
      </c>
      <c r="AW142" t="str">
        <f>IF(AQ142="WAIT","QQQ and SMH not aligned",IF(AU142="BULL",IF(AQ142="SOXL","Bull regime; semiconductors leading","Bull regime; tech leading"),IF(AQ142="SOXS","Bear regime; semiconductors weakest","Bear regime; tech weakest")))</f>
        <v>QQQ and SMH not aligned</v>
      </c>
      <c r="AX142" t="str">
        <f>IF(AR142="WAIT","QQQ and SMH not aligned",IF(AV142="BULL",IF(AR142="SOXL","Bull regime; semiconductors leading","Bull regime; tech leading"),IF(AR142="SOXS","Bear regime; semiconductors weakest","Bear regime; tech weakest")))</f>
        <v>Bear regime; tech weakest</v>
      </c>
    </row>
    <row r="143" spans="1:50" x14ac:dyDescent="0.2">
      <c r="A143" s="12"/>
      <c r="B143" s="13"/>
      <c r="C143" s="13"/>
      <c r="D143" s="13"/>
      <c r="E143" s="13"/>
      <c r="F143" s="11" t="str">
        <f>IF(OR(E143="",E142=""),"",IF(E142=0,"",(E143/E142)-1))</f>
        <v/>
      </c>
      <c r="G143" s="13"/>
      <c r="H143" s="11" t="str">
        <f>IF(OR(G143="",G142=""),"",IF(G142=0,"",(G143/G142)-1))</f>
        <v/>
      </c>
      <c r="I143" s="13"/>
      <c r="J143" s="13"/>
      <c r="K143" s="13"/>
      <c r="L143" s="13"/>
      <c r="M143" s="23" t="str">
        <f>IF(OR(L143="",L142=""),"",IF(L142=0,"",(L143/L142)-1))</f>
        <v/>
      </c>
      <c r="N143" s="26" t="str">
        <f>IFERROR((M143/M142)-1,"")</f>
        <v/>
      </c>
      <c r="O143" s="23" t="str">
        <f>IF(OR(N143="",N142=""),"",IF(N142=0,"",(N143/N142)-1))</f>
        <v/>
      </c>
      <c r="P143" s="11" t="str">
        <f>IF(ROW()&lt;7,"",IF(OR(E143="",E140=""),"",IF(E140=0,"",(E143/E140)-1)))</f>
        <v/>
      </c>
      <c r="Q143" s="23" t="str">
        <f>IF(ROW()&lt;9,"",IF(OR(E143="",E138=""),"",IF(E138=0,"",(E143/E138)-1)))</f>
        <v/>
      </c>
      <c r="R143" s="23" t="str">
        <f>IF(ROW()&lt;7,"",IF(OR(G143="",G140=""),"",IF(G140=0,"",(G143/G140)-1)))</f>
        <v/>
      </c>
      <c r="S143" s="23" t="str">
        <f>IF(ROW()&lt;9,"",IF(OR(G143="",G138=""),"",IF(G138=0,"",(G143/G138)-1)))</f>
        <v/>
      </c>
      <c r="T143" s="23" t="str">
        <f>IF(ROW()&lt;7,"",IF(OR(L143="",L140=""),"",IF(L140=0,"",(L143/L140)-1)))</f>
        <v/>
      </c>
      <c r="U143" s="23" t="str">
        <f>IF(ROW()&lt;9,"",IF(OR(L143="",L138=""),"",IF(L138=0,"",(L143/L138)-1)))</f>
        <v/>
      </c>
      <c r="V143" s="23" t="str">
        <f>IF(ROW()&lt;7,"",IF(OR(N143="",N140=""),"",IF(N140=0,"",(N143/N140)-1)))</f>
        <v/>
      </c>
      <c r="W143" s="23" t="str">
        <f>IF(ROW()&lt;9,"",IF(OR(N143="",N138=""),"",IF(N138=0,"",(N143/N138)-1)))</f>
        <v/>
      </c>
      <c r="X143" s="23" t="str">
        <f>IF(OR(F143="",M143=""),"",F143-M143)</f>
        <v/>
      </c>
      <c r="Y143" s="23" t="str">
        <f>IF(OR(P143="",T143=""),"",P143-T143)</f>
        <v/>
      </c>
      <c r="Z143" s="23" t="str">
        <f>IF(OR(Q143="",U143=""),"",Q143-U143)</f>
        <v/>
      </c>
      <c r="AA143" s="23" t="str">
        <f>IF(OR(H143="",O143=""),"",H143-O143)</f>
        <v/>
      </c>
      <c r="AB143" s="23" t="str">
        <f>IF(OR(R143="",V143=""),"",R143-V143)</f>
        <v/>
      </c>
      <c r="AC143" s="23" t="str">
        <f>IF(OR(S143="",W143=""),"",S143-W143)</f>
        <v/>
      </c>
      <c r="AD143" s="13"/>
      <c r="AE143" s="23" t="str">
        <f>IF(OR(AD143="",AD142=""),"",IF(AD142=0,"",(AD143/AD142)-1))</f>
        <v/>
      </c>
      <c r="AF143" s="23" t="str">
        <f>IF(ROW()&lt;7,"",IF(OR(AD143="",AD140=""),"",IF(AD140=0,"",(AD143/AD140)-1)))</f>
        <v/>
      </c>
      <c r="AG143" s="23" t="str">
        <f>IF(ROW()&lt;9,"",IF(OR(AD143="",AD138=""),"",IF(AD138=0,"",(AD143/AD138)-1)))</f>
        <v/>
      </c>
      <c r="AH143" s="23" t="str">
        <f>IF(OR(AF143="",AG143=""),"",IF(AND(AF143&gt;0,AG143&gt;0),"Bull",IF(AND(AF143&lt;0,AG143&lt;0),"Bear","Mixed")))</f>
        <v/>
      </c>
      <c r="AI143" s="13"/>
      <c r="AJ143" s="13" t="str">
        <f>IF(OR(AI143="",AI142=""),"",IF(AI142=0,"",(AI143/AI142)-1))</f>
        <v/>
      </c>
      <c r="AK143" s="23" t="str">
        <f>IF(OR(AJ143="",AJ142=""),"",IF(AJ142=0,"",(AJ143/AJ142)-1))</f>
        <v/>
      </c>
      <c r="AL143" s="23" t="str">
        <f>IF(ROW()&lt;7,"",IF(OR(AJ143="",AJ140=""),"",IF(AJ140=0,"",(AJ143/AJ140)-1)))</f>
        <v/>
      </c>
      <c r="AM143" s="23" t="str">
        <f>IF(ROW()&lt;9,"",IF(OR(AJ143="",AJ138=""),"",IF(AJ138=0,"",(AJ143/AJ138)-1)))</f>
        <v/>
      </c>
      <c r="AN143" t="str">
        <f>IF(OR(AL143="",AM143=""),"",IF(AND(AL143&gt;0,AM143&gt;0),"Bull",IF(AND(AL143&lt;0,AM143&lt;0),"Bear","Mixed")))</f>
        <v/>
      </c>
      <c r="AO143" t="str">
        <f>IF(OR(AH143="",AN143=""),"",IF(AND(AH143="Bull",AN143="Bull"),"YES","NO"))</f>
        <v/>
      </c>
      <c r="AP143" t="str">
        <f>IF(OR(AH143="",AN143=""),"",IF(AND(AH143="Bear",AN143="Bear"),"YES","NO"))</f>
        <v/>
      </c>
      <c r="AQ143" t="str">
        <f>IF(AO143="YES",IF(SUM(N(X143),N(Y143),N(Z143))&gt;0,"SOXL","TQQQ"),IF(AP143="YES",IF(SUM(N(AA143),N(AB143),N(AC143))&gt;0,"SOXS","SQQQ"),"WAIT"))</f>
        <v>WAIT</v>
      </c>
      <c r="AR143" s="23" t="str">
        <f>IF(AO143="YES",IF(SUM(N(X143),N(Y143),N(Z143))&gt;0,"TQQQ","SOXL"),IF(AP143="YES",IF(SUM(N(AA143),N(AB143),N(AC143))&gt;0,"SQQQ","SOXS"),""))</f>
        <v/>
      </c>
      <c r="AS143" s="23" t="str">
        <f>IF(AQ143="WAIT","",IF(AR143="",1,0.6))</f>
        <v/>
      </c>
      <c r="AT143" s="23">
        <f>IF(AR143="",0,0.4)</f>
        <v>0</v>
      </c>
      <c r="AU143" s="23" t="str">
        <f>IF(AQ143="WAIT","WAIT",IF(AO143="YES","BULL",IF(AP143="YES","BEAR","WAIT")))</f>
        <v>WAIT</v>
      </c>
      <c r="AV143" t="str">
        <f>IF(AQ143="WAIT","Low",IF(OR(AND(AU143="BULL",ABS(SUM(N(X143),N(Y143),N(Z143)))&gt;=0.15),AND(AU143="BEAR",ABS(SUM(N(AA143),N(AB143),N(AC143)))&gt;=0.15)),"Strong",IF(OR(AND(AU143="BULL",ABS(SUM(N(X143),N(Y143),N(Z143)))&gt;=0.05),AND(AU143="BEAR",ABS(SUM(N(AA143),N(AB143),N(AC143)))&gt;=0.05)),"Moderate","Low")))</f>
        <v>Low</v>
      </c>
      <c r="AW143" t="str">
        <f>IF(AQ143="WAIT","QQQ and SMH not aligned",IF(AU143="BULL",IF(AQ143="SOXL","Bull regime; semiconductors leading","Bull regime; tech leading"),IF(AQ143="SOXS","Bear regime; semiconductors weakest","Bear regime; tech weakest")))</f>
        <v>QQQ and SMH not aligned</v>
      </c>
      <c r="AX143" t="str">
        <f>IF(AR143="WAIT","QQQ and SMH not aligned",IF(AV143="BULL",IF(AR143="SOXL","Bull regime; semiconductors leading","Bull regime; tech leading"),IF(AR143="SOXS","Bear regime; semiconductors weakest","Bear regime; tech weakest")))</f>
        <v>Bear regime; tech weakest</v>
      </c>
    </row>
    <row r="144" spans="1:50" x14ac:dyDescent="0.2">
      <c r="A144" s="12"/>
      <c r="B144" s="13"/>
      <c r="C144" s="13"/>
      <c r="D144" s="13"/>
      <c r="E144" s="13"/>
      <c r="F144" s="11" t="str">
        <f>IF(OR(E144="",E143=""),"",IF(E143=0,"",(E144/E143)-1))</f>
        <v/>
      </c>
      <c r="G144" s="13"/>
      <c r="H144" s="11" t="str">
        <f>IF(OR(G144="",G143=""),"",IF(G143=0,"",(G144/G143)-1))</f>
        <v/>
      </c>
      <c r="I144" s="13"/>
      <c r="J144" s="13"/>
      <c r="K144" s="13"/>
      <c r="L144" s="13"/>
      <c r="M144" s="23" t="str">
        <f>IF(OR(L144="",L143=""),"",IF(L143=0,"",(L144/L143)-1))</f>
        <v/>
      </c>
      <c r="N144" s="26" t="str">
        <f>IFERROR((M144/M143)-1,"")</f>
        <v/>
      </c>
      <c r="O144" s="23" t="str">
        <f>IF(OR(N144="",N143=""),"",IF(N143=0,"",(N144/N143)-1))</f>
        <v/>
      </c>
      <c r="P144" s="11" t="str">
        <f>IF(ROW()&lt;7,"",IF(OR(E144="",E141=""),"",IF(E141=0,"",(E144/E141)-1)))</f>
        <v/>
      </c>
      <c r="Q144" s="23" t="str">
        <f>IF(ROW()&lt;9,"",IF(OR(E144="",E139=""),"",IF(E139=0,"",(E144/E139)-1)))</f>
        <v/>
      </c>
      <c r="R144" s="23" t="str">
        <f>IF(ROW()&lt;7,"",IF(OR(G144="",G141=""),"",IF(G141=0,"",(G144/G141)-1)))</f>
        <v/>
      </c>
      <c r="S144" s="23" t="str">
        <f>IF(ROW()&lt;9,"",IF(OR(G144="",G139=""),"",IF(G139=0,"",(G144/G139)-1)))</f>
        <v/>
      </c>
      <c r="T144" s="23" t="str">
        <f>IF(ROW()&lt;7,"",IF(OR(L144="",L141=""),"",IF(L141=0,"",(L144/L141)-1)))</f>
        <v/>
      </c>
      <c r="U144" s="23" t="str">
        <f>IF(ROW()&lt;9,"",IF(OR(L144="",L139=""),"",IF(L139=0,"",(L144/L139)-1)))</f>
        <v/>
      </c>
      <c r="V144" s="23" t="str">
        <f>IF(ROW()&lt;7,"",IF(OR(N144="",N141=""),"",IF(N141=0,"",(N144/N141)-1)))</f>
        <v/>
      </c>
      <c r="W144" s="23" t="str">
        <f>IF(ROW()&lt;9,"",IF(OR(N144="",N139=""),"",IF(N139=0,"",(N144/N139)-1)))</f>
        <v/>
      </c>
      <c r="X144" s="23" t="str">
        <f>IF(OR(F144="",M144=""),"",F144-M144)</f>
        <v/>
      </c>
      <c r="Y144" s="23" t="str">
        <f>IF(OR(P144="",T144=""),"",P144-T144)</f>
        <v/>
      </c>
      <c r="Z144" s="23" t="str">
        <f>IF(OR(Q144="",U144=""),"",Q144-U144)</f>
        <v/>
      </c>
      <c r="AA144" s="23" t="str">
        <f>IF(OR(H144="",O144=""),"",H144-O144)</f>
        <v/>
      </c>
      <c r="AB144" s="23" t="str">
        <f>IF(OR(R144="",V144=""),"",R144-V144)</f>
        <v/>
      </c>
      <c r="AC144" s="23" t="str">
        <f>IF(OR(S144="",W144=""),"",S144-W144)</f>
        <v/>
      </c>
      <c r="AD144" s="13"/>
      <c r="AE144" s="23" t="str">
        <f>IF(OR(AD144="",AD143=""),"",IF(AD143=0,"",(AD144/AD143)-1))</f>
        <v/>
      </c>
      <c r="AF144" s="23" t="str">
        <f>IF(ROW()&lt;7,"",IF(OR(AD144="",AD141=""),"",IF(AD141=0,"",(AD144/AD141)-1)))</f>
        <v/>
      </c>
      <c r="AG144" s="23" t="str">
        <f>IF(ROW()&lt;9,"",IF(OR(AD144="",AD139=""),"",IF(AD139=0,"",(AD144/AD139)-1)))</f>
        <v/>
      </c>
      <c r="AH144" s="23" t="str">
        <f>IF(OR(AF144="",AG144=""),"",IF(AND(AF144&gt;0,AG144&gt;0),"Bull",IF(AND(AF144&lt;0,AG144&lt;0),"Bear","Mixed")))</f>
        <v/>
      </c>
      <c r="AI144" s="13"/>
      <c r="AJ144" s="13" t="str">
        <f>IF(OR(AI144="",AI143=""),"",IF(AI143=0,"",(AI144/AI143)-1))</f>
        <v/>
      </c>
      <c r="AK144" s="23" t="str">
        <f>IF(OR(AJ144="",AJ143=""),"",IF(AJ143=0,"",(AJ144/AJ143)-1))</f>
        <v/>
      </c>
      <c r="AL144" s="23" t="str">
        <f>IF(ROW()&lt;7,"",IF(OR(AJ144="",AJ141=""),"",IF(AJ141=0,"",(AJ144/AJ141)-1)))</f>
        <v/>
      </c>
      <c r="AM144" s="23" t="str">
        <f>IF(ROW()&lt;9,"",IF(OR(AJ144="",AJ139=""),"",IF(AJ139=0,"",(AJ144/AJ139)-1)))</f>
        <v/>
      </c>
      <c r="AN144" t="str">
        <f>IF(OR(AL144="",AM144=""),"",IF(AND(AL144&gt;0,AM144&gt;0),"Bull",IF(AND(AL144&lt;0,AM144&lt;0),"Bear","Mixed")))</f>
        <v/>
      </c>
      <c r="AO144" t="str">
        <f>IF(OR(AH144="",AN144=""),"",IF(AND(AH144="Bull",AN144="Bull"),"YES","NO"))</f>
        <v/>
      </c>
      <c r="AP144" t="str">
        <f>IF(OR(AH144="",AN144=""),"",IF(AND(AH144="Bear",AN144="Bear"),"YES","NO"))</f>
        <v/>
      </c>
      <c r="AQ144" t="str">
        <f>IF(AO144="YES",IF(SUM(N(X144),N(Y144),N(Z144))&gt;0,"SOXL","TQQQ"),IF(AP144="YES",IF(SUM(N(AA144),N(AB144),N(AC144))&gt;0,"SOXS","SQQQ"),"WAIT"))</f>
        <v>WAIT</v>
      </c>
      <c r="AR144" s="23" t="str">
        <f>IF(AO144="YES",IF(SUM(N(X144),N(Y144),N(Z144))&gt;0,"TQQQ","SOXL"),IF(AP144="YES",IF(SUM(N(AA144),N(AB144),N(AC144))&gt;0,"SQQQ","SOXS"),""))</f>
        <v/>
      </c>
      <c r="AS144" s="23" t="str">
        <f>IF(AQ144="WAIT","",IF(AR144="",1,0.6))</f>
        <v/>
      </c>
      <c r="AT144" s="23">
        <f>IF(AR144="",0,0.4)</f>
        <v>0</v>
      </c>
      <c r="AU144" s="23" t="str">
        <f>IF(AQ144="WAIT","WAIT",IF(AO144="YES","BULL",IF(AP144="YES","BEAR","WAIT")))</f>
        <v>WAIT</v>
      </c>
      <c r="AV144" t="str">
        <f>IF(AQ144="WAIT","Low",IF(OR(AND(AU144="BULL",ABS(SUM(N(X144),N(Y144),N(Z144)))&gt;=0.15),AND(AU144="BEAR",ABS(SUM(N(AA144),N(AB144),N(AC144)))&gt;=0.15)),"Strong",IF(OR(AND(AU144="BULL",ABS(SUM(N(X144),N(Y144),N(Z144)))&gt;=0.05),AND(AU144="BEAR",ABS(SUM(N(AA144),N(AB144),N(AC144)))&gt;=0.05)),"Moderate","Low")))</f>
        <v>Low</v>
      </c>
      <c r="AW144" t="str">
        <f>IF(AQ144="WAIT","QQQ and SMH not aligned",IF(AU144="BULL",IF(AQ144="SOXL","Bull regime; semiconductors leading","Bull regime; tech leading"),IF(AQ144="SOXS","Bear regime; semiconductors weakest","Bear regime; tech weakest")))</f>
        <v>QQQ and SMH not aligned</v>
      </c>
      <c r="AX144" t="str">
        <f>IF(AR144="WAIT","QQQ and SMH not aligned",IF(AV144="BULL",IF(AR144="SOXL","Bull regime; semiconductors leading","Bull regime; tech leading"),IF(AR144="SOXS","Bear regime; semiconductors weakest","Bear regime; tech weakest")))</f>
        <v>Bear regime; tech weakest</v>
      </c>
    </row>
    <row r="145" spans="1:50" x14ac:dyDescent="0.2">
      <c r="A145" s="12"/>
      <c r="B145" s="13"/>
      <c r="C145" s="13"/>
      <c r="D145" s="13"/>
      <c r="E145" s="13"/>
      <c r="F145" s="11" t="str">
        <f>IF(OR(E145="",E144=""),"",IF(E144=0,"",(E145/E144)-1))</f>
        <v/>
      </c>
      <c r="G145" s="13"/>
      <c r="H145" s="11" t="str">
        <f>IF(OR(G145="",G144=""),"",IF(G144=0,"",(G145/G144)-1))</f>
        <v/>
      </c>
      <c r="I145" s="13"/>
      <c r="J145" s="13"/>
      <c r="K145" s="13"/>
      <c r="L145" s="13"/>
      <c r="M145" s="23" t="str">
        <f>IF(OR(L145="",L144=""),"",IF(L144=0,"",(L145/L144)-1))</f>
        <v/>
      </c>
      <c r="N145" s="26" t="str">
        <f>IFERROR((M145/M144)-1,"")</f>
        <v/>
      </c>
      <c r="O145" s="23" t="str">
        <f>IF(OR(N145="",N144=""),"",IF(N144=0,"",(N145/N144)-1))</f>
        <v/>
      </c>
      <c r="P145" s="11" t="str">
        <f>IF(ROW()&lt;7,"",IF(OR(E145="",E142=""),"",IF(E142=0,"",(E145/E142)-1)))</f>
        <v/>
      </c>
      <c r="Q145" s="23" t="str">
        <f>IF(ROW()&lt;9,"",IF(OR(E145="",E140=""),"",IF(E140=0,"",(E145/E140)-1)))</f>
        <v/>
      </c>
      <c r="R145" s="23" t="str">
        <f>IF(ROW()&lt;7,"",IF(OR(G145="",G142=""),"",IF(G142=0,"",(G145/G142)-1)))</f>
        <v/>
      </c>
      <c r="S145" s="23" t="str">
        <f>IF(ROW()&lt;9,"",IF(OR(G145="",G140=""),"",IF(G140=0,"",(G145/G140)-1)))</f>
        <v/>
      </c>
      <c r="T145" s="23" t="str">
        <f>IF(ROW()&lt;7,"",IF(OR(L145="",L142=""),"",IF(L142=0,"",(L145/L142)-1)))</f>
        <v/>
      </c>
      <c r="U145" s="23" t="str">
        <f>IF(ROW()&lt;9,"",IF(OR(L145="",L140=""),"",IF(L140=0,"",(L145/L140)-1)))</f>
        <v/>
      </c>
      <c r="V145" s="23" t="str">
        <f>IF(ROW()&lt;7,"",IF(OR(N145="",N142=""),"",IF(N142=0,"",(N145/N142)-1)))</f>
        <v/>
      </c>
      <c r="W145" s="23" t="str">
        <f>IF(ROW()&lt;9,"",IF(OR(N145="",N140=""),"",IF(N140=0,"",(N145/N140)-1)))</f>
        <v/>
      </c>
      <c r="X145" s="23" t="str">
        <f>IF(OR(F145="",M145=""),"",F145-M145)</f>
        <v/>
      </c>
      <c r="Y145" s="23" t="str">
        <f>IF(OR(P145="",T145=""),"",P145-T145)</f>
        <v/>
      </c>
      <c r="Z145" s="23" t="str">
        <f>IF(OR(Q145="",U145=""),"",Q145-U145)</f>
        <v/>
      </c>
      <c r="AA145" s="23" t="str">
        <f>IF(OR(H145="",O145=""),"",H145-O145)</f>
        <v/>
      </c>
      <c r="AB145" s="23" t="str">
        <f>IF(OR(R145="",V145=""),"",R145-V145)</f>
        <v/>
      </c>
      <c r="AC145" s="23" t="str">
        <f>IF(OR(S145="",W145=""),"",S145-W145)</f>
        <v/>
      </c>
      <c r="AD145" s="13"/>
      <c r="AE145" s="23" t="str">
        <f>IF(OR(AD145="",AD144=""),"",IF(AD144=0,"",(AD145/AD144)-1))</f>
        <v/>
      </c>
      <c r="AF145" s="23" t="str">
        <f>IF(ROW()&lt;7,"",IF(OR(AD145="",AD142=""),"",IF(AD142=0,"",(AD145/AD142)-1)))</f>
        <v/>
      </c>
      <c r="AG145" s="23" t="str">
        <f>IF(ROW()&lt;9,"",IF(OR(AD145="",AD140=""),"",IF(AD140=0,"",(AD145/AD140)-1)))</f>
        <v/>
      </c>
      <c r="AH145" s="23" t="str">
        <f>IF(OR(AF145="",AG145=""),"",IF(AND(AF145&gt;0,AG145&gt;0),"Bull",IF(AND(AF145&lt;0,AG145&lt;0),"Bear","Mixed")))</f>
        <v/>
      </c>
      <c r="AI145" s="13"/>
      <c r="AJ145" s="13" t="str">
        <f>IF(OR(AI145="",AI144=""),"",IF(AI144=0,"",(AI145/AI144)-1))</f>
        <v/>
      </c>
      <c r="AK145" s="23" t="str">
        <f>IF(OR(AJ145="",AJ144=""),"",IF(AJ144=0,"",(AJ145/AJ144)-1))</f>
        <v/>
      </c>
      <c r="AL145" s="23" t="str">
        <f>IF(ROW()&lt;7,"",IF(OR(AJ145="",AJ142=""),"",IF(AJ142=0,"",(AJ145/AJ142)-1)))</f>
        <v/>
      </c>
      <c r="AM145" s="23" t="str">
        <f>IF(ROW()&lt;9,"",IF(OR(AJ145="",AJ140=""),"",IF(AJ140=0,"",(AJ145/AJ140)-1)))</f>
        <v/>
      </c>
      <c r="AN145" t="str">
        <f>IF(OR(AL145="",AM145=""),"",IF(AND(AL145&gt;0,AM145&gt;0),"Bull",IF(AND(AL145&lt;0,AM145&lt;0),"Bear","Mixed")))</f>
        <v/>
      </c>
      <c r="AO145" t="str">
        <f>IF(OR(AH145="",AN145=""),"",IF(AND(AH145="Bull",AN145="Bull"),"YES","NO"))</f>
        <v/>
      </c>
      <c r="AP145" t="str">
        <f>IF(OR(AH145="",AN145=""),"",IF(AND(AH145="Bear",AN145="Bear"),"YES","NO"))</f>
        <v/>
      </c>
      <c r="AQ145" t="str">
        <f>IF(AO145="YES",IF(SUM(N(X145),N(Y145),N(Z145))&gt;0,"SOXL","TQQQ"),IF(AP145="YES",IF(SUM(N(AA145),N(AB145),N(AC145))&gt;0,"SOXS","SQQQ"),"WAIT"))</f>
        <v>WAIT</v>
      </c>
      <c r="AR145" s="23" t="str">
        <f>IF(AO145="YES",IF(SUM(N(X145),N(Y145),N(Z145))&gt;0,"TQQQ","SOXL"),IF(AP145="YES",IF(SUM(N(AA145),N(AB145),N(AC145))&gt;0,"SQQQ","SOXS"),""))</f>
        <v/>
      </c>
      <c r="AS145" s="23" t="str">
        <f>IF(AQ145="WAIT","",IF(AR145="",1,0.6))</f>
        <v/>
      </c>
      <c r="AT145" s="23">
        <f>IF(AR145="",0,0.4)</f>
        <v>0</v>
      </c>
      <c r="AU145" s="23" t="str">
        <f>IF(AQ145="WAIT","WAIT",IF(AO145="YES","BULL",IF(AP145="YES","BEAR","WAIT")))</f>
        <v>WAIT</v>
      </c>
      <c r="AV145" t="str">
        <f>IF(AQ145="WAIT","Low",IF(OR(AND(AU145="BULL",ABS(SUM(N(X145),N(Y145),N(Z145)))&gt;=0.15),AND(AU145="BEAR",ABS(SUM(N(AA145),N(AB145),N(AC145)))&gt;=0.15)),"Strong",IF(OR(AND(AU145="BULL",ABS(SUM(N(X145),N(Y145),N(Z145)))&gt;=0.05),AND(AU145="BEAR",ABS(SUM(N(AA145),N(AB145),N(AC145)))&gt;=0.05)),"Moderate","Low")))</f>
        <v>Low</v>
      </c>
      <c r="AW145" t="str">
        <f>IF(AQ145="WAIT","QQQ and SMH not aligned",IF(AU145="BULL",IF(AQ145="SOXL","Bull regime; semiconductors leading","Bull regime; tech leading"),IF(AQ145="SOXS","Bear regime; semiconductors weakest","Bear regime; tech weakest")))</f>
        <v>QQQ and SMH not aligned</v>
      </c>
      <c r="AX145" t="str">
        <f>IF(AR145="WAIT","QQQ and SMH not aligned",IF(AV145="BULL",IF(AR145="SOXL","Bull regime; semiconductors leading","Bull regime; tech leading"),IF(AR145="SOXS","Bear regime; semiconductors weakest","Bear regime; tech weakest")))</f>
        <v>Bear regime; tech weakest</v>
      </c>
    </row>
    <row r="146" spans="1:50" x14ac:dyDescent="0.2">
      <c r="A146" s="12"/>
      <c r="B146" s="13"/>
      <c r="C146" s="13"/>
      <c r="D146" s="13"/>
      <c r="E146" s="13"/>
      <c r="F146" s="11" t="str">
        <f>IF(OR(E146="",E145=""),"",IF(E145=0,"",(E146/E145)-1))</f>
        <v/>
      </c>
      <c r="G146" s="13"/>
      <c r="H146" s="11" t="str">
        <f>IF(OR(G146="",G145=""),"",IF(G145=0,"",(G146/G145)-1))</f>
        <v/>
      </c>
      <c r="I146" s="13"/>
      <c r="J146" s="13"/>
      <c r="K146" s="13"/>
      <c r="L146" s="13"/>
      <c r="M146" s="23" t="str">
        <f>IF(OR(L146="",L145=""),"",IF(L145=0,"",(L146/L145)-1))</f>
        <v/>
      </c>
      <c r="N146" s="26" t="str">
        <f>IFERROR((M146/M145)-1,"")</f>
        <v/>
      </c>
      <c r="O146" s="23" t="str">
        <f>IF(OR(N146="",N145=""),"",IF(N145=0,"",(N146/N145)-1))</f>
        <v/>
      </c>
      <c r="P146" s="11" t="str">
        <f>IF(ROW()&lt;7,"",IF(OR(E146="",E143=""),"",IF(E143=0,"",(E146/E143)-1)))</f>
        <v/>
      </c>
      <c r="Q146" s="23" t="str">
        <f>IF(ROW()&lt;9,"",IF(OR(E146="",E141=""),"",IF(E141=0,"",(E146/E141)-1)))</f>
        <v/>
      </c>
      <c r="R146" s="23" t="str">
        <f>IF(ROW()&lt;7,"",IF(OR(G146="",G143=""),"",IF(G143=0,"",(G146/G143)-1)))</f>
        <v/>
      </c>
      <c r="S146" s="23" t="str">
        <f>IF(ROW()&lt;9,"",IF(OR(G146="",G141=""),"",IF(G141=0,"",(G146/G141)-1)))</f>
        <v/>
      </c>
      <c r="T146" s="23" t="str">
        <f>IF(ROW()&lt;7,"",IF(OR(L146="",L143=""),"",IF(L143=0,"",(L146/L143)-1)))</f>
        <v/>
      </c>
      <c r="U146" s="23" t="str">
        <f>IF(ROW()&lt;9,"",IF(OR(L146="",L141=""),"",IF(L141=0,"",(L146/L141)-1)))</f>
        <v/>
      </c>
      <c r="V146" s="23" t="str">
        <f>IF(ROW()&lt;7,"",IF(OR(N146="",N143=""),"",IF(N143=0,"",(N146/N143)-1)))</f>
        <v/>
      </c>
      <c r="W146" s="23" t="str">
        <f>IF(ROW()&lt;9,"",IF(OR(N146="",N141=""),"",IF(N141=0,"",(N146/N141)-1)))</f>
        <v/>
      </c>
      <c r="X146" s="23" t="str">
        <f>IF(OR(F146="",M146=""),"",F146-M146)</f>
        <v/>
      </c>
      <c r="Y146" s="23" t="str">
        <f>IF(OR(P146="",T146=""),"",P146-T146)</f>
        <v/>
      </c>
      <c r="Z146" s="23" t="str">
        <f>IF(OR(Q146="",U146=""),"",Q146-U146)</f>
        <v/>
      </c>
      <c r="AA146" s="23" t="str">
        <f>IF(OR(H146="",O146=""),"",H146-O146)</f>
        <v/>
      </c>
      <c r="AB146" s="23" t="str">
        <f>IF(OR(R146="",V146=""),"",R146-V146)</f>
        <v/>
      </c>
      <c r="AC146" s="23" t="str">
        <f>IF(OR(S146="",W146=""),"",S146-W146)</f>
        <v/>
      </c>
      <c r="AD146" s="13"/>
      <c r="AE146" s="23" t="str">
        <f>IF(OR(AD146="",AD145=""),"",IF(AD145=0,"",(AD146/AD145)-1))</f>
        <v/>
      </c>
      <c r="AF146" s="23" t="str">
        <f>IF(ROW()&lt;7,"",IF(OR(AD146="",AD143=""),"",IF(AD143=0,"",(AD146/AD143)-1)))</f>
        <v/>
      </c>
      <c r="AG146" s="23" t="str">
        <f>IF(ROW()&lt;9,"",IF(OR(AD146="",AD141=""),"",IF(AD141=0,"",(AD146/AD141)-1)))</f>
        <v/>
      </c>
      <c r="AH146" s="23" t="str">
        <f>IF(OR(AF146="",AG146=""),"",IF(AND(AF146&gt;0,AG146&gt;0),"Bull",IF(AND(AF146&lt;0,AG146&lt;0),"Bear","Mixed")))</f>
        <v/>
      </c>
      <c r="AI146" s="13"/>
      <c r="AJ146" s="13" t="str">
        <f>IF(OR(AI146="",AI145=""),"",IF(AI145=0,"",(AI146/AI145)-1))</f>
        <v/>
      </c>
      <c r="AK146" s="23" t="str">
        <f>IF(OR(AJ146="",AJ145=""),"",IF(AJ145=0,"",(AJ146/AJ145)-1))</f>
        <v/>
      </c>
      <c r="AL146" s="23" t="str">
        <f>IF(ROW()&lt;7,"",IF(OR(AJ146="",AJ143=""),"",IF(AJ143=0,"",(AJ146/AJ143)-1)))</f>
        <v/>
      </c>
      <c r="AM146" s="23" t="str">
        <f>IF(ROW()&lt;9,"",IF(OR(AJ146="",AJ141=""),"",IF(AJ141=0,"",(AJ146/AJ141)-1)))</f>
        <v/>
      </c>
      <c r="AN146" t="str">
        <f>IF(OR(AL146="",AM146=""),"",IF(AND(AL146&gt;0,AM146&gt;0),"Bull",IF(AND(AL146&lt;0,AM146&lt;0),"Bear","Mixed")))</f>
        <v/>
      </c>
      <c r="AO146" t="str">
        <f>IF(OR(AH146="",AN146=""),"",IF(AND(AH146="Bull",AN146="Bull"),"YES","NO"))</f>
        <v/>
      </c>
      <c r="AP146" t="str">
        <f>IF(OR(AH146="",AN146=""),"",IF(AND(AH146="Bear",AN146="Bear"),"YES","NO"))</f>
        <v/>
      </c>
      <c r="AQ146" t="str">
        <f>IF(AO146="YES",IF(SUM(N(X146),N(Y146),N(Z146))&gt;0,"SOXL","TQQQ"),IF(AP146="YES",IF(SUM(N(AA146),N(AB146),N(AC146))&gt;0,"SOXS","SQQQ"),"WAIT"))</f>
        <v>WAIT</v>
      </c>
      <c r="AR146" s="23" t="str">
        <f>IF(AO146="YES",IF(SUM(N(X146),N(Y146),N(Z146))&gt;0,"TQQQ","SOXL"),IF(AP146="YES",IF(SUM(N(AA146),N(AB146),N(AC146))&gt;0,"SQQQ","SOXS"),""))</f>
        <v/>
      </c>
      <c r="AS146" s="23" t="str">
        <f>IF(AQ146="WAIT","",IF(AR146="",1,0.6))</f>
        <v/>
      </c>
      <c r="AT146" s="23">
        <f>IF(AR146="",0,0.4)</f>
        <v>0</v>
      </c>
      <c r="AU146" s="23" t="str">
        <f>IF(AQ146="WAIT","WAIT",IF(AO146="YES","BULL",IF(AP146="YES","BEAR","WAIT")))</f>
        <v>WAIT</v>
      </c>
      <c r="AV146" t="str">
        <f>IF(AQ146="WAIT","Low",IF(OR(AND(AU146="BULL",ABS(SUM(N(X146),N(Y146),N(Z146)))&gt;=0.15),AND(AU146="BEAR",ABS(SUM(N(AA146),N(AB146),N(AC146)))&gt;=0.15)),"Strong",IF(OR(AND(AU146="BULL",ABS(SUM(N(X146),N(Y146),N(Z146)))&gt;=0.05),AND(AU146="BEAR",ABS(SUM(N(AA146),N(AB146),N(AC146)))&gt;=0.05)),"Moderate","Low")))</f>
        <v>Low</v>
      </c>
      <c r="AW146" t="str">
        <f>IF(AQ146="WAIT","QQQ and SMH not aligned",IF(AU146="BULL",IF(AQ146="SOXL","Bull regime; semiconductors leading","Bull regime; tech leading"),IF(AQ146="SOXS","Bear regime; semiconductors weakest","Bear regime; tech weakest")))</f>
        <v>QQQ and SMH not aligned</v>
      </c>
      <c r="AX146" t="str">
        <f>IF(AR146="WAIT","QQQ and SMH not aligned",IF(AV146="BULL",IF(AR146="SOXL","Bull regime; semiconductors leading","Bull regime; tech leading"),IF(AR146="SOXS","Bear regime; semiconductors weakest","Bear regime; tech weakest")))</f>
        <v>Bear regime; tech weakest</v>
      </c>
    </row>
    <row r="147" spans="1:50" x14ac:dyDescent="0.2">
      <c r="A147" s="12"/>
      <c r="B147" s="13"/>
      <c r="C147" s="13"/>
      <c r="D147" s="13"/>
      <c r="E147" s="13"/>
      <c r="F147" s="11" t="str">
        <f>IF(OR(E147="",E146=""),"",IF(E146=0,"",(E147/E146)-1))</f>
        <v/>
      </c>
      <c r="G147" s="13"/>
      <c r="H147" s="11" t="str">
        <f>IF(OR(G147="",G146=""),"",IF(G146=0,"",(G147/G146)-1))</f>
        <v/>
      </c>
      <c r="I147" s="13"/>
      <c r="J147" s="13"/>
      <c r="K147" s="13"/>
      <c r="L147" s="13"/>
      <c r="M147" s="23" t="str">
        <f>IF(OR(L147="",L146=""),"",IF(L146=0,"",(L147/L146)-1))</f>
        <v/>
      </c>
      <c r="N147" s="26" t="str">
        <f>IFERROR((M147/M146)-1,"")</f>
        <v/>
      </c>
      <c r="O147" s="23" t="str">
        <f>IF(OR(N147="",N146=""),"",IF(N146=0,"",(N147/N146)-1))</f>
        <v/>
      </c>
      <c r="P147" s="11" t="str">
        <f>IF(ROW()&lt;7,"",IF(OR(E147="",E144=""),"",IF(E144=0,"",(E147/E144)-1)))</f>
        <v/>
      </c>
      <c r="Q147" s="23" t="str">
        <f>IF(ROW()&lt;9,"",IF(OR(E147="",E142=""),"",IF(E142=0,"",(E147/E142)-1)))</f>
        <v/>
      </c>
      <c r="R147" s="23" t="str">
        <f>IF(ROW()&lt;7,"",IF(OR(G147="",G144=""),"",IF(G144=0,"",(G147/G144)-1)))</f>
        <v/>
      </c>
      <c r="S147" s="23" t="str">
        <f>IF(ROW()&lt;9,"",IF(OR(G147="",G142=""),"",IF(G142=0,"",(G147/G142)-1)))</f>
        <v/>
      </c>
      <c r="T147" s="23" t="str">
        <f>IF(ROW()&lt;7,"",IF(OR(L147="",L144=""),"",IF(L144=0,"",(L147/L144)-1)))</f>
        <v/>
      </c>
      <c r="U147" s="23" t="str">
        <f>IF(ROW()&lt;9,"",IF(OR(L147="",L142=""),"",IF(L142=0,"",(L147/L142)-1)))</f>
        <v/>
      </c>
      <c r="V147" s="23" t="str">
        <f>IF(ROW()&lt;7,"",IF(OR(N147="",N144=""),"",IF(N144=0,"",(N147/N144)-1)))</f>
        <v/>
      </c>
      <c r="W147" s="23" t="str">
        <f>IF(ROW()&lt;9,"",IF(OR(N147="",N142=""),"",IF(N142=0,"",(N147/N142)-1)))</f>
        <v/>
      </c>
      <c r="X147" s="23" t="str">
        <f>IF(OR(F147="",M147=""),"",F147-M147)</f>
        <v/>
      </c>
      <c r="Y147" s="23" t="str">
        <f>IF(OR(P147="",T147=""),"",P147-T147)</f>
        <v/>
      </c>
      <c r="Z147" s="23" t="str">
        <f>IF(OR(Q147="",U147=""),"",Q147-U147)</f>
        <v/>
      </c>
      <c r="AA147" s="23" t="str">
        <f>IF(OR(H147="",O147=""),"",H147-O147)</f>
        <v/>
      </c>
      <c r="AB147" s="23" t="str">
        <f>IF(OR(R147="",V147=""),"",R147-V147)</f>
        <v/>
      </c>
      <c r="AC147" s="23" t="str">
        <f>IF(OR(S147="",W147=""),"",S147-W147)</f>
        <v/>
      </c>
      <c r="AD147" s="13"/>
      <c r="AE147" s="23" t="str">
        <f>IF(OR(AD147="",AD146=""),"",IF(AD146=0,"",(AD147/AD146)-1))</f>
        <v/>
      </c>
      <c r="AF147" s="23" t="str">
        <f>IF(ROW()&lt;7,"",IF(OR(AD147="",AD144=""),"",IF(AD144=0,"",(AD147/AD144)-1)))</f>
        <v/>
      </c>
      <c r="AG147" s="23" t="str">
        <f>IF(ROW()&lt;9,"",IF(OR(AD147="",AD142=""),"",IF(AD142=0,"",(AD147/AD142)-1)))</f>
        <v/>
      </c>
      <c r="AH147" s="23" t="str">
        <f>IF(OR(AF147="",AG147=""),"",IF(AND(AF147&gt;0,AG147&gt;0),"Bull",IF(AND(AF147&lt;0,AG147&lt;0),"Bear","Mixed")))</f>
        <v/>
      </c>
      <c r="AI147" s="13"/>
      <c r="AJ147" s="13" t="str">
        <f>IF(OR(AI147="",AI146=""),"",IF(AI146=0,"",(AI147/AI146)-1))</f>
        <v/>
      </c>
      <c r="AK147" s="23" t="str">
        <f>IF(OR(AJ147="",AJ146=""),"",IF(AJ146=0,"",(AJ147/AJ146)-1))</f>
        <v/>
      </c>
      <c r="AL147" s="23" t="str">
        <f>IF(ROW()&lt;7,"",IF(OR(AJ147="",AJ144=""),"",IF(AJ144=0,"",(AJ147/AJ144)-1)))</f>
        <v/>
      </c>
      <c r="AM147" s="23" t="str">
        <f>IF(ROW()&lt;9,"",IF(OR(AJ147="",AJ142=""),"",IF(AJ142=0,"",(AJ147/AJ142)-1)))</f>
        <v/>
      </c>
      <c r="AN147" t="str">
        <f>IF(OR(AL147="",AM147=""),"",IF(AND(AL147&gt;0,AM147&gt;0),"Bull",IF(AND(AL147&lt;0,AM147&lt;0),"Bear","Mixed")))</f>
        <v/>
      </c>
      <c r="AO147" t="str">
        <f>IF(OR(AH147="",AN147=""),"",IF(AND(AH147="Bull",AN147="Bull"),"YES","NO"))</f>
        <v/>
      </c>
      <c r="AP147" t="str">
        <f>IF(OR(AH147="",AN147=""),"",IF(AND(AH147="Bear",AN147="Bear"),"YES","NO"))</f>
        <v/>
      </c>
      <c r="AQ147" t="str">
        <f>IF(AO147="YES",IF(SUM(N(X147),N(Y147),N(Z147))&gt;0,"SOXL","TQQQ"),IF(AP147="YES",IF(SUM(N(AA147),N(AB147),N(AC147))&gt;0,"SOXS","SQQQ"),"WAIT"))</f>
        <v>WAIT</v>
      </c>
      <c r="AR147" s="23" t="str">
        <f>IF(AO147="YES",IF(SUM(N(X147),N(Y147),N(Z147))&gt;0,"TQQQ","SOXL"),IF(AP147="YES",IF(SUM(N(AA147),N(AB147),N(AC147))&gt;0,"SQQQ","SOXS"),""))</f>
        <v/>
      </c>
      <c r="AS147" s="23" t="str">
        <f>IF(AQ147="WAIT","",IF(AR147="",1,0.6))</f>
        <v/>
      </c>
      <c r="AT147" s="23">
        <f>IF(AR147="",0,0.4)</f>
        <v>0</v>
      </c>
      <c r="AU147" s="23" t="str">
        <f>IF(AQ147="WAIT","WAIT",IF(AO147="YES","BULL",IF(AP147="YES","BEAR","WAIT")))</f>
        <v>WAIT</v>
      </c>
      <c r="AV147" t="str">
        <f>IF(AQ147="WAIT","Low",IF(OR(AND(AU147="BULL",ABS(SUM(N(X147),N(Y147),N(Z147)))&gt;=0.15),AND(AU147="BEAR",ABS(SUM(N(AA147),N(AB147),N(AC147)))&gt;=0.15)),"Strong",IF(OR(AND(AU147="BULL",ABS(SUM(N(X147),N(Y147),N(Z147)))&gt;=0.05),AND(AU147="BEAR",ABS(SUM(N(AA147),N(AB147),N(AC147)))&gt;=0.05)),"Moderate","Low")))</f>
        <v>Low</v>
      </c>
      <c r="AW147" t="str">
        <f>IF(AQ147="WAIT","QQQ and SMH not aligned",IF(AU147="BULL",IF(AQ147="SOXL","Bull regime; semiconductors leading","Bull regime; tech leading"),IF(AQ147="SOXS","Bear regime; semiconductors weakest","Bear regime; tech weakest")))</f>
        <v>QQQ and SMH not aligned</v>
      </c>
      <c r="AX147" t="str">
        <f>IF(AR147="WAIT","QQQ and SMH not aligned",IF(AV147="BULL",IF(AR147="SOXL","Bull regime; semiconductors leading","Bull regime; tech leading"),IF(AR147="SOXS","Bear regime; semiconductors weakest","Bear regime; tech weakest")))</f>
        <v>Bear regime; tech weakest</v>
      </c>
    </row>
    <row r="148" spans="1:50" x14ac:dyDescent="0.2">
      <c r="A148" s="12"/>
      <c r="B148" s="13"/>
      <c r="C148" s="13"/>
      <c r="D148" s="13"/>
      <c r="E148" s="13"/>
      <c r="F148" s="11" t="str">
        <f>IF(OR(E148="",E147=""),"",IF(E147=0,"",(E148/E147)-1))</f>
        <v/>
      </c>
      <c r="G148" s="13"/>
      <c r="H148" s="11" t="str">
        <f>IF(OR(G148="",G147=""),"",IF(G147=0,"",(G148/G147)-1))</f>
        <v/>
      </c>
      <c r="I148" s="13"/>
      <c r="J148" s="13"/>
      <c r="K148" s="13"/>
      <c r="L148" s="13"/>
      <c r="M148" s="23" t="str">
        <f>IF(OR(L148="",L147=""),"",IF(L147=0,"",(L148/L147)-1))</f>
        <v/>
      </c>
      <c r="N148" s="26" t="str">
        <f>IFERROR((M148/M147)-1,"")</f>
        <v/>
      </c>
      <c r="O148" s="23" t="str">
        <f>IF(OR(N148="",N147=""),"",IF(N147=0,"",(N148/N147)-1))</f>
        <v/>
      </c>
      <c r="P148" s="11" t="str">
        <f>IF(ROW()&lt;7,"",IF(OR(E148="",E145=""),"",IF(E145=0,"",(E148/E145)-1)))</f>
        <v/>
      </c>
      <c r="Q148" s="23" t="str">
        <f>IF(ROW()&lt;9,"",IF(OR(E148="",E143=""),"",IF(E143=0,"",(E148/E143)-1)))</f>
        <v/>
      </c>
      <c r="R148" s="23" t="str">
        <f>IF(ROW()&lt;7,"",IF(OR(G148="",G145=""),"",IF(G145=0,"",(G148/G145)-1)))</f>
        <v/>
      </c>
      <c r="S148" s="23" t="str">
        <f>IF(ROW()&lt;9,"",IF(OR(G148="",G143=""),"",IF(G143=0,"",(G148/G143)-1)))</f>
        <v/>
      </c>
      <c r="T148" s="23" t="str">
        <f>IF(ROW()&lt;7,"",IF(OR(L148="",L145=""),"",IF(L145=0,"",(L148/L145)-1)))</f>
        <v/>
      </c>
      <c r="U148" s="23" t="str">
        <f>IF(ROW()&lt;9,"",IF(OR(L148="",L143=""),"",IF(L143=0,"",(L148/L143)-1)))</f>
        <v/>
      </c>
      <c r="V148" s="23" t="str">
        <f>IF(ROW()&lt;7,"",IF(OR(N148="",N145=""),"",IF(N145=0,"",(N148/N145)-1)))</f>
        <v/>
      </c>
      <c r="W148" s="23" t="str">
        <f>IF(ROW()&lt;9,"",IF(OR(N148="",N143=""),"",IF(N143=0,"",(N148/N143)-1)))</f>
        <v/>
      </c>
      <c r="X148" s="23" t="str">
        <f>IF(OR(F148="",M148=""),"",F148-M148)</f>
        <v/>
      </c>
      <c r="Y148" s="23" t="str">
        <f>IF(OR(P148="",T148=""),"",P148-T148)</f>
        <v/>
      </c>
      <c r="Z148" s="23" t="str">
        <f>IF(OR(Q148="",U148=""),"",Q148-U148)</f>
        <v/>
      </c>
      <c r="AA148" s="23" t="str">
        <f>IF(OR(H148="",O148=""),"",H148-O148)</f>
        <v/>
      </c>
      <c r="AB148" s="23" t="str">
        <f>IF(OR(R148="",V148=""),"",R148-V148)</f>
        <v/>
      </c>
      <c r="AC148" s="23" t="str">
        <f>IF(OR(S148="",W148=""),"",S148-W148)</f>
        <v/>
      </c>
      <c r="AD148" s="13"/>
      <c r="AE148" s="23" t="str">
        <f>IF(OR(AD148="",AD147=""),"",IF(AD147=0,"",(AD148/AD147)-1))</f>
        <v/>
      </c>
      <c r="AF148" s="23" t="str">
        <f>IF(ROW()&lt;7,"",IF(OR(AD148="",AD145=""),"",IF(AD145=0,"",(AD148/AD145)-1)))</f>
        <v/>
      </c>
      <c r="AG148" s="23" t="str">
        <f>IF(ROW()&lt;9,"",IF(OR(AD148="",AD143=""),"",IF(AD143=0,"",(AD148/AD143)-1)))</f>
        <v/>
      </c>
      <c r="AH148" s="23" t="str">
        <f>IF(OR(AF148="",AG148=""),"",IF(AND(AF148&gt;0,AG148&gt;0),"Bull",IF(AND(AF148&lt;0,AG148&lt;0),"Bear","Mixed")))</f>
        <v/>
      </c>
      <c r="AI148" s="13"/>
      <c r="AJ148" s="13" t="str">
        <f>IF(OR(AI148="",AI147=""),"",IF(AI147=0,"",(AI148/AI147)-1))</f>
        <v/>
      </c>
      <c r="AK148" s="23" t="str">
        <f>IF(OR(AJ148="",AJ147=""),"",IF(AJ147=0,"",(AJ148/AJ147)-1))</f>
        <v/>
      </c>
      <c r="AL148" s="23" t="str">
        <f>IF(ROW()&lt;7,"",IF(OR(AJ148="",AJ145=""),"",IF(AJ145=0,"",(AJ148/AJ145)-1)))</f>
        <v/>
      </c>
      <c r="AM148" s="23" t="str">
        <f>IF(ROW()&lt;9,"",IF(OR(AJ148="",AJ143=""),"",IF(AJ143=0,"",(AJ148/AJ143)-1)))</f>
        <v/>
      </c>
      <c r="AN148" t="str">
        <f>IF(OR(AL148="",AM148=""),"",IF(AND(AL148&gt;0,AM148&gt;0),"Bull",IF(AND(AL148&lt;0,AM148&lt;0),"Bear","Mixed")))</f>
        <v/>
      </c>
      <c r="AO148" t="str">
        <f>IF(OR(AH148="",AN148=""),"",IF(AND(AH148="Bull",AN148="Bull"),"YES","NO"))</f>
        <v/>
      </c>
      <c r="AP148" t="str">
        <f>IF(OR(AH148="",AN148=""),"",IF(AND(AH148="Bear",AN148="Bear"),"YES","NO"))</f>
        <v/>
      </c>
      <c r="AQ148" t="str">
        <f>IF(AO148="YES",IF(SUM(N(X148),N(Y148),N(Z148))&gt;0,"SOXL","TQQQ"),IF(AP148="YES",IF(SUM(N(AA148),N(AB148),N(AC148))&gt;0,"SOXS","SQQQ"),"WAIT"))</f>
        <v>WAIT</v>
      </c>
      <c r="AR148" s="23" t="str">
        <f>IF(AO148="YES",IF(SUM(N(X148),N(Y148),N(Z148))&gt;0,"TQQQ","SOXL"),IF(AP148="YES",IF(SUM(N(AA148),N(AB148),N(AC148))&gt;0,"SQQQ","SOXS"),""))</f>
        <v/>
      </c>
      <c r="AS148" s="23" t="str">
        <f>IF(AQ148="WAIT","",IF(AR148="",1,0.6))</f>
        <v/>
      </c>
      <c r="AT148" s="23">
        <f>IF(AR148="",0,0.4)</f>
        <v>0</v>
      </c>
      <c r="AU148" s="23" t="str">
        <f>IF(AQ148="WAIT","WAIT",IF(AO148="YES","BULL",IF(AP148="YES","BEAR","WAIT")))</f>
        <v>WAIT</v>
      </c>
      <c r="AV148" t="str">
        <f>IF(AQ148="WAIT","Low",IF(OR(AND(AU148="BULL",ABS(SUM(N(X148),N(Y148),N(Z148)))&gt;=0.15),AND(AU148="BEAR",ABS(SUM(N(AA148),N(AB148),N(AC148)))&gt;=0.15)),"Strong",IF(OR(AND(AU148="BULL",ABS(SUM(N(X148),N(Y148),N(Z148)))&gt;=0.05),AND(AU148="BEAR",ABS(SUM(N(AA148),N(AB148),N(AC148)))&gt;=0.05)),"Moderate","Low")))</f>
        <v>Low</v>
      </c>
      <c r="AW148" t="str">
        <f>IF(AQ148="WAIT","QQQ and SMH not aligned",IF(AU148="BULL",IF(AQ148="SOXL","Bull regime; semiconductors leading","Bull regime; tech leading"),IF(AQ148="SOXS","Bear regime; semiconductors weakest","Bear regime; tech weakest")))</f>
        <v>QQQ and SMH not aligned</v>
      </c>
      <c r="AX148" t="str">
        <f>IF(AR148="WAIT","QQQ and SMH not aligned",IF(AV148="BULL",IF(AR148="SOXL","Bull regime; semiconductors leading","Bull regime; tech leading"),IF(AR148="SOXS","Bear regime; semiconductors weakest","Bear regime; tech weakest")))</f>
        <v>Bear regime; tech weakest</v>
      </c>
    </row>
    <row r="149" spans="1:50" x14ac:dyDescent="0.2">
      <c r="A149" s="12"/>
      <c r="B149" s="13"/>
      <c r="C149" s="13"/>
      <c r="D149" s="13"/>
      <c r="E149" s="13"/>
      <c r="F149" s="11" t="str">
        <f>IF(OR(E149="",E148=""),"",IF(E148=0,"",(E149/E148)-1))</f>
        <v/>
      </c>
      <c r="G149" s="13"/>
      <c r="H149" s="11" t="str">
        <f>IF(OR(G149="",G148=""),"",IF(G148=0,"",(G149/G148)-1))</f>
        <v/>
      </c>
      <c r="I149" s="13"/>
      <c r="J149" s="13"/>
      <c r="K149" s="13"/>
      <c r="L149" s="13"/>
      <c r="M149" s="23" t="str">
        <f>IF(OR(L149="",L148=""),"",IF(L148=0,"",(L149/L148)-1))</f>
        <v/>
      </c>
      <c r="N149" s="26" t="str">
        <f>IFERROR((M149/M148)-1,"")</f>
        <v/>
      </c>
      <c r="O149" s="23" t="str">
        <f>IF(OR(N149="",N148=""),"",IF(N148=0,"",(N149/N148)-1))</f>
        <v/>
      </c>
      <c r="P149" s="11" t="str">
        <f>IF(ROW()&lt;7,"",IF(OR(E149="",E146=""),"",IF(E146=0,"",(E149/E146)-1)))</f>
        <v/>
      </c>
      <c r="Q149" s="23" t="str">
        <f>IF(ROW()&lt;9,"",IF(OR(E149="",E144=""),"",IF(E144=0,"",(E149/E144)-1)))</f>
        <v/>
      </c>
      <c r="R149" s="23" t="str">
        <f>IF(ROW()&lt;7,"",IF(OR(G149="",G146=""),"",IF(G146=0,"",(G149/G146)-1)))</f>
        <v/>
      </c>
      <c r="S149" s="23" t="str">
        <f>IF(ROW()&lt;9,"",IF(OR(G149="",G144=""),"",IF(G144=0,"",(G149/G144)-1)))</f>
        <v/>
      </c>
      <c r="T149" s="23" t="str">
        <f>IF(ROW()&lt;7,"",IF(OR(L149="",L146=""),"",IF(L146=0,"",(L149/L146)-1)))</f>
        <v/>
      </c>
      <c r="U149" s="23" t="str">
        <f>IF(ROW()&lt;9,"",IF(OR(L149="",L144=""),"",IF(L144=0,"",(L149/L144)-1)))</f>
        <v/>
      </c>
      <c r="V149" s="23" t="str">
        <f>IF(ROW()&lt;7,"",IF(OR(N149="",N146=""),"",IF(N146=0,"",(N149/N146)-1)))</f>
        <v/>
      </c>
      <c r="W149" s="23" t="str">
        <f>IF(ROW()&lt;9,"",IF(OR(N149="",N144=""),"",IF(N144=0,"",(N149/N144)-1)))</f>
        <v/>
      </c>
      <c r="X149" s="23" t="str">
        <f>IF(OR(F149="",M149=""),"",F149-M149)</f>
        <v/>
      </c>
      <c r="Y149" s="23" t="str">
        <f>IF(OR(P149="",T149=""),"",P149-T149)</f>
        <v/>
      </c>
      <c r="Z149" s="23" t="str">
        <f>IF(OR(Q149="",U149=""),"",Q149-U149)</f>
        <v/>
      </c>
      <c r="AA149" s="23" t="str">
        <f>IF(OR(H149="",O149=""),"",H149-O149)</f>
        <v/>
      </c>
      <c r="AB149" s="23" t="str">
        <f>IF(OR(R149="",V149=""),"",R149-V149)</f>
        <v/>
      </c>
      <c r="AC149" s="23" t="str">
        <f>IF(OR(S149="",W149=""),"",S149-W149)</f>
        <v/>
      </c>
      <c r="AD149" s="13"/>
      <c r="AE149" s="23" t="str">
        <f>IF(OR(AD149="",AD148=""),"",IF(AD148=0,"",(AD149/AD148)-1))</f>
        <v/>
      </c>
      <c r="AF149" s="23" t="str">
        <f>IF(ROW()&lt;7,"",IF(OR(AD149="",AD146=""),"",IF(AD146=0,"",(AD149/AD146)-1)))</f>
        <v/>
      </c>
      <c r="AG149" s="23" t="str">
        <f>IF(ROW()&lt;9,"",IF(OR(AD149="",AD144=""),"",IF(AD144=0,"",(AD149/AD144)-1)))</f>
        <v/>
      </c>
      <c r="AH149" s="23" t="str">
        <f>IF(OR(AF149="",AG149=""),"",IF(AND(AF149&gt;0,AG149&gt;0),"Bull",IF(AND(AF149&lt;0,AG149&lt;0),"Bear","Mixed")))</f>
        <v/>
      </c>
      <c r="AI149" s="13"/>
      <c r="AJ149" s="13" t="str">
        <f>IF(OR(AI149="",AI148=""),"",IF(AI148=0,"",(AI149/AI148)-1))</f>
        <v/>
      </c>
      <c r="AK149" s="23" t="str">
        <f>IF(OR(AJ149="",AJ148=""),"",IF(AJ148=0,"",(AJ149/AJ148)-1))</f>
        <v/>
      </c>
      <c r="AL149" s="23" t="str">
        <f>IF(ROW()&lt;7,"",IF(OR(AJ149="",AJ146=""),"",IF(AJ146=0,"",(AJ149/AJ146)-1)))</f>
        <v/>
      </c>
      <c r="AM149" s="23" t="str">
        <f>IF(ROW()&lt;9,"",IF(OR(AJ149="",AJ144=""),"",IF(AJ144=0,"",(AJ149/AJ144)-1)))</f>
        <v/>
      </c>
      <c r="AN149" t="str">
        <f>IF(OR(AL149="",AM149=""),"",IF(AND(AL149&gt;0,AM149&gt;0),"Bull",IF(AND(AL149&lt;0,AM149&lt;0),"Bear","Mixed")))</f>
        <v/>
      </c>
      <c r="AO149" t="str">
        <f>IF(OR(AH149="",AN149=""),"",IF(AND(AH149="Bull",AN149="Bull"),"YES","NO"))</f>
        <v/>
      </c>
      <c r="AP149" t="str">
        <f>IF(OR(AH149="",AN149=""),"",IF(AND(AH149="Bear",AN149="Bear"),"YES","NO"))</f>
        <v/>
      </c>
      <c r="AQ149" t="str">
        <f>IF(AO149="YES",IF(SUM(N(X149),N(Y149),N(Z149))&gt;0,"SOXL","TQQQ"),IF(AP149="YES",IF(SUM(N(AA149),N(AB149),N(AC149))&gt;0,"SOXS","SQQQ"),"WAIT"))</f>
        <v>WAIT</v>
      </c>
      <c r="AR149" s="23" t="str">
        <f>IF(AO149="YES",IF(SUM(N(X149),N(Y149),N(Z149))&gt;0,"TQQQ","SOXL"),IF(AP149="YES",IF(SUM(N(AA149),N(AB149),N(AC149))&gt;0,"SQQQ","SOXS"),""))</f>
        <v/>
      </c>
      <c r="AS149" s="23" t="str">
        <f>IF(AQ149="WAIT","",IF(AR149="",1,0.6))</f>
        <v/>
      </c>
      <c r="AT149" s="23">
        <f>IF(AR149="",0,0.4)</f>
        <v>0</v>
      </c>
      <c r="AU149" s="23" t="str">
        <f>IF(AQ149="WAIT","WAIT",IF(AO149="YES","BULL",IF(AP149="YES","BEAR","WAIT")))</f>
        <v>WAIT</v>
      </c>
      <c r="AV149" t="str">
        <f>IF(AQ149="WAIT","Low",IF(OR(AND(AU149="BULL",ABS(SUM(N(X149),N(Y149),N(Z149)))&gt;=0.15),AND(AU149="BEAR",ABS(SUM(N(AA149),N(AB149),N(AC149)))&gt;=0.15)),"Strong",IF(OR(AND(AU149="BULL",ABS(SUM(N(X149),N(Y149),N(Z149)))&gt;=0.05),AND(AU149="BEAR",ABS(SUM(N(AA149),N(AB149),N(AC149)))&gt;=0.05)),"Moderate","Low")))</f>
        <v>Low</v>
      </c>
      <c r="AW149" t="str">
        <f>IF(AQ149="WAIT","QQQ and SMH not aligned",IF(AU149="BULL",IF(AQ149="SOXL","Bull regime; semiconductors leading","Bull regime; tech leading"),IF(AQ149="SOXS","Bear regime; semiconductors weakest","Bear regime; tech weakest")))</f>
        <v>QQQ and SMH not aligned</v>
      </c>
      <c r="AX149" t="str">
        <f>IF(AR149="WAIT","QQQ and SMH not aligned",IF(AV149="BULL",IF(AR149="SOXL","Bull regime; semiconductors leading","Bull regime; tech leading"),IF(AR149="SOXS","Bear regime; semiconductors weakest","Bear regime; tech weakest")))</f>
        <v>Bear regime; tech weakest</v>
      </c>
    </row>
    <row r="150" spans="1:50" x14ac:dyDescent="0.2">
      <c r="A150" s="12"/>
      <c r="B150" s="13"/>
      <c r="C150" s="13"/>
      <c r="D150" s="13"/>
      <c r="E150" s="13"/>
      <c r="F150" s="11" t="str">
        <f>IF(OR(E150="",E149=""),"",IF(E149=0,"",(E150/E149)-1))</f>
        <v/>
      </c>
      <c r="G150" s="13"/>
      <c r="H150" s="11" t="str">
        <f>IF(OR(G150="",G149=""),"",IF(G149=0,"",(G150/G149)-1))</f>
        <v/>
      </c>
      <c r="I150" s="13"/>
      <c r="J150" s="13"/>
      <c r="K150" s="13"/>
      <c r="L150" s="13"/>
      <c r="M150" s="23" t="str">
        <f>IF(OR(L150="",L149=""),"",IF(L149=0,"",(L150/L149)-1))</f>
        <v/>
      </c>
      <c r="N150" s="26" t="str">
        <f>IFERROR((M150/M149)-1,"")</f>
        <v/>
      </c>
      <c r="O150" s="23" t="str">
        <f>IF(OR(N150="",N149=""),"",IF(N149=0,"",(N150/N149)-1))</f>
        <v/>
      </c>
      <c r="P150" s="11" t="str">
        <f>IF(ROW()&lt;7,"",IF(OR(E150="",E147=""),"",IF(E147=0,"",(E150/E147)-1)))</f>
        <v/>
      </c>
      <c r="Q150" s="23" t="str">
        <f>IF(ROW()&lt;9,"",IF(OR(E150="",E145=""),"",IF(E145=0,"",(E150/E145)-1)))</f>
        <v/>
      </c>
      <c r="R150" s="23" t="str">
        <f>IF(ROW()&lt;7,"",IF(OR(G150="",G147=""),"",IF(G147=0,"",(G150/G147)-1)))</f>
        <v/>
      </c>
      <c r="S150" s="23" t="str">
        <f>IF(ROW()&lt;9,"",IF(OR(G150="",G145=""),"",IF(G145=0,"",(G150/G145)-1)))</f>
        <v/>
      </c>
      <c r="T150" s="23" t="str">
        <f>IF(ROW()&lt;7,"",IF(OR(L150="",L147=""),"",IF(L147=0,"",(L150/L147)-1)))</f>
        <v/>
      </c>
      <c r="U150" s="23" t="str">
        <f>IF(ROW()&lt;9,"",IF(OR(L150="",L145=""),"",IF(L145=0,"",(L150/L145)-1)))</f>
        <v/>
      </c>
      <c r="V150" s="23" t="str">
        <f>IF(ROW()&lt;7,"",IF(OR(N150="",N147=""),"",IF(N147=0,"",(N150/N147)-1)))</f>
        <v/>
      </c>
      <c r="W150" s="23" t="str">
        <f>IF(ROW()&lt;9,"",IF(OR(N150="",N145=""),"",IF(N145=0,"",(N150/N145)-1)))</f>
        <v/>
      </c>
      <c r="X150" s="23" t="str">
        <f>IF(OR(F150="",M150=""),"",F150-M150)</f>
        <v/>
      </c>
      <c r="Y150" s="23" t="str">
        <f>IF(OR(P150="",T150=""),"",P150-T150)</f>
        <v/>
      </c>
      <c r="Z150" s="23" t="str">
        <f>IF(OR(Q150="",U150=""),"",Q150-U150)</f>
        <v/>
      </c>
      <c r="AA150" s="23" t="str">
        <f>IF(OR(H150="",O150=""),"",H150-O150)</f>
        <v/>
      </c>
      <c r="AB150" s="23" t="str">
        <f>IF(OR(R150="",V150=""),"",R150-V150)</f>
        <v/>
      </c>
      <c r="AC150" s="23" t="str">
        <f>IF(OR(S150="",W150=""),"",S150-W150)</f>
        <v/>
      </c>
      <c r="AD150" s="13"/>
      <c r="AE150" s="23" t="str">
        <f>IF(OR(AD150="",AD149=""),"",IF(AD149=0,"",(AD150/AD149)-1))</f>
        <v/>
      </c>
      <c r="AF150" s="23" t="str">
        <f>IF(ROW()&lt;7,"",IF(OR(AD150="",AD147=""),"",IF(AD147=0,"",(AD150/AD147)-1)))</f>
        <v/>
      </c>
      <c r="AG150" s="23" t="str">
        <f>IF(ROW()&lt;9,"",IF(OR(AD150="",AD145=""),"",IF(AD145=0,"",(AD150/AD145)-1)))</f>
        <v/>
      </c>
      <c r="AH150" s="23" t="str">
        <f>IF(OR(AF150="",AG150=""),"",IF(AND(AF150&gt;0,AG150&gt;0),"Bull",IF(AND(AF150&lt;0,AG150&lt;0),"Bear","Mixed")))</f>
        <v/>
      </c>
      <c r="AI150" s="13"/>
      <c r="AJ150" s="13" t="str">
        <f>IF(OR(AI150="",AI149=""),"",IF(AI149=0,"",(AI150/AI149)-1))</f>
        <v/>
      </c>
      <c r="AK150" s="23" t="str">
        <f>IF(OR(AJ150="",AJ149=""),"",IF(AJ149=0,"",(AJ150/AJ149)-1))</f>
        <v/>
      </c>
      <c r="AL150" s="23" t="str">
        <f>IF(ROW()&lt;7,"",IF(OR(AJ150="",AJ147=""),"",IF(AJ147=0,"",(AJ150/AJ147)-1)))</f>
        <v/>
      </c>
      <c r="AM150" s="23" t="str">
        <f>IF(ROW()&lt;9,"",IF(OR(AJ150="",AJ145=""),"",IF(AJ145=0,"",(AJ150/AJ145)-1)))</f>
        <v/>
      </c>
      <c r="AN150" t="str">
        <f>IF(OR(AL150="",AM150=""),"",IF(AND(AL150&gt;0,AM150&gt;0),"Bull",IF(AND(AL150&lt;0,AM150&lt;0),"Bear","Mixed")))</f>
        <v/>
      </c>
      <c r="AO150" t="str">
        <f>IF(OR(AH150="",AN150=""),"",IF(AND(AH150="Bull",AN150="Bull"),"YES","NO"))</f>
        <v/>
      </c>
      <c r="AP150" t="str">
        <f>IF(OR(AH150="",AN150=""),"",IF(AND(AH150="Bear",AN150="Bear"),"YES","NO"))</f>
        <v/>
      </c>
      <c r="AQ150" t="str">
        <f>IF(AO150="YES",IF(SUM(N(X150),N(Y150),N(Z150))&gt;0,"SOXL","TQQQ"),IF(AP150="YES",IF(SUM(N(AA150),N(AB150),N(AC150))&gt;0,"SOXS","SQQQ"),"WAIT"))</f>
        <v>WAIT</v>
      </c>
      <c r="AR150" s="23" t="str">
        <f>IF(AO150="YES",IF(SUM(N(X150),N(Y150),N(Z150))&gt;0,"TQQQ","SOXL"),IF(AP150="YES",IF(SUM(N(AA150),N(AB150),N(AC150))&gt;0,"SQQQ","SOXS"),""))</f>
        <v/>
      </c>
      <c r="AS150" s="23" t="str">
        <f>IF(AQ150="WAIT","",IF(AR150="",1,0.6))</f>
        <v/>
      </c>
      <c r="AT150" s="23">
        <f>IF(AR150="",0,0.4)</f>
        <v>0</v>
      </c>
      <c r="AU150" s="23" t="str">
        <f>IF(AQ150="WAIT","WAIT",IF(AO150="YES","BULL",IF(AP150="YES","BEAR","WAIT")))</f>
        <v>WAIT</v>
      </c>
      <c r="AV150" t="str">
        <f>IF(AQ150="WAIT","Low",IF(OR(AND(AU150="BULL",ABS(SUM(N(X150),N(Y150),N(Z150)))&gt;=0.15),AND(AU150="BEAR",ABS(SUM(N(AA150),N(AB150),N(AC150)))&gt;=0.15)),"Strong",IF(OR(AND(AU150="BULL",ABS(SUM(N(X150),N(Y150),N(Z150)))&gt;=0.05),AND(AU150="BEAR",ABS(SUM(N(AA150),N(AB150),N(AC150)))&gt;=0.05)),"Moderate","Low")))</f>
        <v>Low</v>
      </c>
      <c r="AW150" t="str">
        <f>IF(AQ150="WAIT","QQQ and SMH not aligned",IF(AU150="BULL",IF(AQ150="SOXL","Bull regime; semiconductors leading","Bull regime; tech leading"),IF(AQ150="SOXS","Bear regime; semiconductors weakest","Bear regime; tech weakest")))</f>
        <v>QQQ and SMH not aligned</v>
      </c>
      <c r="AX150" t="str">
        <f>IF(AR150="WAIT","QQQ and SMH not aligned",IF(AV150="BULL",IF(AR150="SOXL","Bull regime; semiconductors leading","Bull regime; tech leading"),IF(AR150="SOXS","Bear regime; semiconductors weakest","Bear regime; tech weakest")))</f>
        <v>Bear regime; tech weakest</v>
      </c>
    </row>
    <row r="151" spans="1:50" x14ac:dyDescent="0.2">
      <c r="A151" s="12"/>
      <c r="B151" s="13"/>
      <c r="C151" s="13"/>
      <c r="D151" s="13"/>
      <c r="E151" s="13"/>
      <c r="F151" s="11" t="str">
        <f>IF(OR(E151="",E150=""),"",IF(E150=0,"",(E151/E150)-1))</f>
        <v/>
      </c>
      <c r="G151" s="13"/>
      <c r="H151" s="11" t="str">
        <f>IF(OR(G151="",G150=""),"",IF(G150=0,"",(G151/G150)-1))</f>
        <v/>
      </c>
      <c r="I151" s="13"/>
      <c r="J151" s="13"/>
      <c r="K151" s="13"/>
      <c r="L151" s="13"/>
      <c r="M151" s="23" t="str">
        <f>IF(OR(L151="",L150=""),"",IF(L150=0,"",(L151/L150)-1))</f>
        <v/>
      </c>
      <c r="N151" s="26" t="str">
        <f>IFERROR((M151/M150)-1,"")</f>
        <v/>
      </c>
      <c r="O151" s="23" t="str">
        <f>IF(OR(N151="",N150=""),"",IF(N150=0,"",(N151/N150)-1))</f>
        <v/>
      </c>
      <c r="P151" s="11" t="str">
        <f>IF(ROW()&lt;7,"",IF(OR(E151="",E148=""),"",IF(E148=0,"",(E151/E148)-1)))</f>
        <v/>
      </c>
      <c r="Q151" s="23" t="str">
        <f>IF(ROW()&lt;9,"",IF(OR(E151="",E146=""),"",IF(E146=0,"",(E151/E146)-1)))</f>
        <v/>
      </c>
      <c r="R151" s="23" t="str">
        <f>IF(ROW()&lt;7,"",IF(OR(G151="",G148=""),"",IF(G148=0,"",(G151/G148)-1)))</f>
        <v/>
      </c>
      <c r="S151" s="23" t="str">
        <f>IF(ROW()&lt;9,"",IF(OR(G151="",G146=""),"",IF(G146=0,"",(G151/G146)-1)))</f>
        <v/>
      </c>
      <c r="T151" s="23" t="str">
        <f>IF(ROW()&lt;7,"",IF(OR(L151="",L148=""),"",IF(L148=0,"",(L151/L148)-1)))</f>
        <v/>
      </c>
      <c r="U151" s="23" t="str">
        <f>IF(ROW()&lt;9,"",IF(OR(L151="",L146=""),"",IF(L146=0,"",(L151/L146)-1)))</f>
        <v/>
      </c>
      <c r="V151" s="23" t="str">
        <f>IF(ROW()&lt;7,"",IF(OR(N151="",N148=""),"",IF(N148=0,"",(N151/N148)-1)))</f>
        <v/>
      </c>
      <c r="W151" s="23" t="str">
        <f>IF(ROW()&lt;9,"",IF(OR(N151="",N146=""),"",IF(N146=0,"",(N151/N146)-1)))</f>
        <v/>
      </c>
      <c r="X151" s="23" t="str">
        <f>IF(OR(F151="",M151=""),"",F151-M151)</f>
        <v/>
      </c>
      <c r="Y151" s="23" t="str">
        <f>IF(OR(P151="",T151=""),"",P151-T151)</f>
        <v/>
      </c>
      <c r="Z151" s="23" t="str">
        <f>IF(OR(Q151="",U151=""),"",Q151-U151)</f>
        <v/>
      </c>
      <c r="AA151" s="23" t="str">
        <f>IF(OR(H151="",O151=""),"",H151-O151)</f>
        <v/>
      </c>
      <c r="AB151" s="23" t="str">
        <f>IF(OR(R151="",V151=""),"",R151-V151)</f>
        <v/>
      </c>
      <c r="AC151" s="23" t="str">
        <f>IF(OR(S151="",W151=""),"",S151-W151)</f>
        <v/>
      </c>
      <c r="AD151" s="13"/>
      <c r="AE151" s="23" t="str">
        <f>IF(OR(AD151="",AD150=""),"",IF(AD150=0,"",(AD151/AD150)-1))</f>
        <v/>
      </c>
      <c r="AF151" s="23" t="str">
        <f>IF(ROW()&lt;7,"",IF(OR(AD151="",AD148=""),"",IF(AD148=0,"",(AD151/AD148)-1)))</f>
        <v/>
      </c>
      <c r="AG151" s="23" t="str">
        <f>IF(ROW()&lt;9,"",IF(OR(AD151="",AD146=""),"",IF(AD146=0,"",(AD151/AD146)-1)))</f>
        <v/>
      </c>
      <c r="AH151" s="23" t="str">
        <f>IF(OR(AF151="",AG151=""),"",IF(AND(AF151&gt;0,AG151&gt;0),"Bull",IF(AND(AF151&lt;0,AG151&lt;0),"Bear","Mixed")))</f>
        <v/>
      </c>
      <c r="AI151" s="13"/>
      <c r="AJ151" s="13" t="str">
        <f>IF(OR(AI151="",AI150=""),"",IF(AI150=0,"",(AI151/AI150)-1))</f>
        <v/>
      </c>
      <c r="AK151" s="23" t="str">
        <f>IF(OR(AJ151="",AJ150=""),"",IF(AJ150=0,"",(AJ151/AJ150)-1))</f>
        <v/>
      </c>
      <c r="AL151" s="23" t="str">
        <f>IF(ROW()&lt;7,"",IF(OR(AJ151="",AJ148=""),"",IF(AJ148=0,"",(AJ151/AJ148)-1)))</f>
        <v/>
      </c>
      <c r="AM151" s="23" t="str">
        <f>IF(ROW()&lt;9,"",IF(OR(AJ151="",AJ146=""),"",IF(AJ146=0,"",(AJ151/AJ146)-1)))</f>
        <v/>
      </c>
      <c r="AN151" t="str">
        <f>IF(OR(AL151="",AM151=""),"",IF(AND(AL151&gt;0,AM151&gt;0),"Bull",IF(AND(AL151&lt;0,AM151&lt;0),"Bear","Mixed")))</f>
        <v/>
      </c>
      <c r="AO151" t="str">
        <f>IF(OR(AH151="",AN151=""),"",IF(AND(AH151="Bull",AN151="Bull"),"YES","NO"))</f>
        <v/>
      </c>
      <c r="AP151" t="str">
        <f>IF(OR(AH151="",AN151=""),"",IF(AND(AH151="Bear",AN151="Bear"),"YES","NO"))</f>
        <v/>
      </c>
      <c r="AQ151" t="str">
        <f>IF(AO151="YES",IF(SUM(N(X151),N(Y151),N(Z151))&gt;0,"SOXL","TQQQ"),IF(AP151="YES",IF(SUM(N(AA151),N(AB151),N(AC151))&gt;0,"SOXS","SQQQ"),"WAIT"))</f>
        <v>WAIT</v>
      </c>
      <c r="AR151" s="23" t="str">
        <f>IF(AO151="YES",IF(SUM(N(X151),N(Y151),N(Z151))&gt;0,"TQQQ","SOXL"),IF(AP151="YES",IF(SUM(N(AA151),N(AB151),N(AC151))&gt;0,"SQQQ","SOXS"),""))</f>
        <v/>
      </c>
      <c r="AS151" s="23" t="str">
        <f>IF(AQ151="WAIT","",IF(AR151="",1,0.6))</f>
        <v/>
      </c>
      <c r="AT151" s="23">
        <f>IF(AR151="",0,0.4)</f>
        <v>0</v>
      </c>
      <c r="AU151" s="23" t="str">
        <f>IF(AQ151="WAIT","WAIT",IF(AO151="YES","BULL",IF(AP151="YES","BEAR","WAIT")))</f>
        <v>WAIT</v>
      </c>
      <c r="AV151" t="str">
        <f>IF(AQ151="WAIT","Low",IF(OR(AND(AU151="BULL",ABS(SUM(N(X151),N(Y151),N(Z151)))&gt;=0.15),AND(AU151="BEAR",ABS(SUM(N(AA151),N(AB151),N(AC151)))&gt;=0.15)),"Strong",IF(OR(AND(AU151="BULL",ABS(SUM(N(X151),N(Y151),N(Z151)))&gt;=0.05),AND(AU151="BEAR",ABS(SUM(N(AA151),N(AB151),N(AC151)))&gt;=0.05)),"Moderate","Low")))</f>
        <v>Low</v>
      </c>
      <c r="AW151" t="str">
        <f>IF(AQ151="WAIT","QQQ and SMH not aligned",IF(AU151="BULL",IF(AQ151="SOXL","Bull regime; semiconductors leading","Bull regime; tech leading"),IF(AQ151="SOXS","Bear regime; semiconductors weakest","Bear regime; tech weakest")))</f>
        <v>QQQ and SMH not aligned</v>
      </c>
      <c r="AX151" t="str">
        <f>IF(AR151="WAIT","QQQ and SMH not aligned",IF(AV151="BULL",IF(AR151="SOXL","Bull regime; semiconductors leading","Bull regime; tech leading"),IF(AR151="SOXS","Bear regime; semiconductors weakest","Bear regime; tech weakest")))</f>
        <v>Bear regime; tech weakest</v>
      </c>
    </row>
    <row r="152" spans="1:50" x14ac:dyDescent="0.2">
      <c r="A152" s="12"/>
      <c r="B152" s="13"/>
      <c r="C152" s="13"/>
      <c r="D152" s="13"/>
      <c r="E152" s="13"/>
      <c r="F152" s="11" t="str">
        <f>IF(OR(E152="",E151=""),"",IF(E151=0,"",(E152/E151)-1))</f>
        <v/>
      </c>
      <c r="G152" s="13"/>
      <c r="H152" s="11" t="str">
        <f>IF(OR(G152="",G151=""),"",IF(G151=0,"",(G152/G151)-1))</f>
        <v/>
      </c>
      <c r="I152" s="13"/>
      <c r="J152" s="13"/>
      <c r="K152" s="13"/>
      <c r="L152" s="13"/>
      <c r="M152" s="23" t="str">
        <f>IF(OR(L152="",L151=""),"",IF(L151=0,"",(L152/L151)-1))</f>
        <v/>
      </c>
      <c r="N152" s="26" t="str">
        <f>IFERROR((M152/M151)-1,"")</f>
        <v/>
      </c>
      <c r="O152" s="23" t="str">
        <f>IF(OR(N152="",N151=""),"",IF(N151=0,"",(N152/N151)-1))</f>
        <v/>
      </c>
      <c r="P152" s="11" t="str">
        <f>IF(ROW()&lt;7,"",IF(OR(E152="",E149=""),"",IF(E149=0,"",(E152/E149)-1)))</f>
        <v/>
      </c>
      <c r="Q152" s="23" t="str">
        <f>IF(ROW()&lt;9,"",IF(OR(E152="",E147=""),"",IF(E147=0,"",(E152/E147)-1)))</f>
        <v/>
      </c>
      <c r="R152" s="23" t="str">
        <f>IF(ROW()&lt;7,"",IF(OR(G152="",G149=""),"",IF(G149=0,"",(G152/G149)-1)))</f>
        <v/>
      </c>
      <c r="S152" s="23" t="str">
        <f>IF(ROW()&lt;9,"",IF(OR(G152="",G147=""),"",IF(G147=0,"",(G152/G147)-1)))</f>
        <v/>
      </c>
      <c r="T152" s="23" t="str">
        <f>IF(ROW()&lt;7,"",IF(OR(L152="",L149=""),"",IF(L149=0,"",(L152/L149)-1)))</f>
        <v/>
      </c>
      <c r="U152" s="23" t="str">
        <f>IF(ROW()&lt;9,"",IF(OR(L152="",L147=""),"",IF(L147=0,"",(L152/L147)-1)))</f>
        <v/>
      </c>
      <c r="V152" s="23" t="str">
        <f>IF(ROW()&lt;7,"",IF(OR(N152="",N149=""),"",IF(N149=0,"",(N152/N149)-1)))</f>
        <v/>
      </c>
      <c r="W152" s="23" t="str">
        <f>IF(ROW()&lt;9,"",IF(OR(N152="",N147=""),"",IF(N147=0,"",(N152/N147)-1)))</f>
        <v/>
      </c>
      <c r="X152" s="23" t="str">
        <f>IF(OR(F152="",M152=""),"",F152-M152)</f>
        <v/>
      </c>
      <c r="Y152" s="23" t="str">
        <f>IF(OR(P152="",T152=""),"",P152-T152)</f>
        <v/>
      </c>
      <c r="Z152" s="23" t="str">
        <f>IF(OR(Q152="",U152=""),"",Q152-U152)</f>
        <v/>
      </c>
      <c r="AA152" s="23" t="str">
        <f>IF(OR(H152="",O152=""),"",H152-O152)</f>
        <v/>
      </c>
      <c r="AB152" s="23" t="str">
        <f>IF(OR(R152="",V152=""),"",R152-V152)</f>
        <v/>
      </c>
      <c r="AC152" s="23" t="str">
        <f>IF(OR(S152="",W152=""),"",S152-W152)</f>
        <v/>
      </c>
      <c r="AD152" s="13"/>
      <c r="AE152" s="23" t="str">
        <f>IF(OR(AD152="",AD151=""),"",IF(AD151=0,"",(AD152/AD151)-1))</f>
        <v/>
      </c>
      <c r="AF152" s="23" t="str">
        <f>IF(ROW()&lt;7,"",IF(OR(AD152="",AD149=""),"",IF(AD149=0,"",(AD152/AD149)-1)))</f>
        <v/>
      </c>
      <c r="AG152" s="23" t="str">
        <f>IF(ROW()&lt;9,"",IF(OR(AD152="",AD147=""),"",IF(AD147=0,"",(AD152/AD147)-1)))</f>
        <v/>
      </c>
      <c r="AH152" s="23" t="str">
        <f>IF(OR(AF152="",AG152=""),"",IF(AND(AF152&gt;0,AG152&gt;0),"Bull",IF(AND(AF152&lt;0,AG152&lt;0),"Bear","Mixed")))</f>
        <v/>
      </c>
      <c r="AI152" s="13"/>
      <c r="AJ152" s="13" t="str">
        <f>IF(OR(AI152="",AI151=""),"",IF(AI151=0,"",(AI152/AI151)-1))</f>
        <v/>
      </c>
      <c r="AK152" s="23" t="str">
        <f>IF(OR(AJ152="",AJ151=""),"",IF(AJ151=0,"",(AJ152/AJ151)-1))</f>
        <v/>
      </c>
      <c r="AL152" s="23" t="str">
        <f>IF(ROW()&lt;7,"",IF(OR(AJ152="",AJ149=""),"",IF(AJ149=0,"",(AJ152/AJ149)-1)))</f>
        <v/>
      </c>
      <c r="AM152" s="23" t="str">
        <f>IF(ROW()&lt;9,"",IF(OR(AJ152="",AJ147=""),"",IF(AJ147=0,"",(AJ152/AJ147)-1)))</f>
        <v/>
      </c>
      <c r="AN152" t="str">
        <f>IF(OR(AL152="",AM152=""),"",IF(AND(AL152&gt;0,AM152&gt;0),"Bull",IF(AND(AL152&lt;0,AM152&lt;0),"Bear","Mixed")))</f>
        <v/>
      </c>
      <c r="AO152" t="str">
        <f>IF(OR(AH152="",AN152=""),"",IF(AND(AH152="Bull",AN152="Bull"),"YES","NO"))</f>
        <v/>
      </c>
      <c r="AP152" t="str">
        <f>IF(OR(AH152="",AN152=""),"",IF(AND(AH152="Bear",AN152="Bear"),"YES","NO"))</f>
        <v/>
      </c>
      <c r="AQ152" t="str">
        <f>IF(AO152="YES",IF(SUM(N(X152),N(Y152),N(Z152))&gt;0,"SOXL","TQQQ"),IF(AP152="YES",IF(SUM(N(AA152),N(AB152),N(AC152))&gt;0,"SOXS","SQQQ"),"WAIT"))</f>
        <v>WAIT</v>
      </c>
      <c r="AR152" s="23" t="str">
        <f>IF(AO152="YES",IF(SUM(N(X152),N(Y152),N(Z152))&gt;0,"TQQQ","SOXL"),IF(AP152="YES",IF(SUM(N(AA152),N(AB152),N(AC152))&gt;0,"SQQQ","SOXS"),""))</f>
        <v/>
      </c>
      <c r="AS152" s="23" t="str">
        <f>IF(AQ152="WAIT","",IF(AR152="",1,0.6))</f>
        <v/>
      </c>
      <c r="AT152" s="23">
        <f>IF(AR152="",0,0.4)</f>
        <v>0</v>
      </c>
      <c r="AU152" s="23" t="str">
        <f>IF(AQ152="WAIT","WAIT",IF(AO152="YES","BULL",IF(AP152="YES","BEAR","WAIT")))</f>
        <v>WAIT</v>
      </c>
      <c r="AV152" t="str">
        <f>IF(AQ152="WAIT","Low",IF(OR(AND(AU152="BULL",ABS(SUM(N(X152),N(Y152),N(Z152)))&gt;=0.15),AND(AU152="BEAR",ABS(SUM(N(AA152),N(AB152),N(AC152)))&gt;=0.15)),"Strong",IF(OR(AND(AU152="BULL",ABS(SUM(N(X152),N(Y152),N(Z152)))&gt;=0.05),AND(AU152="BEAR",ABS(SUM(N(AA152),N(AB152),N(AC152)))&gt;=0.05)),"Moderate","Low")))</f>
        <v>Low</v>
      </c>
      <c r="AW152" t="str">
        <f>IF(AQ152="WAIT","QQQ and SMH not aligned",IF(AU152="BULL",IF(AQ152="SOXL","Bull regime; semiconductors leading","Bull regime; tech leading"),IF(AQ152="SOXS","Bear regime; semiconductors weakest","Bear regime; tech weakest")))</f>
        <v>QQQ and SMH not aligned</v>
      </c>
      <c r="AX152" t="str">
        <f>IF(AR152="WAIT","QQQ and SMH not aligned",IF(AV152="BULL",IF(AR152="SOXL","Bull regime; semiconductors leading","Bull regime; tech leading"),IF(AR152="SOXS","Bear regime; semiconductors weakest","Bear regime; tech weakest")))</f>
        <v>Bear regime; tech weakest</v>
      </c>
    </row>
    <row r="153" spans="1:50" x14ac:dyDescent="0.2">
      <c r="A153" s="12"/>
      <c r="B153" s="13"/>
      <c r="C153" s="13"/>
      <c r="D153" s="13"/>
      <c r="E153" s="13"/>
      <c r="F153" s="11" t="str">
        <f>IF(OR(E153="",E152=""),"",IF(E152=0,"",(E153/E152)-1))</f>
        <v/>
      </c>
      <c r="G153" s="13"/>
      <c r="H153" s="11" t="str">
        <f>IF(OR(G153="",G152=""),"",IF(G152=0,"",(G153/G152)-1))</f>
        <v/>
      </c>
      <c r="I153" s="13"/>
      <c r="J153" s="13"/>
      <c r="K153" s="13"/>
      <c r="L153" s="13"/>
      <c r="M153" s="23" t="str">
        <f>IF(OR(L153="",L152=""),"",IF(L152=0,"",(L153/L152)-1))</f>
        <v/>
      </c>
      <c r="N153" s="26" t="str">
        <f>IFERROR((M153/M152)-1,"")</f>
        <v/>
      </c>
      <c r="O153" s="23" t="str">
        <f>IF(OR(N153="",N152=""),"",IF(N152=0,"",(N153/N152)-1))</f>
        <v/>
      </c>
      <c r="P153" s="11" t="str">
        <f>IF(ROW()&lt;7,"",IF(OR(E153="",E150=""),"",IF(E150=0,"",(E153/E150)-1)))</f>
        <v/>
      </c>
      <c r="Q153" s="23" t="str">
        <f>IF(ROW()&lt;9,"",IF(OR(E153="",E148=""),"",IF(E148=0,"",(E153/E148)-1)))</f>
        <v/>
      </c>
      <c r="R153" s="23" t="str">
        <f>IF(ROW()&lt;7,"",IF(OR(G153="",G150=""),"",IF(G150=0,"",(G153/G150)-1)))</f>
        <v/>
      </c>
      <c r="S153" s="23" t="str">
        <f>IF(ROW()&lt;9,"",IF(OR(G153="",G148=""),"",IF(G148=0,"",(G153/G148)-1)))</f>
        <v/>
      </c>
      <c r="T153" s="23" t="str">
        <f>IF(ROW()&lt;7,"",IF(OR(L153="",L150=""),"",IF(L150=0,"",(L153/L150)-1)))</f>
        <v/>
      </c>
      <c r="U153" s="23" t="str">
        <f>IF(ROW()&lt;9,"",IF(OR(L153="",L148=""),"",IF(L148=0,"",(L153/L148)-1)))</f>
        <v/>
      </c>
      <c r="V153" s="23" t="str">
        <f>IF(ROW()&lt;7,"",IF(OR(N153="",N150=""),"",IF(N150=0,"",(N153/N150)-1)))</f>
        <v/>
      </c>
      <c r="W153" s="23" t="str">
        <f>IF(ROW()&lt;9,"",IF(OR(N153="",N148=""),"",IF(N148=0,"",(N153/N148)-1)))</f>
        <v/>
      </c>
      <c r="X153" s="23" t="str">
        <f>IF(OR(F153="",M153=""),"",F153-M153)</f>
        <v/>
      </c>
      <c r="Y153" s="23" t="str">
        <f>IF(OR(P153="",T153=""),"",P153-T153)</f>
        <v/>
      </c>
      <c r="Z153" s="23" t="str">
        <f>IF(OR(Q153="",U153=""),"",Q153-U153)</f>
        <v/>
      </c>
      <c r="AA153" s="23" t="str">
        <f>IF(OR(H153="",O153=""),"",H153-O153)</f>
        <v/>
      </c>
      <c r="AB153" s="23" t="str">
        <f>IF(OR(R153="",V153=""),"",R153-V153)</f>
        <v/>
      </c>
      <c r="AC153" s="23" t="str">
        <f>IF(OR(S153="",W153=""),"",S153-W153)</f>
        <v/>
      </c>
      <c r="AD153" s="13"/>
      <c r="AE153" s="23" t="str">
        <f>IF(OR(AD153="",AD152=""),"",IF(AD152=0,"",(AD153/AD152)-1))</f>
        <v/>
      </c>
      <c r="AF153" s="23" t="str">
        <f>IF(ROW()&lt;7,"",IF(OR(AD153="",AD150=""),"",IF(AD150=0,"",(AD153/AD150)-1)))</f>
        <v/>
      </c>
      <c r="AG153" s="23" t="str">
        <f>IF(ROW()&lt;9,"",IF(OR(AD153="",AD148=""),"",IF(AD148=0,"",(AD153/AD148)-1)))</f>
        <v/>
      </c>
      <c r="AH153" s="23" t="str">
        <f>IF(OR(AF153="",AG153=""),"",IF(AND(AF153&gt;0,AG153&gt;0),"Bull",IF(AND(AF153&lt;0,AG153&lt;0),"Bear","Mixed")))</f>
        <v/>
      </c>
      <c r="AI153" s="13"/>
      <c r="AJ153" s="13" t="str">
        <f>IF(OR(AI153="",AI152=""),"",IF(AI152=0,"",(AI153/AI152)-1))</f>
        <v/>
      </c>
      <c r="AK153" s="23" t="str">
        <f>IF(OR(AJ153="",AJ152=""),"",IF(AJ152=0,"",(AJ153/AJ152)-1))</f>
        <v/>
      </c>
      <c r="AL153" s="23" t="str">
        <f>IF(ROW()&lt;7,"",IF(OR(AJ153="",AJ150=""),"",IF(AJ150=0,"",(AJ153/AJ150)-1)))</f>
        <v/>
      </c>
      <c r="AM153" s="23" t="str">
        <f>IF(ROW()&lt;9,"",IF(OR(AJ153="",AJ148=""),"",IF(AJ148=0,"",(AJ153/AJ148)-1)))</f>
        <v/>
      </c>
      <c r="AN153" t="str">
        <f>IF(OR(AL153="",AM153=""),"",IF(AND(AL153&gt;0,AM153&gt;0),"Bull",IF(AND(AL153&lt;0,AM153&lt;0),"Bear","Mixed")))</f>
        <v/>
      </c>
      <c r="AO153" t="str">
        <f>IF(OR(AH153="",AN153=""),"",IF(AND(AH153="Bull",AN153="Bull"),"YES","NO"))</f>
        <v/>
      </c>
      <c r="AP153" t="str">
        <f>IF(OR(AH153="",AN153=""),"",IF(AND(AH153="Bear",AN153="Bear"),"YES","NO"))</f>
        <v/>
      </c>
      <c r="AQ153" t="str">
        <f>IF(AO153="YES",IF(SUM(N(X153),N(Y153),N(Z153))&gt;0,"SOXL","TQQQ"),IF(AP153="YES",IF(SUM(N(AA153),N(AB153),N(AC153))&gt;0,"SOXS","SQQQ"),"WAIT"))</f>
        <v>WAIT</v>
      </c>
      <c r="AR153" s="23" t="str">
        <f>IF(AO153="YES",IF(SUM(N(X153),N(Y153),N(Z153))&gt;0,"TQQQ","SOXL"),IF(AP153="YES",IF(SUM(N(AA153),N(AB153),N(AC153))&gt;0,"SQQQ","SOXS"),""))</f>
        <v/>
      </c>
      <c r="AS153" s="23" t="str">
        <f>IF(AQ153="WAIT","",IF(AR153="",1,0.6))</f>
        <v/>
      </c>
      <c r="AT153" s="23">
        <f>IF(AR153="",0,0.4)</f>
        <v>0</v>
      </c>
      <c r="AU153" s="23" t="str">
        <f>IF(AQ153="WAIT","WAIT",IF(AO153="YES","BULL",IF(AP153="YES","BEAR","WAIT")))</f>
        <v>WAIT</v>
      </c>
      <c r="AV153" t="str">
        <f>IF(AQ153="WAIT","Low",IF(OR(AND(AU153="BULL",ABS(SUM(N(X153),N(Y153),N(Z153)))&gt;=0.15),AND(AU153="BEAR",ABS(SUM(N(AA153),N(AB153),N(AC153)))&gt;=0.15)),"Strong",IF(OR(AND(AU153="BULL",ABS(SUM(N(X153),N(Y153),N(Z153)))&gt;=0.05),AND(AU153="BEAR",ABS(SUM(N(AA153),N(AB153),N(AC153)))&gt;=0.05)),"Moderate","Low")))</f>
        <v>Low</v>
      </c>
      <c r="AW153" t="str">
        <f>IF(AQ153="WAIT","QQQ and SMH not aligned",IF(AU153="BULL",IF(AQ153="SOXL","Bull regime; semiconductors leading","Bull regime; tech leading"),IF(AQ153="SOXS","Bear regime; semiconductors weakest","Bear regime; tech weakest")))</f>
        <v>QQQ and SMH not aligned</v>
      </c>
      <c r="AX153" t="str">
        <f>IF(AR153="WAIT","QQQ and SMH not aligned",IF(AV153="BULL",IF(AR153="SOXL","Bull regime; semiconductors leading","Bull regime; tech leading"),IF(AR153="SOXS","Bear regime; semiconductors weakest","Bear regime; tech weakest")))</f>
        <v>Bear regime; tech weakest</v>
      </c>
    </row>
    <row r="154" spans="1:50" x14ac:dyDescent="0.2">
      <c r="A154" s="12"/>
      <c r="B154" s="13"/>
      <c r="C154" s="13"/>
      <c r="D154" s="13"/>
      <c r="E154" s="13"/>
      <c r="F154" s="11" t="str">
        <f>IF(OR(E154="",E153=""),"",IF(E153=0,"",(E154/E153)-1))</f>
        <v/>
      </c>
      <c r="G154" s="13"/>
      <c r="H154" s="11" t="str">
        <f>IF(OR(G154="",G153=""),"",IF(G153=0,"",(G154/G153)-1))</f>
        <v/>
      </c>
      <c r="I154" s="13"/>
      <c r="J154" s="13"/>
      <c r="K154" s="13"/>
      <c r="L154" s="13"/>
      <c r="M154" s="23" t="str">
        <f>IF(OR(L154="",L153=""),"",IF(L153=0,"",(L154/L153)-1))</f>
        <v/>
      </c>
      <c r="N154" s="26" t="str">
        <f>IFERROR((M154/M153)-1,"")</f>
        <v/>
      </c>
      <c r="O154" s="23" t="str">
        <f>IF(OR(N154="",N153=""),"",IF(N153=0,"",(N154/N153)-1))</f>
        <v/>
      </c>
      <c r="P154" s="11" t="str">
        <f>IF(ROW()&lt;7,"",IF(OR(E154="",E151=""),"",IF(E151=0,"",(E154/E151)-1)))</f>
        <v/>
      </c>
      <c r="Q154" s="23" t="str">
        <f>IF(ROW()&lt;9,"",IF(OR(E154="",E149=""),"",IF(E149=0,"",(E154/E149)-1)))</f>
        <v/>
      </c>
      <c r="R154" s="23" t="str">
        <f>IF(ROW()&lt;7,"",IF(OR(G154="",G151=""),"",IF(G151=0,"",(G154/G151)-1)))</f>
        <v/>
      </c>
      <c r="S154" s="23" t="str">
        <f>IF(ROW()&lt;9,"",IF(OR(G154="",G149=""),"",IF(G149=0,"",(G154/G149)-1)))</f>
        <v/>
      </c>
      <c r="T154" s="23" t="str">
        <f>IF(ROW()&lt;7,"",IF(OR(L154="",L151=""),"",IF(L151=0,"",(L154/L151)-1)))</f>
        <v/>
      </c>
      <c r="U154" s="23" t="str">
        <f>IF(ROW()&lt;9,"",IF(OR(L154="",L149=""),"",IF(L149=0,"",(L154/L149)-1)))</f>
        <v/>
      </c>
      <c r="V154" s="23" t="str">
        <f>IF(ROW()&lt;7,"",IF(OR(N154="",N151=""),"",IF(N151=0,"",(N154/N151)-1)))</f>
        <v/>
      </c>
      <c r="W154" s="23" t="str">
        <f>IF(ROW()&lt;9,"",IF(OR(N154="",N149=""),"",IF(N149=0,"",(N154/N149)-1)))</f>
        <v/>
      </c>
      <c r="X154" s="23" t="str">
        <f>IF(OR(F154="",M154=""),"",F154-M154)</f>
        <v/>
      </c>
      <c r="Y154" s="23" t="str">
        <f>IF(OR(P154="",T154=""),"",P154-T154)</f>
        <v/>
      </c>
      <c r="Z154" s="23" t="str">
        <f>IF(OR(Q154="",U154=""),"",Q154-U154)</f>
        <v/>
      </c>
      <c r="AA154" s="23" t="str">
        <f>IF(OR(H154="",O154=""),"",H154-O154)</f>
        <v/>
      </c>
      <c r="AB154" s="23" t="str">
        <f>IF(OR(R154="",V154=""),"",R154-V154)</f>
        <v/>
      </c>
      <c r="AC154" s="23" t="str">
        <f>IF(OR(S154="",W154=""),"",S154-W154)</f>
        <v/>
      </c>
      <c r="AD154" s="13"/>
      <c r="AE154" s="23" t="str">
        <f>IF(OR(AD154="",AD153=""),"",IF(AD153=0,"",(AD154/AD153)-1))</f>
        <v/>
      </c>
      <c r="AF154" s="23" t="str">
        <f>IF(ROW()&lt;7,"",IF(OR(AD154="",AD151=""),"",IF(AD151=0,"",(AD154/AD151)-1)))</f>
        <v/>
      </c>
      <c r="AG154" s="23" t="str">
        <f>IF(ROW()&lt;9,"",IF(OR(AD154="",AD149=""),"",IF(AD149=0,"",(AD154/AD149)-1)))</f>
        <v/>
      </c>
      <c r="AH154" s="23" t="str">
        <f>IF(OR(AF154="",AG154=""),"",IF(AND(AF154&gt;0,AG154&gt;0),"Bull",IF(AND(AF154&lt;0,AG154&lt;0),"Bear","Mixed")))</f>
        <v/>
      </c>
      <c r="AI154" s="13"/>
      <c r="AJ154" s="13" t="str">
        <f>IF(OR(AI154="",AI153=""),"",IF(AI153=0,"",(AI154/AI153)-1))</f>
        <v/>
      </c>
      <c r="AK154" s="23" t="str">
        <f>IF(OR(AJ154="",AJ153=""),"",IF(AJ153=0,"",(AJ154/AJ153)-1))</f>
        <v/>
      </c>
      <c r="AL154" s="23" t="str">
        <f>IF(ROW()&lt;7,"",IF(OR(AJ154="",AJ151=""),"",IF(AJ151=0,"",(AJ154/AJ151)-1)))</f>
        <v/>
      </c>
      <c r="AM154" s="23" t="str">
        <f>IF(ROW()&lt;9,"",IF(OR(AJ154="",AJ149=""),"",IF(AJ149=0,"",(AJ154/AJ149)-1)))</f>
        <v/>
      </c>
      <c r="AN154" t="str">
        <f>IF(OR(AL154="",AM154=""),"",IF(AND(AL154&gt;0,AM154&gt;0),"Bull",IF(AND(AL154&lt;0,AM154&lt;0),"Bear","Mixed")))</f>
        <v/>
      </c>
      <c r="AO154" t="str">
        <f>IF(OR(AH154="",AN154=""),"",IF(AND(AH154="Bull",AN154="Bull"),"YES","NO"))</f>
        <v/>
      </c>
      <c r="AP154" t="str">
        <f>IF(OR(AH154="",AN154=""),"",IF(AND(AH154="Bear",AN154="Bear"),"YES","NO"))</f>
        <v/>
      </c>
      <c r="AQ154" t="str">
        <f>IF(AO154="YES",IF(SUM(N(X154),N(Y154),N(Z154))&gt;0,"SOXL","TQQQ"),IF(AP154="YES",IF(SUM(N(AA154),N(AB154),N(AC154))&gt;0,"SOXS","SQQQ"),"WAIT"))</f>
        <v>WAIT</v>
      </c>
      <c r="AR154" s="23" t="str">
        <f>IF(AO154="YES",IF(SUM(N(X154),N(Y154),N(Z154))&gt;0,"TQQQ","SOXL"),IF(AP154="YES",IF(SUM(N(AA154),N(AB154),N(AC154))&gt;0,"SQQQ","SOXS"),""))</f>
        <v/>
      </c>
      <c r="AS154" s="23" t="str">
        <f>IF(AQ154="WAIT","",IF(AR154="",1,0.6))</f>
        <v/>
      </c>
      <c r="AT154" s="23">
        <f>IF(AR154="",0,0.4)</f>
        <v>0</v>
      </c>
      <c r="AU154" s="23" t="str">
        <f>IF(AQ154="WAIT","WAIT",IF(AO154="YES","BULL",IF(AP154="YES","BEAR","WAIT")))</f>
        <v>WAIT</v>
      </c>
      <c r="AV154" t="str">
        <f>IF(AQ154="WAIT","Low",IF(OR(AND(AU154="BULL",ABS(SUM(N(X154),N(Y154),N(Z154)))&gt;=0.15),AND(AU154="BEAR",ABS(SUM(N(AA154),N(AB154),N(AC154)))&gt;=0.15)),"Strong",IF(OR(AND(AU154="BULL",ABS(SUM(N(X154),N(Y154),N(Z154)))&gt;=0.05),AND(AU154="BEAR",ABS(SUM(N(AA154),N(AB154),N(AC154)))&gt;=0.05)),"Moderate","Low")))</f>
        <v>Low</v>
      </c>
      <c r="AW154" t="str">
        <f>IF(AQ154="WAIT","QQQ and SMH not aligned",IF(AU154="BULL",IF(AQ154="SOXL","Bull regime; semiconductors leading","Bull regime; tech leading"),IF(AQ154="SOXS","Bear regime; semiconductors weakest","Bear regime; tech weakest")))</f>
        <v>QQQ and SMH not aligned</v>
      </c>
      <c r="AX154" t="str">
        <f>IF(AR154="WAIT","QQQ and SMH not aligned",IF(AV154="BULL",IF(AR154="SOXL","Bull regime; semiconductors leading","Bull regime; tech leading"),IF(AR154="SOXS","Bear regime; semiconductors weakest","Bear regime; tech weakest")))</f>
        <v>Bear regime; tech weakest</v>
      </c>
    </row>
    <row r="155" spans="1:50" x14ac:dyDescent="0.2">
      <c r="A155" s="12"/>
      <c r="B155" s="13"/>
      <c r="C155" s="13"/>
      <c r="D155" s="13"/>
      <c r="E155" s="13"/>
      <c r="F155" s="11" t="str">
        <f>IF(OR(E155="",E154=""),"",IF(E154=0,"",(E155/E154)-1))</f>
        <v/>
      </c>
      <c r="G155" s="13"/>
      <c r="H155" s="11" t="str">
        <f>IF(OR(G155="",G154=""),"",IF(G154=0,"",(G155/G154)-1))</f>
        <v/>
      </c>
      <c r="I155" s="13"/>
      <c r="J155" s="13"/>
      <c r="K155" s="13"/>
      <c r="L155" s="13"/>
      <c r="M155" s="23" t="str">
        <f>IF(OR(L155="",L154=""),"",IF(L154=0,"",(L155/L154)-1))</f>
        <v/>
      </c>
      <c r="N155" s="26" t="str">
        <f>IFERROR((M155/M154)-1,"")</f>
        <v/>
      </c>
      <c r="O155" s="23" t="str">
        <f>IF(OR(N155="",N154=""),"",IF(N154=0,"",(N155/N154)-1))</f>
        <v/>
      </c>
      <c r="P155" s="11" t="str">
        <f>IF(ROW()&lt;7,"",IF(OR(E155="",E152=""),"",IF(E152=0,"",(E155/E152)-1)))</f>
        <v/>
      </c>
      <c r="Q155" s="23" t="str">
        <f>IF(ROW()&lt;9,"",IF(OR(E155="",E150=""),"",IF(E150=0,"",(E155/E150)-1)))</f>
        <v/>
      </c>
      <c r="R155" s="23" t="str">
        <f>IF(ROW()&lt;7,"",IF(OR(G155="",G152=""),"",IF(G152=0,"",(G155/G152)-1)))</f>
        <v/>
      </c>
      <c r="S155" s="23" t="str">
        <f>IF(ROW()&lt;9,"",IF(OR(G155="",G150=""),"",IF(G150=0,"",(G155/G150)-1)))</f>
        <v/>
      </c>
      <c r="T155" s="23" t="str">
        <f>IF(ROW()&lt;7,"",IF(OR(L155="",L152=""),"",IF(L152=0,"",(L155/L152)-1)))</f>
        <v/>
      </c>
      <c r="U155" s="23" t="str">
        <f>IF(ROW()&lt;9,"",IF(OR(L155="",L150=""),"",IF(L150=0,"",(L155/L150)-1)))</f>
        <v/>
      </c>
      <c r="V155" s="23" t="str">
        <f>IF(ROW()&lt;7,"",IF(OR(N155="",N152=""),"",IF(N152=0,"",(N155/N152)-1)))</f>
        <v/>
      </c>
      <c r="W155" s="23" t="str">
        <f>IF(ROW()&lt;9,"",IF(OR(N155="",N150=""),"",IF(N150=0,"",(N155/N150)-1)))</f>
        <v/>
      </c>
      <c r="X155" s="23" t="str">
        <f>IF(OR(F155="",M155=""),"",F155-M155)</f>
        <v/>
      </c>
      <c r="Y155" s="23" t="str">
        <f>IF(OR(P155="",T155=""),"",P155-T155)</f>
        <v/>
      </c>
      <c r="Z155" s="23" t="str">
        <f>IF(OR(Q155="",U155=""),"",Q155-U155)</f>
        <v/>
      </c>
      <c r="AA155" s="23" t="str">
        <f>IF(OR(H155="",O155=""),"",H155-O155)</f>
        <v/>
      </c>
      <c r="AB155" s="23" t="str">
        <f>IF(OR(R155="",V155=""),"",R155-V155)</f>
        <v/>
      </c>
      <c r="AC155" s="23" t="str">
        <f>IF(OR(S155="",W155=""),"",S155-W155)</f>
        <v/>
      </c>
      <c r="AD155" s="13"/>
      <c r="AE155" s="23" t="str">
        <f>IF(OR(AD155="",AD154=""),"",IF(AD154=0,"",(AD155/AD154)-1))</f>
        <v/>
      </c>
      <c r="AF155" s="23" t="str">
        <f>IF(ROW()&lt;7,"",IF(OR(AD155="",AD152=""),"",IF(AD152=0,"",(AD155/AD152)-1)))</f>
        <v/>
      </c>
      <c r="AG155" s="23" t="str">
        <f>IF(ROW()&lt;9,"",IF(OR(AD155="",AD150=""),"",IF(AD150=0,"",(AD155/AD150)-1)))</f>
        <v/>
      </c>
      <c r="AH155" s="23" t="str">
        <f>IF(OR(AF155="",AG155=""),"",IF(AND(AF155&gt;0,AG155&gt;0),"Bull",IF(AND(AF155&lt;0,AG155&lt;0),"Bear","Mixed")))</f>
        <v/>
      </c>
      <c r="AI155" s="13"/>
      <c r="AJ155" s="13" t="str">
        <f>IF(OR(AI155="",AI154=""),"",IF(AI154=0,"",(AI155/AI154)-1))</f>
        <v/>
      </c>
      <c r="AK155" s="23" t="str">
        <f>IF(OR(AJ155="",AJ154=""),"",IF(AJ154=0,"",(AJ155/AJ154)-1))</f>
        <v/>
      </c>
      <c r="AL155" s="23" t="str">
        <f>IF(ROW()&lt;7,"",IF(OR(AJ155="",AJ152=""),"",IF(AJ152=0,"",(AJ155/AJ152)-1)))</f>
        <v/>
      </c>
      <c r="AM155" s="23" t="str">
        <f>IF(ROW()&lt;9,"",IF(OR(AJ155="",AJ150=""),"",IF(AJ150=0,"",(AJ155/AJ150)-1)))</f>
        <v/>
      </c>
      <c r="AN155" t="str">
        <f>IF(OR(AL155="",AM155=""),"",IF(AND(AL155&gt;0,AM155&gt;0),"Bull",IF(AND(AL155&lt;0,AM155&lt;0),"Bear","Mixed")))</f>
        <v/>
      </c>
      <c r="AO155" t="str">
        <f>IF(OR(AH155="",AN155=""),"",IF(AND(AH155="Bull",AN155="Bull"),"YES","NO"))</f>
        <v/>
      </c>
      <c r="AP155" t="str">
        <f>IF(OR(AH155="",AN155=""),"",IF(AND(AH155="Bear",AN155="Bear"),"YES","NO"))</f>
        <v/>
      </c>
      <c r="AQ155" t="str">
        <f>IF(AO155="YES",IF(SUM(N(X155),N(Y155),N(Z155))&gt;0,"SOXL","TQQQ"),IF(AP155="YES",IF(SUM(N(AA155),N(AB155),N(AC155))&gt;0,"SOXS","SQQQ"),"WAIT"))</f>
        <v>WAIT</v>
      </c>
      <c r="AR155" s="23" t="str">
        <f>IF(AO155="YES",IF(SUM(N(X155),N(Y155),N(Z155))&gt;0,"TQQQ","SOXL"),IF(AP155="YES",IF(SUM(N(AA155),N(AB155),N(AC155))&gt;0,"SQQQ","SOXS"),""))</f>
        <v/>
      </c>
      <c r="AS155" s="23" t="str">
        <f>IF(AQ155="WAIT","",IF(AR155="",1,0.6))</f>
        <v/>
      </c>
      <c r="AT155" s="23">
        <f>IF(AR155="",0,0.4)</f>
        <v>0</v>
      </c>
      <c r="AU155" s="23" t="str">
        <f>IF(AQ155="WAIT","WAIT",IF(AO155="YES","BULL",IF(AP155="YES","BEAR","WAIT")))</f>
        <v>WAIT</v>
      </c>
      <c r="AV155" t="str">
        <f>IF(AQ155="WAIT","Low",IF(OR(AND(AU155="BULL",ABS(SUM(N(X155),N(Y155),N(Z155)))&gt;=0.15),AND(AU155="BEAR",ABS(SUM(N(AA155),N(AB155),N(AC155)))&gt;=0.15)),"Strong",IF(OR(AND(AU155="BULL",ABS(SUM(N(X155),N(Y155),N(Z155)))&gt;=0.05),AND(AU155="BEAR",ABS(SUM(N(AA155),N(AB155),N(AC155)))&gt;=0.05)),"Moderate","Low")))</f>
        <v>Low</v>
      </c>
      <c r="AW155" t="str">
        <f>IF(AQ155="WAIT","QQQ and SMH not aligned",IF(AU155="BULL",IF(AQ155="SOXL","Bull regime; semiconductors leading","Bull regime; tech leading"),IF(AQ155="SOXS","Bear regime; semiconductors weakest","Bear regime; tech weakest")))</f>
        <v>QQQ and SMH not aligned</v>
      </c>
      <c r="AX155" t="str">
        <f>IF(AR155="WAIT","QQQ and SMH not aligned",IF(AV155="BULL",IF(AR155="SOXL","Bull regime; semiconductors leading","Bull regime; tech leading"),IF(AR155="SOXS","Bear regime; semiconductors weakest","Bear regime; tech weakest")))</f>
        <v>Bear regime; tech weakest</v>
      </c>
    </row>
    <row r="156" spans="1:50" x14ac:dyDescent="0.2">
      <c r="A156" s="12"/>
      <c r="B156" s="13"/>
      <c r="C156" s="13"/>
      <c r="D156" s="13"/>
      <c r="E156" s="13"/>
      <c r="F156" s="11" t="str">
        <f>IF(OR(E156="",E155=""),"",IF(E155=0,"",(E156/E155)-1))</f>
        <v/>
      </c>
      <c r="G156" s="13"/>
      <c r="H156" s="11" t="str">
        <f>IF(OR(G156="",G155=""),"",IF(G155=0,"",(G156/G155)-1))</f>
        <v/>
      </c>
      <c r="I156" s="13"/>
      <c r="J156" s="13"/>
      <c r="K156" s="13"/>
      <c r="L156" s="13"/>
      <c r="M156" s="23" t="str">
        <f>IF(OR(L156="",L155=""),"",IF(L155=0,"",(L156/L155)-1))</f>
        <v/>
      </c>
      <c r="N156" s="26" t="str">
        <f>IFERROR((M156/M155)-1,"")</f>
        <v/>
      </c>
      <c r="O156" s="23" t="str">
        <f>IF(OR(N156="",N155=""),"",IF(N155=0,"",(N156/N155)-1))</f>
        <v/>
      </c>
      <c r="P156" s="11" t="str">
        <f>IF(ROW()&lt;7,"",IF(OR(E156="",E153=""),"",IF(E153=0,"",(E156/E153)-1)))</f>
        <v/>
      </c>
      <c r="Q156" s="23" t="str">
        <f>IF(ROW()&lt;9,"",IF(OR(E156="",E151=""),"",IF(E151=0,"",(E156/E151)-1)))</f>
        <v/>
      </c>
      <c r="R156" s="23" t="str">
        <f>IF(ROW()&lt;7,"",IF(OR(G156="",G153=""),"",IF(G153=0,"",(G156/G153)-1)))</f>
        <v/>
      </c>
      <c r="S156" s="23" t="str">
        <f>IF(ROW()&lt;9,"",IF(OR(G156="",G151=""),"",IF(G151=0,"",(G156/G151)-1)))</f>
        <v/>
      </c>
      <c r="T156" s="23" t="str">
        <f>IF(ROW()&lt;7,"",IF(OR(L156="",L153=""),"",IF(L153=0,"",(L156/L153)-1)))</f>
        <v/>
      </c>
      <c r="U156" s="23" t="str">
        <f>IF(ROW()&lt;9,"",IF(OR(L156="",L151=""),"",IF(L151=0,"",(L156/L151)-1)))</f>
        <v/>
      </c>
      <c r="V156" s="23" t="str">
        <f>IF(ROW()&lt;7,"",IF(OR(N156="",N153=""),"",IF(N153=0,"",(N156/N153)-1)))</f>
        <v/>
      </c>
      <c r="W156" s="23" t="str">
        <f>IF(ROW()&lt;9,"",IF(OR(N156="",N151=""),"",IF(N151=0,"",(N156/N151)-1)))</f>
        <v/>
      </c>
      <c r="X156" s="23" t="str">
        <f>IF(OR(F156="",M156=""),"",F156-M156)</f>
        <v/>
      </c>
      <c r="Y156" s="23" t="str">
        <f>IF(OR(P156="",T156=""),"",P156-T156)</f>
        <v/>
      </c>
      <c r="Z156" s="23" t="str">
        <f>IF(OR(Q156="",U156=""),"",Q156-U156)</f>
        <v/>
      </c>
      <c r="AA156" s="23" t="str">
        <f>IF(OR(H156="",O156=""),"",H156-O156)</f>
        <v/>
      </c>
      <c r="AB156" s="23" t="str">
        <f>IF(OR(R156="",V156=""),"",R156-V156)</f>
        <v/>
      </c>
      <c r="AC156" s="23" t="str">
        <f>IF(OR(S156="",W156=""),"",S156-W156)</f>
        <v/>
      </c>
      <c r="AD156" s="13"/>
      <c r="AE156" s="23" t="str">
        <f>IF(OR(AD156="",AD155=""),"",IF(AD155=0,"",(AD156/AD155)-1))</f>
        <v/>
      </c>
      <c r="AF156" s="23" t="str">
        <f>IF(ROW()&lt;7,"",IF(OR(AD156="",AD153=""),"",IF(AD153=0,"",(AD156/AD153)-1)))</f>
        <v/>
      </c>
      <c r="AG156" s="23" t="str">
        <f>IF(ROW()&lt;9,"",IF(OR(AD156="",AD151=""),"",IF(AD151=0,"",(AD156/AD151)-1)))</f>
        <v/>
      </c>
      <c r="AH156" s="23" t="str">
        <f>IF(OR(AF156="",AG156=""),"",IF(AND(AF156&gt;0,AG156&gt;0),"Bull",IF(AND(AF156&lt;0,AG156&lt;0),"Bear","Mixed")))</f>
        <v/>
      </c>
      <c r="AI156" s="13"/>
      <c r="AJ156" s="13" t="str">
        <f>IF(OR(AI156="",AI155=""),"",IF(AI155=0,"",(AI156/AI155)-1))</f>
        <v/>
      </c>
      <c r="AK156" s="23" t="str">
        <f>IF(OR(AJ156="",AJ155=""),"",IF(AJ155=0,"",(AJ156/AJ155)-1))</f>
        <v/>
      </c>
      <c r="AL156" s="23" t="str">
        <f>IF(ROW()&lt;7,"",IF(OR(AJ156="",AJ153=""),"",IF(AJ153=0,"",(AJ156/AJ153)-1)))</f>
        <v/>
      </c>
      <c r="AM156" s="23" t="str">
        <f>IF(ROW()&lt;9,"",IF(OR(AJ156="",AJ151=""),"",IF(AJ151=0,"",(AJ156/AJ151)-1)))</f>
        <v/>
      </c>
      <c r="AN156" t="str">
        <f>IF(OR(AL156="",AM156=""),"",IF(AND(AL156&gt;0,AM156&gt;0),"Bull",IF(AND(AL156&lt;0,AM156&lt;0),"Bear","Mixed")))</f>
        <v/>
      </c>
      <c r="AO156" t="str">
        <f>IF(OR(AH156="",AN156=""),"",IF(AND(AH156="Bull",AN156="Bull"),"YES","NO"))</f>
        <v/>
      </c>
      <c r="AP156" t="str">
        <f>IF(OR(AH156="",AN156=""),"",IF(AND(AH156="Bear",AN156="Bear"),"YES","NO"))</f>
        <v/>
      </c>
      <c r="AQ156" t="str">
        <f>IF(AO156="YES",IF(SUM(N(X156),N(Y156),N(Z156))&gt;0,"SOXL","TQQQ"),IF(AP156="YES",IF(SUM(N(AA156),N(AB156),N(AC156))&gt;0,"SOXS","SQQQ"),"WAIT"))</f>
        <v>WAIT</v>
      </c>
      <c r="AR156" s="23" t="str">
        <f>IF(AO156="YES",IF(SUM(N(X156),N(Y156),N(Z156))&gt;0,"TQQQ","SOXL"),IF(AP156="YES",IF(SUM(N(AA156),N(AB156),N(AC156))&gt;0,"SQQQ","SOXS"),""))</f>
        <v/>
      </c>
      <c r="AS156" s="23" t="str">
        <f>IF(AQ156="WAIT","",IF(AR156="",1,0.6))</f>
        <v/>
      </c>
      <c r="AT156" s="23">
        <f>IF(AR156="",0,0.4)</f>
        <v>0</v>
      </c>
      <c r="AU156" s="23" t="str">
        <f>IF(AQ156="WAIT","WAIT",IF(AO156="YES","BULL",IF(AP156="YES","BEAR","WAIT")))</f>
        <v>WAIT</v>
      </c>
      <c r="AV156" t="str">
        <f>IF(AQ156="WAIT","Low",IF(OR(AND(AU156="BULL",ABS(SUM(N(X156),N(Y156),N(Z156)))&gt;=0.15),AND(AU156="BEAR",ABS(SUM(N(AA156),N(AB156),N(AC156)))&gt;=0.15)),"Strong",IF(OR(AND(AU156="BULL",ABS(SUM(N(X156),N(Y156),N(Z156)))&gt;=0.05),AND(AU156="BEAR",ABS(SUM(N(AA156),N(AB156),N(AC156)))&gt;=0.05)),"Moderate","Low")))</f>
        <v>Low</v>
      </c>
      <c r="AW156" t="str">
        <f>IF(AQ156="WAIT","QQQ and SMH not aligned",IF(AU156="BULL",IF(AQ156="SOXL","Bull regime; semiconductors leading","Bull regime; tech leading"),IF(AQ156="SOXS","Bear regime; semiconductors weakest","Bear regime; tech weakest")))</f>
        <v>QQQ and SMH not aligned</v>
      </c>
      <c r="AX156" t="str">
        <f>IF(AR156="WAIT","QQQ and SMH not aligned",IF(AV156="BULL",IF(AR156="SOXL","Bull regime; semiconductors leading","Bull regime; tech leading"),IF(AR156="SOXS","Bear regime; semiconductors weakest","Bear regime; tech weakest")))</f>
        <v>Bear regime; tech weakest</v>
      </c>
    </row>
    <row r="157" spans="1:50" x14ac:dyDescent="0.2">
      <c r="A157" s="12"/>
      <c r="B157" s="13"/>
      <c r="C157" s="13"/>
      <c r="D157" s="13"/>
      <c r="E157" s="13"/>
      <c r="F157" s="11" t="str">
        <f>IF(OR(E157="",E156=""),"",IF(E156=0,"",(E157/E156)-1))</f>
        <v/>
      </c>
      <c r="G157" s="13"/>
      <c r="H157" s="11" t="str">
        <f>IF(OR(G157="",G156=""),"",IF(G156=0,"",(G157/G156)-1))</f>
        <v/>
      </c>
      <c r="I157" s="13"/>
      <c r="J157" s="13"/>
      <c r="K157" s="13"/>
      <c r="L157" s="13"/>
      <c r="M157" s="23" t="str">
        <f>IF(OR(L157="",L156=""),"",IF(L156=0,"",(L157/L156)-1))</f>
        <v/>
      </c>
      <c r="N157" s="26" t="str">
        <f>IFERROR((M157/M156)-1,"")</f>
        <v/>
      </c>
      <c r="O157" s="23" t="str">
        <f>IF(OR(N157="",N156=""),"",IF(N156=0,"",(N157/N156)-1))</f>
        <v/>
      </c>
      <c r="P157" s="11" t="str">
        <f>IF(ROW()&lt;7,"",IF(OR(E157="",E154=""),"",IF(E154=0,"",(E157/E154)-1)))</f>
        <v/>
      </c>
      <c r="Q157" s="23" t="str">
        <f>IF(ROW()&lt;9,"",IF(OR(E157="",E152=""),"",IF(E152=0,"",(E157/E152)-1)))</f>
        <v/>
      </c>
      <c r="R157" s="23" t="str">
        <f>IF(ROW()&lt;7,"",IF(OR(G157="",G154=""),"",IF(G154=0,"",(G157/G154)-1)))</f>
        <v/>
      </c>
      <c r="S157" s="23" t="str">
        <f>IF(ROW()&lt;9,"",IF(OR(G157="",G152=""),"",IF(G152=0,"",(G157/G152)-1)))</f>
        <v/>
      </c>
      <c r="T157" s="23" t="str">
        <f>IF(ROW()&lt;7,"",IF(OR(L157="",L154=""),"",IF(L154=0,"",(L157/L154)-1)))</f>
        <v/>
      </c>
      <c r="U157" s="23" t="str">
        <f>IF(ROW()&lt;9,"",IF(OR(L157="",L152=""),"",IF(L152=0,"",(L157/L152)-1)))</f>
        <v/>
      </c>
      <c r="V157" s="23" t="str">
        <f>IF(ROW()&lt;7,"",IF(OR(N157="",N154=""),"",IF(N154=0,"",(N157/N154)-1)))</f>
        <v/>
      </c>
      <c r="W157" s="23" t="str">
        <f>IF(ROW()&lt;9,"",IF(OR(N157="",N152=""),"",IF(N152=0,"",(N157/N152)-1)))</f>
        <v/>
      </c>
      <c r="X157" s="23" t="str">
        <f>IF(OR(F157="",M157=""),"",F157-M157)</f>
        <v/>
      </c>
      <c r="Y157" s="23" t="str">
        <f>IF(OR(P157="",T157=""),"",P157-T157)</f>
        <v/>
      </c>
      <c r="Z157" s="23" t="str">
        <f>IF(OR(Q157="",U157=""),"",Q157-U157)</f>
        <v/>
      </c>
      <c r="AA157" s="23" t="str">
        <f>IF(OR(H157="",O157=""),"",H157-O157)</f>
        <v/>
      </c>
      <c r="AB157" s="23" t="str">
        <f>IF(OR(R157="",V157=""),"",R157-V157)</f>
        <v/>
      </c>
      <c r="AC157" s="23" t="str">
        <f>IF(OR(S157="",W157=""),"",S157-W157)</f>
        <v/>
      </c>
      <c r="AD157" s="13"/>
      <c r="AE157" s="23" t="str">
        <f>IF(OR(AD157="",AD156=""),"",IF(AD156=0,"",(AD157/AD156)-1))</f>
        <v/>
      </c>
      <c r="AF157" s="23" t="str">
        <f>IF(ROW()&lt;7,"",IF(OR(AD157="",AD154=""),"",IF(AD154=0,"",(AD157/AD154)-1)))</f>
        <v/>
      </c>
      <c r="AG157" s="23" t="str">
        <f>IF(ROW()&lt;9,"",IF(OR(AD157="",AD152=""),"",IF(AD152=0,"",(AD157/AD152)-1)))</f>
        <v/>
      </c>
      <c r="AH157" s="23" t="str">
        <f>IF(OR(AF157="",AG157=""),"",IF(AND(AF157&gt;0,AG157&gt;0),"Bull",IF(AND(AF157&lt;0,AG157&lt;0),"Bear","Mixed")))</f>
        <v/>
      </c>
      <c r="AI157" s="13"/>
      <c r="AJ157" s="13" t="str">
        <f>IF(OR(AI157="",AI156=""),"",IF(AI156=0,"",(AI157/AI156)-1))</f>
        <v/>
      </c>
      <c r="AK157" s="23" t="str">
        <f>IF(OR(AJ157="",AJ156=""),"",IF(AJ156=0,"",(AJ157/AJ156)-1))</f>
        <v/>
      </c>
      <c r="AL157" s="23" t="str">
        <f>IF(ROW()&lt;7,"",IF(OR(AJ157="",AJ154=""),"",IF(AJ154=0,"",(AJ157/AJ154)-1)))</f>
        <v/>
      </c>
      <c r="AM157" s="23" t="str">
        <f>IF(ROW()&lt;9,"",IF(OR(AJ157="",AJ152=""),"",IF(AJ152=0,"",(AJ157/AJ152)-1)))</f>
        <v/>
      </c>
      <c r="AN157" t="str">
        <f>IF(OR(AL157="",AM157=""),"",IF(AND(AL157&gt;0,AM157&gt;0),"Bull",IF(AND(AL157&lt;0,AM157&lt;0),"Bear","Mixed")))</f>
        <v/>
      </c>
      <c r="AO157" t="str">
        <f>IF(OR(AH157="",AN157=""),"",IF(AND(AH157="Bull",AN157="Bull"),"YES","NO"))</f>
        <v/>
      </c>
      <c r="AP157" t="str">
        <f>IF(OR(AH157="",AN157=""),"",IF(AND(AH157="Bear",AN157="Bear"),"YES","NO"))</f>
        <v/>
      </c>
      <c r="AQ157" t="str">
        <f>IF(AO157="YES",IF(SUM(N(X157),N(Y157),N(Z157))&gt;0,"SOXL","TQQQ"),IF(AP157="YES",IF(SUM(N(AA157),N(AB157),N(AC157))&gt;0,"SOXS","SQQQ"),"WAIT"))</f>
        <v>WAIT</v>
      </c>
      <c r="AR157" s="23" t="str">
        <f>IF(AO157="YES",IF(SUM(N(X157),N(Y157),N(Z157))&gt;0,"TQQQ","SOXL"),IF(AP157="YES",IF(SUM(N(AA157),N(AB157),N(AC157))&gt;0,"SQQQ","SOXS"),""))</f>
        <v/>
      </c>
      <c r="AS157" s="23" t="str">
        <f>IF(AQ157="WAIT","",IF(AR157="",1,0.6))</f>
        <v/>
      </c>
      <c r="AT157" s="23">
        <f>IF(AR157="",0,0.4)</f>
        <v>0</v>
      </c>
      <c r="AU157" s="23" t="str">
        <f>IF(AQ157="WAIT","WAIT",IF(AO157="YES","BULL",IF(AP157="YES","BEAR","WAIT")))</f>
        <v>WAIT</v>
      </c>
      <c r="AV157" t="str">
        <f>IF(AQ157="WAIT","Low",IF(OR(AND(AU157="BULL",ABS(SUM(N(X157),N(Y157),N(Z157)))&gt;=0.15),AND(AU157="BEAR",ABS(SUM(N(AA157),N(AB157),N(AC157)))&gt;=0.15)),"Strong",IF(OR(AND(AU157="BULL",ABS(SUM(N(X157),N(Y157),N(Z157)))&gt;=0.05),AND(AU157="BEAR",ABS(SUM(N(AA157),N(AB157),N(AC157)))&gt;=0.05)),"Moderate","Low")))</f>
        <v>Low</v>
      </c>
      <c r="AW157" t="str">
        <f>IF(AQ157="WAIT","QQQ and SMH not aligned",IF(AU157="BULL",IF(AQ157="SOXL","Bull regime; semiconductors leading","Bull regime; tech leading"),IF(AQ157="SOXS","Bear regime; semiconductors weakest","Bear regime; tech weakest")))</f>
        <v>QQQ and SMH not aligned</v>
      </c>
      <c r="AX157" t="str">
        <f>IF(AR157="WAIT","QQQ and SMH not aligned",IF(AV157="BULL",IF(AR157="SOXL","Bull regime; semiconductors leading","Bull regime; tech leading"),IF(AR157="SOXS","Bear regime; semiconductors weakest","Bear regime; tech weakest")))</f>
        <v>Bear regime; tech weakest</v>
      </c>
    </row>
    <row r="158" spans="1:50" x14ac:dyDescent="0.2">
      <c r="A158" s="12"/>
      <c r="B158" s="13"/>
      <c r="C158" s="13"/>
      <c r="D158" s="13"/>
      <c r="E158" s="13"/>
      <c r="F158" s="11" t="str">
        <f>IF(OR(E158="",E157=""),"",IF(E157=0,"",(E158/E157)-1))</f>
        <v/>
      </c>
      <c r="G158" s="13"/>
      <c r="H158" s="11" t="str">
        <f>IF(OR(G158="",G157=""),"",IF(G157=0,"",(G158/G157)-1))</f>
        <v/>
      </c>
      <c r="I158" s="13"/>
      <c r="J158" s="13"/>
      <c r="K158" s="13"/>
      <c r="L158" s="13"/>
      <c r="M158" s="23" t="str">
        <f>IF(OR(L158="",L157=""),"",IF(L157=0,"",(L158/L157)-1))</f>
        <v/>
      </c>
      <c r="N158" s="26" t="str">
        <f>IFERROR((M158/M157)-1,"")</f>
        <v/>
      </c>
      <c r="O158" s="23" t="str">
        <f>IF(OR(N158="",N157=""),"",IF(N157=0,"",(N158/N157)-1))</f>
        <v/>
      </c>
      <c r="P158" s="11" t="str">
        <f>IF(ROW()&lt;7,"",IF(OR(E158="",E155=""),"",IF(E155=0,"",(E158/E155)-1)))</f>
        <v/>
      </c>
      <c r="Q158" s="23" t="str">
        <f>IF(ROW()&lt;9,"",IF(OR(E158="",E153=""),"",IF(E153=0,"",(E158/E153)-1)))</f>
        <v/>
      </c>
      <c r="R158" s="23" t="str">
        <f>IF(ROW()&lt;7,"",IF(OR(G158="",G155=""),"",IF(G155=0,"",(G158/G155)-1)))</f>
        <v/>
      </c>
      <c r="S158" s="23" t="str">
        <f>IF(ROW()&lt;9,"",IF(OR(G158="",G153=""),"",IF(G153=0,"",(G158/G153)-1)))</f>
        <v/>
      </c>
      <c r="T158" s="23" t="str">
        <f>IF(ROW()&lt;7,"",IF(OR(L158="",L155=""),"",IF(L155=0,"",(L158/L155)-1)))</f>
        <v/>
      </c>
      <c r="U158" s="23" t="str">
        <f>IF(ROW()&lt;9,"",IF(OR(L158="",L153=""),"",IF(L153=0,"",(L158/L153)-1)))</f>
        <v/>
      </c>
      <c r="V158" s="23" t="str">
        <f>IF(ROW()&lt;7,"",IF(OR(N158="",N155=""),"",IF(N155=0,"",(N158/N155)-1)))</f>
        <v/>
      </c>
      <c r="W158" s="23" t="str">
        <f>IF(ROW()&lt;9,"",IF(OR(N158="",N153=""),"",IF(N153=0,"",(N158/N153)-1)))</f>
        <v/>
      </c>
      <c r="X158" s="23" t="str">
        <f>IF(OR(F158="",M158=""),"",F158-M158)</f>
        <v/>
      </c>
      <c r="Y158" s="23" t="str">
        <f>IF(OR(P158="",T158=""),"",P158-T158)</f>
        <v/>
      </c>
      <c r="Z158" s="23" t="str">
        <f>IF(OR(Q158="",U158=""),"",Q158-U158)</f>
        <v/>
      </c>
      <c r="AA158" s="23" t="str">
        <f>IF(OR(H158="",O158=""),"",H158-O158)</f>
        <v/>
      </c>
      <c r="AB158" s="23" t="str">
        <f>IF(OR(R158="",V158=""),"",R158-V158)</f>
        <v/>
      </c>
      <c r="AC158" s="23" t="str">
        <f>IF(OR(S158="",W158=""),"",S158-W158)</f>
        <v/>
      </c>
      <c r="AD158" s="13"/>
      <c r="AE158" s="23" t="str">
        <f>IF(OR(AD158="",AD157=""),"",IF(AD157=0,"",(AD158/AD157)-1))</f>
        <v/>
      </c>
      <c r="AF158" s="23" t="str">
        <f>IF(ROW()&lt;7,"",IF(OR(AD158="",AD155=""),"",IF(AD155=0,"",(AD158/AD155)-1)))</f>
        <v/>
      </c>
      <c r="AG158" s="23" t="str">
        <f>IF(ROW()&lt;9,"",IF(OR(AD158="",AD153=""),"",IF(AD153=0,"",(AD158/AD153)-1)))</f>
        <v/>
      </c>
      <c r="AH158" s="23" t="str">
        <f>IF(OR(AF158="",AG158=""),"",IF(AND(AF158&gt;0,AG158&gt;0),"Bull",IF(AND(AF158&lt;0,AG158&lt;0),"Bear","Mixed")))</f>
        <v/>
      </c>
      <c r="AI158" s="13"/>
      <c r="AJ158" s="13" t="str">
        <f>IF(OR(AI158="",AI157=""),"",IF(AI157=0,"",(AI158/AI157)-1))</f>
        <v/>
      </c>
      <c r="AK158" s="23" t="str">
        <f>IF(OR(AJ158="",AJ157=""),"",IF(AJ157=0,"",(AJ158/AJ157)-1))</f>
        <v/>
      </c>
      <c r="AL158" s="23" t="str">
        <f>IF(ROW()&lt;7,"",IF(OR(AJ158="",AJ155=""),"",IF(AJ155=0,"",(AJ158/AJ155)-1)))</f>
        <v/>
      </c>
      <c r="AM158" s="23" t="str">
        <f>IF(ROW()&lt;9,"",IF(OR(AJ158="",AJ153=""),"",IF(AJ153=0,"",(AJ158/AJ153)-1)))</f>
        <v/>
      </c>
      <c r="AN158" t="str">
        <f>IF(OR(AL158="",AM158=""),"",IF(AND(AL158&gt;0,AM158&gt;0),"Bull",IF(AND(AL158&lt;0,AM158&lt;0),"Bear","Mixed")))</f>
        <v/>
      </c>
      <c r="AO158" t="str">
        <f>IF(OR(AH158="",AN158=""),"",IF(AND(AH158="Bull",AN158="Bull"),"YES","NO"))</f>
        <v/>
      </c>
      <c r="AP158" t="str">
        <f>IF(OR(AH158="",AN158=""),"",IF(AND(AH158="Bear",AN158="Bear"),"YES","NO"))</f>
        <v/>
      </c>
      <c r="AQ158" t="str">
        <f>IF(AO158="YES",IF(SUM(N(X158),N(Y158),N(Z158))&gt;0,"SOXL","TQQQ"),IF(AP158="YES",IF(SUM(N(AA158),N(AB158),N(AC158))&gt;0,"SOXS","SQQQ"),"WAIT"))</f>
        <v>WAIT</v>
      </c>
      <c r="AR158" s="23" t="str">
        <f>IF(AO158="YES",IF(SUM(N(X158),N(Y158),N(Z158))&gt;0,"TQQQ","SOXL"),IF(AP158="YES",IF(SUM(N(AA158),N(AB158),N(AC158))&gt;0,"SQQQ","SOXS"),""))</f>
        <v/>
      </c>
      <c r="AS158" s="23" t="str">
        <f>IF(AQ158="WAIT","",IF(AR158="",1,0.6))</f>
        <v/>
      </c>
      <c r="AT158" s="23">
        <f>IF(AR158="",0,0.4)</f>
        <v>0</v>
      </c>
      <c r="AU158" s="23" t="str">
        <f>IF(AQ158="WAIT","WAIT",IF(AO158="YES","BULL",IF(AP158="YES","BEAR","WAIT")))</f>
        <v>WAIT</v>
      </c>
      <c r="AV158" t="str">
        <f>IF(AQ158="WAIT","Low",IF(OR(AND(AU158="BULL",ABS(SUM(N(X158),N(Y158),N(Z158)))&gt;=0.15),AND(AU158="BEAR",ABS(SUM(N(AA158),N(AB158),N(AC158)))&gt;=0.15)),"Strong",IF(OR(AND(AU158="BULL",ABS(SUM(N(X158),N(Y158),N(Z158)))&gt;=0.05),AND(AU158="BEAR",ABS(SUM(N(AA158),N(AB158),N(AC158)))&gt;=0.05)),"Moderate","Low")))</f>
        <v>Low</v>
      </c>
      <c r="AW158" t="str">
        <f>IF(AQ158="WAIT","QQQ and SMH not aligned",IF(AU158="BULL",IF(AQ158="SOXL","Bull regime; semiconductors leading","Bull regime; tech leading"),IF(AQ158="SOXS","Bear regime; semiconductors weakest","Bear regime; tech weakest")))</f>
        <v>QQQ and SMH not aligned</v>
      </c>
      <c r="AX158" t="str">
        <f>IF(AR158="WAIT","QQQ and SMH not aligned",IF(AV158="BULL",IF(AR158="SOXL","Bull regime; semiconductors leading","Bull regime; tech leading"),IF(AR158="SOXS","Bear regime; semiconductors weakest","Bear regime; tech weakest")))</f>
        <v>Bear regime; tech weakest</v>
      </c>
    </row>
    <row r="159" spans="1:50" x14ac:dyDescent="0.2">
      <c r="A159" s="12"/>
      <c r="B159" s="13"/>
      <c r="C159" s="13"/>
      <c r="D159" s="13"/>
      <c r="E159" s="13"/>
      <c r="F159" s="11" t="str">
        <f>IF(OR(E159="",E158=""),"",IF(E158=0,"",(E159/E158)-1))</f>
        <v/>
      </c>
      <c r="G159" s="13"/>
      <c r="H159" s="11" t="str">
        <f>IF(OR(G159="",G158=""),"",IF(G158=0,"",(G159/G158)-1))</f>
        <v/>
      </c>
      <c r="I159" s="13"/>
      <c r="J159" s="13"/>
      <c r="K159" s="13"/>
      <c r="L159" s="13"/>
      <c r="M159" s="23" t="str">
        <f>IF(OR(L159="",L158=""),"",IF(L158=0,"",(L159/L158)-1))</f>
        <v/>
      </c>
      <c r="N159" s="26" t="str">
        <f>IFERROR((M159/M158)-1,"")</f>
        <v/>
      </c>
      <c r="O159" s="23" t="str">
        <f>IF(OR(N159="",N158=""),"",IF(N158=0,"",(N159/N158)-1))</f>
        <v/>
      </c>
      <c r="P159" s="11" t="str">
        <f>IF(ROW()&lt;7,"",IF(OR(E159="",E156=""),"",IF(E156=0,"",(E159/E156)-1)))</f>
        <v/>
      </c>
      <c r="Q159" s="23" t="str">
        <f>IF(ROW()&lt;9,"",IF(OR(E159="",E154=""),"",IF(E154=0,"",(E159/E154)-1)))</f>
        <v/>
      </c>
      <c r="R159" s="23" t="str">
        <f>IF(ROW()&lt;7,"",IF(OR(G159="",G156=""),"",IF(G156=0,"",(G159/G156)-1)))</f>
        <v/>
      </c>
      <c r="S159" s="23" t="str">
        <f>IF(ROW()&lt;9,"",IF(OR(G159="",G154=""),"",IF(G154=0,"",(G159/G154)-1)))</f>
        <v/>
      </c>
      <c r="T159" s="23" t="str">
        <f>IF(ROW()&lt;7,"",IF(OR(L159="",L156=""),"",IF(L156=0,"",(L159/L156)-1)))</f>
        <v/>
      </c>
      <c r="U159" s="23" t="str">
        <f>IF(ROW()&lt;9,"",IF(OR(L159="",L154=""),"",IF(L154=0,"",(L159/L154)-1)))</f>
        <v/>
      </c>
      <c r="V159" s="23" t="str">
        <f>IF(ROW()&lt;7,"",IF(OR(N159="",N156=""),"",IF(N156=0,"",(N159/N156)-1)))</f>
        <v/>
      </c>
      <c r="W159" s="23" t="str">
        <f>IF(ROW()&lt;9,"",IF(OR(N159="",N154=""),"",IF(N154=0,"",(N159/N154)-1)))</f>
        <v/>
      </c>
      <c r="X159" s="23" t="str">
        <f>IF(OR(F159="",M159=""),"",F159-M159)</f>
        <v/>
      </c>
      <c r="Y159" s="23" t="str">
        <f>IF(OR(P159="",T159=""),"",P159-T159)</f>
        <v/>
      </c>
      <c r="Z159" s="23" t="str">
        <f>IF(OR(Q159="",U159=""),"",Q159-U159)</f>
        <v/>
      </c>
      <c r="AA159" s="23" t="str">
        <f>IF(OR(H159="",O159=""),"",H159-O159)</f>
        <v/>
      </c>
      <c r="AB159" s="23" t="str">
        <f>IF(OR(R159="",V159=""),"",R159-V159)</f>
        <v/>
      </c>
      <c r="AC159" s="23" t="str">
        <f>IF(OR(S159="",W159=""),"",S159-W159)</f>
        <v/>
      </c>
      <c r="AD159" s="13"/>
      <c r="AE159" s="23" t="str">
        <f>IF(OR(AD159="",AD158=""),"",IF(AD158=0,"",(AD159/AD158)-1))</f>
        <v/>
      </c>
      <c r="AF159" s="23" t="str">
        <f>IF(ROW()&lt;7,"",IF(OR(AD159="",AD156=""),"",IF(AD156=0,"",(AD159/AD156)-1)))</f>
        <v/>
      </c>
      <c r="AG159" s="23" t="str">
        <f>IF(ROW()&lt;9,"",IF(OR(AD159="",AD154=""),"",IF(AD154=0,"",(AD159/AD154)-1)))</f>
        <v/>
      </c>
      <c r="AH159" s="23" t="str">
        <f>IF(OR(AF159="",AG159=""),"",IF(AND(AF159&gt;0,AG159&gt;0),"Bull",IF(AND(AF159&lt;0,AG159&lt;0),"Bear","Mixed")))</f>
        <v/>
      </c>
      <c r="AI159" s="13"/>
      <c r="AJ159" s="13" t="str">
        <f>IF(OR(AI159="",AI158=""),"",IF(AI158=0,"",(AI159/AI158)-1))</f>
        <v/>
      </c>
      <c r="AK159" s="23" t="str">
        <f>IF(OR(AJ159="",AJ158=""),"",IF(AJ158=0,"",(AJ159/AJ158)-1))</f>
        <v/>
      </c>
      <c r="AL159" s="23" t="str">
        <f>IF(ROW()&lt;7,"",IF(OR(AJ159="",AJ156=""),"",IF(AJ156=0,"",(AJ159/AJ156)-1)))</f>
        <v/>
      </c>
      <c r="AM159" s="23" t="str">
        <f>IF(ROW()&lt;9,"",IF(OR(AJ159="",AJ154=""),"",IF(AJ154=0,"",(AJ159/AJ154)-1)))</f>
        <v/>
      </c>
      <c r="AN159" t="str">
        <f>IF(OR(AL159="",AM159=""),"",IF(AND(AL159&gt;0,AM159&gt;0),"Bull",IF(AND(AL159&lt;0,AM159&lt;0),"Bear","Mixed")))</f>
        <v/>
      </c>
      <c r="AO159" t="str">
        <f>IF(OR(AH159="",AN159=""),"",IF(AND(AH159="Bull",AN159="Bull"),"YES","NO"))</f>
        <v/>
      </c>
      <c r="AP159" t="str">
        <f>IF(OR(AH159="",AN159=""),"",IF(AND(AH159="Bear",AN159="Bear"),"YES","NO"))</f>
        <v/>
      </c>
      <c r="AQ159" t="str">
        <f>IF(AO159="YES",IF(SUM(N(X159),N(Y159),N(Z159))&gt;0,"SOXL","TQQQ"),IF(AP159="YES",IF(SUM(N(AA159),N(AB159),N(AC159))&gt;0,"SOXS","SQQQ"),"WAIT"))</f>
        <v>WAIT</v>
      </c>
      <c r="AR159" s="23" t="str">
        <f>IF(AO159="YES",IF(SUM(N(X159),N(Y159),N(Z159))&gt;0,"TQQQ","SOXL"),IF(AP159="YES",IF(SUM(N(AA159),N(AB159),N(AC159))&gt;0,"SQQQ","SOXS"),""))</f>
        <v/>
      </c>
      <c r="AS159" s="23" t="str">
        <f>IF(AQ159="WAIT","",IF(AR159="",1,0.6))</f>
        <v/>
      </c>
      <c r="AT159" s="23">
        <f>IF(AR159="",0,0.4)</f>
        <v>0</v>
      </c>
      <c r="AU159" s="23" t="str">
        <f>IF(AQ159="WAIT","WAIT",IF(AO159="YES","BULL",IF(AP159="YES","BEAR","WAIT")))</f>
        <v>WAIT</v>
      </c>
      <c r="AV159" t="str">
        <f>IF(AQ159="WAIT","Low",IF(OR(AND(AU159="BULL",ABS(SUM(N(X159),N(Y159),N(Z159)))&gt;=0.15),AND(AU159="BEAR",ABS(SUM(N(AA159),N(AB159),N(AC159)))&gt;=0.15)),"Strong",IF(OR(AND(AU159="BULL",ABS(SUM(N(X159),N(Y159),N(Z159)))&gt;=0.05),AND(AU159="BEAR",ABS(SUM(N(AA159),N(AB159),N(AC159)))&gt;=0.05)),"Moderate","Low")))</f>
        <v>Low</v>
      </c>
      <c r="AW159" t="str">
        <f>IF(AQ159="WAIT","QQQ and SMH not aligned",IF(AU159="BULL",IF(AQ159="SOXL","Bull regime; semiconductors leading","Bull regime; tech leading"),IF(AQ159="SOXS","Bear regime; semiconductors weakest","Bear regime; tech weakest")))</f>
        <v>QQQ and SMH not aligned</v>
      </c>
      <c r="AX159" t="str">
        <f>IF(AR159="WAIT","QQQ and SMH not aligned",IF(AV159="BULL",IF(AR159="SOXL","Bull regime; semiconductors leading","Bull regime; tech leading"),IF(AR159="SOXS","Bear regime; semiconductors weakest","Bear regime; tech weakest")))</f>
        <v>Bear regime; tech weakest</v>
      </c>
    </row>
    <row r="160" spans="1:50" x14ac:dyDescent="0.2">
      <c r="A160" s="12"/>
      <c r="B160" s="13"/>
      <c r="C160" s="13"/>
      <c r="D160" s="13"/>
      <c r="E160" s="13"/>
      <c r="F160" s="11" t="str">
        <f>IF(OR(E160="",E159=""),"",IF(E159=0,"",(E160/E159)-1))</f>
        <v/>
      </c>
      <c r="G160" s="13"/>
      <c r="H160" s="11" t="str">
        <f>IF(OR(G160="",G159=""),"",IF(G159=0,"",(G160/G159)-1))</f>
        <v/>
      </c>
      <c r="I160" s="13"/>
      <c r="J160" s="13"/>
      <c r="K160" s="13"/>
      <c r="L160" s="13"/>
      <c r="M160" s="23" t="str">
        <f>IF(OR(L160="",L159=""),"",IF(L159=0,"",(L160/L159)-1))</f>
        <v/>
      </c>
      <c r="N160" s="26" t="str">
        <f>IFERROR((M160/M159)-1,"")</f>
        <v/>
      </c>
      <c r="O160" s="23" t="str">
        <f>IF(OR(N160="",N159=""),"",IF(N159=0,"",(N160/N159)-1))</f>
        <v/>
      </c>
      <c r="P160" s="11" t="str">
        <f>IF(ROW()&lt;7,"",IF(OR(E160="",E157=""),"",IF(E157=0,"",(E160/E157)-1)))</f>
        <v/>
      </c>
      <c r="Q160" s="23" t="str">
        <f>IF(ROW()&lt;9,"",IF(OR(E160="",E155=""),"",IF(E155=0,"",(E160/E155)-1)))</f>
        <v/>
      </c>
      <c r="R160" s="23" t="str">
        <f>IF(ROW()&lt;7,"",IF(OR(G160="",G157=""),"",IF(G157=0,"",(G160/G157)-1)))</f>
        <v/>
      </c>
      <c r="S160" s="23" t="str">
        <f>IF(ROW()&lt;9,"",IF(OR(G160="",G155=""),"",IF(G155=0,"",(G160/G155)-1)))</f>
        <v/>
      </c>
      <c r="T160" s="23" t="str">
        <f>IF(ROW()&lt;7,"",IF(OR(L160="",L157=""),"",IF(L157=0,"",(L160/L157)-1)))</f>
        <v/>
      </c>
      <c r="U160" s="23" t="str">
        <f>IF(ROW()&lt;9,"",IF(OR(L160="",L155=""),"",IF(L155=0,"",(L160/L155)-1)))</f>
        <v/>
      </c>
      <c r="V160" s="23" t="str">
        <f>IF(ROW()&lt;7,"",IF(OR(N160="",N157=""),"",IF(N157=0,"",(N160/N157)-1)))</f>
        <v/>
      </c>
      <c r="W160" s="23" t="str">
        <f>IF(ROW()&lt;9,"",IF(OR(N160="",N155=""),"",IF(N155=0,"",(N160/N155)-1)))</f>
        <v/>
      </c>
      <c r="X160" s="23" t="str">
        <f>IF(OR(F160="",M160=""),"",F160-M160)</f>
        <v/>
      </c>
      <c r="Y160" s="23" t="str">
        <f>IF(OR(P160="",T160=""),"",P160-T160)</f>
        <v/>
      </c>
      <c r="Z160" s="23" t="str">
        <f>IF(OR(Q160="",U160=""),"",Q160-U160)</f>
        <v/>
      </c>
      <c r="AA160" s="23" t="str">
        <f>IF(OR(H160="",O160=""),"",H160-O160)</f>
        <v/>
      </c>
      <c r="AB160" s="23" t="str">
        <f>IF(OR(R160="",V160=""),"",R160-V160)</f>
        <v/>
      </c>
      <c r="AC160" s="23" t="str">
        <f>IF(OR(S160="",W160=""),"",S160-W160)</f>
        <v/>
      </c>
      <c r="AD160" s="13"/>
      <c r="AE160" s="23" t="str">
        <f>IF(OR(AD160="",AD159=""),"",IF(AD159=0,"",(AD160/AD159)-1))</f>
        <v/>
      </c>
      <c r="AF160" s="23" t="str">
        <f>IF(ROW()&lt;7,"",IF(OR(AD160="",AD157=""),"",IF(AD157=0,"",(AD160/AD157)-1)))</f>
        <v/>
      </c>
      <c r="AG160" s="23" t="str">
        <f>IF(ROW()&lt;9,"",IF(OR(AD160="",AD155=""),"",IF(AD155=0,"",(AD160/AD155)-1)))</f>
        <v/>
      </c>
      <c r="AH160" s="23" t="str">
        <f>IF(OR(AF160="",AG160=""),"",IF(AND(AF160&gt;0,AG160&gt;0),"Bull",IF(AND(AF160&lt;0,AG160&lt;0),"Bear","Mixed")))</f>
        <v/>
      </c>
      <c r="AI160" s="13"/>
      <c r="AJ160" s="13" t="str">
        <f>IF(OR(AI160="",AI159=""),"",IF(AI159=0,"",(AI160/AI159)-1))</f>
        <v/>
      </c>
      <c r="AK160" s="23" t="str">
        <f>IF(OR(AJ160="",AJ159=""),"",IF(AJ159=0,"",(AJ160/AJ159)-1))</f>
        <v/>
      </c>
      <c r="AL160" s="23" t="str">
        <f>IF(ROW()&lt;7,"",IF(OR(AJ160="",AJ157=""),"",IF(AJ157=0,"",(AJ160/AJ157)-1)))</f>
        <v/>
      </c>
      <c r="AM160" s="23" t="str">
        <f>IF(ROW()&lt;9,"",IF(OR(AJ160="",AJ155=""),"",IF(AJ155=0,"",(AJ160/AJ155)-1)))</f>
        <v/>
      </c>
      <c r="AN160" t="str">
        <f>IF(OR(AL160="",AM160=""),"",IF(AND(AL160&gt;0,AM160&gt;0),"Bull",IF(AND(AL160&lt;0,AM160&lt;0),"Bear","Mixed")))</f>
        <v/>
      </c>
      <c r="AO160" t="str">
        <f>IF(OR(AH160="",AN160=""),"",IF(AND(AH160="Bull",AN160="Bull"),"YES","NO"))</f>
        <v/>
      </c>
      <c r="AP160" t="str">
        <f>IF(OR(AH160="",AN160=""),"",IF(AND(AH160="Bear",AN160="Bear"),"YES","NO"))</f>
        <v/>
      </c>
      <c r="AQ160" t="str">
        <f>IF(AO160="YES",IF(SUM(N(X160),N(Y160),N(Z160))&gt;0,"SOXL","TQQQ"),IF(AP160="YES",IF(SUM(N(AA160),N(AB160),N(AC160))&gt;0,"SOXS","SQQQ"),"WAIT"))</f>
        <v>WAIT</v>
      </c>
      <c r="AR160" s="23" t="str">
        <f>IF(AO160="YES",IF(SUM(N(X160),N(Y160),N(Z160))&gt;0,"TQQQ","SOXL"),IF(AP160="YES",IF(SUM(N(AA160),N(AB160),N(AC160))&gt;0,"SQQQ","SOXS"),""))</f>
        <v/>
      </c>
      <c r="AS160" s="23" t="str">
        <f>IF(AQ160="WAIT","",IF(AR160="",1,0.6))</f>
        <v/>
      </c>
      <c r="AT160" s="23">
        <f>IF(AR160="",0,0.4)</f>
        <v>0</v>
      </c>
      <c r="AU160" s="23" t="str">
        <f>IF(AQ160="WAIT","WAIT",IF(AO160="YES","BULL",IF(AP160="YES","BEAR","WAIT")))</f>
        <v>WAIT</v>
      </c>
      <c r="AV160" t="str">
        <f>IF(AQ160="WAIT","Low",IF(OR(AND(AU160="BULL",ABS(SUM(N(X160),N(Y160),N(Z160)))&gt;=0.15),AND(AU160="BEAR",ABS(SUM(N(AA160),N(AB160),N(AC160)))&gt;=0.15)),"Strong",IF(OR(AND(AU160="BULL",ABS(SUM(N(X160),N(Y160),N(Z160)))&gt;=0.05),AND(AU160="BEAR",ABS(SUM(N(AA160),N(AB160),N(AC160)))&gt;=0.05)),"Moderate","Low")))</f>
        <v>Low</v>
      </c>
      <c r="AW160" t="str">
        <f>IF(AQ160="WAIT","QQQ and SMH not aligned",IF(AU160="BULL",IF(AQ160="SOXL","Bull regime; semiconductors leading","Bull regime; tech leading"),IF(AQ160="SOXS","Bear regime; semiconductors weakest","Bear regime; tech weakest")))</f>
        <v>QQQ and SMH not aligned</v>
      </c>
      <c r="AX160" t="str">
        <f>IF(AR160="WAIT","QQQ and SMH not aligned",IF(AV160="BULL",IF(AR160="SOXL","Bull regime; semiconductors leading","Bull regime; tech leading"),IF(AR160="SOXS","Bear regime; semiconductors weakest","Bear regime; tech weakest")))</f>
        <v>Bear regime; tech weakest</v>
      </c>
    </row>
    <row r="161" spans="1:50" x14ac:dyDescent="0.2">
      <c r="A161" s="12"/>
      <c r="B161" s="13"/>
      <c r="C161" s="13"/>
      <c r="D161" s="13"/>
      <c r="E161" s="13"/>
      <c r="F161" s="11" t="str">
        <f>IF(OR(E161="",E160=""),"",IF(E160=0,"",(E161/E160)-1))</f>
        <v/>
      </c>
      <c r="G161" s="13"/>
      <c r="H161" s="11" t="str">
        <f>IF(OR(G161="",G160=""),"",IF(G160=0,"",(G161/G160)-1))</f>
        <v/>
      </c>
      <c r="I161" s="13"/>
      <c r="J161" s="13"/>
      <c r="K161" s="13"/>
      <c r="L161" s="13"/>
      <c r="M161" s="23" t="str">
        <f>IF(OR(L161="",L160=""),"",IF(L160=0,"",(L161/L160)-1))</f>
        <v/>
      </c>
      <c r="N161" s="26" t="str">
        <f>IFERROR((M161/M160)-1,"")</f>
        <v/>
      </c>
      <c r="O161" s="23" t="str">
        <f>IF(OR(N161="",N160=""),"",IF(N160=0,"",(N161/N160)-1))</f>
        <v/>
      </c>
      <c r="P161" s="11" t="str">
        <f>IF(ROW()&lt;7,"",IF(OR(E161="",E158=""),"",IF(E158=0,"",(E161/E158)-1)))</f>
        <v/>
      </c>
      <c r="Q161" s="23" t="str">
        <f>IF(ROW()&lt;9,"",IF(OR(E161="",E156=""),"",IF(E156=0,"",(E161/E156)-1)))</f>
        <v/>
      </c>
      <c r="R161" s="23" t="str">
        <f>IF(ROW()&lt;7,"",IF(OR(G161="",G158=""),"",IF(G158=0,"",(G161/G158)-1)))</f>
        <v/>
      </c>
      <c r="S161" s="23" t="str">
        <f>IF(ROW()&lt;9,"",IF(OR(G161="",G156=""),"",IF(G156=0,"",(G161/G156)-1)))</f>
        <v/>
      </c>
      <c r="T161" s="23" t="str">
        <f>IF(ROW()&lt;7,"",IF(OR(L161="",L158=""),"",IF(L158=0,"",(L161/L158)-1)))</f>
        <v/>
      </c>
      <c r="U161" s="23" t="str">
        <f>IF(ROW()&lt;9,"",IF(OR(L161="",L156=""),"",IF(L156=0,"",(L161/L156)-1)))</f>
        <v/>
      </c>
      <c r="V161" s="23" t="str">
        <f>IF(ROW()&lt;7,"",IF(OR(N161="",N158=""),"",IF(N158=0,"",(N161/N158)-1)))</f>
        <v/>
      </c>
      <c r="W161" s="23" t="str">
        <f>IF(ROW()&lt;9,"",IF(OR(N161="",N156=""),"",IF(N156=0,"",(N161/N156)-1)))</f>
        <v/>
      </c>
      <c r="X161" s="23" t="str">
        <f>IF(OR(F161="",M161=""),"",F161-M161)</f>
        <v/>
      </c>
      <c r="Y161" s="23" t="str">
        <f>IF(OR(P161="",T161=""),"",P161-T161)</f>
        <v/>
      </c>
      <c r="Z161" s="23" t="str">
        <f>IF(OR(Q161="",U161=""),"",Q161-U161)</f>
        <v/>
      </c>
      <c r="AA161" s="23" t="str">
        <f>IF(OR(H161="",O161=""),"",H161-O161)</f>
        <v/>
      </c>
      <c r="AB161" s="23" t="str">
        <f>IF(OR(R161="",V161=""),"",R161-V161)</f>
        <v/>
      </c>
      <c r="AC161" s="23" t="str">
        <f>IF(OR(S161="",W161=""),"",S161-W161)</f>
        <v/>
      </c>
      <c r="AD161" s="13"/>
      <c r="AE161" s="23" t="str">
        <f>IF(OR(AD161="",AD160=""),"",IF(AD160=0,"",(AD161/AD160)-1))</f>
        <v/>
      </c>
      <c r="AF161" s="23" t="str">
        <f>IF(ROW()&lt;7,"",IF(OR(AD161="",AD158=""),"",IF(AD158=0,"",(AD161/AD158)-1)))</f>
        <v/>
      </c>
      <c r="AG161" s="23" t="str">
        <f>IF(ROW()&lt;9,"",IF(OR(AD161="",AD156=""),"",IF(AD156=0,"",(AD161/AD156)-1)))</f>
        <v/>
      </c>
      <c r="AH161" s="23" t="str">
        <f>IF(OR(AF161="",AG161=""),"",IF(AND(AF161&gt;0,AG161&gt;0),"Bull",IF(AND(AF161&lt;0,AG161&lt;0),"Bear","Mixed")))</f>
        <v/>
      </c>
      <c r="AI161" s="13"/>
      <c r="AJ161" s="13" t="str">
        <f>IF(OR(AI161="",AI160=""),"",IF(AI160=0,"",(AI161/AI160)-1))</f>
        <v/>
      </c>
      <c r="AK161" s="23" t="str">
        <f>IF(OR(AJ161="",AJ160=""),"",IF(AJ160=0,"",(AJ161/AJ160)-1))</f>
        <v/>
      </c>
      <c r="AL161" s="23" t="str">
        <f>IF(ROW()&lt;7,"",IF(OR(AJ161="",AJ158=""),"",IF(AJ158=0,"",(AJ161/AJ158)-1)))</f>
        <v/>
      </c>
      <c r="AM161" s="23" t="str">
        <f>IF(ROW()&lt;9,"",IF(OR(AJ161="",AJ156=""),"",IF(AJ156=0,"",(AJ161/AJ156)-1)))</f>
        <v/>
      </c>
      <c r="AN161" t="str">
        <f>IF(OR(AL161="",AM161=""),"",IF(AND(AL161&gt;0,AM161&gt;0),"Bull",IF(AND(AL161&lt;0,AM161&lt;0),"Bear","Mixed")))</f>
        <v/>
      </c>
      <c r="AO161" t="str">
        <f>IF(OR(AH161="",AN161=""),"",IF(AND(AH161="Bull",AN161="Bull"),"YES","NO"))</f>
        <v/>
      </c>
      <c r="AP161" t="str">
        <f>IF(OR(AH161="",AN161=""),"",IF(AND(AH161="Bear",AN161="Bear"),"YES","NO"))</f>
        <v/>
      </c>
      <c r="AQ161" t="str">
        <f>IF(AO161="YES",IF(SUM(N(X161),N(Y161),N(Z161))&gt;0,"SOXL","TQQQ"),IF(AP161="YES",IF(SUM(N(AA161),N(AB161),N(AC161))&gt;0,"SOXS","SQQQ"),"WAIT"))</f>
        <v>WAIT</v>
      </c>
      <c r="AR161" s="23" t="str">
        <f>IF(AO161="YES",IF(SUM(N(X161),N(Y161),N(Z161))&gt;0,"TQQQ","SOXL"),IF(AP161="YES",IF(SUM(N(AA161),N(AB161),N(AC161))&gt;0,"SQQQ","SOXS"),""))</f>
        <v/>
      </c>
      <c r="AS161" s="23" t="str">
        <f>IF(AQ161="WAIT","",IF(AR161="",1,0.6))</f>
        <v/>
      </c>
      <c r="AT161" s="23">
        <f>IF(AR161="",0,0.4)</f>
        <v>0</v>
      </c>
      <c r="AU161" s="23" t="str">
        <f>IF(AQ161="WAIT","WAIT",IF(AO161="YES","BULL",IF(AP161="YES","BEAR","WAIT")))</f>
        <v>WAIT</v>
      </c>
      <c r="AV161" t="str">
        <f>IF(AQ161="WAIT","Low",IF(OR(AND(AU161="BULL",ABS(SUM(N(X161),N(Y161),N(Z161)))&gt;=0.15),AND(AU161="BEAR",ABS(SUM(N(AA161),N(AB161),N(AC161)))&gt;=0.15)),"Strong",IF(OR(AND(AU161="BULL",ABS(SUM(N(X161),N(Y161),N(Z161)))&gt;=0.05),AND(AU161="BEAR",ABS(SUM(N(AA161),N(AB161),N(AC161)))&gt;=0.05)),"Moderate","Low")))</f>
        <v>Low</v>
      </c>
      <c r="AW161" t="str">
        <f>IF(AQ161="WAIT","QQQ and SMH not aligned",IF(AU161="BULL",IF(AQ161="SOXL","Bull regime; semiconductors leading","Bull regime; tech leading"),IF(AQ161="SOXS","Bear regime; semiconductors weakest","Bear regime; tech weakest")))</f>
        <v>QQQ and SMH not aligned</v>
      </c>
      <c r="AX161" t="str">
        <f>IF(AR161="WAIT","QQQ and SMH not aligned",IF(AV161="BULL",IF(AR161="SOXL","Bull regime; semiconductors leading","Bull regime; tech leading"),IF(AR161="SOXS","Bear regime; semiconductors weakest","Bear regime; tech weakest")))</f>
        <v>Bear regime; tech weakest</v>
      </c>
    </row>
    <row r="162" spans="1:50" x14ac:dyDescent="0.2">
      <c r="A162" s="12"/>
      <c r="B162" s="13"/>
      <c r="C162" s="13"/>
      <c r="D162" s="13"/>
      <c r="E162" s="13"/>
      <c r="F162" s="11" t="str">
        <f>IF(OR(E162="",E161=""),"",IF(E161=0,"",(E162/E161)-1))</f>
        <v/>
      </c>
      <c r="G162" s="13"/>
      <c r="H162" s="11" t="str">
        <f>IF(OR(G162="",G161=""),"",IF(G161=0,"",(G162/G161)-1))</f>
        <v/>
      </c>
      <c r="I162" s="13"/>
      <c r="J162" s="13"/>
      <c r="K162" s="13"/>
      <c r="L162" s="13"/>
      <c r="M162" s="23" t="str">
        <f>IF(OR(L162="",L161=""),"",IF(L161=0,"",(L162/L161)-1))</f>
        <v/>
      </c>
      <c r="N162" s="26" t="str">
        <f>IFERROR((M162/M161)-1,"")</f>
        <v/>
      </c>
      <c r="O162" s="23" t="str">
        <f>IF(OR(N162="",N161=""),"",IF(N161=0,"",(N162/N161)-1))</f>
        <v/>
      </c>
      <c r="P162" s="11" t="str">
        <f>IF(ROW()&lt;7,"",IF(OR(E162="",E159=""),"",IF(E159=0,"",(E162/E159)-1)))</f>
        <v/>
      </c>
      <c r="Q162" s="23" t="str">
        <f>IF(ROW()&lt;9,"",IF(OR(E162="",E157=""),"",IF(E157=0,"",(E162/E157)-1)))</f>
        <v/>
      </c>
      <c r="R162" s="23" t="str">
        <f>IF(ROW()&lt;7,"",IF(OR(G162="",G159=""),"",IF(G159=0,"",(G162/G159)-1)))</f>
        <v/>
      </c>
      <c r="S162" s="23" t="str">
        <f>IF(ROW()&lt;9,"",IF(OR(G162="",G157=""),"",IF(G157=0,"",(G162/G157)-1)))</f>
        <v/>
      </c>
      <c r="T162" s="23" t="str">
        <f>IF(ROW()&lt;7,"",IF(OR(L162="",L159=""),"",IF(L159=0,"",(L162/L159)-1)))</f>
        <v/>
      </c>
      <c r="U162" s="23" t="str">
        <f>IF(ROW()&lt;9,"",IF(OR(L162="",L157=""),"",IF(L157=0,"",(L162/L157)-1)))</f>
        <v/>
      </c>
      <c r="V162" s="23" t="str">
        <f>IF(ROW()&lt;7,"",IF(OR(N162="",N159=""),"",IF(N159=0,"",(N162/N159)-1)))</f>
        <v/>
      </c>
      <c r="W162" s="23" t="str">
        <f>IF(ROW()&lt;9,"",IF(OR(N162="",N157=""),"",IF(N157=0,"",(N162/N157)-1)))</f>
        <v/>
      </c>
      <c r="X162" s="23" t="str">
        <f>IF(OR(F162="",M162=""),"",F162-M162)</f>
        <v/>
      </c>
      <c r="Y162" s="23" t="str">
        <f>IF(OR(P162="",T162=""),"",P162-T162)</f>
        <v/>
      </c>
      <c r="Z162" s="23" t="str">
        <f>IF(OR(Q162="",U162=""),"",Q162-U162)</f>
        <v/>
      </c>
      <c r="AA162" s="23" t="str">
        <f>IF(OR(H162="",O162=""),"",H162-O162)</f>
        <v/>
      </c>
      <c r="AB162" s="23" t="str">
        <f>IF(OR(R162="",V162=""),"",R162-V162)</f>
        <v/>
      </c>
      <c r="AC162" s="23" t="str">
        <f>IF(OR(S162="",W162=""),"",S162-W162)</f>
        <v/>
      </c>
      <c r="AD162" s="13"/>
      <c r="AE162" s="23" t="str">
        <f>IF(OR(AD162="",AD161=""),"",IF(AD161=0,"",(AD162/AD161)-1))</f>
        <v/>
      </c>
      <c r="AF162" s="23" t="str">
        <f>IF(ROW()&lt;7,"",IF(OR(AD162="",AD159=""),"",IF(AD159=0,"",(AD162/AD159)-1)))</f>
        <v/>
      </c>
      <c r="AG162" s="23" t="str">
        <f>IF(ROW()&lt;9,"",IF(OR(AD162="",AD157=""),"",IF(AD157=0,"",(AD162/AD157)-1)))</f>
        <v/>
      </c>
      <c r="AH162" s="23" t="str">
        <f>IF(OR(AF162="",AG162=""),"",IF(AND(AF162&gt;0,AG162&gt;0),"Bull",IF(AND(AF162&lt;0,AG162&lt;0),"Bear","Mixed")))</f>
        <v/>
      </c>
      <c r="AI162" s="13"/>
      <c r="AJ162" s="13" t="str">
        <f>IF(OR(AI162="",AI161=""),"",IF(AI161=0,"",(AI162/AI161)-1))</f>
        <v/>
      </c>
      <c r="AK162" s="23" t="str">
        <f>IF(OR(AJ162="",AJ161=""),"",IF(AJ161=0,"",(AJ162/AJ161)-1))</f>
        <v/>
      </c>
      <c r="AL162" s="23" t="str">
        <f>IF(ROW()&lt;7,"",IF(OR(AJ162="",AJ159=""),"",IF(AJ159=0,"",(AJ162/AJ159)-1)))</f>
        <v/>
      </c>
      <c r="AM162" s="23" t="str">
        <f>IF(ROW()&lt;9,"",IF(OR(AJ162="",AJ157=""),"",IF(AJ157=0,"",(AJ162/AJ157)-1)))</f>
        <v/>
      </c>
      <c r="AN162" t="str">
        <f>IF(OR(AL162="",AM162=""),"",IF(AND(AL162&gt;0,AM162&gt;0),"Bull",IF(AND(AL162&lt;0,AM162&lt;0),"Bear","Mixed")))</f>
        <v/>
      </c>
      <c r="AO162" t="str">
        <f>IF(OR(AH162="",AN162=""),"",IF(AND(AH162="Bull",AN162="Bull"),"YES","NO"))</f>
        <v/>
      </c>
      <c r="AP162" t="str">
        <f>IF(OR(AH162="",AN162=""),"",IF(AND(AH162="Bear",AN162="Bear"),"YES","NO"))</f>
        <v/>
      </c>
      <c r="AQ162" t="str">
        <f>IF(AO162="YES",IF(SUM(N(X162),N(Y162),N(Z162))&gt;0,"SOXL","TQQQ"),IF(AP162="YES",IF(SUM(N(AA162),N(AB162),N(AC162))&gt;0,"SOXS","SQQQ"),"WAIT"))</f>
        <v>WAIT</v>
      </c>
      <c r="AR162" s="23" t="str">
        <f>IF(AO162="YES",IF(SUM(N(X162),N(Y162),N(Z162))&gt;0,"TQQQ","SOXL"),IF(AP162="YES",IF(SUM(N(AA162),N(AB162),N(AC162))&gt;0,"SQQQ","SOXS"),""))</f>
        <v/>
      </c>
      <c r="AS162" s="23" t="str">
        <f>IF(AQ162="WAIT","",IF(AR162="",1,0.6))</f>
        <v/>
      </c>
      <c r="AT162" s="23">
        <f>IF(AR162="",0,0.4)</f>
        <v>0</v>
      </c>
      <c r="AU162" s="23" t="str">
        <f>IF(AQ162="WAIT","WAIT",IF(AO162="YES","BULL",IF(AP162="YES","BEAR","WAIT")))</f>
        <v>WAIT</v>
      </c>
      <c r="AV162" t="str">
        <f>IF(AQ162="WAIT","Low",IF(OR(AND(AU162="BULL",ABS(SUM(N(X162),N(Y162),N(Z162)))&gt;=0.15),AND(AU162="BEAR",ABS(SUM(N(AA162),N(AB162),N(AC162)))&gt;=0.15)),"Strong",IF(OR(AND(AU162="BULL",ABS(SUM(N(X162),N(Y162),N(Z162)))&gt;=0.05),AND(AU162="BEAR",ABS(SUM(N(AA162),N(AB162),N(AC162)))&gt;=0.05)),"Moderate","Low")))</f>
        <v>Low</v>
      </c>
      <c r="AW162" t="str">
        <f>IF(AQ162="WAIT","QQQ and SMH not aligned",IF(AU162="BULL",IF(AQ162="SOXL","Bull regime; semiconductors leading","Bull regime; tech leading"),IF(AQ162="SOXS","Bear regime; semiconductors weakest","Bear regime; tech weakest")))</f>
        <v>QQQ and SMH not aligned</v>
      </c>
      <c r="AX162" t="str">
        <f>IF(AR162="WAIT","QQQ and SMH not aligned",IF(AV162="BULL",IF(AR162="SOXL","Bull regime; semiconductors leading","Bull regime; tech leading"),IF(AR162="SOXS","Bear regime; semiconductors weakest","Bear regime; tech weakest")))</f>
        <v>Bear regime; tech weakest</v>
      </c>
    </row>
    <row r="163" spans="1:50" x14ac:dyDescent="0.2">
      <c r="A163" s="12"/>
      <c r="B163" s="13"/>
      <c r="C163" s="13"/>
      <c r="D163" s="13"/>
      <c r="E163" s="13"/>
      <c r="F163" s="11" t="str">
        <f>IF(OR(E163="",E162=""),"",IF(E162=0,"",(E163/E162)-1))</f>
        <v/>
      </c>
      <c r="G163" s="13"/>
      <c r="H163" s="11" t="str">
        <f>IF(OR(G163="",G162=""),"",IF(G162=0,"",(G163/G162)-1))</f>
        <v/>
      </c>
      <c r="I163" s="13"/>
      <c r="J163" s="13"/>
      <c r="K163" s="13"/>
      <c r="L163" s="13"/>
      <c r="M163" s="23" t="str">
        <f>IF(OR(L163="",L162=""),"",IF(L162=0,"",(L163/L162)-1))</f>
        <v/>
      </c>
      <c r="N163" s="26" t="str">
        <f>IFERROR((M163/M162)-1,"")</f>
        <v/>
      </c>
      <c r="O163" s="23" t="str">
        <f>IF(OR(N163="",N162=""),"",IF(N162=0,"",(N163/N162)-1))</f>
        <v/>
      </c>
      <c r="P163" s="11" t="str">
        <f>IF(ROW()&lt;7,"",IF(OR(E163="",E160=""),"",IF(E160=0,"",(E163/E160)-1)))</f>
        <v/>
      </c>
      <c r="Q163" s="23" t="str">
        <f>IF(ROW()&lt;9,"",IF(OR(E163="",E158=""),"",IF(E158=0,"",(E163/E158)-1)))</f>
        <v/>
      </c>
      <c r="R163" s="23" t="str">
        <f>IF(ROW()&lt;7,"",IF(OR(G163="",G160=""),"",IF(G160=0,"",(G163/G160)-1)))</f>
        <v/>
      </c>
      <c r="S163" s="23" t="str">
        <f>IF(ROW()&lt;9,"",IF(OR(G163="",G158=""),"",IF(G158=0,"",(G163/G158)-1)))</f>
        <v/>
      </c>
      <c r="T163" s="23" t="str">
        <f>IF(ROW()&lt;7,"",IF(OR(L163="",L160=""),"",IF(L160=0,"",(L163/L160)-1)))</f>
        <v/>
      </c>
      <c r="U163" s="23" t="str">
        <f>IF(ROW()&lt;9,"",IF(OR(L163="",L158=""),"",IF(L158=0,"",(L163/L158)-1)))</f>
        <v/>
      </c>
      <c r="V163" s="23" t="str">
        <f>IF(ROW()&lt;7,"",IF(OR(N163="",N160=""),"",IF(N160=0,"",(N163/N160)-1)))</f>
        <v/>
      </c>
      <c r="W163" s="23" t="str">
        <f>IF(ROW()&lt;9,"",IF(OR(N163="",N158=""),"",IF(N158=0,"",(N163/N158)-1)))</f>
        <v/>
      </c>
      <c r="X163" s="23" t="str">
        <f>IF(OR(F163="",M163=""),"",F163-M163)</f>
        <v/>
      </c>
      <c r="Y163" s="23" t="str">
        <f>IF(OR(P163="",T163=""),"",P163-T163)</f>
        <v/>
      </c>
      <c r="Z163" s="23" t="str">
        <f>IF(OR(Q163="",U163=""),"",Q163-U163)</f>
        <v/>
      </c>
      <c r="AA163" s="23" t="str">
        <f>IF(OR(H163="",O163=""),"",H163-O163)</f>
        <v/>
      </c>
      <c r="AB163" s="23" t="str">
        <f>IF(OR(R163="",V163=""),"",R163-V163)</f>
        <v/>
      </c>
      <c r="AC163" s="23" t="str">
        <f>IF(OR(S163="",W163=""),"",S163-W163)</f>
        <v/>
      </c>
      <c r="AD163" s="13"/>
      <c r="AE163" s="23" t="str">
        <f>IF(OR(AD163="",AD162=""),"",IF(AD162=0,"",(AD163/AD162)-1))</f>
        <v/>
      </c>
      <c r="AF163" s="23" t="str">
        <f>IF(ROW()&lt;7,"",IF(OR(AD163="",AD160=""),"",IF(AD160=0,"",(AD163/AD160)-1)))</f>
        <v/>
      </c>
      <c r="AG163" s="23" t="str">
        <f>IF(ROW()&lt;9,"",IF(OR(AD163="",AD158=""),"",IF(AD158=0,"",(AD163/AD158)-1)))</f>
        <v/>
      </c>
      <c r="AH163" s="23" t="str">
        <f>IF(OR(AF163="",AG163=""),"",IF(AND(AF163&gt;0,AG163&gt;0),"Bull",IF(AND(AF163&lt;0,AG163&lt;0),"Bear","Mixed")))</f>
        <v/>
      </c>
      <c r="AI163" s="13"/>
      <c r="AJ163" s="13" t="str">
        <f>IF(OR(AI163="",AI162=""),"",IF(AI162=0,"",(AI163/AI162)-1))</f>
        <v/>
      </c>
      <c r="AK163" s="23" t="str">
        <f>IF(OR(AJ163="",AJ162=""),"",IF(AJ162=0,"",(AJ163/AJ162)-1))</f>
        <v/>
      </c>
      <c r="AL163" s="23" t="str">
        <f>IF(ROW()&lt;7,"",IF(OR(AJ163="",AJ160=""),"",IF(AJ160=0,"",(AJ163/AJ160)-1)))</f>
        <v/>
      </c>
      <c r="AM163" s="23" t="str">
        <f>IF(ROW()&lt;9,"",IF(OR(AJ163="",AJ158=""),"",IF(AJ158=0,"",(AJ163/AJ158)-1)))</f>
        <v/>
      </c>
      <c r="AN163" t="str">
        <f>IF(OR(AL163="",AM163=""),"",IF(AND(AL163&gt;0,AM163&gt;0),"Bull",IF(AND(AL163&lt;0,AM163&lt;0),"Bear","Mixed")))</f>
        <v/>
      </c>
      <c r="AO163" t="str">
        <f>IF(OR(AH163="",AN163=""),"",IF(AND(AH163="Bull",AN163="Bull"),"YES","NO"))</f>
        <v/>
      </c>
      <c r="AP163" t="str">
        <f>IF(OR(AH163="",AN163=""),"",IF(AND(AH163="Bear",AN163="Bear"),"YES","NO"))</f>
        <v/>
      </c>
      <c r="AQ163" t="str">
        <f>IF(AO163="YES",IF(SUM(N(X163),N(Y163),N(Z163))&gt;0,"SOXL","TQQQ"),IF(AP163="YES",IF(SUM(N(AA163),N(AB163),N(AC163))&gt;0,"SOXS","SQQQ"),"WAIT"))</f>
        <v>WAIT</v>
      </c>
      <c r="AR163" s="23" t="str">
        <f>IF(AO163="YES",IF(SUM(N(X163),N(Y163),N(Z163))&gt;0,"TQQQ","SOXL"),IF(AP163="YES",IF(SUM(N(AA163),N(AB163),N(AC163))&gt;0,"SQQQ","SOXS"),""))</f>
        <v/>
      </c>
      <c r="AS163" s="23" t="str">
        <f>IF(AQ163="WAIT","",IF(AR163="",1,0.6))</f>
        <v/>
      </c>
      <c r="AT163" s="23">
        <f>IF(AR163="",0,0.4)</f>
        <v>0</v>
      </c>
      <c r="AU163" s="23" t="str">
        <f>IF(AQ163="WAIT","WAIT",IF(AO163="YES","BULL",IF(AP163="YES","BEAR","WAIT")))</f>
        <v>WAIT</v>
      </c>
      <c r="AV163" t="str">
        <f>IF(AQ163="WAIT","Low",IF(OR(AND(AU163="BULL",ABS(SUM(N(X163),N(Y163),N(Z163)))&gt;=0.15),AND(AU163="BEAR",ABS(SUM(N(AA163),N(AB163),N(AC163)))&gt;=0.15)),"Strong",IF(OR(AND(AU163="BULL",ABS(SUM(N(X163),N(Y163),N(Z163)))&gt;=0.05),AND(AU163="BEAR",ABS(SUM(N(AA163),N(AB163),N(AC163)))&gt;=0.05)),"Moderate","Low")))</f>
        <v>Low</v>
      </c>
      <c r="AW163" t="str">
        <f>IF(AQ163="WAIT","QQQ and SMH not aligned",IF(AU163="BULL",IF(AQ163="SOXL","Bull regime; semiconductors leading","Bull regime; tech leading"),IF(AQ163="SOXS","Bear regime; semiconductors weakest","Bear regime; tech weakest")))</f>
        <v>QQQ and SMH not aligned</v>
      </c>
      <c r="AX163" t="str">
        <f>IF(AR163="WAIT","QQQ and SMH not aligned",IF(AV163="BULL",IF(AR163="SOXL","Bull regime; semiconductors leading","Bull regime; tech leading"),IF(AR163="SOXS","Bear regime; semiconductors weakest","Bear regime; tech weakest")))</f>
        <v>Bear regime; tech weakest</v>
      </c>
    </row>
    <row r="164" spans="1:50" x14ac:dyDescent="0.2">
      <c r="A164" s="12"/>
      <c r="B164" s="13"/>
      <c r="C164" s="13"/>
      <c r="D164" s="13"/>
      <c r="E164" s="13"/>
      <c r="F164" s="11" t="str">
        <f>IF(OR(E164="",E163=""),"",IF(E163=0,"",(E164/E163)-1))</f>
        <v/>
      </c>
      <c r="G164" s="13"/>
      <c r="H164" s="11" t="str">
        <f>IF(OR(G164="",G163=""),"",IF(G163=0,"",(G164/G163)-1))</f>
        <v/>
      </c>
      <c r="I164" s="13"/>
      <c r="J164" s="13"/>
      <c r="K164" s="13"/>
      <c r="L164" s="13"/>
      <c r="M164" s="23" t="str">
        <f>IF(OR(L164="",L163=""),"",IF(L163=0,"",(L164/L163)-1))</f>
        <v/>
      </c>
      <c r="N164" s="26" t="str">
        <f>IFERROR((M164/M163)-1,"")</f>
        <v/>
      </c>
      <c r="O164" s="23" t="str">
        <f>IF(OR(N164="",N163=""),"",IF(N163=0,"",(N164/N163)-1))</f>
        <v/>
      </c>
      <c r="P164" s="11" t="str">
        <f>IF(ROW()&lt;7,"",IF(OR(E164="",E161=""),"",IF(E161=0,"",(E164/E161)-1)))</f>
        <v/>
      </c>
      <c r="Q164" s="23" t="str">
        <f>IF(ROW()&lt;9,"",IF(OR(E164="",E159=""),"",IF(E159=0,"",(E164/E159)-1)))</f>
        <v/>
      </c>
      <c r="R164" s="23" t="str">
        <f>IF(ROW()&lt;7,"",IF(OR(G164="",G161=""),"",IF(G161=0,"",(G164/G161)-1)))</f>
        <v/>
      </c>
      <c r="S164" s="23" t="str">
        <f>IF(ROW()&lt;9,"",IF(OR(G164="",G159=""),"",IF(G159=0,"",(G164/G159)-1)))</f>
        <v/>
      </c>
      <c r="T164" s="23" t="str">
        <f>IF(ROW()&lt;7,"",IF(OR(L164="",L161=""),"",IF(L161=0,"",(L164/L161)-1)))</f>
        <v/>
      </c>
      <c r="U164" s="23" t="str">
        <f>IF(ROW()&lt;9,"",IF(OR(L164="",L159=""),"",IF(L159=0,"",(L164/L159)-1)))</f>
        <v/>
      </c>
      <c r="V164" s="23" t="str">
        <f>IF(ROW()&lt;7,"",IF(OR(N164="",N161=""),"",IF(N161=0,"",(N164/N161)-1)))</f>
        <v/>
      </c>
      <c r="W164" s="23" t="str">
        <f>IF(ROW()&lt;9,"",IF(OR(N164="",N159=""),"",IF(N159=0,"",(N164/N159)-1)))</f>
        <v/>
      </c>
      <c r="X164" s="23" t="str">
        <f>IF(OR(F164="",M164=""),"",F164-M164)</f>
        <v/>
      </c>
      <c r="Y164" s="23" t="str">
        <f>IF(OR(P164="",T164=""),"",P164-T164)</f>
        <v/>
      </c>
      <c r="Z164" s="23" t="str">
        <f>IF(OR(Q164="",U164=""),"",Q164-U164)</f>
        <v/>
      </c>
      <c r="AA164" s="23" t="str">
        <f>IF(OR(H164="",O164=""),"",H164-O164)</f>
        <v/>
      </c>
      <c r="AB164" s="23" t="str">
        <f>IF(OR(R164="",V164=""),"",R164-V164)</f>
        <v/>
      </c>
      <c r="AC164" s="23" t="str">
        <f>IF(OR(S164="",W164=""),"",S164-W164)</f>
        <v/>
      </c>
      <c r="AD164" s="13"/>
      <c r="AE164" s="23" t="str">
        <f>IF(OR(AD164="",AD163=""),"",IF(AD163=0,"",(AD164/AD163)-1))</f>
        <v/>
      </c>
      <c r="AF164" s="23" t="str">
        <f>IF(ROW()&lt;7,"",IF(OR(AD164="",AD161=""),"",IF(AD161=0,"",(AD164/AD161)-1)))</f>
        <v/>
      </c>
      <c r="AG164" s="23" t="str">
        <f>IF(ROW()&lt;9,"",IF(OR(AD164="",AD159=""),"",IF(AD159=0,"",(AD164/AD159)-1)))</f>
        <v/>
      </c>
      <c r="AH164" s="23" t="str">
        <f>IF(OR(AF164="",AG164=""),"",IF(AND(AF164&gt;0,AG164&gt;0),"Bull",IF(AND(AF164&lt;0,AG164&lt;0),"Bear","Mixed")))</f>
        <v/>
      </c>
      <c r="AI164" s="13"/>
      <c r="AJ164" s="13" t="str">
        <f>IF(OR(AI164="",AI163=""),"",IF(AI163=0,"",(AI164/AI163)-1))</f>
        <v/>
      </c>
      <c r="AK164" s="23" t="str">
        <f>IF(OR(AJ164="",AJ163=""),"",IF(AJ163=0,"",(AJ164/AJ163)-1))</f>
        <v/>
      </c>
      <c r="AL164" s="23" t="str">
        <f>IF(ROW()&lt;7,"",IF(OR(AJ164="",AJ161=""),"",IF(AJ161=0,"",(AJ164/AJ161)-1)))</f>
        <v/>
      </c>
      <c r="AM164" s="23" t="str">
        <f>IF(ROW()&lt;9,"",IF(OR(AJ164="",AJ159=""),"",IF(AJ159=0,"",(AJ164/AJ159)-1)))</f>
        <v/>
      </c>
      <c r="AN164" t="str">
        <f>IF(OR(AL164="",AM164=""),"",IF(AND(AL164&gt;0,AM164&gt;0),"Bull",IF(AND(AL164&lt;0,AM164&lt;0),"Bear","Mixed")))</f>
        <v/>
      </c>
      <c r="AO164" t="str">
        <f>IF(OR(AH164="",AN164=""),"",IF(AND(AH164="Bull",AN164="Bull"),"YES","NO"))</f>
        <v/>
      </c>
      <c r="AP164" t="str">
        <f>IF(OR(AH164="",AN164=""),"",IF(AND(AH164="Bear",AN164="Bear"),"YES","NO"))</f>
        <v/>
      </c>
      <c r="AQ164" t="str">
        <f>IF(AO164="YES",IF(SUM(N(X164),N(Y164),N(Z164))&gt;0,"SOXL","TQQQ"),IF(AP164="YES",IF(SUM(N(AA164),N(AB164),N(AC164))&gt;0,"SOXS","SQQQ"),"WAIT"))</f>
        <v>WAIT</v>
      </c>
      <c r="AR164" s="23" t="str">
        <f>IF(AO164="YES",IF(SUM(N(X164),N(Y164),N(Z164))&gt;0,"TQQQ","SOXL"),IF(AP164="YES",IF(SUM(N(AA164),N(AB164),N(AC164))&gt;0,"SQQQ","SOXS"),""))</f>
        <v/>
      </c>
      <c r="AS164" s="23" t="str">
        <f>IF(AQ164="WAIT","",IF(AR164="",1,0.6))</f>
        <v/>
      </c>
      <c r="AT164" s="23">
        <f>IF(AR164="",0,0.4)</f>
        <v>0</v>
      </c>
      <c r="AU164" s="23" t="str">
        <f>IF(AQ164="WAIT","WAIT",IF(AO164="YES","BULL",IF(AP164="YES","BEAR","WAIT")))</f>
        <v>WAIT</v>
      </c>
      <c r="AV164" t="str">
        <f>IF(AQ164="WAIT","Low",IF(OR(AND(AU164="BULL",ABS(SUM(N(X164),N(Y164),N(Z164)))&gt;=0.15),AND(AU164="BEAR",ABS(SUM(N(AA164),N(AB164),N(AC164)))&gt;=0.15)),"Strong",IF(OR(AND(AU164="BULL",ABS(SUM(N(X164),N(Y164),N(Z164)))&gt;=0.05),AND(AU164="BEAR",ABS(SUM(N(AA164),N(AB164),N(AC164)))&gt;=0.05)),"Moderate","Low")))</f>
        <v>Low</v>
      </c>
      <c r="AW164" t="str">
        <f>IF(AQ164="WAIT","QQQ and SMH not aligned",IF(AU164="BULL",IF(AQ164="SOXL","Bull regime; semiconductors leading","Bull regime; tech leading"),IF(AQ164="SOXS","Bear regime; semiconductors weakest","Bear regime; tech weakest")))</f>
        <v>QQQ and SMH not aligned</v>
      </c>
      <c r="AX164" t="str">
        <f>IF(AR164="WAIT","QQQ and SMH not aligned",IF(AV164="BULL",IF(AR164="SOXL","Bull regime; semiconductors leading","Bull regime; tech leading"),IF(AR164="SOXS","Bear regime; semiconductors weakest","Bear regime; tech weakest")))</f>
        <v>Bear regime; tech weakest</v>
      </c>
    </row>
    <row r="165" spans="1:50" x14ac:dyDescent="0.2">
      <c r="A165" s="12"/>
      <c r="B165" s="13"/>
      <c r="C165" s="13"/>
      <c r="D165" s="13"/>
      <c r="E165" s="13"/>
      <c r="F165" s="11" t="str">
        <f>IF(OR(E165="",E164=""),"",IF(E164=0,"",(E165/E164)-1))</f>
        <v/>
      </c>
      <c r="G165" s="13"/>
      <c r="H165" s="11" t="str">
        <f>IF(OR(G165="",G164=""),"",IF(G164=0,"",(G165/G164)-1))</f>
        <v/>
      </c>
      <c r="I165" s="13"/>
      <c r="J165" s="13"/>
      <c r="K165" s="13"/>
      <c r="L165" s="13"/>
      <c r="M165" s="23" t="str">
        <f>IF(OR(L165="",L164=""),"",IF(L164=0,"",(L165/L164)-1))</f>
        <v/>
      </c>
      <c r="N165" s="26" t="str">
        <f>IFERROR((M165/M164)-1,"")</f>
        <v/>
      </c>
      <c r="O165" s="23" t="str">
        <f>IF(OR(N165="",N164=""),"",IF(N164=0,"",(N165/N164)-1))</f>
        <v/>
      </c>
      <c r="P165" s="11" t="str">
        <f>IF(ROW()&lt;7,"",IF(OR(E165="",E162=""),"",IF(E162=0,"",(E165/E162)-1)))</f>
        <v/>
      </c>
      <c r="Q165" s="23" t="str">
        <f>IF(ROW()&lt;9,"",IF(OR(E165="",E160=""),"",IF(E160=0,"",(E165/E160)-1)))</f>
        <v/>
      </c>
      <c r="R165" s="23" t="str">
        <f>IF(ROW()&lt;7,"",IF(OR(G165="",G162=""),"",IF(G162=0,"",(G165/G162)-1)))</f>
        <v/>
      </c>
      <c r="S165" s="23" t="str">
        <f>IF(ROW()&lt;9,"",IF(OR(G165="",G160=""),"",IF(G160=0,"",(G165/G160)-1)))</f>
        <v/>
      </c>
      <c r="T165" s="23" t="str">
        <f>IF(ROW()&lt;7,"",IF(OR(L165="",L162=""),"",IF(L162=0,"",(L165/L162)-1)))</f>
        <v/>
      </c>
      <c r="U165" s="23" t="str">
        <f>IF(ROW()&lt;9,"",IF(OR(L165="",L160=""),"",IF(L160=0,"",(L165/L160)-1)))</f>
        <v/>
      </c>
      <c r="V165" s="23" t="str">
        <f>IF(ROW()&lt;7,"",IF(OR(N165="",N162=""),"",IF(N162=0,"",(N165/N162)-1)))</f>
        <v/>
      </c>
      <c r="W165" s="23" t="str">
        <f>IF(ROW()&lt;9,"",IF(OR(N165="",N160=""),"",IF(N160=0,"",(N165/N160)-1)))</f>
        <v/>
      </c>
      <c r="X165" s="23" t="str">
        <f>IF(OR(F165="",M165=""),"",F165-M165)</f>
        <v/>
      </c>
      <c r="Y165" s="23" t="str">
        <f>IF(OR(P165="",T165=""),"",P165-T165)</f>
        <v/>
      </c>
      <c r="Z165" s="23" t="str">
        <f>IF(OR(Q165="",U165=""),"",Q165-U165)</f>
        <v/>
      </c>
      <c r="AA165" s="23" t="str">
        <f>IF(OR(H165="",O165=""),"",H165-O165)</f>
        <v/>
      </c>
      <c r="AB165" s="23" t="str">
        <f>IF(OR(R165="",V165=""),"",R165-V165)</f>
        <v/>
      </c>
      <c r="AC165" s="23" t="str">
        <f>IF(OR(S165="",W165=""),"",S165-W165)</f>
        <v/>
      </c>
      <c r="AD165" s="13"/>
      <c r="AE165" s="23" t="str">
        <f>IF(OR(AD165="",AD164=""),"",IF(AD164=0,"",(AD165/AD164)-1))</f>
        <v/>
      </c>
      <c r="AF165" s="23" t="str">
        <f>IF(ROW()&lt;7,"",IF(OR(AD165="",AD162=""),"",IF(AD162=0,"",(AD165/AD162)-1)))</f>
        <v/>
      </c>
      <c r="AG165" s="23" t="str">
        <f>IF(ROW()&lt;9,"",IF(OR(AD165="",AD160=""),"",IF(AD160=0,"",(AD165/AD160)-1)))</f>
        <v/>
      </c>
      <c r="AH165" s="23" t="str">
        <f>IF(OR(AF165="",AG165=""),"",IF(AND(AF165&gt;0,AG165&gt;0),"Bull",IF(AND(AF165&lt;0,AG165&lt;0),"Bear","Mixed")))</f>
        <v/>
      </c>
      <c r="AI165" s="13"/>
      <c r="AJ165" s="13" t="str">
        <f>IF(OR(AI165="",AI164=""),"",IF(AI164=0,"",(AI165/AI164)-1))</f>
        <v/>
      </c>
      <c r="AK165" s="23" t="str">
        <f>IF(OR(AJ165="",AJ164=""),"",IF(AJ164=0,"",(AJ165/AJ164)-1))</f>
        <v/>
      </c>
      <c r="AL165" s="23" t="str">
        <f>IF(ROW()&lt;7,"",IF(OR(AJ165="",AJ162=""),"",IF(AJ162=0,"",(AJ165/AJ162)-1)))</f>
        <v/>
      </c>
      <c r="AM165" s="23" t="str">
        <f>IF(ROW()&lt;9,"",IF(OR(AJ165="",AJ160=""),"",IF(AJ160=0,"",(AJ165/AJ160)-1)))</f>
        <v/>
      </c>
      <c r="AN165" t="str">
        <f>IF(OR(AL165="",AM165=""),"",IF(AND(AL165&gt;0,AM165&gt;0),"Bull",IF(AND(AL165&lt;0,AM165&lt;0),"Bear","Mixed")))</f>
        <v/>
      </c>
      <c r="AO165" t="str">
        <f>IF(OR(AH165="",AN165=""),"",IF(AND(AH165="Bull",AN165="Bull"),"YES","NO"))</f>
        <v/>
      </c>
      <c r="AP165" t="str">
        <f>IF(OR(AH165="",AN165=""),"",IF(AND(AH165="Bear",AN165="Bear"),"YES","NO"))</f>
        <v/>
      </c>
      <c r="AQ165" t="str">
        <f>IF(AO165="YES",IF(SUM(N(X165),N(Y165),N(Z165))&gt;0,"SOXL","TQQQ"),IF(AP165="YES",IF(SUM(N(AA165),N(AB165),N(AC165))&gt;0,"SOXS","SQQQ"),"WAIT"))</f>
        <v>WAIT</v>
      </c>
      <c r="AR165" s="23" t="str">
        <f>IF(AO165="YES",IF(SUM(N(X165),N(Y165),N(Z165))&gt;0,"TQQQ","SOXL"),IF(AP165="YES",IF(SUM(N(AA165),N(AB165),N(AC165))&gt;0,"SQQQ","SOXS"),""))</f>
        <v/>
      </c>
      <c r="AS165" s="23" t="str">
        <f>IF(AQ165="WAIT","",IF(AR165="",1,0.6))</f>
        <v/>
      </c>
      <c r="AT165" s="23">
        <f>IF(AR165="",0,0.4)</f>
        <v>0</v>
      </c>
      <c r="AU165" s="23" t="str">
        <f>IF(AQ165="WAIT","WAIT",IF(AO165="YES","BULL",IF(AP165="YES","BEAR","WAIT")))</f>
        <v>WAIT</v>
      </c>
      <c r="AV165" t="str">
        <f>IF(AQ165="WAIT","Low",IF(OR(AND(AU165="BULL",ABS(SUM(N(X165),N(Y165),N(Z165)))&gt;=0.15),AND(AU165="BEAR",ABS(SUM(N(AA165),N(AB165),N(AC165)))&gt;=0.15)),"Strong",IF(OR(AND(AU165="BULL",ABS(SUM(N(X165),N(Y165),N(Z165)))&gt;=0.05),AND(AU165="BEAR",ABS(SUM(N(AA165),N(AB165),N(AC165)))&gt;=0.05)),"Moderate","Low")))</f>
        <v>Low</v>
      </c>
      <c r="AW165" t="str">
        <f>IF(AQ165="WAIT","QQQ and SMH not aligned",IF(AU165="BULL",IF(AQ165="SOXL","Bull regime; semiconductors leading","Bull regime; tech leading"),IF(AQ165="SOXS","Bear regime; semiconductors weakest","Bear regime; tech weakest")))</f>
        <v>QQQ and SMH not aligned</v>
      </c>
      <c r="AX165" t="str">
        <f>IF(AR165="WAIT","QQQ and SMH not aligned",IF(AV165="BULL",IF(AR165="SOXL","Bull regime; semiconductors leading","Bull regime; tech leading"),IF(AR165="SOXS","Bear regime; semiconductors weakest","Bear regime; tech weakest")))</f>
        <v>Bear regime; tech weakest</v>
      </c>
    </row>
    <row r="166" spans="1:50" x14ac:dyDescent="0.2">
      <c r="A166" s="12"/>
      <c r="B166" s="13"/>
      <c r="C166" s="13"/>
      <c r="D166" s="13"/>
      <c r="E166" s="13"/>
      <c r="F166" s="11" t="str">
        <f>IF(OR(E166="",E165=""),"",IF(E165=0,"",(E166/E165)-1))</f>
        <v/>
      </c>
      <c r="G166" s="13"/>
      <c r="H166" s="11" t="str">
        <f>IF(OR(G166="",G165=""),"",IF(G165=0,"",(G166/G165)-1))</f>
        <v/>
      </c>
      <c r="I166" s="13"/>
      <c r="J166" s="13"/>
      <c r="K166" s="13"/>
      <c r="L166" s="13"/>
      <c r="M166" s="23" t="str">
        <f>IF(OR(L166="",L165=""),"",IF(L165=0,"",(L166/L165)-1))</f>
        <v/>
      </c>
      <c r="N166" s="26" t="str">
        <f>IFERROR((M166/M165)-1,"")</f>
        <v/>
      </c>
      <c r="O166" s="23" t="str">
        <f>IF(OR(N166="",N165=""),"",IF(N165=0,"",(N166/N165)-1))</f>
        <v/>
      </c>
      <c r="P166" s="11" t="str">
        <f>IF(ROW()&lt;7,"",IF(OR(E166="",E163=""),"",IF(E163=0,"",(E166/E163)-1)))</f>
        <v/>
      </c>
      <c r="Q166" s="23" t="str">
        <f>IF(ROW()&lt;9,"",IF(OR(E166="",E161=""),"",IF(E161=0,"",(E166/E161)-1)))</f>
        <v/>
      </c>
      <c r="R166" s="23" t="str">
        <f>IF(ROW()&lt;7,"",IF(OR(G166="",G163=""),"",IF(G163=0,"",(G166/G163)-1)))</f>
        <v/>
      </c>
      <c r="S166" s="23" t="str">
        <f>IF(ROW()&lt;9,"",IF(OR(G166="",G161=""),"",IF(G161=0,"",(G166/G161)-1)))</f>
        <v/>
      </c>
      <c r="T166" s="23" t="str">
        <f>IF(ROW()&lt;7,"",IF(OR(L166="",L163=""),"",IF(L163=0,"",(L166/L163)-1)))</f>
        <v/>
      </c>
      <c r="U166" s="23" t="str">
        <f>IF(ROW()&lt;9,"",IF(OR(L166="",L161=""),"",IF(L161=0,"",(L166/L161)-1)))</f>
        <v/>
      </c>
      <c r="V166" s="23" t="str">
        <f>IF(ROW()&lt;7,"",IF(OR(N166="",N163=""),"",IF(N163=0,"",(N166/N163)-1)))</f>
        <v/>
      </c>
      <c r="W166" s="23" t="str">
        <f>IF(ROW()&lt;9,"",IF(OR(N166="",N161=""),"",IF(N161=0,"",(N166/N161)-1)))</f>
        <v/>
      </c>
      <c r="X166" s="23" t="str">
        <f>IF(OR(F166="",M166=""),"",F166-M166)</f>
        <v/>
      </c>
      <c r="Y166" s="23" t="str">
        <f>IF(OR(P166="",T166=""),"",P166-T166)</f>
        <v/>
      </c>
      <c r="Z166" s="23" t="str">
        <f>IF(OR(Q166="",U166=""),"",Q166-U166)</f>
        <v/>
      </c>
      <c r="AA166" s="23" t="str">
        <f>IF(OR(H166="",O166=""),"",H166-O166)</f>
        <v/>
      </c>
      <c r="AB166" s="23" t="str">
        <f>IF(OR(R166="",V166=""),"",R166-V166)</f>
        <v/>
      </c>
      <c r="AC166" s="23" t="str">
        <f>IF(OR(S166="",W166=""),"",S166-W166)</f>
        <v/>
      </c>
      <c r="AD166" s="13"/>
      <c r="AE166" s="23" t="str">
        <f>IF(OR(AD166="",AD165=""),"",IF(AD165=0,"",(AD166/AD165)-1))</f>
        <v/>
      </c>
      <c r="AF166" s="23" t="str">
        <f>IF(ROW()&lt;7,"",IF(OR(AD166="",AD163=""),"",IF(AD163=0,"",(AD166/AD163)-1)))</f>
        <v/>
      </c>
      <c r="AG166" s="23" t="str">
        <f>IF(ROW()&lt;9,"",IF(OR(AD166="",AD161=""),"",IF(AD161=0,"",(AD166/AD161)-1)))</f>
        <v/>
      </c>
      <c r="AH166" s="23" t="str">
        <f>IF(OR(AF166="",AG166=""),"",IF(AND(AF166&gt;0,AG166&gt;0),"Bull",IF(AND(AF166&lt;0,AG166&lt;0),"Bear","Mixed")))</f>
        <v/>
      </c>
      <c r="AI166" s="13"/>
      <c r="AJ166" s="13" t="str">
        <f>IF(OR(AI166="",AI165=""),"",IF(AI165=0,"",(AI166/AI165)-1))</f>
        <v/>
      </c>
      <c r="AK166" s="23" t="str">
        <f>IF(OR(AJ166="",AJ165=""),"",IF(AJ165=0,"",(AJ166/AJ165)-1))</f>
        <v/>
      </c>
      <c r="AL166" s="23" t="str">
        <f>IF(ROW()&lt;7,"",IF(OR(AJ166="",AJ163=""),"",IF(AJ163=0,"",(AJ166/AJ163)-1)))</f>
        <v/>
      </c>
      <c r="AM166" s="23" t="str">
        <f>IF(ROW()&lt;9,"",IF(OR(AJ166="",AJ161=""),"",IF(AJ161=0,"",(AJ166/AJ161)-1)))</f>
        <v/>
      </c>
      <c r="AN166" t="str">
        <f>IF(OR(AL166="",AM166=""),"",IF(AND(AL166&gt;0,AM166&gt;0),"Bull",IF(AND(AL166&lt;0,AM166&lt;0),"Bear","Mixed")))</f>
        <v/>
      </c>
      <c r="AO166" t="str">
        <f>IF(OR(AH166="",AN166=""),"",IF(AND(AH166="Bull",AN166="Bull"),"YES","NO"))</f>
        <v/>
      </c>
      <c r="AP166" t="str">
        <f>IF(OR(AH166="",AN166=""),"",IF(AND(AH166="Bear",AN166="Bear"),"YES","NO"))</f>
        <v/>
      </c>
      <c r="AQ166" t="str">
        <f>IF(AO166="YES",IF(SUM(N(X166),N(Y166),N(Z166))&gt;0,"SOXL","TQQQ"),IF(AP166="YES",IF(SUM(N(AA166),N(AB166),N(AC166))&gt;0,"SOXS","SQQQ"),"WAIT"))</f>
        <v>WAIT</v>
      </c>
      <c r="AR166" s="23" t="str">
        <f>IF(AO166="YES",IF(SUM(N(X166),N(Y166),N(Z166))&gt;0,"TQQQ","SOXL"),IF(AP166="YES",IF(SUM(N(AA166),N(AB166),N(AC166))&gt;0,"SQQQ","SOXS"),""))</f>
        <v/>
      </c>
      <c r="AS166" s="23" t="str">
        <f>IF(AQ166="WAIT","",IF(AR166="",1,0.6))</f>
        <v/>
      </c>
      <c r="AT166" s="23">
        <f>IF(AR166="",0,0.4)</f>
        <v>0</v>
      </c>
      <c r="AU166" s="23" t="str">
        <f>IF(AQ166="WAIT","WAIT",IF(AO166="YES","BULL",IF(AP166="YES","BEAR","WAIT")))</f>
        <v>WAIT</v>
      </c>
      <c r="AV166" t="str">
        <f>IF(AQ166="WAIT","Low",IF(OR(AND(AU166="BULL",ABS(SUM(N(X166),N(Y166),N(Z166)))&gt;=0.15),AND(AU166="BEAR",ABS(SUM(N(AA166),N(AB166),N(AC166)))&gt;=0.15)),"Strong",IF(OR(AND(AU166="BULL",ABS(SUM(N(X166),N(Y166),N(Z166)))&gt;=0.05),AND(AU166="BEAR",ABS(SUM(N(AA166),N(AB166),N(AC166)))&gt;=0.05)),"Moderate","Low")))</f>
        <v>Low</v>
      </c>
      <c r="AW166" t="str">
        <f>IF(AQ166="WAIT","QQQ and SMH not aligned",IF(AU166="BULL",IF(AQ166="SOXL","Bull regime; semiconductors leading","Bull regime; tech leading"),IF(AQ166="SOXS","Bear regime; semiconductors weakest","Bear regime; tech weakest")))</f>
        <v>QQQ and SMH not aligned</v>
      </c>
      <c r="AX166" t="str">
        <f>IF(AR166="WAIT","QQQ and SMH not aligned",IF(AV166="BULL",IF(AR166="SOXL","Bull regime; semiconductors leading","Bull regime; tech leading"),IF(AR166="SOXS","Bear regime; semiconductors weakest","Bear regime; tech weakest")))</f>
        <v>Bear regime; tech weakest</v>
      </c>
    </row>
    <row r="167" spans="1:50" x14ac:dyDescent="0.2">
      <c r="A167" s="12"/>
      <c r="B167" s="13"/>
      <c r="C167" s="13"/>
      <c r="D167" s="13"/>
      <c r="E167" s="13"/>
      <c r="F167" s="11" t="str">
        <f>IF(OR(E167="",E166=""),"",IF(E166=0,"",(E167/E166)-1))</f>
        <v/>
      </c>
      <c r="G167" s="13"/>
      <c r="H167" s="11" t="str">
        <f>IF(OR(G167="",G166=""),"",IF(G166=0,"",(G167/G166)-1))</f>
        <v/>
      </c>
      <c r="I167" s="13"/>
      <c r="J167" s="13"/>
      <c r="K167" s="13"/>
      <c r="L167" s="13"/>
      <c r="M167" s="23" t="str">
        <f>IF(OR(L167="",L166=""),"",IF(L166=0,"",(L167/L166)-1))</f>
        <v/>
      </c>
      <c r="N167" s="26" t="str">
        <f>IFERROR((M167/M166)-1,"")</f>
        <v/>
      </c>
      <c r="O167" s="23" t="str">
        <f>IF(OR(N167="",N166=""),"",IF(N166=0,"",(N167/N166)-1))</f>
        <v/>
      </c>
      <c r="P167" s="11" t="str">
        <f>IF(ROW()&lt;7,"",IF(OR(E167="",E164=""),"",IF(E164=0,"",(E167/E164)-1)))</f>
        <v/>
      </c>
      <c r="Q167" s="23" t="str">
        <f>IF(ROW()&lt;9,"",IF(OR(E167="",E162=""),"",IF(E162=0,"",(E167/E162)-1)))</f>
        <v/>
      </c>
      <c r="R167" s="23" t="str">
        <f>IF(ROW()&lt;7,"",IF(OR(G167="",G164=""),"",IF(G164=0,"",(G167/G164)-1)))</f>
        <v/>
      </c>
      <c r="S167" s="23" t="str">
        <f>IF(ROW()&lt;9,"",IF(OR(G167="",G162=""),"",IF(G162=0,"",(G167/G162)-1)))</f>
        <v/>
      </c>
      <c r="T167" s="23" t="str">
        <f>IF(ROW()&lt;7,"",IF(OR(L167="",L164=""),"",IF(L164=0,"",(L167/L164)-1)))</f>
        <v/>
      </c>
      <c r="U167" s="23" t="str">
        <f>IF(ROW()&lt;9,"",IF(OR(L167="",L162=""),"",IF(L162=0,"",(L167/L162)-1)))</f>
        <v/>
      </c>
      <c r="V167" s="23" t="str">
        <f>IF(ROW()&lt;7,"",IF(OR(N167="",N164=""),"",IF(N164=0,"",(N167/N164)-1)))</f>
        <v/>
      </c>
      <c r="W167" s="23" t="str">
        <f>IF(ROW()&lt;9,"",IF(OR(N167="",N162=""),"",IF(N162=0,"",(N167/N162)-1)))</f>
        <v/>
      </c>
      <c r="X167" s="23" t="str">
        <f>IF(OR(F167="",M167=""),"",F167-M167)</f>
        <v/>
      </c>
      <c r="Y167" s="23" t="str">
        <f>IF(OR(P167="",T167=""),"",P167-T167)</f>
        <v/>
      </c>
      <c r="Z167" s="23" t="str">
        <f>IF(OR(Q167="",U167=""),"",Q167-U167)</f>
        <v/>
      </c>
      <c r="AA167" s="23" t="str">
        <f>IF(OR(H167="",O167=""),"",H167-O167)</f>
        <v/>
      </c>
      <c r="AB167" s="23" t="str">
        <f>IF(OR(R167="",V167=""),"",R167-V167)</f>
        <v/>
      </c>
      <c r="AC167" s="23" t="str">
        <f>IF(OR(S167="",W167=""),"",S167-W167)</f>
        <v/>
      </c>
      <c r="AD167" s="13"/>
      <c r="AE167" s="23" t="str">
        <f>IF(OR(AD167="",AD166=""),"",IF(AD166=0,"",(AD167/AD166)-1))</f>
        <v/>
      </c>
      <c r="AF167" s="23" t="str">
        <f>IF(ROW()&lt;7,"",IF(OR(AD167="",AD164=""),"",IF(AD164=0,"",(AD167/AD164)-1)))</f>
        <v/>
      </c>
      <c r="AG167" s="23" t="str">
        <f>IF(ROW()&lt;9,"",IF(OR(AD167="",AD162=""),"",IF(AD162=0,"",(AD167/AD162)-1)))</f>
        <v/>
      </c>
      <c r="AH167" s="23" t="str">
        <f>IF(OR(AF167="",AG167=""),"",IF(AND(AF167&gt;0,AG167&gt;0),"Bull",IF(AND(AF167&lt;0,AG167&lt;0),"Bear","Mixed")))</f>
        <v/>
      </c>
      <c r="AI167" s="13"/>
      <c r="AJ167" s="13" t="str">
        <f>IF(OR(AI167="",AI166=""),"",IF(AI166=0,"",(AI167/AI166)-1))</f>
        <v/>
      </c>
      <c r="AK167" s="23" t="str">
        <f>IF(OR(AJ167="",AJ166=""),"",IF(AJ166=0,"",(AJ167/AJ166)-1))</f>
        <v/>
      </c>
      <c r="AL167" s="23" t="str">
        <f>IF(ROW()&lt;7,"",IF(OR(AJ167="",AJ164=""),"",IF(AJ164=0,"",(AJ167/AJ164)-1)))</f>
        <v/>
      </c>
      <c r="AM167" s="23" t="str">
        <f>IF(ROW()&lt;9,"",IF(OR(AJ167="",AJ162=""),"",IF(AJ162=0,"",(AJ167/AJ162)-1)))</f>
        <v/>
      </c>
      <c r="AN167" t="str">
        <f>IF(OR(AL167="",AM167=""),"",IF(AND(AL167&gt;0,AM167&gt;0),"Bull",IF(AND(AL167&lt;0,AM167&lt;0),"Bear","Mixed")))</f>
        <v/>
      </c>
      <c r="AO167" t="str">
        <f>IF(OR(AH167="",AN167=""),"",IF(AND(AH167="Bull",AN167="Bull"),"YES","NO"))</f>
        <v/>
      </c>
      <c r="AP167" t="str">
        <f>IF(OR(AH167="",AN167=""),"",IF(AND(AH167="Bear",AN167="Bear"),"YES","NO"))</f>
        <v/>
      </c>
      <c r="AQ167" t="str">
        <f>IF(AO167="YES",IF(SUM(N(X167),N(Y167),N(Z167))&gt;0,"SOXL","TQQQ"),IF(AP167="YES",IF(SUM(N(AA167),N(AB167),N(AC167))&gt;0,"SOXS","SQQQ"),"WAIT"))</f>
        <v>WAIT</v>
      </c>
      <c r="AR167" s="23" t="str">
        <f>IF(AO167="YES",IF(SUM(N(X167),N(Y167),N(Z167))&gt;0,"TQQQ","SOXL"),IF(AP167="YES",IF(SUM(N(AA167),N(AB167),N(AC167))&gt;0,"SQQQ","SOXS"),""))</f>
        <v/>
      </c>
      <c r="AS167" s="23" t="str">
        <f>IF(AQ167="WAIT","",IF(AR167="",1,0.6))</f>
        <v/>
      </c>
      <c r="AT167" s="23">
        <f>IF(AR167="",0,0.4)</f>
        <v>0</v>
      </c>
      <c r="AU167" s="23" t="str">
        <f>IF(AQ167="WAIT","WAIT",IF(AO167="YES","BULL",IF(AP167="YES","BEAR","WAIT")))</f>
        <v>WAIT</v>
      </c>
      <c r="AV167" t="str">
        <f>IF(AQ167="WAIT","Low",IF(OR(AND(AU167="BULL",ABS(SUM(N(X167),N(Y167),N(Z167)))&gt;=0.15),AND(AU167="BEAR",ABS(SUM(N(AA167),N(AB167),N(AC167)))&gt;=0.15)),"Strong",IF(OR(AND(AU167="BULL",ABS(SUM(N(X167),N(Y167),N(Z167)))&gt;=0.05),AND(AU167="BEAR",ABS(SUM(N(AA167),N(AB167),N(AC167)))&gt;=0.05)),"Moderate","Low")))</f>
        <v>Low</v>
      </c>
      <c r="AW167" t="str">
        <f>IF(AQ167="WAIT","QQQ and SMH not aligned",IF(AU167="BULL",IF(AQ167="SOXL","Bull regime; semiconductors leading","Bull regime; tech leading"),IF(AQ167="SOXS","Bear regime; semiconductors weakest","Bear regime; tech weakest")))</f>
        <v>QQQ and SMH not aligned</v>
      </c>
      <c r="AX167" t="str">
        <f>IF(AR167="WAIT","QQQ and SMH not aligned",IF(AV167="BULL",IF(AR167="SOXL","Bull regime; semiconductors leading","Bull regime; tech leading"),IF(AR167="SOXS","Bear regime; semiconductors weakest","Bear regime; tech weakest")))</f>
        <v>Bear regime; tech weakest</v>
      </c>
    </row>
    <row r="168" spans="1:50" x14ac:dyDescent="0.2">
      <c r="A168" s="12"/>
      <c r="B168" s="13"/>
      <c r="C168" s="13"/>
      <c r="D168" s="13"/>
      <c r="E168" s="13"/>
      <c r="F168" s="11" t="str">
        <f>IF(OR(E168="",E167=""),"",IF(E167=0,"",(E168/E167)-1))</f>
        <v/>
      </c>
      <c r="G168" s="13"/>
      <c r="H168" s="11" t="str">
        <f>IF(OR(G168="",G167=""),"",IF(G167=0,"",(G168/G167)-1))</f>
        <v/>
      </c>
      <c r="I168" s="13"/>
      <c r="J168" s="13"/>
      <c r="K168" s="13"/>
      <c r="L168" s="13"/>
      <c r="M168" s="23" t="str">
        <f>IF(OR(L168="",L167=""),"",IF(L167=0,"",(L168/L167)-1))</f>
        <v/>
      </c>
      <c r="N168" s="26" t="str">
        <f>IFERROR((M168/M167)-1,"")</f>
        <v/>
      </c>
      <c r="O168" s="23" t="str">
        <f>IF(OR(N168="",N167=""),"",IF(N167=0,"",(N168/N167)-1))</f>
        <v/>
      </c>
      <c r="P168" s="11" t="str">
        <f>IF(ROW()&lt;7,"",IF(OR(E168="",E165=""),"",IF(E165=0,"",(E168/E165)-1)))</f>
        <v/>
      </c>
      <c r="Q168" s="23" t="str">
        <f>IF(ROW()&lt;9,"",IF(OR(E168="",E163=""),"",IF(E163=0,"",(E168/E163)-1)))</f>
        <v/>
      </c>
      <c r="R168" s="23" t="str">
        <f>IF(ROW()&lt;7,"",IF(OR(G168="",G165=""),"",IF(G165=0,"",(G168/G165)-1)))</f>
        <v/>
      </c>
      <c r="S168" s="23" t="str">
        <f>IF(ROW()&lt;9,"",IF(OR(G168="",G163=""),"",IF(G163=0,"",(G168/G163)-1)))</f>
        <v/>
      </c>
      <c r="T168" s="23" t="str">
        <f>IF(ROW()&lt;7,"",IF(OR(L168="",L165=""),"",IF(L165=0,"",(L168/L165)-1)))</f>
        <v/>
      </c>
      <c r="U168" s="23" t="str">
        <f>IF(ROW()&lt;9,"",IF(OR(L168="",L163=""),"",IF(L163=0,"",(L168/L163)-1)))</f>
        <v/>
      </c>
      <c r="V168" s="23" t="str">
        <f>IF(ROW()&lt;7,"",IF(OR(N168="",N165=""),"",IF(N165=0,"",(N168/N165)-1)))</f>
        <v/>
      </c>
      <c r="W168" s="23" t="str">
        <f>IF(ROW()&lt;9,"",IF(OR(N168="",N163=""),"",IF(N163=0,"",(N168/N163)-1)))</f>
        <v/>
      </c>
      <c r="X168" s="23" t="str">
        <f>IF(OR(F168="",M168=""),"",F168-M168)</f>
        <v/>
      </c>
      <c r="Y168" s="23" t="str">
        <f>IF(OR(P168="",T168=""),"",P168-T168)</f>
        <v/>
      </c>
      <c r="Z168" s="23" t="str">
        <f>IF(OR(Q168="",U168=""),"",Q168-U168)</f>
        <v/>
      </c>
      <c r="AA168" s="23" t="str">
        <f>IF(OR(H168="",O168=""),"",H168-O168)</f>
        <v/>
      </c>
      <c r="AB168" s="23" t="str">
        <f>IF(OR(R168="",V168=""),"",R168-V168)</f>
        <v/>
      </c>
      <c r="AC168" s="23" t="str">
        <f>IF(OR(S168="",W168=""),"",S168-W168)</f>
        <v/>
      </c>
      <c r="AD168" s="13"/>
      <c r="AE168" s="23" t="str">
        <f>IF(OR(AD168="",AD167=""),"",IF(AD167=0,"",(AD168/AD167)-1))</f>
        <v/>
      </c>
      <c r="AF168" s="23" t="str">
        <f>IF(ROW()&lt;7,"",IF(OR(AD168="",AD165=""),"",IF(AD165=0,"",(AD168/AD165)-1)))</f>
        <v/>
      </c>
      <c r="AG168" s="23" t="str">
        <f>IF(ROW()&lt;9,"",IF(OR(AD168="",AD163=""),"",IF(AD163=0,"",(AD168/AD163)-1)))</f>
        <v/>
      </c>
      <c r="AH168" s="23" t="str">
        <f>IF(OR(AF168="",AG168=""),"",IF(AND(AF168&gt;0,AG168&gt;0),"Bull",IF(AND(AF168&lt;0,AG168&lt;0),"Bear","Mixed")))</f>
        <v/>
      </c>
      <c r="AI168" s="13"/>
      <c r="AJ168" s="13" t="str">
        <f>IF(OR(AI168="",AI167=""),"",IF(AI167=0,"",(AI168/AI167)-1))</f>
        <v/>
      </c>
      <c r="AK168" s="23" t="str">
        <f>IF(OR(AJ168="",AJ167=""),"",IF(AJ167=0,"",(AJ168/AJ167)-1))</f>
        <v/>
      </c>
      <c r="AL168" s="23" t="str">
        <f>IF(ROW()&lt;7,"",IF(OR(AJ168="",AJ165=""),"",IF(AJ165=0,"",(AJ168/AJ165)-1)))</f>
        <v/>
      </c>
      <c r="AM168" s="23" t="str">
        <f>IF(ROW()&lt;9,"",IF(OR(AJ168="",AJ163=""),"",IF(AJ163=0,"",(AJ168/AJ163)-1)))</f>
        <v/>
      </c>
      <c r="AN168" t="str">
        <f>IF(OR(AL168="",AM168=""),"",IF(AND(AL168&gt;0,AM168&gt;0),"Bull",IF(AND(AL168&lt;0,AM168&lt;0),"Bear","Mixed")))</f>
        <v/>
      </c>
      <c r="AO168" t="str">
        <f>IF(OR(AH168="",AN168=""),"",IF(AND(AH168="Bull",AN168="Bull"),"YES","NO"))</f>
        <v/>
      </c>
      <c r="AP168" t="str">
        <f>IF(OR(AH168="",AN168=""),"",IF(AND(AH168="Bear",AN168="Bear"),"YES","NO"))</f>
        <v/>
      </c>
      <c r="AQ168" t="str">
        <f>IF(AO168="YES",IF(SUM(N(X168),N(Y168),N(Z168))&gt;0,"SOXL","TQQQ"),IF(AP168="YES",IF(SUM(N(AA168),N(AB168),N(AC168))&gt;0,"SOXS","SQQQ"),"WAIT"))</f>
        <v>WAIT</v>
      </c>
      <c r="AR168" s="23" t="str">
        <f>IF(AO168="YES",IF(SUM(N(X168),N(Y168),N(Z168))&gt;0,"TQQQ","SOXL"),IF(AP168="YES",IF(SUM(N(AA168),N(AB168),N(AC168))&gt;0,"SQQQ","SOXS"),""))</f>
        <v/>
      </c>
      <c r="AS168" s="23" t="str">
        <f>IF(AQ168="WAIT","",IF(AR168="",1,0.6))</f>
        <v/>
      </c>
      <c r="AT168" s="23">
        <f>IF(AR168="",0,0.4)</f>
        <v>0</v>
      </c>
      <c r="AU168" s="23" t="str">
        <f>IF(AQ168="WAIT","WAIT",IF(AO168="YES","BULL",IF(AP168="YES","BEAR","WAIT")))</f>
        <v>WAIT</v>
      </c>
      <c r="AV168" t="str">
        <f>IF(AQ168="WAIT","Low",IF(OR(AND(AU168="BULL",ABS(SUM(N(X168),N(Y168),N(Z168)))&gt;=0.15),AND(AU168="BEAR",ABS(SUM(N(AA168),N(AB168),N(AC168)))&gt;=0.15)),"Strong",IF(OR(AND(AU168="BULL",ABS(SUM(N(X168),N(Y168),N(Z168)))&gt;=0.05),AND(AU168="BEAR",ABS(SUM(N(AA168),N(AB168),N(AC168)))&gt;=0.05)),"Moderate","Low")))</f>
        <v>Low</v>
      </c>
      <c r="AW168" t="str">
        <f>IF(AQ168="WAIT","QQQ and SMH not aligned",IF(AU168="BULL",IF(AQ168="SOXL","Bull regime; semiconductors leading","Bull regime; tech leading"),IF(AQ168="SOXS","Bear regime; semiconductors weakest","Bear regime; tech weakest")))</f>
        <v>QQQ and SMH not aligned</v>
      </c>
      <c r="AX168" t="str">
        <f>IF(AR168="WAIT","QQQ and SMH not aligned",IF(AV168="BULL",IF(AR168="SOXL","Bull regime; semiconductors leading","Bull regime; tech leading"),IF(AR168="SOXS","Bear regime; semiconductors weakest","Bear regime; tech weakest")))</f>
        <v>Bear regime; tech weakest</v>
      </c>
    </row>
    <row r="169" spans="1:50" x14ac:dyDescent="0.2">
      <c r="A169" s="12"/>
      <c r="B169" s="13"/>
      <c r="C169" s="13"/>
      <c r="D169" s="13"/>
      <c r="E169" s="13"/>
      <c r="F169" s="11" t="str">
        <f>IF(OR(E169="",E168=""),"",IF(E168=0,"",(E169/E168)-1))</f>
        <v/>
      </c>
      <c r="G169" s="13"/>
      <c r="H169" s="11" t="str">
        <f>IF(OR(G169="",G168=""),"",IF(G168=0,"",(G169/G168)-1))</f>
        <v/>
      </c>
      <c r="I169" s="13"/>
      <c r="J169" s="13"/>
      <c r="K169" s="13"/>
      <c r="L169" s="13"/>
      <c r="M169" s="23" t="str">
        <f>IF(OR(L169="",L168=""),"",IF(L168=0,"",(L169/L168)-1))</f>
        <v/>
      </c>
      <c r="N169" s="26" t="str">
        <f>IFERROR((M169/M168)-1,"")</f>
        <v/>
      </c>
      <c r="O169" s="23" t="str">
        <f>IF(OR(N169="",N168=""),"",IF(N168=0,"",(N169/N168)-1))</f>
        <v/>
      </c>
      <c r="P169" s="11" t="str">
        <f>IF(ROW()&lt;7,"",IF(OR(E169="",E166=""),"",IF(E166=0,"",(E169/E166)-1)))</f>
        <v/>
      </c>
      <c r="Q169" s="23" t="str">
        <f>IF(ROW()&lt;9,"",IF(OR(E169="",E164=""),"",IF(E164=0,"",(E169/E164)-1)))</f>
        <v/>
      </c>
      <c r="R169" s="23" t="str">
        <f>IF(ROW()&lt;7,"",IF(OR(G169="",G166=""),"",IF(G166=0,"",(G169/G166)-1)))</f>
        <v/>
      </c>
      <c r="S169" s="23" t="str">
        <f>IF(ROW()&lt;9,"",IF(OR(G169="",G164=""),"",IF(G164=0,"",(G169/G164)-1)))</f>
        <v/>
      </c>
      <c r="T169" s="23" t="str">
        <f>IF(ROW()&lt;7,"",IF(OR(L169="",L166=""),"",IF(L166=0,"",(L169/L166)-1)))</f>
        <v/>
      </c>
      <c r="U169" s="23" t="str">
        <f>IF(ROW()&lt;9,"",IF(OR(L169="",L164=""),"",IF(L164=0,"",(L169/L164)-1)))</f>
        <v/>
      </c>
      <c r="V169" s="23" t="str">
        <f>IF(ROW()&lt;7,"",IF(OR(N169="",N166=""),"",IF(N166=0,"",(N169/N166)-1)))</f>
        <v/>
      </c>
      <c r="W169" s="23" t="str">
        <f>IF(ROW()&lt;9,"",IF(OR(N169="",N164=""),"",IF(N164=0,"",(N169/N164)-1)))</f>
        <v/>
      </c>
      <c r="X169" s="23" t="str">
        <f>IF(OR(F169="",M169=""),"",F169-M169)</f>
        <v/>
      </c>
      <c r="Y169" s="23" t="str">
        <f>IF(OR(P169="",T169=""),"",P169-T169)</f>
        <v/>
      </c>
      <c r="Z169" s="23" t="str">
        <f>IF(OR(Q169="",U169=""),"",Q169-U169)</f>
        <v/>
      </c>
      <c r="AA169" s="23" t="str">
        <f>IF(OR(H169="",O169=""),"",H169-O169)</f>
        <v/>
      </c>
      <c r="AB169" s="23" t="str">
        <f>IF(OR(R169="",V169=""),"",R169-V169)</f>
        <v/>
      </c>
      <c r="AC169" s="23" t="str">
        <f>IF(OR(S169="",W169=""),"",S169-W169)</f>
        <v/>
      </c>
      <c r="AD169" s="13"/>
      <c r="AE169" s="23" t="str">
        <f>IF(OR(AD169="",AD168=""),"",IF(AD168=0,"",(AD169/AD168)-1))</f>
        <v/>
      </c>
      <c r="AF169" s="23" t="str">
        <f>IF(ROW()&lt;7,"",IF(OR(AD169="",AD166=""),"",IF(AD166=0,"",(AD169/AD166)-1)))</f>
        <v/>
      </c>
      <c r="AG169" s="23" t="str">
        <f>IF(ROW()&lt;9,"",IF(OR(AD169="",AD164=""),"",IF(AD164=0,"",(AD169/AD164)-1)))</f>
        <v/>
      </c>
      <c r="AH169" s="23" t="str">
        <f>IF(OR(AF169="",AG169=""),"",IF(AND(AF169&gt;0,AG169&gt;0),"Bull",IF(AND(AF169&lt;0,AG169&lt;0),"Bear","Mixed")))</f>
        <v/>
      </c>
      <c r="AI169" s="13"/>
      <c r="AJ169" s="13" t="str">
        <f>IF(OR(AI169="",AI168=""),"",IF(AI168=0,"",(AI169/AI168)-1))</f>
        <v/>
      </c>
      <c r="AK169" s="23" t="str">
        <f>IF(OR(AJ169="",AJ168=""),"",IF(AJ168=0,"",(AJ169/AJ168)-1))</f>
        <v/>
      </c>
      <c r="AL169" s="23" t="str">
        <f>IF(ROW()&lt;7,"",IF(OR(AJ169="",AJ166=""),"",IF(AJ166=0,"",(AJ169/AJ166)-1)))</f>
        <v/>
      </c>
      <c r="AM169" s="23" t="str">
        <f>IF(ROW()&lt;9,"",IF(OR(AJ169="",AJ164=""),"",IF(AJ164=0,"",(AJ169/AJ164)-1)))</f>
        <v/>
      </c>
      <c r="AN169" t="str">
        <f>IF(OR(AL169="",AM169=""),"",IF(AND(AL169&gt;0,AM169&gt;0),"Bull",IF(AND(AL169&lt;0,AM169&lt;0),"Bear","Mixed")))</f>
        <v/>
      </c>
      <c r="AO169" t="str">
        <f>IF(OR(AH169="",AN169=""),"",IF(AND(AH169="Bull",AN169="Bull"),"YES","NO"))</f>
        <v/>
      </c>
      <c r="AP169" t="str">
        <f>IF(OR(AH169="",AN169=""),"",IF(AND(AH169="Bear",AN169="Bear"),"YES","NO"))</f>
        <v/>
      </c>
      <c r="AQ169" t="str">
        <f>IF(AO169="YES",IF(SUM(N(X169),N(Y169),N(Z169))&gt;0,"SOXL","TQQQ"),IF(AP169="YES",IF(SUM(N(AA169),N(AB169),N(AC169))&gt;0,"SOXS","SQQQ"),"WAIT"))</f>
        <v>WAIT</v>
      </c>
      <c r="AR169" s="23" t="str">
        <f>IF(AO169="YES",IF(SUM(N(X169),N(Y169),N(Z169))&gt;0,"TQQQ","SOXL"),IF(AP169="YES",IF(SUM(N(AA169),N(AB169),N(AC169))&gt;0,"SQQQ","SOXS"),""))</f>
        <v/>
      </c>
      <c r="AS169" s="23" t="str">
        <f>IF(AQ169="WAIT","",IF(AR169="",1,0.6))</f>
        <v/>
      </c>
      <c r="AT169" s="23">
        <f>IF(AR169="",0,0.4)</f>
        <v>0</v>
      </c>
      <c r="AU169" s="23" t="str">
        <f>IF(AQ169="WAIT","WAIT",IF(AO169="YES","BULL",IF(AP169="YES","BEAR","WAIT")))</f>
        <v>WAIT</v>
      </c>
      <c r="AV169" t="str">
        <f>IF(AQ169="WAIT","Low",IF(OR(AND(AU169="BULL",ABS(SUM(N(X169),N(Y169),N(Z169)))&gt;=0.15),AND(AU169="BEAR",ABS(SUM(N(AA169),N(AB169),N(AC169)))&gt;=0.15)),"Strong",IF(OR(AND(AU169="BULL",ABS(SUM(N(X169),N(Y169),N(Z169)))&gt;=0.05),AND(AU169="BEAR",ABS(SUM(N(AA169),N(AB169),N(AC169)))&gt;=0.05)),"Moderate","Low")))</f>
        <v>Low</v>
      </c>
      <c r="AW169" t="str">
        <f>IF(AQ169="WAIT","QQQ and SMH not aligned",IF(AU169="BULL",IF(AQ169="SOXL","Bull regime; semiconductors leading","Bull regime; tech leading"),IF(AQ169="SOXS","Bear regime; semiconductors weakest","Bear regime; tech weakest")))</f>
        <v>QQQ and SMH not aligned</v>
      </c>
      <c r="AX169" t="str">
        <f>IF(AR169="WAIT","QQQ and SMH not aligned",IF(AV169="BULL",IF(AR169="SOXL","Bull regime; semiconductors leading","Bull regime; tech leading"),IF(AR169="SOXS","Bear regime; semiconductors weakest","Bear regime; tech weakest")))</f>
        <v>Bear regime; tech weakest</v>
      </c>
    </row>
    <row r="170" spans="1:50" x14ac:dyDescent="0.2">
      <c r="A170" s="12"/>
      <c r="B170" s="13"/>
      <c r="C170" s="13"/>
      <c r="D170" s="13"/>
      <c r="E170" s="13"/>
      <c r="F170" s="11" t="str">
        <f>IF(OR(E170="",E169=""),"",IF(E169=0,"",(E170/E169)-1))</f>
        <v/>
      </c>
      <c r="G170" s="13"/>
      <c r="H170" s="11" t="str">
        <f>IF(OR(G170="",G169=""),"",IF(G169=0,"",(G170/G169)-1))</f>
        <v/>
      </c>
      <c r="I170" s="13"/>
      <c r="J170" s="13"/>
      <c r="K170" s="13"/>
      <c r="L170" s="13"/>
      <c r="M170" s="23" t="str">
        <f>IF(OR(L170="",L169=""),"",IF(L169=0,"",(L170/L169)-1))</f>
        <v/>
      </c>
      <c r="N170" s="26" t="str">
        <f>IFERROR((M170/M169)-1,"")</f>
        <v/>
      </c>
      <c r="O170" s="23" t="str">
        <f>IF(OR(N170="",N169=""),"",IF(N169=0,"",(N170/N169)-1))</f>
        <v/>
      </c>
      <c r="P170" s="11" t="str">
        <f>IF(ROW()&lt;7,"",IF(OR(E170="",E167=""),"",IF(E167=0,"",(E170/E167)-1)))</f>
        <v/>
      </c>
      <c r="Q170" s="23" t="str">
        <f>IF(ROW()&lt;9,"",IF(OR(E170="",E165=""),"",IF(E165=0,"",(E170/E165)-1)))</f>
        <v/>
      </c>
      <c r="R170" s="23" t="str">
        <f>IF(ROW()&lt;7,"",IF(OR(G170="",G167=""),"",IF(G167=0,"",(G170/G167)-1)))</f>
        <v/>
      </c>
      <c r="S170" s="23" t="str">
        <f>IF(ROW()&lt;9,"",IF(OR(G170="",G165=""),"",IF(G165=0,"",(G170/G165)-1)))</f>
        <v/>
      </c>
      <c r="T170" s="23" t="str">
        <f>IF(ROW()&lt;7,"",IF(OR(L170="",L167=""),"",IF(L167=0,"",(L170/L167)-1)))</f>
        <v/>
      </c>
      <c r="U170" s="23" t="str">
        <f>IF(ROW()&lt;9,"",IF(OR(L170="",L165=""),"",IF(L165=0,"",(L170/L165)-1)))</f>
        <v/>
      </c>
      <c r="V170" s="23" t="str">
        <f>IF(ROW()&lt;7,"",IF(OR(N170="",N167=""),"",IF(N167=0,"",(N170/N167)-1)))</f>
        <v/>
      </c>
      <c r="W170" s="23" t="str">
        <f>IF(ROW()&lt;9,"",IF(OR(N170="",N165=""),"",IF(N165=0,"",(N170/N165)-1)))</f>
        <v/>
      </c>
      <c r="X170" s="23" t="str">
        <f>IF(OR(F170="",M170=""),"",F170-M170)</f>
        <v/>
      </c>
      <c r="Y170" s="23" t="str">
        <f>IF(OR(P170="",T170=""),"",P170-T170)</f>
        <v/>
      </c>
      <c r="Z170" s="23" t="str">
        <f>IF(OR(Q170="",U170=""),"",Q170-U170)</f>
        <v/>
      </c>
      <c r="AA170" s="23" t="str">
        <f>IF(OR(H170="",O170=""),"",H170-O170)</f>
        <v/>
      </c>
      <c r="AB170" s="23" t="str">
        <f>IF(OR(R170="",V170=""),"",R170-V170)</f>
        <v/>
      </c>
      <c r="AC170" s="23" t="str">
        <f>IF(OR(S170="",W170=""),"",S170-W170)</f>
        <v/>
      </c>
      <c r="AD170" s="13"/>
      <c r="AE170" s="23" t="str">
        <f>IF(OR(AD170="",AD169=""),"",IF(AD169=0,"",(AD170/AD169)-1))</f>
        <v/>
      </c>
      <c r="AF170" s="23" t="str">
        <f>IF(ROW()&lt;7,"",IF(OR(AD170="",AD167=""),"",IF(AD167=0,"",(AD170/AD167)-1)))</f>
        <v/>
      </c>
      <c r="AG170" s="23" t="str">
        <f>IF(ROW()&lt;9,"",IF(OR(AD170="",AD165=""),"",IF(AD165=0,"",(AD170/AD165)-1)))</f>
        <v/>
      </c>
      <c r="AH170" s="23" t="str">
        <f>IF(OR(AF170="",AG170=""),"",IF(AND(AF170&gt;0,AG170&gt;0),"Bull",IF(AND(AF170&lt;0,AG170&lt;0),"Bear","Mixed")))</f>
        <v/>
      </c>
      <c r="AI170" s="13"/>
      <c r="AJ170" s="13" t="str">
        <f>IF(OR(AI170="",AI169=""),"",IF(AI169=0,"",(AI170/AI169)-1))</f>
        <v/>
      </c>
      <c r="AK170" s="23" t="str">
        <f>IF(OR(AJ170="",AJ169=""),"",IF(AJ169=0,"",(AJ170/AJ169)-1))</f>
        <v/>
      </c>
      <c r="AL170" s="23" t="str">
        <f>IF(ROW()&lt;7,"",IF(OR(AJ170="",AJ167=""),"",IF(AJ167=0,"",(AJ170/AJ167)-1)))</f>
        <v/>
      </c>
      <c r="AM170" s="23" t="str">
        <f>IF(ROW()&lt;9,"",IF(OR(AJ170="",AJ165=""),"",IF(AJ165=0,"",(AJ170/AJ165)-1)))</f>
        <v/>
      </c>
      <c r="AN170" t="str">
        <f>IF(OR(AL170="",AM170=""),"",IF(AND(AL170&gt;0,AM170&gt;0),"Bull",IF(AND(AL170&lt;0,AM170&lt;0),"Bear","Mixed")))</f>
        <v/>
      </c>
      <c r="AO170" t="str">
        <f>IF(OR(AH170="",AN170=""),"",IF(AND(AH170="Bull",AN170="Bull"),"YES","NO"))</f>
        <v/>
      </c>
      <c r="AP170" t="str">
        <f>IF(OR(AH170="",AN170=""),"",IF(AND(AH170="Bear",AN170="Bear"),"YES","NO"))</f>
        <v/>
      </c>
      <c r="AQ170" t="str">
        <f>IF(AO170="YES",IF(SUM(N(X170),N(Y170),N(Z170))&gt;0,"SOXL","TQQQ"),IF(AP170="YES",IF(SUM(N(AA170),N(AB170),N(AC170))&gt;0,"SOXS","SQQQ"),"WAIT"))</f>
        <v>WAIT</v>
      </c>
      <c r="AR170" s="23" t="str">
        <f>IF(AO170="YES",IF(SUM(N(X170),N(Y170),N(Z170))&gt;0,"TQQQ","SOXL"),IF(AP170="YES",IF(SUM(N(AA170),N(AB170),N(AC170))&gt;0,"SQQQ","SOXS"),""))</f>
        <v/>
      </c>
      <c r="AS170" s="23" t="str">
        <f>IF(AQ170="WAIT","",IF(AR170="",1,0.6))</f>
        <v/>
      </c>
      <c r="AT170" s="23">
        <f>IF(AR170="",0,0.4)</f>
        <v>0</v>
      </c>
      <c r="AU170" s="23" t="str">
        <f>IF(AQ170="WAIT","WAIT",IF(AO170="YES","BULL",IF(AP170="YES","BEAR","WAIT")))</f>
        <v>WAIT</v>
      </c>
      <c r="AV170" t="str">
        <f>IF(AQ170="WAIT","Low",IF(OR(AND(AU170="BULL",ABS(SUM(N(X170),N(Y170),N(Z170)))&gt;=0.15),AND(AU170="BEAR",ABS(SUM(N(AA170),N(AB170),N(AC170)))&gt;=0.15)),"Strong",IF(OR(AND(AU170="BULL",ABS(SUM(N(X170),N(Y170),N(Z170)))&gt;=0.05),AND(AU170="BEAR",ABS(SUM(N(AA170),N(AB170),N(AC170)))&gt;=0.05)),"Moderate","Low")))</f>
        <v>Low</v>
      </c>
      <c r="AW170" t="str">
        <f>IF(AQ170="WAIT","QQQ and SMH not aligned",IF(AU170="BULL",IF(AQ170="SOXL","Bull regime; semiconductors leading","Bull regime; tech leading"),IF(AQ170="SOXS","Bear regime; semiconductors weakest","Bear regime; tech weakest")))</f>
        <v>QQQ and SMH not aligned</v>
      </c>
      <c r="AX170" t="str">
        <f>IF(AR170="WAIT","QQQ and SMH not aligned",IF(AV170="BULL",IF(AR170="SOXL","Bull regime; semiconductors leading","Bull regime; tech leading"),IF(AR170="SOXS","Bear regime; semiconductors weakest","Bear regime; tech weakest")))</f>
        <v>Bear regime; tech weakest</v>
      </c>
    </row>
    <row r="171" spans="1:50" x14ac:dyDescent="0.2">
      <c r="A171" s="12"/>
      <c r="B171" s="13"/>
      <c r="C171" s="13"/>
      <c r="D171" s="13"/>
      <c r="E171" s="13"/>
      <c r="F171" s="11" t="str">
        <f>IF(OR(E171="",E170=""),"",IF(E170=0,"",(E171/E170)-1))</f>
        <v/>
      </c>
      <c r="G171" s="13"/>
      <c r="H171" s="11" t="str">
        <f>IF(OR(G171="",G170=""),"",IF(G170=0,"",(G171/G170)-1))</f>
        <v/>
      </c>
      <c r="I171" s="13"/>
      <c r="J171" s="13"/>
      <c r="K171" s="13"/>
      <c r="L171" s="13"/>
      <c r="M171" s="23" t="str">
        <f>IF(OR(L171="",L170=""),"",IF(L170=0,"",(L171/L170)-1))</f>
        <v/>
      </c>
      <c r="N171" s="26" t="str">
        <f>IFERROR((M171/M170)-1,"")</f>
        <v/>
      </c>
      <c r="O171" s="23" t="str">
        <f>IF(OR(N171="",N170=""),"",IF(N170=0,"",(N171/N170)-1))</f>
        <v/>
      </c>
      <c r="P171" s="11" t="str">
        <f>IF(ROW()&lt;7,"",IF(OR(E171="",E168=""),"",IF(E168=0,"",(E171/E168)-1)))</f>
        <v/>
      </c>
      <c r="Q171" s="23" t="str">
        <f>IF(ROW()&lt;9,"",IF(OR(E171="",E166=""),"",IF(E166=0,"",(E171/E166)-1)))</f>
        <v/>
      </c>
      <c r="R171" s="23" t="str">
        <f>IF(ROW()&lt;7,"",IF(OR(G171="",G168=""),"",IF(G168=0,"",(G171/G168)-1)))</f>
        <v/>
      </c>
      <c r="S171" s="23" t="str">
        <f>IF(ROW()&lt;9,"",IF(OR(G171="",G166=""),"",IF(G166=0,"",(G171/G166)-1)))</f>
        <v/>
      </c>
      <c r="T171" s="23" t="str">
        <f>IF(ROW()&lt;7,"",IF(OR(L171="",L168=""),"",IF(L168=0,"",(L171/L168)-1)))</f>
        <v/>
      </c>
      <c r="U171" s="23" t="str">
        <f>IF(ROW()&lt;9,"",IF(OR(L171="",L166=""),"",IF(L166=0,"",(L171/L166)-1)))</f>
        <v/>
      </c>
      <c r="V171" s="23" t="str">
        <f>IF(ROW()&lt;7,"",IF(OR(N171="",N168=""),"",IF(N168=0,"",(N171/N168)-1)))</f>
        <v/>
      </c>
      <c r="W171" s="23" t="str">
        <f>IF(ROW()&lt;9,"",IF(OR(N171="",N166=""),"",IF(N166=0,"",(N171/N166)-1)))</f>
        <v/>
      </c>
      <c r="X171" s="23" t="str">
        <f>IF(OR(F171="",M171=""),"",F171-M171)</f>
        <v/>
      </c>
      <c r="Y171" s="23" t="str">
        <f>IF(OR(P171="",T171=""),"",P171-T171)</f>
        <v/>
      </c>
      <c r="Z171" s="23" t="str">
        <f>IF(OR(Q171="",U171=""),"",Q171-U171)</f>
        <v/>
      </c>
      <c r="AA171" s="23" t="str">
        <f>IF(OR(H171="",O171=""),"",H171-O171)</f>
        <v/>
      </c>
      <c r="AB171" s="23" t="str">
        <f>IF(OR(R171="",V171=""),"",R171-V171)</f>
        <v/>
      </c>
      <c r="AC171" s="23" t="str">
        <f>IF(OR(S171="",W171=""),"",S171-W171)</f>
        <v/>
      </c>
      <c r="AD171" s="13"/>
      <c r="AE171" s="23" t="str">
        <f>IF(OR(AD171="",AD170=""),"",IF(AD170=0,"",(AD171/AD170)-1))</f>
        <v/>
      </c>
      <c r="AF171" s="23" t="str">
        <f>IF(ROW()&lt;7,"",IF(OR(AD171="",AD168=""),"",IF(AD168=0,"",(AD171/AD168)-1)))</f>
        <v/>
      </c>
      <c r="AG171" s="23" t="str">
        <f>IF(ROW()&lt;9,"",IF(OR(AD171="",AD166=""),"",IF(AD166=0,"",(AD171/AD166)-1)))</f>
        <v/>
      </c>
      <c r="AH171" s="23" t="str">
        <f>IF(OR(AF171="",AG171=""),"",IF(AND(AF171&gt;0,AG171&gt;0),"Bull",IF(AND(AF171&lt;0,AG171&lt;0),"Bear","Mixed")))</f>
        <v/>
      </c>
      <c r="AI171" s="13"/>
      <c r="AJ171" s="13" t="str">
        <f>IF(OR(AI171="",AI170=""),"",IF(AI170=0,"",(AI171/AI170)-1))</f>
        <v/>
      </c>
      <c r="AK171" s="23" t="str">
        <f>IF(OR(AJ171="",AJ170=""),"",IF(AJ170=0,"",(AJ171/AJ170)-1))</f>
        <v/>
      </c>
      <c r="AL171" s="23" t="str">
        <f>IF(ROW()&lt;7,"",IF(OR(AJ171="",AJ168=""),"",IF(AJ168=0,"",(AJ171/AJ168)-1)))</f>
        <v/>
      </c>
      <c r="AM171" s="23" t="str">
        <f>IF(ROW()&lt;9,"",IF(OR(AJ171="",AJ166=""),"",IF(AJ166=0,"",(AJ171/AJ166)-1)))</f>
        <v/>
      </c>
      <c r="AN171" t="str">
        <f>IF(OR(AL171="",AM171=""),"",IF(AND(AL171&gt;0,AM171&gt;0),"Bull",IF(AND(AL171&lt;0,AM171&lt;0),"Bear","Mixed")))</f>
        <v/>
      </c>
      <c r="AO171" t="str">
        <f>IF(OR(AH171="",AN171=""),"",IF(AND(AH171="Bull",AN171="Bull"),"YES","NO"))</f>
        <v/>
      </c>
      <c r="AP171" t="str">
        <f>IF(OR(AH171="",AN171=""),"",IF(AND(AH171="Bear",AN171="Bear"),"YES","NO"))</f>
        <v/>
      </c>
      <c r="AQ171" t="str">
        <f>IF(AO171="YES",IF(SUM(N(X171),N(Y171),N(Z171))&gt;0,"SOXL","TQQQ"),IF(AP171="YES",IF(SUM(N(AA171),N(AB171),N(AC171))&gt;0,"SOXS","SQQQ"),"WAIT"))</f>
        <v>WAIT</v>
      </c>
      <c r="AR171" s="23" t="str">
        <f>IF(AO171="YES",IF(SUM(N(X171),N(Y171),N(Z171))&gt;0,"TQQQ","SOXL"),IF(AP171="YES",IF(SUM(N(AA171),N(AB171),N(AC171))&gt;0,"SQQQ","SOXS"),""))</f>
        <v/>
      </c>
      <c r="AS171" s="23" t="str">
        <f>IF(AQ171="WAIT","",IF(AR171="",1,0.6))</f>
        <v/>
      </c>
      <c r="AT171" s="23">
        <f>IF(AR171="",0,0.4)</f>
        <v>0</v>
      </c>
      <c r="AU171" s="23" t="str">
        <f>IF(AQ171="WAIT","WAIT",IF(AO171="YES","BULL",IF(AP171="YES","BEAR","WAIT")))</f>
        <v>WAIT</v>
      </c>
      <c r="AV171" t="str">
        <f>IF(AQ171="WAIT","Low",IF(OR(AND(AU171="BULL",ABS(SUM(N(X171),N(Y171),N(Z171)))&gt;=0.15),AND(AU171="BEAR",ABS(SUM(N(AA171),N(AB171),N(AC171)))&gt;=0.15)),"Strong",IF(OR(AND(AU171="BULL",ABS(SUM(N(X171),N(Y171),N(Z171)))&gt;=0.05),AND(AU171="BEAR",ABS(SUM(N(AA171),N(AB171),N(AC171)))&gt;=0.05)),"Moderate","Low")))</f>
        <v>Low</v>
      </c>
      <c r="AW171" t="str">
        <f>IF(AQ171="WAIT","QQQ and SMH not aligned",IF(AU171="BULL",IF(AQ171="SOXL","Bull regime; semiconductors leading","Bull regime; tech leading"),IF(AQ171="SOXS","Bear regime; semiconductors weakest","Bear regime; tech weakest")))</f>
        <v>QQQ and SMH not aligned</v>
      </c>
      <c r="AX171" t="str">
        <f>IF(AR171="WAIT","QQQ and SMH not aligned",IF(AV171="BULL",IF(AR171="SOXL","Bull regime; semiconductors leading","Bull regime; tech leading"),IF(AR171="SOXS","Bear regime; semiconductors weakest","Bear regime; tech weakest")))</f>
        <v>Bear regime; tech weakest</v>
      </c>
    </row>
    <row r="172" spans="1:50" x14ac:dyDescent="0.2">
      <c r="A172" s="12"/>
      <c r="B172" s="13"/>
      <c r="C172" s="13"/>
      <c r="D172" s="13"/>
      <c r="E172" s="13"/>
      <c r="F172" s="11" t="str">
        <f>IF(OR(E172="",E171=""),"",IF(E171=0,"",(E172/E171)-1))</f>
        <v/>
      </c>
      <c r="G172" s="13"/>
      <c r="H172" s="11" t="str">
        <f>IF(OR(G172="",G171=""),"",IF(G171=0,"",(G172/G171)-1))</f>
        <v/>
      </c>
      <c r="I172" s="13"/>
      <c r="J172" s="13"/>
      <c r="K172" s="13"/>
      <c r="L172" s="13"/>
      <c r="M172" s="23" t="str">
        <f>IF(OR(L172="",L171=""),"",IF(L171=0,"",(L172/L171)-1))</f>
        <v/>
      </c>
      <c r="N172" s="26" t="str">
        <f>IFERROR((M172/M171)-1,"")</f>
        <v/>
      </c>
      <c r="O172" s="23" t="str">
        <f>IF(OR(N172="",N171=""),"",IF(N171=0,"",(N172/N171)-1))</f>
        <v/>
      </c>
      <c r="P172" s="11" t="str">
        <f>IF(ROW()&lt;7,"",IF(OR(E172="",E169=""),"",IF(E169=0,"",(E172/E169)-1)))</f>
        <v/>
      </c>
      <c r="Q172" s="23" t="str">
        <f>IF(ROW()&lt;9,"",IF(OR(E172="",E167=""),"",IF(E167=0,"",(E172/E167)-1)))</f>
        <v/>
      </c>
      <c r="R172" s="23" t="str">
        <f>IF(ROW()&lt;7,"",IF(OR(G172="",G169=""),"",IF(G169=0,"",(G172/G169)-1)))</f>
        <v/>
      </c>
      <c r="S172" s="23" t="str">
        <f>IF(ROW()&lt;9,"",IF(OR(G172="",G167=""),"",IF(G167=0,"",(G172/G167)-1)))</f>
        <v/>
      </c>
      <c r="T172" s="23" t="str">
        <f>IF(ROW()&lt;7,"",IF(OR(L172="",L169=""),"",IF(L169=0,"",(L172/L169)-1)))</f>
        <v/>
      </c>
      <c r="U172" s="23" t="str">
        <f>IF(ROW()&lt;9,"",IF(OR(L172="",L167=""),"",IF(L167=0,"",(L172/L167)-1)))</f>
        <v/>
      </c>
      <c r="V172" s="23" t="str">
        <f>IF(ROW()&lt;7,"",IF(OR(N172="",N169=""),"",IF(N169=0,"",(N172/N169)-1)))</f>
        <v/>
      </c>
      <c r="W172" s="23" t="str">
        <f>IF(ROW()&lt;9,"",IF(OR(N172="",N167=""),"",IF(N167=0,"",(N172/N167)-1)))</f>
        <v/>
      </c>
      <c r="X172" s="23" t="str">
        <f>IF(OR(F172="",M172=""),"",F172-M172)</f>
        <v/>
      </c>
      <c r="Y172" s="23" t="str">
        <f>IF(OR(P172="",T172=""),"",P172-T172)</f>
        <v/>
      </c>
      <c r="Z172" s="23" t="str">
        <f>IF(OR(Q172="",U172=""),"",Q172-U172)</f>
        <v/>
      </c>
      <c r="AA172" s="23" t="str">
        <f>IF(OR(H172="",O172=""),"",H172-O172)</f>
        <v/>
      </c>
      <c r="AB172" s="23" t="str">
        <f>IF(OR(R172="",V172=""),"",R172-V172)</f>
        <v/>
      </c>
      <c r="AC172" s="23" t="str">
        <f>IF(OR(S172="",W172=""),"",S172-W172)</f>
        <v/>
      </c>
      <c r="AD172" s="13"/>
      <c r="AE172" s="23" t="str">
        <f>IF(OR(AD172="",AD171=""),"",IF(AD171=0,"",(AD172/AD171)-1))</f>
        <v/>
      </c>
      <c r="AF172" s="23" t="str">
        <f>IF(ROW()&lt;7,"",IF(OR(AD172="",AD169=""),"",IF(AD169=0,"",(AD172/AD169)-1)))</f>
        <v/>
      </c>
      <c r="AG172" s="23" t="str">
        <f>IF(ROW()&lt;9,"",IF(OR(AD172="",AD167=""),"",IF(AD167=0,"",(AD172/AD167)-1)))</f>
        <v/>
      </c>
      <c r="AH172" s="23" t="str">
        <f>IF(OR(AF172="",AG172=""),"",IF(AND(AF172&gt;0,AG172&gt;0),"Bull",IF(AND(AF172&lt;0,AG172&lt;0),"Bear","Mixed")))</f>
        <v/>
      </c>
      <c r="AI172" s="13"/>
      <c r="AJ172" s="13" t="str">
        <f>IF(OR(AI172="",AI171=""),"",IF(AI171=0,"",(AI172/AI171)-1))</f>
        <v/>
      </c>
      <c r="AK172" s="23" t="str">
        <f>IF(OR(AJ172="",AJ171=""),"",IF(AJ171=0,"",(AJ172/AJ171)-1))</f>
        <v/>
      </c>
      <c r="AL172" s="23" t="str">
        <f>IF(ROW()&lt;7,"",IF(OR(AJ172="",AJ169=""),"",IF(AJ169=0,"",(AJ172/AJ169)-1)))</f>
        <v/>
      </c>
      <c r="AM172" s="23" t="str">
        <f>IF(ROW()&lt;9,"",IF(OR(AJ172="",AJ167=""),"",IF(AJ167=0,"",(AJ172/AJ167)-1)))</f>
        <v/>
      </c>
      <c r="AN172" t="str">
        <f>IF(OR(AL172="",AM172=""),"",IF(AND(AL172&gt;0,AM172&gt;0),"Bull",IF(AND(AL172&lt;0,AM172&lt;0),"Bear","Mixed")))</f>
        <v/>
      </c>
      <c r="AO172" t="str">
        <f>IF(OR(AH172="",AN172=""),"",IF(AND(AH172="Bull",AN172="Bull"),"YES","NO"))</f>
        <v/>
      </c>
      <c r="AP172" t="str">
        <f>IF(OR(AH172="",AN172=""),"",IF(AND(AH172="Bear",AN172="Bear"),"YES","NO"))</f>
        <v/>
      </c>
      <c r="AQ172" t="str">
        <f>IF(AO172="YES",IF(SUM(N(X172),N(Y172),N(Z172))&gt;0,"SOXL","TQQQ"),IF(AP172="YES",IF(SUM(N(AA172),N(AB172),N(AC172))&gt;0,"SOXS","SQQQ"),"WAIT"))</f>
        <v>WAIT</v>
      </c>
      <c r="AR172" s="23" t="str">
        <f>IF(AO172="YES",IF(SUM(N(X172),N(Y172),N(Z172))&gt;0,"TQQQ","SOXL"),IF(AP172="YES",IF(SUM(N(AA172),N(AB172),N(AC172))&gt;0,"SQQQ","SOXS"),""))</f>
        <v/>
      </c>
      <c r="AS172" s="23" t="str">
        <f>IF(AQ172="WAIT","",IF(AR172="",1,0.6))</f>
        <v/>
      </c>
      <c r="AT172" s="23">
        <f>IF(AR172="",0,0.4)</f>
        <v>0</v>
      </c>
      <c r="AU172" s="23" t="str">
        <f>IF(AQ172="WAIT","WAIT",IF(AO172="YES","BULL",IF(AP172="YES","BEAR","WAIT")))</f>
        <v>WAIT</v>
      </c>
      <c r="AV172" t="str">
        <f>IF(AQ172="WAIT","Low",IF(OR(AND(AU172="BULL",ABS(SUM(N(X172),N(Y172),N(Z172)))&gt;=0.15),AND(AU172="BEAR",ABS(SUM(N(AA172),N(AB172),N(AC172)))&gt;=0.15)),"Strong",IF(OR(AND(AU172="BULL",ABS(SUM(N(X172),N(Y172),N(Z172)))&gt;=0.05),AND(AU172="BEAR",ABS(SUM(N(AA172),N(AB172),N(AC172)))&gt;=0.05)),"Moderate","Low")))</f>
        <v>Low</v>
      </c>
      <c r="AW172" t="str">
        <f>IF(AQ172="WAIT","QQQ and SMH not aligned",IF(AU172="BULL",IF(AQ172="SOXL","Bull regime; semiconductors leading","Bull regime; tech leading"),IF(AQ172="SOXS","Bear regime; semiconductors weakest","Bear regime; tech weakest")))</f>
        <v>QQQ and SMH not aligned</v>
      </c>
      <c r="AX172" t="str">
        <f>IF(AR172="WAIT","QQQ and SMH not aligned",IF(AV172="BULL",IF(AR172="SOXL","Bull regime; semiconductors leading","Bull regime; tech leading"),IF(AR172="SOXS","Bear regime; semiconductors weakest","Bear regime; tech weakest")))</f>
        <v>Bear regime; tech weakest</v>
      </c>
    </row>
    <row r="173" spans="1:50" x14ac:dyDescent="0.2">
      <c r="A173" s="12"/>
      <c r="B173" s="13"/>
      <c r="C173" s="13"/>
      <c r="D173" s="13"/>
      <c r="E173" s="13"/>
      <c r="F173" s="11" t="str">
        <f>IF(OR(E173="",E172=""),"",IF(E172=0,"",(E173/E172)-1))</f>
        <v/>
      </c>
      <c r="G173" s="13"/>
      <c r="H173" s="11" t="str">
        <f>IF(OR(G173="",G172=""),"",IF(G172=0,"",(G173/G172)-1))</f>
        <v/>
      </c>
      <c r="I173" s="13"/>
      <c r="J173" s="13"/>
      <c r="K173" s="13"/>
      <c r="L173" s="13"/>
      <c r="M173" s="23" t="str">
        <f>IF(OR(L173="",L172=""),"",IF(L172=0,"",(L173/L172)-1))</f>
        <v/>
      </c>
      <c r="N173" s="26" t="str">
        <f>IFERROR((M173/M172)-1,"")</f>
        <v/>
      </c>
      <c r="O173" s="23" t="str">
        <f>IF(OR(N173="",N172=""),"",IF(N172=0,"",(N173/N172)-1))</f>
        <v/>
      </c>
      <c r="P173" s="11" t="str">
        <f>IF(ROW()&lt;7,"",IF(OR(E173="",E170=""),"",IF(E170=0,"",(E173/E170)-1)))</f>
        <v/>
      </c>
      <c r="Q173" s="23" t="str">
        <f>IF(ROW()&lt;9,"",IF(OR(E173="",E168=""),"",IF(E168=0,"",(E173/E168)-1)))</f>
        <v/>
      </c>
      <c r="R173" s="23" t="str">
        <f>IF(ROW()&lt;7,"",IF(OR(G173="",G170=""),"",IF(G170=0,"",(G173/G170)-1)))</f>
        <v/>
      </c>
      <c r="S173" s="23" t="str">
        <f>IF(ROW()&lt;9,"",IF(OR(G173="",G168=""),"",IF(G168=0,"",(G173/G168)-1)))</f>
        <v/>
      </c>
      <c r="T173" s="23" t="str">
        <f>IF(ROW()&lt;7,"",IF(OR(L173="",L170=""),"",IF(L170=0,"",(L173/L170)-1)))</f>
        <v/>
      </c>
      <c r="U173" s="23" t="str">
        <f>IF(ROW()&lt;9,"",IF(OR(L173="",L168=""),"",IF(L168=0,"",(L173/L168)-1)))</f>
        <v/>
      </c>
      <c r="V173" s="23" t="str">
        <f>IF(ROW()&lt;7,"",IF(OR(N173="",N170=""),"",IF(N170=0,"",(N173/N170)-1)))</f>
        <v/>
      </c>
      <c r="W173" s="23" t="str">
        <f>IF(ROW()&lt;9,"",IF(OR(N173="",N168=""),"",IF(N168=0,"",(N173/N168)-1)))</f>
        <v/>
      </c>
      <c r="X173" s="23" t="str">
        <f>IF(OR(F173="",M173=""),"",F173-M173)</f>
        <v/>
      </c>
      <c r="Y173" s="23" t="str">
        <f>IF(OR(P173="",T173=""),"",P173-T173)</f>
        <v/>
      </c>
      <c r="Z173" s="23" t="str">
        <f>IF(OR(Q173="",U173=""),"",Q173-U173)</f>
        <v/>
      </c>
      <c r="AA173" s="23" t="str">
        <f>IF(OR(H173="",O173=""),"",H173-O173)</f>
        <v/>
      </c>
      <c r="AB173" s="23" t="str">
        <f>IF(OR(R173="",V173=""),"",R173-V173)</f>
        <v/>
      </c>
      <c r="AC173" s="23" t="str">
        <f>IF(OR(S173="",W173=""),"",S173-W173)</f>
        <v/>
      </c>
      <c r="AD173" s="13"/>
      <c r="AE173" s="23" t="str">
        <f>IF(OR(AD173="",AD172=""),"",IF(AD172=0,"",(AD173/AD172)-1))</f>
        <v/>
      </c>
      <c r="AF173" s="23" t="str">
        <f>IF(ROW()&lt;7,"",IF(OR(AD173="",AD170=""),"",IF(AD170=0,"",(AD173/AD170)-1)))</f>
        <v/>
      </c>
      <c r="AG173" s="23" t="str">
        <f>IF(ROW()&lt;9,"",IF(OR(AD173="",AD168=""),"",IF(AD168=0,"",(AD173/AD168)-1)))</f>
        <v/>
      </c>
      <c r="AH173" s="23" t="str">
        <f>IF(OR(AF173="",AG173=""),"",IF(AND(AF173&gt;0,AG173&gt;0),"Bull",IF(AND(AF173&lt;0,AG173&lt;0),"Bear","Mixed")))</f>
        <v/>
      </c>
      <c r="AI173" s="13"/>
      <c r="AJ173" s="13" t="str">
        <f>IF(OR(AI173="",AI172=""),"",IF(AI172=0,"",(AI173/AI172)-1))</f>
        <v/>
      </c>
      <c r="AK173" s="23" t="str">
        <f>IF(OR(AJ173="",AJ172=""),"",IF(AJ172=0,"",(AJ173/AJ172)-1))</f>
        <v/>
      </c>
      <c r="AL173" s="23" t="str">
        <f>IF(ROW()&lt;7,"",IF(OR(AJ173="",AJ170=""),"",IF(AJ170=0,"",(AJ173/AJ170)-1)))</f>
        <v/>
      </c>
      <c r="AM173" s="23" t="str">
        <f>IF(ROW()&lt;9,"",IF(OR(AJ173="",AJ168=""),"",IF(AJ168=0,"",(AJ173/AJ168)-1)))</f>
        <v/>
      </c>
      <c r="AN173" t="str">
        <f>IF(OR(AL173="",AM173=""),"",IF(AND(AL173&gt;0,AM173&gt;0),"Bull",IF(AND(AL173&lt;0,AM173&lt;0),"Bear","Mixed")))</f>
        <v/>
      </c>
      <c r="AO173" t="str">
        <f>IF(OR(AH173="",AN173=""),"",IF(AND(AH173="Bull",AN173="Bull"),"YES","NO"))</f>
        <v/>
      </c>
      <c r="AP173" t="str">
        <f>IF(OR(AH173="",AN173=""),"",IF(AND(AH173="Bear",AN173="Bear"),"YES","NO"))</f>
        <v/>
      </c>
      <c r="AQ173" t="str">
        <f>IF(AO173="YES",IF(SUM(N(X173),N(Y173),N(Z173))&gt;0,"SOXL","TQQQ"),IF(AP173="YES",IF(SUM(N(AA173),N(AB173),N(AC173))&gt;0,"SOXS","SQQQ"),"WAIT"))</f>
        <v>WAIT</v>
      </c>
      <c r="AR173" s="23" t="str">
        <f>IF(AO173="YES",IF(SUM(N(X173),N(Y173),N(Z173))&gt;0,"TQQQ","SOXL"),IF(AP173="YES",IF(SUM(N(AA173),N(AB173),N(AC173))&gt;0,"SQQQ","SOXS"),""))</f>
        <v/>
      </c>
      <c r="AS173" s="23" t="str">
        <f>IF(AQ173="WAIT","",IF(AR173="",1,0.6))</f>
        <v/>
      </c>
      <c r="AT173" s="23">
        <f>IF(AR173="",0,0.4)</f>
        <v>0</v>
      </c>
      <c r="AU173" s="23" t="str">
        <f>IF(AQ173="WAIT","WAIT",IF(AO173="YES","BULL",IF(AP173="YES","BEAR","WAIT")))</f>
        <v>WAIT</v>
      </c>
      <c r="AV173" t="str">
        <f>IF(AQ173="WAIT","Low",IF(OR(AND(AU173="BULL",ABS(SUM(N(X173),N(Y173),N(Z173)))&gt;=0.15),AND(AU173="BEAR",ABS(SUM(N(AA173),N(AB173),N(AC173)))&gt;=0.15)),"Strong",IF(OR(AND(AU173="BULL",ABS(SUM(N(X173),N(Y173),N(Z173)))&gt;=0.05),AND(AU173="BEAR",ABS(SUM(N(AA173),N(AB173),N(AC173)))&gt;=0.05)),"Moderate","Low")))</f>
        <v>Low</v>
      </c>
      <c r="AW173" t="str">
        <f>IF(AQ173="WAIT","QQQ and SMH not aligned",IF(AU173="BULL",IF(AQ173="SOXL","Bull regime; semiconductors leading","Bull regime; tech leading"),IF(AQ173="SOXS","Bear regime; semiconductors weakest","Bear regime; tech weakest")))</f>
        <v>QQQ and SMH not aligned</v>
      </c>
      <c r="AX173" t="str">
        <f>IF(AR173="WAIT","QQQ and SMH not aligned",IF(AV173="BULL",IF(AR173="SOXL","Bull regime; semiconductors leading","Bull regime; tech leading"),IF(AR173="SOXS","Bear regime; semiconductors weakest","Bear regime; tech weakest")))</f>
        <v>Bear regime; tech weakest</v>
      </c>
    </row>
    <row r="174" spans="1:50" x14ac:dyDescent="0.2">
      <c r="A174" s="12"/>
      <c r="B174" s="13"/>
      <c r="C174" s="13"/>
      <c r="D174" s="13"/>
      <c r="E174" s="13"/>
      <c r="F174" s="11" t="str">
        <f>IF(OR(E174="",E173=""),"",IF(E173=0,"",(E174/E173)-1))</f>
        <v/>
      </c>
      <c r="G174" s="13"/>
      <c r="H174" s="11" t="str">
        <f>IF(OR(G174="",G173=""),"",IF(G173=0,"",(G174/G173)-1))</f>
        <v/>
      </c>
      <c r="I174" s="13"/>
      <c r="J174" s="13"/>
      <c r="K174" s="13"/>
      <c r="L174" s="13"/>
      <c r="M174" s="23" t="str">
        <f>IF(OR(L174="",L173=""),"",IF(L173=0,"",(L174/L173)-1))</f>
        <v/>
      </c>
      <c r="N174" s="26" t="str">
        <f>IFERROR((M174/M173)-1,"")</f>
        <v/>
      </c>
      <c r="O174" s="23" t="str">
        <f>IF(OR(N174="",N173=""),"",IF(N173=0,"",(N174/N173)-1))</f>
        <v/>
      </c>
      <c r="P174" s="11" t="str">
        <f>IF(ROW()&lt;7,"",IF(OR(E174="",E171=""),"",IF(E171=0,"",(E174/E171)-1)))</f>
        <v/>
      </c>
      <c r="Q174" s="23" t="str">
        <f>IF(ROW()&lt;9,"",IF(OR(E174="",E169=""),"",IF(E169=0,"",(E174/E169)-1)))</f>
        <v/>
      </c>
      <c r="R174" s="23" t="str">
        <f>IF(ROW()&lt;7,"",IF(OR(G174="",G171=""),"",IF(G171=0,"",(G174/G171)-1)))</f>
        <v/>
      </c>
      <c r="S174" s="23" t="str">
        <f>IF(ROW()&lt;9,"",IF(OR(G174="",G169=""),"",IF(G169=0,"",(G174/G169)-1)))</f>
        <v/>
      </c>
      <c r="T174" s="23" t="str">
        <f>IF(ROW()&lt;7,"",IF(OR(L174="",L171=""),"",IF(L171=0,"",(L174/L171)-1)))</f>
        <v/>
      </c>
      <c r="U174" s="23" t="str">
        <f>IF(ROW()&lt;9,"",IF(OR(L174="",L169=""),"",IF(L169=0,"",(L174/L169)-1)))</f>
        <v/>
      </c>
      <c r="V174" s="23" t="str">
        <f>IF(ROW()&lt;7,"",IF(OR(N174="",N171=""),"",IF(N171=0,"",(N174/N171)-1)))</f>
        <v/>
      </c>
      <c r="W174" s="23" t="str">
        <f>IF(ROW()&lt;9,"",IF(OR(N174="",N169=""),"",IF(N169=0,"",(N174/N169)-1)))</f>
        <v/>
      </c>
      <c r="X174" s="23" t="str">
        <f>IF(OR(F174="",M174=""),"",F174-M174)</f>
        <v/>
      </c>
      <c r="Y174" s="23" t="str">
        <f>IF(OR(P174="",T174=""),"",P174-T174)</f>
        <v/>
      </c>
      <c r="Z174" s="23" t="str">
        <f>IF(OR(Q174="",U174=""),"",Q174-U174)</f>
        <v/>
      </c>
      <c r="AA174" s="23" t="str">
        <f>IF(OR(H174="",O174=""),"",H174-O174)</f>
        <v/>
      </c>
      <c r="AB174" s="23" t="str">
        <f>IF(OR(R174="",V174=""),"",R174-V174)</f>
        <v/>
      </c>
      <c r="AC174" s="23" t="str">
        <f>IF(OR(S174="",W174=""),"",S174-W174)</f>
        <v/>
      </c>
      <c r="AD174" s="13"/>
      <c r="AE174" s="23" t="str">
        <f>IF(OR(AD174="",AD173=""),"",IF(AD173=0,"",(AD174/AD173)-1))</f>
        <v/>
      </c>
      <c r="AF174" s="23" t="str">
        <f>IF(ROW()&lt;7,"",IF(OR(AD174="",AD171=""),"",IF(AD171=0,"",(AD174/AD171)-1)))</f>
        <v/>
      </c>
      <c r="AG174" s="23" t="str">
        <f>IF(ROW()&lt;9,"",IF(OR(AD174="",AD169=""),"",IF(AD169=0,"",(AD174/AD169)-1)))</f>
        <v/>
      </c>
      <c r="AH174" s="23" t="str">
        <f>IF(OR(AF174="",AG174=""),"",IF(AND(AF174&gt;0,AG174&gt;0),"Bull",IF(AND(AF174&lt;0,AG174&lt;0),"Bear","Mixed")))</f>
        <v/>
      </c>
      <c r="AI174" s="13"/>
      <c r="AJ174" s="13" t="str">
        <f>IF(OR(AI174="",AI173=""),"",IF(AI173=0,"",(AI174/AI173)-1))</f>
        <v/>
      </c>
      <c r="AK174" s="23" t="str">
        <f>IF(OR(AJ174="",AJ173=""),"",IF(AJ173=0,"",(AJ174/AJ173)-1))</f>
        <v/>
      </c>
      <c r="AL174" s="23" t="str">
        <f>IF(ROW()&lt;7,"",IF(OR(AJ174="",AJ171=""),"",IF(AJ171=0,"",(AJ174/AJ171)-1)))</f>
        <v/>
      </c>
      <c r="AM174" s="23" t="str">
        <f>IF(ROW()&lt;9,"",IF(OR(AJ174="",AJ169=""),"",IF(AJ169=0,"",(AJ174/AJ169)-1)))</f>
        <v/>
      </c>
      <c r="AN174" t="str">
        <f>IF(OR(AL174="",AM174=""),"",IF(AND(AL174&gt;0,AM174&gt;0),"Bull",IF(AND(AL174&lt;0,AM174&lt;0),"Bear","Mixed")))</f>
        <v/>
      </c>
      <c r="AO174" t="str">
        <f>IF(OR(AH174="",AN174=""),"",IF(AND(AH174="Bull",AN174="Bull"),"YES","NO"))</f>
        <v/>
      </c>
      <c r="AP174" t="str">
        <f>IF(OR(AH174="",AN174=""),"",IF(AND(AH174="Bear",AN174="Bear"),"YES","NO"))</f>
        <v/>
      </c>
      <c r="AQ174" t="str">
        <f>IF(AO174="YES",IF(SUM(N(X174),N(Y174),N(Z174))&gt;0,"SOXL","TQQQ"),IF(AP174="YES",IF(SUM(N(AA174),N(AB174),N(AC174))&gt;0,"SOXS","SQQQ"),"WAIT"))</f>
        <v>WAIT</v>
      </c>
      <c r="AR174" s="23" t="str">
        <f>IF(AO174="YES",IF(SUM(N(X174),N(Y174),N(Z174))&gt;0,"TQQQ","SOXL"),IF(AP174="YES",IF(SUM(N(AA174),N(AB174),N(AC174))&gt;0,"SQQQ","SOXS"),""))</f>
        <v/>
      </c>
      <c r="AS174" s="23" t="str">
        <f>IF(AQ174="WAIT","",IF(AR174="",1,0.6))</f>
        <v/>
      </c>
      <c r="AT174" s="23">
        <f>IF(AR174="",0,0.4)</f>
        <v>0</v>
      </c>
      <c r="AU174" s="23" t="str">
        <f>IF(AQ174="WAIT","WAIT",IF(AO174="YES","BULL",IF(AP174="YES","BEAR","WAIT")))</f>
        <v>WAIT</v>
      </c>
      <c r="AV174" t="str">
        <f>IF(AQ174="WAIT","Low",IF(OR(AND(AU174="BULL",ABS(SUM(N(X174),N(Y174),N(Z174)))&gt;=0.15),AND(AU174="BEAR",ABS(SUM(N(AA174),N(AB174),N(AC174)))&gt;=0.15)),"Strong",IF(OR(AND(AU174="BULL",ABS(SUM(N(X174),N(Y174),N(Z174)))&gt;=0.05),AND(AU174="BEAR",ABS(SUM(N(AA174),N(AB174),N(AC174)))&gt;=0.05)),"Moderate","Low")))</f>
        <v>Low</v>
      </c>
      <c r="AW174" t="str">
        <f>IF(AQ174="WAIT","QQQ and SMH not aligned",IF(AU174="BULL",IF(AQ174="SOXL","Bull regime; semiconductors leading","Bull regime; tech leading"),IF(AQ174="SOXS","Bear regime; semiconductors weakest","Bear regime; tech weakest")))</f>
        <v>QQQ and SMH not aligned</v>
      </c>
      <c r="AX174" t="str">
        <f>IF(AR174="WAIT","QQQ and SMH not aligned",IF(AV174="BULL",IF(AR174="SOXL","Bull regime; semiconductors leading","Bull regime; tech leading"),IF(AR174="SOXS","Bear regime; semiconductors weakest","Bear regime; tech weakest")))</f>
        <v>Bear regime; tech weakest</v>
      </c>
    </row>
    <row r="175" spans="1:50" x14ac:dyDescent="0.2">
      <c r="A175" s="12"/>
      <c r="B175" s="13"/>
      <c r="C175" s="13"/>
      <c r="D175" s="13"/>
      <c r="E175" s="13"/>
      <c r="F175" s="11" t="str">
        <f>IF(OR(E175="",E174=""),"",IF(E174=0,"",(E175/E174)-1))</f>
        <v/>
      </c>
      <c r="G175" s="13"/>
      <c r="H175" s="11" t="str">
        <f>IF(OR(G175="",G174=""),"",IF(G174=0,"",(G175/G174)-1))</f>
        <v/>
      </c>
      <c r="I175" s="13"/>
      <c r="J175" s="13"/>
      <c r="K175" s="13"/>
      <c r="L175" s="13"/>
      <c r="M175" s="23" t="str">
        <f>IF(OR(L175="",L174=""),"",IF(L174=0,"",(L175/L174)-1))</f>
        <v/>
      </c>
      <c r="N175" s="26" t="str">
        <f>IFERROR((M175/M174)-1,"")</f>
        <v/>
      </c>
      <c r="O175" s="23" t="str">
        <f>IF(OR(N175="",N174=""),"",IF(N174=0,"",(N175/N174)-1))</f>
        <v/>
      </c>
      <c r="P175" s="11" t="str">
        <f>IF(ROW()&lt;7,"",IF(OR(E175="",E172=""),"",IF(E172=0,"",(E175/E172)-1)))</f>
        <v/>
      </c>
      <c r="Q175" s="23" t="str">
        <f>IF(ROW()&lt;9,"",IF(OR(E175="",E170=""),"",IF(E170=0,"",(E175/E170)-1)))</f>
        <v/>
      </c>
      <c r="R175" s="23" t="str">
        <f>IF(ROW()&lt;7,"",IF(OR(G175="",G172=""),"",IF(G172=0,"",(G175/G172)-1)))</f>
        <v/>
      </c>
      <c r="S175" s="23" t="str">
        <f>IF(ROW()&lt;9,"",IF(OR(G175="",G170=""),"",IF(G170=0,"",(G175/G170)-1)))</f>
        <v/>
      </c>
      <c r="T175" s="23" t="str">
        <f>IF(ROW()&lt;7,"",IF(OR(L175="",L172=""),"",IF(L172=0,"",(L175/L172)-1)))</f>
        <v/>
      </c>
      <c r="U175" s="23" t="str">
        <f>IF(ROW()&lt;9,"",IF(OR(L175="",L170=""),"",IF(L170=0,"",(L175/L170)-1)))</f>
        <v/>
      </c>
      <c r="V175" s="23" t="str">
        <f>IF(ROW()&lt;7,"",IF(OR(N175="",N172=""),"",IF(N172=0,"",(N175/N172)-1)))</f>
        <v/>
      </c>
      <c r="W175" s="23" t="str">
        <f>IF(ROW()&lt;9,"",IF(OR(N175="",N170=""),"",IF(N170=0,"",(N175/N170)-1)))</f>
        <v/>
      </c>
      <c r="X175" s="23" t="str">
        <f>IF(OR(F175="",M175=""),"",F175-M175)</f>
        <v/>
      </c>
      <c r="Y175" s="23" t="str">
        <f>IF(OR(P175="",T175=""),"",P175-T175)</f>
        <v/>
      </c>
      <c r="Z175" s="23" t="str">
        <f>IF(OR(Q175="",U175=""),"",Q175-U175)</f>
        <v/>
      </c>
      <c r="AA175" s="23" t="str">
        <f>IF(OR(H175="",O175=""),"",H175-O175)</f>
        <v/>
      </c>
      <c r="AB175" s="23" t="str">
        <f>IF(OR(R175="",V175=""),"",R175-V175)</f>
        <v/>
      </c>
      <c r="AC175" s="23" t="str">
        <f>IF(OR(S175="",W175=""),"",S175-W175)</f>
        <v/>
      </c>
      <c r="AD175" s="13"/>
      <c r="AE175" s="23" t="str">
        <f>IF(OR(AD175="",AD174=""),"",IF(AD174=0,"",(AD175/AD174)-1))</f>
        <v/>
      </c>
      <c r="AF175" s="23" t="str">
        <f>IF(ROW()&lt;7,"",IF(OR(AD175="",AD172=""),"",IF(AD172=0,"",(AD175/AD172)-1)))</f>
        <v/>
      </c>
      <c r="AG175" s="23" t="str">
        <f>IF(ROW()&lt;9,"",IF(OR(AD175="",AD170=""),"",IF(AD170=0,"",(AD175/AD170)-1)))</f>
        <v/>
      </c>
      <c r="AH175" s="23" t="str">
        <f>IF(OR(AF175="",AG175=""),"",IF(AND(AF175&gt;0,AG175&gt;0),"Bull",IF(AND(AF175&lt;0,AG175&lt;0),"Bear","Mixed")))</f>
        <v/>
      </c>
      <c r="AI175" s="13"/>
      <c r="AJ175" s="13" t="str">
        <f>IF(OR(AI175="",AI174=""),"",IF(AI174=0,"",(AI175/AI174)-1))</f>
        <v/>
      </c>
      <c r="AK175" s="23" t="str">
        <f>IF(OR(AJ175="",AJ174=""),"",IF(AJ174=0,"",(AJ175/AJ174)-1))</f>
        <v/>
      </c>
      <c r="AL175" s="23" t="str">
        <f>IF(ROW()&lt;7,"",IF(OR(AJ175="",AJ172=""),"",IF(AJ172=0,"",(AJ175/AJ172)-1)))</f>
        <v/>
      </c>
      <c r="AM175" s="23" t="str">
        <f>IF(ROW()&lt;9,"",IF(OR(AJ175="",AJ170=""),"",IF(AJ170=0,"",(AJ175/AJ170)-1)))</f>
        <v/>
      </c>
      <c r="AN175" t="str">
        <f>IF(OR(AL175="",AM175=""),"",IF(AND(AL175&gt;0,AM175&gt;0),"Bull",IF(AND(AL175&lt;0,AM175&lt;0),"Bear","Mixed")))</f>
        <v/>
      </c>
      <c r="AO175" t="str">
        <f>IF(OR(AH175="",AN175=""),"",IF(AND(AH175="Bull",AN175="Bull"),"YES","NO"))</f>
        <v/>
      </c>
      <c r="AP175" t="str">
        <f>IF(OR(AH175="",AN175=""),"",IF(AND(AH175="Bear",AN175="Bear"),"YES","NO"))</f>
        <v/>
      </c>
      <c r="AQ175" t="str">
        <f>IF(AO175="YES",IF(SUM(N(X175),N(Y175),N(Z175))&gt;0,"SOXL","TQQQ"),IF(AP175="YES",IF(SUM(N(AA175),N(AB175),N(AC175))&gt;0,"SOXS","SQQQ"),"WAIT"))</f>
        <v>WAIT</v>
      </c>
      <c r="AR175" s="23" t="str">
        <f>IF(AO175="YES",IF(SUM(N(X175),N(Y175),N(Z175))&gt;0,"TQQQ","SOXL"),IF(AP175="YES",IF(SUM(N(AA175),N(AB175),N(AC175))&gt;0,"SQQQ","SOXS"),""))</f>
        <v/>
      </c>
      <c r="AS175" s="23" t="str">
        <f>IF(AQ175="WAIT","",IF(AR175="",1,0.6))</f>
        <v/>
      </c>
      <c r="AT175" s="23">
        <f>IF(AR175="",0,0.4)</f>
        <v>0</v>
      </c>
      <c r="AU175" s="23" t="str">
        <f>IF(AQ175="WAIT","WAIT",IF(AO175="YES","BULL",IF(AP175="YES","BEAR","WAIT")))</f>
        <v>WAIT</v>
      </c>
      <c r="AV175" t="str">
        <f>IF(AQ175="WAIT","Low",IF(OR(AND(AU175="BULL",ABS(SUM(N(X175),N(Y175),N(Z175)))&gt;=0.15),AND(AU175="BEAR",ABS(SUM(N(AA175),N(AB175),N(AC175)))&gt;=0.15)),"Strong",IF(OR(AND(AU175="BULL",ABS(SUM(N(X175),N(Y175),N(Z175)))&gt;=0.05),AND(AU175="BEAR",ABS(SUM(N(AA175),N(AB175),N(AC175)))&gt;=0.05)),"Moderate","Low")))</f>
        <v>Low</v>
      </c>
      <c r="AW175" t="str">
        <f>IF(AQ175="WAIT","QQQ and SMH not aligned",IF(AU175="BULL",IF(AQ175="SOXL","Bull regime; semiconductors leading","Bull regime; tech leading"),IF(AQ175="SOXS","Bear regime; semiconductors weakest","Bear regime; tech weakest")))</f>
        <v>QQQ and SMH not aligned</v>
      </c>
      <c r="AX175" t="str">
        <f>IF(AR175="WAIT","QQQ and SMH not aligned",IF(AV175="BULL",IF(AR175="SOXL","Bull regime; semiconductors leading","Bull regime; tech leading"),IF(AR175="SOXS","Bear regime; semiconductors weakest","Bear regime; tech weakest")))</f>
        <v>Bear regime; tech weakest</v>
      </c>
    </row>
    <row r="176" spans="1:50" x14ac:dyDescent="0.2">
      <c r="A176" s="12"/>
      <c r="B176" s="13"/>
      <c r="C176" s="13"/>
      <c r="D176" s="13"/>
      <c r="E176" s="13"/>
      <c r="F176" s="11" t="str">
        <f>IF(OR(E176="",E175=""),"",IF(E175=0,"",(E176/E175)-1))</f>
        <v/>
      </c>
      <c r="G176" s="13"/>
      <c r="H176" s="11" t="str">
        <f>IF(OR(G176="",G175=""),"",IF(G175=0,"",(G176/G175)-1))</f>
        <v/>
      </c>
      <c r="I176" s="13"/>
      <c r="J176" s="13"/>
      <c r="K176" s="13"/>
      <c r="L176" s="13"/>
      <c r="M176" s="23" t="str">
        <f>IF(OR(L176="",L175=""),"",IF(L175=0,"",(L176/L175)-1))</f>
        <v/>
      </c>
      <c r="N176" s="26" t="str">
        <f>IFERROR((M176/M175)-1,"")</f>
        <v/>
      </c>
      <c r="O176" s="23" t="str">
        <f>IF(OR(N176="",N175=""),"",IF(N175=0,"",(N176/N175)-1))</f>
        <v/>
      </c>
      <c r="P176" s="11" t="str">
        <f>IF(ROW()&lt;7,"",IF(OR(E176="",E173=""),"",IF(E173=0,"",(E176/E173)-1)))</f>
        <v/>
      </c>
      <c r="Q176" s="23" t="str">
        <f>IF(ROW()&lt;9,"",IF(OR(E176="",E171=""),"",IF(E171=0,"",(E176/E171)-1)))</f>
        <v/>
      </c>
      <c r="R176" s="23" t="str">
        <f>IF(ROW()&lt;7,"",IF(OR(G176="",G173=""),"",IF(G173=0,"",(G176/G173)-1)))</f>
        <v/>
      </c>
      <c r="S176" s="23" t="str">
        <f>IF(ROW()&lt;9,"",IF(OR(G176="",G171=""),"",IF(G171=0,"",(G176/G171)-1)))</f>
        <v/>
      </c>
      <c r="T176" s="23" t="str">
        <f>IF(ROW()&lt;7,"",IF(OR(L176="",L173=""),"",IF(L173=0,"",(L176/L173)-1)))</f>
        <v/>
      </c>
      <c r="U176" s="23" t="str">
        <f>IF(ROW()&lt;9,"",IF(OR(L176="",L171=""),"",IF(L171=0,"",(L176/L171)-1)))</f>
        <v/>
      </c>
      <c r="V176" s="23" t="str">
        <f>IF(ROW()&lt;7,"",IF(OR(N176="",N173=""),"",IF(N173=0,"",(N176/N173)-1)))</f>
        <v/>
      </c>
      <c r="W176" s="23" t="str">
        <f>IF(ROW()&lt;9,"",IF(OR(N176="",N171=""),"",IF(N171=0,"",(N176/N171)-1)))</f>
        <v/>
      </c>
      <c r="X176" s="23" t="str">
        <f>IF(OR(F176="",M176=""),"",F176-M176)</f>
        <v/>
      </c>
      <c r="Y176" s="23" t="str">
        <f>IF(OR(P176="",T176=""),"",P176-T176)</f>
        <v/>
      </c>
      <c r="Z176" s="23" t="str">
        <f>IF(OR(Q176="",U176=""),"",Q176-U176)</f>
        <v/>
      </c>
      <c r="AA176" s="23" t="str">
        <f>IF(OR(H176="",O176=""),"",H176-O176)</f>
        <v/>
      </c>
      <c r="AB176" s="23" t="str">
        <f>IF(OR(R176="",V176=""),"",R176-V176)</f>
        <v/>
      </c>
      <c r="AC176" s="23" t="str">
        <f>IF(OR(S176="",W176=""),"",S176-W176)</f>
        <v/>
      </c>
      <c r="AD176" s="13"/>
      <c r="AE176" s="23" t="str">
        <f>IF(OR(AD176="",AD175=""),"",IF(AD175=0,"",(AD176/AD175)-1))</f>
        <v/>
      </c>
      <c r="AF176" s="23" t="str">
        <f>IF(ROW()&lt;7,"",IF(OR(AD176="",AD173=""),"",IF(AD173=0,"",(AD176/AD173)-1)))</f>
        <v/>
      </c>
      <c r="AG176" s="23" t="str">
        <f>IF(ROW()&lt;9,"",IF(OR(AD176="",AD171=""),"",IF(AD171=0,"",(AD176/AD171)-1)))</f>
        <v/>
      </c>
      <c r="AH176" s="23" t="str">
        <f>IF(OR(AF176="",AG176=""),"",IF(AND(AF176&gt;0,AG176&gt;0),"Bull",IF(AND(AF176&lt;0,AG176&lt;0),"Bear","Mixed")))</f>
        <v/>
      </c>
      <c r="AI176" s="13"/>
      <c r="AJ176" s="13" t="str">
        <f>IF(OR(AI176="",AI175=""),"",IF(AI175=0,"",(AI176/AI175)-1))</f>
        <v/>
      </c>
      <c r="AK176" s="23" t="str">
        <f>IF(OR(AJ176="",AJ175=""),"",IF(AJ175=0,"",(AJ176/AJ175)-1))</f>
        <v/>
      </c>
      <c r="AL176" s="23" t="str">
        <f>IF(ROW()&lt;7,"",IF(OR(AJ176="",AJ173=""),"",IF(AJ173=0,"",(AJ176/AJ173)-1)))</f>
        <v/>
      </c>
      <c r="AM176" s="23" t="str">
        <f>IF(ROW()&lt;9,"",IF(OR(AJ176="",AJ171=""),"",IF(AJ171=0,"",(AJ176/AJ171)-1)))</f>
        <v/>
      </c>
      <c r="AN176" t="str">
        <f>IF(OR(AL176="",AM176=""),"",IF(AND(AL176&gt;0,AM176&gt;0),"Bull",IF(AND(AL176&lt;0,AM176&lt;0),"Bear","Mixed")))</f>
        <v/>
      </c>
      <c r="AO176" t="str">
        <f>IF(OR(AH176="",AN176=""),"",IF(AND(AH176="Bull",AN176="Bull"),"YES","NO"))</f>
        <v/>
      </c>
      <c r="AP176" t="str">
        <f>IF(OR(AH176="",AN176=""),"",IF(AND(AH176="Bear",AN176="Bear"),"YES","NO"))</f>
        <v/>
      </c>
      <c r="AQ176" t="str">
        <f>IF(AO176="YES",IF(SUM(N(X176),N(Y176),N(Z176))&gt;0,"SOXL","TQQQ"),IF(AP176="YES",IF(SUM(N(AA176),N(AB176),N(AC176))&gt;0,"SOXS","SQQQ"),"WAIT"))</f>
        <v>WAIT</v>
      </c>
      <c r="AR176" s="23" t="str">
        <f>IF(AO176="YES",IF(SUM(N(X176),N(Y176),N(Z176))&gt;0,"TQQQ","SOXL"),IF(AP176="YES",IF(SUM(N(AA176),N(AB176),N(AC176))&gt;0,"SQQQ","SOXS"),""))</f>
        <v/>
      </c>
      <c r="AS176" s="23" t="str">
        <f>IF(AQ176="WAIT","",IF(AR176="",1,0.6))</f>
        <v/>
      </c>
      <c r="AT176" s="23">
        <f>IF(AR176="",0,0.4)</f>
        <v>0</v>
      </c>
      <c r="AU176" s="23" t="str">
        <f>IF(AQ176="WAIT","WAIT",IF(AO176="YES","BULL",IF(AP176="YES","BEAR","WAIT")))</f>
        <v>WAIT</v>
      </c>
      <c r="AV176" t="str">
        <f>IF(AQ176="WAIT","Low",IF(OR(AND(AU176="BULL",ABS(SUM(N(X176),N(Y176),N(Z176)))&gt;=0.15),AND(AU176="BEAR",ABS(SUM(N(AA176),N(AB176),N(AC176)))&gt;=0.15)),"Strong",IF(OR(AND(AU176="BULL",ABS(SUM(N(X176),N(Y176),N(Z176)))&gt;=0.05),AND(AU176="BEAR",ABS(SUM(N(AA176),N(AB176),N(AC176)))&gt;=0.05)),"Moderate","Low")))</f>
        <v>Low</v>
      </c>
      <c r="AW176" t="str">
        <f>IF(AQ176="WAIT","QQQ and SMH not aligned",IF(AU176="BULL",IF(AQ176="SOXL","Bull regime; semiconductors leading","Bull regime; tech leading"),IF(AQ176="SOXS","Bear regime; semiconductors weakest","Bear regime; tech weakest")))</f>
        <v>QQQ and SMH not aligned</v>
      </c>
      <c r="AX176" t="str">
        <f>IF(AR176="WAIT","QQQ and SMH not aligned",IF(AV176="BULL",IF(AR176="SOXL","Bull regime; semiconductors leading","Bull regime; tech leading"),IF(AR176="SOXS","Bear regime; semiconductors weakest","Bear regime; tech weakest")))</f>
        <v>Bear regime; tech weakest</v>
      </c>
    </row>
    <row r="177" spans="1:50" x14ac:dyDescent="0.2">
      <c r="A177" s="12"/>
      <c r="B177" s="13"/>
      <c r="C177" s="13"/>
      <c r="D177" s="13"/>
      <c r="E177" s="13"/>
      <c r="F177" s="11" t="str">
        <f>IF(OR(E177="",E176=""),"",IF(E176=0,"",(E177/E176)-1))</f>
        <v/>
      </c>
      <c r="G177" s="13"/>
      <c r="H177" s="11" t="str">
        <f>IF(OR(G177="",G176=""),"",IF(G176=0,"",(G177/G176)-1))</f>
        <v/>
      </c>
      <c r="I177" s="13"/>
      <c r="J177" s="13"/>
      <c r="K177" s="13"/>
      <c r="L177" s="13"/>
      <c r="M177" s="23" t="str">
        <f>IF(OR(L177="",L176=""),"",IF(L176=0,"",(L177/L176)-1))</f>
        <v/>
      </c>
      <c r="N177" s="26" t="str">
        <f>IFERROR((M177/M176)-1,"")</f>
        <v/>
      </c>
      <c r="O177" s="23" t="str">
        <f>IF(OR(N177="",N176=""),"",IF(N176=0,"",(N177/N176)-1))</f>
        <v/>
      </c>
      <c r="P177" s="11" t="str">
        <f>IF(ROW()&lt;7,"",IF(OR(E177="",E174=""),"",IF(E174=0,"",(E177/E174)-1)))</f>
        <v/>
      </c>
      <c r="Q177" s="23" t="str">
        <f>IF(ROW()&lt;9,"",IF(OR(E177="",E172=""),"",IF(E172=0,"",(E177/E172)-1)))</f>
        <v/>
      </c>
      <c r="R177" s="23" t="str">
        <f>IF(ROW()&lt;7,"",IF(OR(G177="",G174=""),"",IF(G174=0,"",(G177/G174)-1)))</f>
        <v/>
      </c>
      <c r="S177" s="23" t="str">
        <f>IF(ROW()&lt;9,"",IF(OR(G177="",G172=""),"",IF(G172=0,"",(G177/G172)-1)))</f>
        <v/>
      </c>
      <c r="T177" s="23" t="str">
        <f>IF(ROW()&lt;7,"",IF(OR(L177="",L174=""),"",IF(L174=0,"",(L177/L174)-1)))</f>
        <v/>
      </c>
      <c r="U177" s="23" t="str">
        <f>IF(ROW()&lt;9,"",IF(OR(L177="",L172=""),"",IF(L172=0,"",(L177/L172)-1)))</f>
        <v/>
      </c>
      <c r="V177" s="23" t="str">
        <f>IF(ROW()&lt;7,"",IF(OR(N177="",N174=""),"",IF(N174=0,"",(N177/N174)-1)))</f>
        <v/>
      </c>
      <c r="W177" s="23" t="str">
        <f>IF(ROW()&lt;9,"",IF(OR(N177="",N172=""),"",IF(N172=0,"",(N177/N172)-1)))</f>
        <v/>
      </c>
      <c r="X177" s="23" t="str">
        <f>IF(OR(F177="",M177=""),"",F177-M177)</f>
        <v/>
      </c>
      <c r="Y177" s="23" t="str">
        <f>IF(OR(P177="",T177=""),"",P177-T177)</f>
        <v/>
      </c>
      <c r="Z177" s="23" t="str">
        <f>IF(OR(Q177="",U177=""),"",Q177-U177)</f>
        <v/>
      </c>
      <c r="AA177" s="23" t="str">
        <f>IF(OR(H177="",O177=""),"",H177-O177)</f>
        <v/>
      </c>
      <c r="AB177" s="23" t="str">
        <f>IF(OR(R177="",V177=""),"",R177-V177)</f>
        <v/>
      </c>
      <c r="AC177" s="23" t="str">
        <f>IF(OR(S177="",W177=""),"",S177-W177)</f>
        <v/>
      </c>
      <c r="AD177" s="13"/>
      <c r="AE177" s="23" t="str">
        <f>IF(OR(AD177="",AD176=""),"",IF(AD176=0,"",(AD177/AD176)-1))</f>
        <v/>
      </c>
      <c r="AF177" s="23" t="str">
        <f>IF(ROW()&lt;7,"",IF(OR(AD177="",AD174=""),"",IF(AD174=0,"",(AD177/AD174)-1)))</f>
        <v/>
      </c>
      <c r="AG177" s="23" t="str">
        <f>IF(ROW()&lt;9,"",IF(OR(AD177="",AD172=""),"",IF(AD172=0,"",(AD177/AD172)-1)))</f>
        <v/>
      </c>
      <c r="AH177" s="23" t="str">
        <f>IF(OR(AF177="",AG177=""),"",IF(AND(AF177&gt;0,AG177&gt;0),"Bull",IF(AND(AF177&lt;0,AG177&lt;0),"Bear","Mixed")))</f>
        <v/>
      </c>
      <c r="AI177" s="13"/>
      <c r="AJ177" s="13" t="str">
        <f>IF(OR(AI177="",AI176=""),"",IF(AI176=0,"",(AI177/AI176)-1))</f>
        <v/>
      </c>
      <c r="AK177" s="23" t="str">
        <f>IF(OR(AJ177="",AJ176=""),"",IF(AJ176=0,"",(AJ177/AJ176)-1))</f>
        <v/>
      </c>
      <c r="AL177" s="23" t="str">
        <f>IF(ROW()&lt;7,"",IF(OR(AJ177="",AJ174=""),"",IF(AJ174=0,"",(AJ177/AJ174)-1)))</f>
        <v/>
      </c>
      <c r="AM177" s="23" t="str">
        <f>IF(ROW()&lt;9,"",IF(OR(AJ177="",AJ172=""),"",IF(AJ172=0,"",(AJ177/AJ172)-1)))</f>
        <v/>
      </c>
      <c r="AN177" t="str">
        <f>IF(OR(AL177="",AM177=""),"",IF(AND(AL177&gt;0,AM177&gt;0),"Bull",IF(AND(AL177&lt;0,AM177&lt;0),"Bear","Mixed")))</f>
        <v/>
      </c>
      <c r="AO177" t="str">
        <f>IF(OR(AH177="",AN177=""),"",IF(AND(AH177="Bull",AN177="Bull"),"YES","NO"))</f>
        <v/>
      </c>
      <c r="AP177" t="str">
        <f>IF(OR(AH177="",AN177=""),"",IF(AND(AH177="Bear",AN177="Bear"),"YES","NO"))</f>
        <v/>
      </c>
      <c r="AQ177" t="str">
        <f>IF(AO177="YES",IF(SUM(N(X177),N(Y177),N(Z177))&gt;0,"SOXL","TQQQ"),IF(AP177="YES",IF(SUM(N(AA177),N(AB177),N(AC177))&gt;0,"SOXS","SQQQ"),"WAIT"))</f>
        <v>WAIT</v>
      </c>
      <c r="AR177" s="23" t="str">
        <f>IF(AO177="YES",IF(SUM(N(X177),N(Y177),N(Z177))&gt;0,"TQQQ","SOXL"),IF(AP177="YES",IF(SUM(N(AA177),N(AB177),N(AC177))&gt;0,"SQQQ","SOXS"),""))</f>
        <v/>
      </c>
      <c r="AS177" s="23" t="str">
        <f>IF(AQ177="WAIT","",IF(AR177="",1,0.6))</f>
        <v/>
      </c>
      <c r="AT177" s="23">
        <f>IF(AR177="",0,0.4)</f>
        <v>0</v>
      </c>
      <c r="AU177" s="23" t="str">
        <f>IF(AQ177="WAIT","WAIT",IF(AO177="YES","BULL",IF(AP177="YES","BEAR","WAIT")))</f>
        <v>WAIT</v>
      </c>
      <c r="AV177" t="str">
        <f>IF(AQ177="WAIT","Low",IF(OR(AND(AU177="BULL",ABS(SUM(N(X177),N(Y177),N(Z177)))&gt;=0.15),AND(AU177="BEAR",ABS(SUM(N(AA177),N(AB177),N(AC177)))&gt;=0.15)),"Strong",IF(OR(AND(AU177="BULL",ABS(SUM(N(X177),N(Y177),N(Z177)))&gt;=0.05),AND(AU177="BEAR",ABS(SUM(N(AA177),N(AB177),N(AC177)))&gt;=0.05)),"Moderate","Low")))</f>
        <v>Low</v>
      </c>
      <c r="AW177" t="str">
        <f>IF(AQ177="WAIT","QQQ and SMH not aligned",IF(AU177="BULL",IF(AQ177="SOXL","Bull regime; semiconductors leading","Bull regime; tech leading"),IF(AQ177="SOXS","Bear regime; semiconductors weakest","Bear regime; tech weakest")))</f>
        <v>QQQ and SMH not aligned</v>
      </c>
      <c r="AX177" t="str">
        <f>IF(AR177="WAIT","QQQ and SMH not aligned",IF(AV177="BULL",IF(AR177="SOXL","Bull regime; semiconductors leading","Bull regime; tech leading"),IF(AR177="SOXS","Bear regime; semiconductors weakest","Bear regime; tech weakest")))</f>
        <v>Bear regime; tech weakest</v>
      </c>
    </row>
    <row r="178" spans="1:50" x14ac:dyDescent="0.2">
      <c r="A178" s="12"/>
      <c r="B178" s="13"/>
      <c r="C178" s="13"/>
      <c r="D178" s="13"/>
      <c r="E178" s="13"/>
      <c r="F178" s="11" t="str">
        <f>IF(OR(E178="",E177=""),"",IF(E177=0,"",(E178/E177)-1))</f>
        <v/>
      </c>
      <c r="G178" s="13"/>
      <c r="H178" s="11" t="str">
        <f>IF(OR(G178="",G177=""),"",IF(G177=0,"",(G178/G177)-1))</f>
        <v/>
      </c>
      <c r="I178" s="13"/>
      <c r="J178" s="13"/>
      <c r="K178" s="13"/>
      <c r="L178" s="13"/>
      <c r="M178" s="23" t="str">
        <f>IF(OR(L178="",L177=""),"",IF(L177=0,"",(L178/L177)-1))</f>
        <v/>
      </c>
      <c r="N178" s="26" t="str">
        <f>IFERROR((M178/M177)-1,"")</f>
        <v/>
      </c>
      <c r="O178" s="23" t="str">
        <f>IF(OR(N178="",N177=""),"",IF(N177=0,"",(N178/N177)-1))</f>
        <v/>
      </c>
      <c r="P178" s="11" t="str">
        <f>IF(ROW()&lt;7,"",IF(OR(E178="",E175=""),"",IF(E175=0,"",(E178/E175)-1)))</f>
        <v/>
      </c>
      <c r="Q178" s="23" t="str">
        <f>IF(ROW()&lt;9,"",IF(OR(E178="",E173=""),"",IF(E173=0,"",(E178/E173)-1)))</f>
        <v/>
      </c>
      <c r="R178" s="23" t="str">
        <f>IF(ROW()&lt;7,"",IF(OR(G178="",G175=""),"",IF(G175=0,"",(G178/G175)-1)))</f>
        <v/>
      </c>
      <c r="S178" s="23" t="str">
        <f>IF(ROW()&lt;9,"",IF(OR(G178="",G173=""),"",IF(G173=0,"",(G178/G173)-1)))</f>
        <v/>
      </c>
      <c r="T178" s="23" t="str">
        <f>IF(ROW()&lt;7,"",IF(OR(L178="",L175=""),"",IF(L175=0,"",(L178/L175)-1)))</f>
        <v/>
      </c>
      <c r="U178" s="23" t="str">
        <f>IF(ROW()&lt;9,"",IF(OR(L178="",L173=""),"",IF(L173=0,"",(L178/L173)-1)))</f>
        <v/>
      </c>
      <c r="V178" s="23" t="str">
        <f>IF(ROW()&lt;7,"",IF(OR(N178="",N175=""),"",IF(N175=0,"",(N178/N175)-1)))</f>
        <v/>
      </c>
      <c r="W178" s="23" t="str">
        <f>IF(ROW()&lt;9,"",IF(OR(N178="",N173=""),"",IF(N173=0,"",(N178/N173)-1)))</f>
        <v/>
      </c>
      <c r="X178" s="23" t="str">
        <f>IF(OR(F178="",M178=""),"",F178-M178)</f>
        <v/>
      </c>
      <c r="Y178" s="23" t="str">
        <f>IF(OR(P178="",T178=""),"",P178-T178)</f>
        <v/>
      </c>
      <c r="Z178" s="23" t="str">
        <f>IF(OR(Q178="",U178=""),"",Q178-U178)</f>
        <v/>
      </c>
      <c r="AA178" s="23" t="str">
        <f>IF(OR(H178="",O178=""),"",H178-O178)</f>
        <v/>
      </c>
      <c r="AB178" s="23" t="str">
        <f>IF(OR(R178="",V178=""),"",R178-V178)</f>
        <v/>
      </c>
      <c r="AC178" s="23" t="str">
        <f>IF(OR(S178="",W178=""),"",S178-W178)</f>
        <v/>
      </c>
      <c r="AD178" s="13"/>
      <c r="AE178" s="23" t="str">
        <f>IF(OR(AD178="",AD177=""),"",IF(AD177=0,"",(AD178/AD177)-1))</f>
        <v/>
      </c>
      <c r="AF178" s="23" t="str">
        <f>IF(ROW()&lt;7,"",IF(OR(AD178="",AD175=""),"",IF(AD175=0,"",(AD178/AD175)-1)))</f>
        <v/>
      </c>
      <c r="AG178" s="23" t="str">
        <f>IF(ROW()&lt;9,"",IF(OR(AD178="",AD173=""),"",IF(AD173=0,"",(AD178/AD173)-1)))</f>
        <v/>
      </c>
      <c r="AH178" s="23" t="str">
        <f>IF(OR(AF178="",AG178=""),"",IF(AND(AF178&gt;0,AG178&gt;0),"Bull",IF(AND(AF178&lt;0,AG178&lt;0),"Bear","Mixed")))</f>
        <v/>
      </c>
      <c r="AI178" s="13"/>
      <c r="AJ178" s="13" t="str">
        <f>IF(OR(AI178="",AI177=""),"",IF(AI177=0,"",(AI178/AI177)-1))</f>
        <v/>
      </c>
      <c r="AK178" s="23" t="str">
        <f>IF(OR(AJ178="",AJ177=""),"",IF(AJ177=0,"",(AJ178/AJ177)-1))</f>
        <v/>
      </c>
      <c r="AL178" s="23" t="str">
        <f>IF(ROW()&lt;7,"",IF(OR(AJ178="",AJ175=""),"",IF(AJ175=0,"",(AJ178/AJ175)-1)))</f>
        <v/>
      </c>
      <c r="AM178" s="23" t="str">
        <f>IF(ROW()&lt;9,"",IF(OR(AJ178="",AJ173=""),"",IF(AJ173=0,"",(AJ178/AJ173)-1)))</f>
        <v/>
      </c>
      <c r="AN178" t="str">
        <f>IF(OR(AL178="",AM178=""),"",IF(AND(AL178&gt;0,AM178&gt;0),"Bull",IF(AND(AL178&lt;0,AM178&lt;0),"Bear","Mixed")))</f>
        <v/>
      </c>
      <c r="AO178" t="str">
        <f>IF(OR(AH178="",AN178=""),"",IF(AND(AH178="Bull",AN178="Bull"),"YES","NO"))</f>
        <v/>
      </c>
      <c r="AP178" t="str">
        <f>IF(OR(AH178="",AN178=""),"",IF(AND(AH178="Bear",AN178="Bear"),"YES","NO"))</f>
        <v/>
      </c>
      <c r="AQ178" t="str">
        <f>IF(AO178="YES",IF(SUM(N(X178),N(Y178),N(Z178))&gt;0,"SOXL","TQQQ"),IF(AP178="YES",IF(SUM(N(AA178),N(AB178),N(AC178))&gt;0,"SOXS","SQQQ"),"WAIT"))</f>
        <v>WAIT</v>
      </c>
      <c r="AR178" s="23" t="str">
        <f>IF(AO178="YES",IF(SUM(N(X178),N(Y178),N(Z178))&gt;0,"TQQQ","SOXL"),IF(AP178="YES",IF(SUM(N(AA178),N(AB178),N(AC178))&gt;0,"SQQQ","SOXS"),""))</f>
        <v/>
      </c>
      <c r="AS178" s="23" t="str">
        <f>IF(AQ178="WAIT","",IF(AR178="",1,0.6))</f>
        <v/>
      </c>
      <c r="AT178" s="23">
        <f>IF(AR178="",0,0.4)</f>
        <v>0</v>
      </c>
      <c r="AU178" s="23" t="str">
        <f>IF(AQ178="WAIT","WAIT",IF(AO178="YES","BULL",IF(AP178="YES","BEAR","WAIT")))</f>
        <v>WAIT</v>
      </c>
      <c r="AV178" t="str">
        <f>IF(AQ178="WAIT","Low",IF(OR(AND(AU178="BULL",ABS(SUM(N(X178),N(Y178),N(Z178)))&gt;=0.15),AND(AU178="BEAR",ABS(SUM(N(AA178),N(AB178),N(AC178)))&gt;=0.15)),"Strong",IF(OR(AND(AU178="BULL",ABS(SUM(N(X178),N(Y178),N(Z178)))&gt;=0.05),AND(AU178="BEAR",ABS(SUM(N(AA178),N(AB178),N(AC178)))&gt;=0.05)),"Moderate","Low")))</f>
        <v>Low</v>
      </c>
      <c r="AW178" t="str">
        <f>IF(AQ178="WAIT","QQQ and SMH not aligned",IF(AU178="BULL",IF(AQ178="SOXL","Bull regime; semiconductors leading","Bull regime; tech leading"),IF(AQ178="SOXS","Bear regime; semiconductors weakest","Bear regime; tech weakest")))</f>
        <v>QQQ and SMH not aligned</v>
      </c>
      <c r="AX178" t="str">
        <f>IF(AR178="WAIT","QQQ and SMH not aligned",IF(AV178="BULL",IF(AR178="SOXL","Bull regime; semiconductors leading","Bull regime; tech leading"),IF(AR178="SOXS","Bear regime; semiconductors weakest","Bear regime; tech weakest")))</f>
        <v>Bear regime; tech weakest</v>
      </c>
    </row>
    <row r="179" spans="1:50" x14ac:dyDescent="0.2">
      <c r="A179" s="12"/>
      <c r="B179" s="13"/>
      <c r="C179" s="13"/>
      <c r="D179" s="13"/>
      <c r="E179" s="13"/>
      <c r="F179" s="11" t="str">
        <f>IF(OR(E179="",E178=""),"",IF(E178=0,"",(E179/E178)-1))</f>
        <v/>
      </c>
      <c r="G179" s="13"/>
      <c r="H179" s="11" t="str">
        <f>IF(OR(G179="",G178=""),"",IF(G178=0,"",(G179/G178)-1))</f>
        <v/>
      </c>
      <c r="I179" s="13"/>
      <c r="J179" s="13"/>
      <c r="K179" s="13"/>
      <c r="L179" s="13"/>
      <c r="M179" s="23" t="str">
        <f>IF(OR(L179="",L178=""),"",IF(L178=0,"",(L179/L178)-1))</f>
        <v/>
      </c>
      <c r="N179" s="26" t="str">
        <f>IFERROR((M179/M178)-1,"")</f>
        <v/>
      </c>
      <c r="O179" s="23" t="str">
        <f>IF(OR(N179="",N178=""),"",IF(N178=0,"",(N179/N178)-1))</f>
        <v/>
      </c>
      <c r="P179" s="11" t="str">
        <f>IF(ROW()&lt;7,"",IF(OR(E179="",E176=""),"",IF(E176=0,"",(E179/E176)-1)))</f>
        <v/>
      </c>
      <c r="Q179" s="23" t="str">
        <f>IF(ROW()&lt;9,"",IF(OR(E179="",E174=""),"",IF(E174=0,"",(E179/E174)-1)))</f>
        <v/>
      </c>
      <c r="R179" s="23" t="str">
        <f>IF(ROW()&lt;7,"",IF(OR(G179="",G176=""),"",IF(G176=0,"",(G179/G176)-1)))</f>
        <v/>
      </c>
      <c r="S179" s="23" t="str">
        <f>IF(ROW()&lt;9,"",IF(OR(G179="",G174=""),"",IF(G174=0,"",(G179/G174)-1)))</f>
        <v/>
      </c>
      <c r="T179" s="23" t="str">
        <f>IF(ROW()&lt;7,"",IF(OR(L179="",L176=""),"",IF(L176=0,"",(L179/L176)-1)))</f>
        <v/>
      </c>
      <c r="U179" s="23" t="str">
        <f>IF(ROW()&lt;9,"",IF(OR(L179="",L174=""),"",IF(L174=0,"",(L179/L174)-1)))</f>
        <v/>
      </c>
      <c r="V179" s="23" t="str">
        <f>IF(ROW()&lt;7,"",IF(OR(N179="",N176=""),"",IF(N176=0,"",(N179/N176)-1)))</f>
        <v/>
      </c>
      <c r="W179" s="23" t="str">
        <f>IF(ROW()&lt;9,"",IF(OR(N179="",N174=""),"",IF(N174=0,"",(N179/N174)-1)))</f>
        <v/>
      </c>
      <c r="X179" s="23" t="str">
        <f>IF(OR(F179="",M179=""),"",F179-M179)</f>
        <v/>
      </c>
      <c r="Y179" s="23" t="str">
        <f>IF(OR(P179="",T179=""),"",P179-T179)</f>
        <v/>
      </c>
      <c r="Z179" s="23" t="str">
        <f>IF(OR(Q179="",U179=""),"",Q179-U179)</f>
        <v/>
      </c>
      <c r="AA179" s="23" t="str">
        <f>IF(OR(H179="",O179=""),"",H179-O179)</f>
        <v/>
      </c>
      <c r="AB179" s="23" t="str">
        <f>IF(OR(R179="",V179=""),"",R179-V179)</f>
        <v/>
      </c>
      <c r="AC179" s="23" t="str">
        <f>IF(OR(S179="",W179=""),"",S179-W179)</f>
        <v/>
      </c>
      <c r="AD179" s="13"/>
      <c r="AE179" s="23" t="str">
        <f>IF(OR(AD179="",AD178=""),"",IF(AD178=0,"",(AD179/AD178)-1))</f>
        <v/>
      </c>
      <c r="AF179" s="23" t="str">
        <f>IF(ROW()&lt;7,"",IF(OR(AD179="",AD176=""),"",IF(AD176=0,"",(AD179/AD176)-1)))</f>
        <v/>
      </c>
      <c r="AG179" s="23" t="str">
        <f>IF(ROW()&lt;9,"",IF(OR(AD179="",AD174=""),"",IF(AD174=0,"",(AD179/AD174)-1)))</f>
        <v/>
      </c>
      <c r="AH179" s="23" t="str">
        <f>IF(OR(AF179="",AG179=""),"",IF(AND(AF179&gt;0,AG179&gt;0),"Bull",IF(AND(AF179&lt;0,AG179&lt;0),"Bear","Mixed")))</f>
        <v/>
      </c>
      <c r="AI179" s="13"/>
      <c r="AJ179" s="13" t="str">
        <f>IF(OR(AI179="",AI178=""),"",IF(AI178=0,"",(AI179/AI178)-1))</f>
        <v/>
      </c>
      <c r="AK179" s="23" t="str">
        <f>IF(OR(AJ179="",AJ178=""),"",IF(AJ178=0,"",(AJ179/AJ178)-1))</f>
        <v/>
      </c>
      <c r="AL179" s="23" t="str">
        <f>IF(ROW()&lt;7,"",IF(OR(AJ179="",AJ176=""),"",IF(AJ176=0,"",(AJ179/AJ176)-1)))</f>
        <v/>
      </c>
      <c r="AM179" s="23" t="str">
        <f>IF(ROW()&lt;9,"",IF(OR(AJ179="",AJ174=""),"",IF(AJ174=0,"",(AJ179/AJ174)-1)))</f>
        <v/>
      </c>
      <c r="AN179" t="str">
        <f>IF(OR(AL179="",AM179=""),"",IF(AND(AL179&gt;0,AM179&gt;0),"Bull",IF(AND(AL179&lt;0,AM179&lt;0),"Bear","Mixed")))</f>
        <v/>
      </c>
      <c r="AO179" t="str">
        <f>IF(OR(AH179="",AN179=""),"",IF(AND(AH179="Bull",AN179="Bull"),"YES","NO"))</f>
        <v/>
      </c>
      <c r="AP179" t="str">
        <f>IF(OR(AH179="",AN179=""),"",IF(AND(AH179="Bear",AN179="Bear"),"YES","NO"))</f>
        <v/>
      </c>
      <c r="AQ179" t="str">
        <f>IF(AO179="YES",IF(SUM(N(X179),N(Y179),N(Z179))&gt;0,"SOXL","TQQQ"),IF(AP179="YES",IF(SUM(N(AA179),N(AB179),N(AC179))&gt;0,"SOXS","SQQQ"),"WAIT"))</f>
        <v>WAIT</v>
      </c>
      <c r="AR179" s="23" t="str">
        <f>IF(AO179="YES",IF(SUM(N(X179),N(Y179),N(Z179))&gt;0,"TQQQ","SOXL"),IF(AP179="YES",IF(SUM(N(AA179),N(AB179),N(AC179))&gt;0,"SQQQ","SOXS"),""))</f>
        <v/>
      </c>
      <c r="AS179" s="23" t="str">
        <f>IF(AQ179="WAIT","",IF(AR179="",1,0.6))</f>
        <v/>
      </c>
      <c r="AT179" s="23">
        <f>IF(AR179="",0,0.4)</f>
        <v>0</v>
      </c>
      <c r="AU179" s="23" t="str">
        <f>IF(AQ179="WAIT","WAIT",IF(AO179="YES","BULL",IF(AP179="YES","BEAR","WAIT")))</f>
        <v>WAIT</v>
      </c>
      <c r="AV179" t="str">
        <f>IF(AQ179="WAIT","Low",IF(OR(AND(AU179="BULL",ABS(SUM(N(X179),N(Y179),N(Z179)))&gt;=0.15),AND(AU179="BEAR",ABS(SUM(N(AA179),N(AB179),N(AC179)))&gt;=0.15)),"Strong",IF(OR(AND(AU179="BULL",ABS(SUM(N(X179),N(Y179),N(Z179)))&gt;=0.05),AND(AU179="BEAR",ABS(SUM(N(AA179),N(AB179),N(AC179)))&gt;=0.05)),"Moderate","Low")))</f>
        <v>Low</v>
      </c>
      <c r="AW179" t="str">
        <f>IF(AQ179="WAIT","QQQ and SMH not aligned",IF(AU179="BULL",IF(AQ179="SOXL","Bull regime; semiconductors leading","Bull regime; tech leading"),IF(AQ179="SOXS","Bear regime; semiconductors weakest","Bear regime; tech weakest")))</f>
        <v>QQQ and SMH not aligned</v>
      </c>
      <c r="AX179" t="str">
        <f>IF(AR179="WAIT","QQQ and SMH not aligned",IF(AV179="BULL",IF(AR179="SOXL","Bull regime; semiconductors leading","Bull regime; tech leading"),IF(AR179="SOXS","Bear regime; semiconductors weakest","Bear regime; tech weakest")))</f>
        <v>Bear regime; tech weakest</v>
      </c>
    </row>
    <row r="180" spans="1:50" x14ac:dyDescent="0.2">
      <c r="A180" s="12"/>
      <c r="B180" s="13"/>
      <c r="C180" s="13"/>
      <c r="D180" s="13"/>
      <c r="E180" s="13"/>
      <c r="F180" s="11" t="str">
        <f>IF(OR(E180="",E179=""),"",IF(E179=0,"",(E180/E179)-1))</f>
        <v/>
      </c>
      <c r="G180" s="13"/>
      <c r="H180" s="11" t="str">
        <f>IF(OR(G180="",G179=""),"",IF(G179=0,"",(G180/G179)-1))</f>
        <v/>
      </c>
      <c r="I180" s="13"/>
      <c r="J180" s="13"/>
      <c r="K180" s="13"/>
      <c r="L180" s="13"/>
      <c r="M180" s="23" t="str">
        <f>IF(OR(L180="",L179=""),"",IF(L179=0,"",(L180/L179)-1))</f>
        <v/>
      </c>
      <c r="N180" s="26" t="str">
        <f>IFERROR((M180/M179)-1,"")</f>
        <v/>
      </c>
      <c r="O180" s="23" t="str">
        <f>IF(OR(N180="",N179=""),"",IF(N179=0,"",(N180/N179)-1))</f>
        <v/>
      </c>
      <c r="P180" s="11" t="str">
        <f>IF(ROW()&lt;7,"",IF(OR(E180="",E177=""),"",IF(E177=0,"",(E180/E177)-1)))</f>
        <v/>
      </c>
      <c r="Q180" s="23" t="str">
        <f>IF(ROW()&lt;9,"",IF(OR(E180="",E175=""),"",IF(E175=0,"",(E180/E175)-1)))</f>
        <v/>
      </c>
      <c r="R180" s="23" t="str">
        <f>IF(ROW()&lt;7,"",IF(OR(G180="",G177=""),"",IF(G177=0,"",(G180/G177)-1)))</f>
        <v/>
      </c>
      <c r="S180" s="23" t="str">
        <f>IF(ROW()&lt;9,"",IF(OR(G180="",G175=""),"",IF(G175=0,"",(G180/G175)-1)))</f>
        <v/>
      </c>
      <c r="T180" s="23" t="str">
        <f>IF(ROW()&lt;7,"",IF(OR(L180="",L177=""),"",IF(L177=0,"",(L180/L177)-1)))</f>
        <v/>
      </c>
      <c r="U180" s="23" t="str">
        <f>IF(ROW()&lt;9,"",IF(OR(L180="",L175=""),"",IF(L175=0,"",(L180/L175)-1)))</f>
        <v/>
      </c>
      <c r="V180" s="23" t="str">
        <f>IF(ROW()&lt;7,"",IF(OR(N180="",N177=""),"",IF(N177=0,"",(N180/N177)-1)))</f>
        <v/>
      </c>
      <c r="W180" s="23" t="str">
        <f>IF(ROW()&lt;9,"",IF(OR(N180="",N175=""),"",IF(N175=0,"",(N180/N175)-1)))</f>
        <v/>
      </c>
      <c r="X180" s="23" t="str">
        <f>IF(OR(F180="",M180=""),"",F180-M180)</f>
        <v/>
      </c>
      <c r="Y180" s="23" t="str">
        <f>IF(OR(P180="",T180=""),"",P180-T180)</f>
        <v/>
      </c>
      <c r="Z180" s="23" t="str">
        <f>IF(OR(Q180="",U180=""),"",Q180-U180)</f>
        <v/>
      </c>
      <c r="AA180" s="23" t="str">
        <f>IF(OR(H180="",O180=""),"",H180-O180)</f>
        <v/>
      </c>
      <c r="AB180" s="23" t="str">
        <f>IF(OR(R180="",V180=""),"",R180-V180)</f>
        <v/>
      </c>
      <c r="AC180" s="23" t="str">
        <f>IF(OR(S180="",W180=""),"",S180-W180)</f>
        <v/>
      </c>
      <c r="AD180" s="13"/>
      <c r="AE180" s="23" t="str">
        <f>IF(OR(AD180="",AD179=""),"",IF(AD179=0,"",(AD180/AD179)-1))</f>
        <v/>
      </c>
      <c r="AF180" s="23" t="str">
        <f>IF(ROW()&lt;7,"",IF(OR(AD180="",AD177=""),"",IF(AD177=0,"",(AD180/AD177)-1)))</f>
        <v/>
      </c>
      <c r="AG180" s="23" t="str">
        <f>IF(ROW()&lt;9,"",IF(OR(AD180="",AD175=""),"",IF(AD175=0,"",(AD180/AD175)-1)))</f>
        <v/>
      </c>
      <c r="AH180" s="23" t="str">
        <f>IF(OR(AF180="",AG180=""),"",IF(AND(AF180&gt;0,AG180&gt;0),"Bull",IF(AND(AF180&lt;0,AG180&lt;0),"Bear","Mixed")))</f>
        <v/>
      </c>
      <c r="AI180" s="13"/>
      <c r="AJ180" s="13" t="str">
        <f>IF(OR(AI180="",AI179=""),"",IF(AI179=0,"",(AI180/AI179)-1))</f>
        <v/>
      </c>
      <c r="AK180" s="23" t="str">
        <f>IF(OR(AJ180="",AJ179=""),"",IF(AJ179=0,"",(AJ180/AJ179)-1))</f>
        <v/>
      </c>
      <c r="AL180" s="23" t="str">
        <f>IF(ROW()&lt;7,"",IF(OR(AJ180="",AJ177=""),"",IF(AJ177=0,"",(AJ180/AJ177)-1)))</f>
        <v/>
      </c>
      <c r="AM180" s="23" t="str">
        <f>IF(ROW()&lt;9,"",IF(OR(AJ180="",AJ175=""),"",IF(AJ175=0,"",(AJ180/AJ175)-1)))</f>
        <v/>
      </c>
      <c r="AN180" t="str">
        <f>IF(OR(AL180="",AM180=""),"",IF(AND(AL180&gt;0,AM180&gt;0),"Bull",IF(AND(AL180&lt;0,AM180&lt;0),"Bear","Mixed")))</f>
        <v/>
      </c>
      <c r="AO180" t="str">
        <f>IF(OR(AH180="",AN180=""),"",IF(AND(AH180="Bull",AN180="Bull"),"YES","NO"))</f>
        <v/>
      </c>
      <c r="AP180" t="str">
        <f>IF(OR(AH180="",AN180=""),"",IF(AND(AH180="Bear",AN180="Bear"),"YES","NO"))</f>
        <v/>
      </c>
      <c r="AQ180" t="str">
        <f>IF(AO180="YES",IF(SUM(N(X180),N(Y180),N(Z180))&gt;0,"SOXL","TQQQ"),IF(AP180="YES",IF(SUM(N(AA180),N(AB180),N(AC180))&gt;0,"SOXS","SQQQ"),"WAIT"))</f>
        <v>WAIT</v>
      </c>
      <c r="AR180" s="23" t="str">
        <f>IF(AO180="YES",IF(SUM(N(X180),N(Y180),N(Z180))&gt;0,"TQQQ","SOXL"),IF(AP180="YES",IF(SUM(N(AA180),N(AB180),N(AC180))&gt;0,"SQQQ","SOXS"),""))</f>
        <v/>
      </c>
      <c r="AS180" s="23" t="str">
        <f>IF(AQ180="WAIT","",IF(AR180="",1,0.6))</f>
        <v/>
      </c>
      <c r="AT180" s="23">
        <f>IF(AR180="",0,0.4)</f>
        <v>0</v>
      </c>
      <c r="AU180" s="23" t="str">
        <f>IF(AQ180="WAIT","WAIT",IF(AO180="YES","BULL",IF(AP180="YES","BEAR","WAIT")))</f>
        <v>WAIT</v>
      </c>
      <c r="AV180" t="str">
        <f>IF(AQ180="WAIT","Low",IF(OR(AND(AU180="BULL",ABS(SUM(N(X180),N(Y180),N(Z180)))&gt;=0.15),AND(AU180="BEAR",ABS(SUM(N(AA180),N(AB180),N(AC180)))&gt;=0.15)),"Strong",IF(OR(AND(AU180="BULL",ABS(SUM(N(X180),N(Y180),N(Z180)))&gt;=0.05),AND(AU180="BEAR",ABS(SUM(N(AA180),N(AB180),N(AC180)))&gt;=0.05)),"Moderate","Low")))</f>
        <v>Low</v>
      </c>
      <c r="AW180" t="str">
        <f>IF(AQ180="WAIT","QQQ and SMH not aligned",IF(AU180="BULL",IF(AQ180="SOXL","Bull regime; semiconductors leading","Bull regime; tech leading"),IF(AQ180="SOXS","Bear regime; semiconductors weakest","Bear regime; tech weakest")))</f>
        <v>QQQ and SMH not aligned</v>
      </c>
      <c r="AX180" t="str">
        <f>IF(AR180="WAIT","QQQ and SMH not aligned",IF(AV180="BULL",IF(AR180="SOXL","Bull regime; semiconductors leading","Bull regime; tech leading"),IF(AR180="SOXS","Bear regime; semiconductors weakest","Bear regime; tech weakest")))</f>
        <v>Bear regime; tech weakest</v>
      </c>
    </row>
    <row r="181" spans="1:50" x14ac:dyDescent="0.2">
      <c r="A181" s="12"/>
      <c r="B181" s="13"/>
      <c r="C181" s="13"/>
      <c r="D181" s="13"/>
      <c r="E181" s="13"/>
      <c r="F181" s="11" t="str">
        <f>IF(OR(E181="",E180=""),"",IF(E180=0,"",(E181/E180)-1))</f>
        <v/>
      </c>
      <c r="G181" s="13"/>
      <c r="H181" s="11" t="str">
        <f>IF(OR(G181="",G180=""),"",IF(G180=0,"",(G181/G180)-1))</f>
        <v/>
      </c>
      <c r="I181" s="13"/>
      <c r="J181" s="13"/>
      <c r="K181" s="13"/>
      <c r="L181" s="13"/>
      <c r="M181" s="23" t="str">
        <f>IF(OR(L181="",L180=""),"",IF(L180=0,"",(L181/L180)-1))</f>
        <v/>
      </c>
      <c r="N181" s="26" t="str">
        <f>IFERROR((M181/M180)-1,"")</f>
        <v/>
      </c>
      <c r="O181" s="23" t="str">
        <f>IF(OR(N181="",N180=""),"",IF(N180=0,"",(N181/N180)-1))</f>
        <v/>
      </c>
      <c r="P181" s="11" t="str">
        <f>IF(ROW()&lt;7,"",IF(OR(E181="",E178=""),"",IF(E178=0,"",(E181/E178)-1)))</f>
        <v/>
      </c>
      <c r="Q181" s="23" t="str">
        <f>IF(ROW()&lt;9,"",IF(OR(E181="",E176=""),"",IF(E176=0,"",(E181/E176)-1)))</f>
        <v/>
      </c>
      <c r="R181" s="23" t="str">
        <f>IF(ROW()&lt;7,"",IF(OR(G181="",G178=""),"",IF(G178=0,"",(G181/G178)-1)))</f>
        <v/>
      </c>
      <c r="S181" s="23" t="str">
        <f>IF(ROW()&lt;9,"",IF(OR(G181="",G176=""),"",IF(G176=0,"",(G181/G176)-1)))</f>
        <v/>
      </c>
      <c r="T181" s="23" t="str">
        <f>IF(ROW()&lt;7,"",IF(OR(L181="",L178=""),"",IF(L178=0,"",(L181/L178)-1)))</f>
        <v/>
      </c>
      <c r="U181" s="23" t="str">
        <f>IF(ROW()&lt;9,"",IF(OR(L181="",L176=""),"",IF(L176=0,"",(L181/L176)-1)))</f>
        <v/>
      </c>
      <c r="V181" s="23" t="str">
        <f>IF(ROW()&lt;7,"",IF(OR(N181="",N178=""),"",IF(N178=0,"",(N181/N178)-1)))</f>
        <v/>
      </c>
      <c r="W181" s="23" t="str">
        <f>IF(ROW()&lt;9,"",IF(OR(N181="",N176=""),"",IF(N176=0,"",(N181/N176)-1)))</f>
        <v/>
      </c>
      <c r="X181" s="23" t="str">
        <f>IF(OR(F181="",M181=""),"",F181-M181)</f>
        <v/>
      </c>
      <c r="Y181" s="23" t="str">
        <f>IF(OR(P181="",T181=""),"",P181-T181)</f>
        <v/>
      </c>
      <c r="Z181" s="23" t="str">
        <f>IF(OR(Q181="",U181=""),"",Q181-U181)</f>
        <v/>
      </c>
      <c r="AA181" s="23" t="str">
        <f>IF(OR(H181="",O181=""),"",H181-O181)</f>
        <v/>
      </c>
      <c r="AB181" s="23" t="str">
        <f>IF(OR(R181="",V181=""),"",R181-V181)</f>
        <v/>
      </c>
      <c r="AC181" s="23" t="str">
        <f>IF(OR(S181="",W181=""),"",S181-W181)</f>
        <v/>
      </c>
      <c r="AD181" s="13"/>
      <c r="AE181" s="23" t="str">
        <f>IF(OR(AD181="",AD180=""),"",IF(AD180=0,"",(AD181/AD180)-1))</f>
        <v/>
      </c>
      <c r="AF181" s="23" t="str">
        <f>IF(ROW()&lt;7,"",IF(OR(AD181="",AD178=""),"",IF(AD178=0,"",(AD181/AD178)-1)))</f>
        <v/>
      </c>
      <c r="AG181" s="23" t="str">
        <f>IF(ROW()&lt;9,"",IF(OR(AD181="",AD176=""),"",IF(AD176=0,"",(AD181/AD176)-1)))</f>
        <v/>
      </c>
      <c r="AH181" s="23" t="str">
        <f>IF(OR(AF181="",AG181=""),"",IF(AND(AF181&gt;0,AG181&gt;0),"Bull",IF(AND(AF181&lt;0,AG181&lt;0),"Bear","Mixed")))</f>
        <v/>
      </c>
      <c r="AI181" s="13"/>
      <c r="AJ181" s="13" t="str">
        <f>IF(OR(AI181="",AI180=""),"",IF(AI180=0,"",(AI181/AI180)-1))</f>
        <v/>
      </c>
      <c r="AK181" s="23" t="str">
        <f>IF(OR(AJ181="",AJ180=""),"",IF(AJ180=0,"",(AJ181/AJ180)-1))</f>
        <v/>
      </c>
      <c r="AL181" s="23" t="str">
        <f>IF(ROW()&lt;7,"",IF(OR(AJ181="",AJ178=""),"",IF(AJ178=0,"",(AJ181/AJ178)-1)))</f>
        <v/>
      </c>
      <c r="AM181" s="23" t="str">
        <f>IF(ROW()&lt;9,"",IF(OR(AJ181="",AJ176=""),"",IF(AJ176=0,"",(AJ181/AJ176)-1)))</f>
        <v/>
      </c>
      <c r="AN181" t="str">
        <f>IF(OR(AL181="",AM181=""),"",IF(AND(AL181&gt;0,AM181&gt;0),"Bull",IF(AND(AL181&lt;0,AM181&lt;0),"Bear","Mixed")))</f>
        <v/>
      </c>
      <c r="AO181" t="str">
        <f>IF(OR(AH181="",AN181=""),"",IF(AND(AH181="Bull",AN181="Bull"),"YES","NO"))</f>
        <v/>
      </c>
      <c r="AP181" t="str">
        <f>IF(OR(AH181="",AN181=""),"",IF(AND(AH181="Bear",AN181="Bear"),"YES","NO"))</f>
        <v/>
      </c>
      <c r="AQ181" t="str">
        <f>IF(AO181="YES",IF(SUM(N(X181),N(Y181),N(Z181))&gt;0,"SOXL","TQQQ"),IF(AP181="YES",IF(SUM(N(AA181),N(AB181),N(AC181))&gt;0,"SOXS","SQQQ"),"WAIT"))</f>
        <v>WAIT</v>
      </c>
      <c r="AR181" s="23" t="str">
        <f>IF(AO181="YES",IF(SUM(N(X181),N(Y181),N(Z181))&gt;0,"TQQQ","SOXL"),IF(AP181="YES",IF(SUM(N(AA181),N(AB181),N(AC181))&gt;0,"SQQQ","SOXS"),""))</f>
        <v/>
      </c>
      <c r="AS181" s="23" t="str">
        <f>IF(AQ181="WAIT","",IF(AR181="",1,0.6))</f>
        <v/>
      </c>
      <c r="AT181" s="23">
        <f>IF(AR181="",0,0.4)</f>
        <v>0</v>
      </c>
      <c r="AU181" s="23" t="str">
        <f>IF(AQ181="WAIT","WAIT",IF(AO181="YES","BULL",IF(AP181="YES","BEAR","WAIT")))</f>
        <v>WAIT</v>
      </c>
      <c r="AV181" t="str">
        <f>IF(AQ181="WAIT","Low",IF(OR(AND(AU181="BULL",ABS(SUM(N(X181),N(Y181),N(Z181)))&gt;=0.15),AND(AU181="BEAR",ABS(SUM(N(AA181),N(AB181),N(AC181)))&gt;=0.15)),"Strong",IF(OR(AND(AU181="BULL",ABS(SUM(N(X181),N(Y181),N(Z181)))&gt;=0.05),AND(AU181="BEAR",ABS(SUM(N(AA181),N(AB181),N(AC181)))&gt;=0.05)),"Moderate","Low")))</f>
        <v>Low</v>
      </c>
      <c r="AW181" t="str">
        <f>IF(AQ181="WAIT","QQQ and SMH not aligned",IF(AU181="BULL",IF(AQ181="SOXL","Bull regime; semiconductors leading","Bull regime; tech leading"),IF(AQ181="SOXS","Bear regime; semiconductors weakest","Bear regime; tech weakest")))</f>
        <v>QQQ and SMH not aligned</v>
      </c>
      <c r="AX181" t="str">
        <f>IF(AR181="WAIT","QQQ and SMH not aligned",IF(AV181="BULL",IF(AR181="SOXL","Bull regime; semiconductors leading","Bull regime; tech leading"),IF(AR181="SOXS","Bear regime; semiconductors weakest","Bear regime; tech weakest")))</f>
        <v>Bear regime; tech weakest</v>
      </c>
    </row>
    <row r="182" spans="1:50" x14ac:dyDescent="0.2">
      <c r="A182" s="12"/>
      <c r="B182" s="13"/>
      <c r="C182" s="13"/>
      <c r="D182" s="13"/>
      <c r="E182" s="13"/>
      <c r="F182" s="11" t="str">
        <f>IF(OR(E182="",E181=""),"",IF(E181=0,"",(E182/E181)-1))</f>
        <v/>
      </c>
      <c r="G182" s="13"/>
      <c r="H182" s="11" t="str">
        <f>IF(OR(G182="",G181=""),"",IF(G181=0,"",(G182/G181)-1))</f>
        <v/>
      </c>
      <c r="I182" s="13"/>
      <c r="J182" s="13"/>
      <c r="K182" s="13"/>
      <c r="L182" s="13"/>
      <c r="M182" s="23" t="str">
        <f>IF(OR(L182="",L181=""),"",IF(L181=0,"",(L182/L181)-1))</f>
        <v/>
      </c>
      <c r="N182" s="26" t="str">
        <f>IFERROR((M182/M181)-1,"")</f>
        <v/>
      </c>
      <c r="O182" s="23" t="str">
        <f>IF(OR(N182="",N181=""),"",IF(N181=0,"",(N182/N181)-1))</f>
        <v/>
      </c>
      <c r="P182" s="11" t="str">
        <f>IF(ROW()&lt;7,"",IF(OR(E182="",E179=""),"",IF(E179=0,"",(E182/E179)-1)))</f>
        <v/>
      </c>
      <c r="Q182" s="23" t="str">
        <f>IF(ROW()&lt;9,"",IF(OR(E182="",E177=""),"",IF(E177=0,"",(E182/E177)-1)))</f>
        <v/>
      </c>
      <c r="R182" s="23" t="str">
        <f>IF(ROW()&lt;7,"",IF(OR(G182="",G179=""),"",IF(G179=0,"",(G182/G179)-1)))</f>
        <v/>
      </c>
      <c r="S182" s="23" t="str">
        <f>IF(ROW()&lt;9,"",IF(OR(G182="",G177=""),"",IF(G177=0,"",(G182/G177)-1)))</f>
        <v/>
      </c>
      <c r="T182" s="23" t="str">
        <f>IF(ROW()&lt;7,"",IF(OR(L182="",L179=""),"",IF(L179=0,"",(L182/L179)-1)))</f>
        <v/>
      </c>
      <c r="U182" s="23" t="str">
        <f>IF(ROW()&lt;9,"",IF(OR(L182="",L177=""),"",IF(L177=0,"",(L182/L177)-1)))</f>
        <v/>
      </c>
      <c r="V182" s="23" t="str">
        <f>IF(ROW()&lt;7,"",IF(OR(N182="",N179=""),"",IF(N179=0,"",(N182/N179)-1)))</f>
        <v/>
      </c>
      <c r="W182" s="23" t="str">
        <f>IF(ROW()&lt;9,"",IF(OR(N182="",N177=""),"",IF(N177=0,"",(N182/N177)-1)))</f>
        <v/>
      </c>
      <c r="X182" s="23" t="str">
        <f>IF(OR(F182="",M182=""),"",F182-M182)</f>
        <v/>
      </c>
      <c r="Y182" s="23" t="str">
        <f>IF(OR(P182="",T182=""),"",P182-T182)</f>
        <v/>
      </c>
      <c r="Z182" s="23" t="str">
        <f>IF(OR(Q182="",U182=""),"",Q182-U182)</f>
        <v/>
      </c>
      <c r="AA182" s="23" t="str">
        <f>IF(OR(H182="",O182=""),"",H182-O182)</f>
        <v/>
      </c>
      <c r="AB182" s="23" t="str">
        <f>IF(OR(R182="",V182=""),"",R182-V182)</f>
        <v/>
      </c>
      <c r="AC182" s="23" t="str">
        <f>IF(OR(S182="",W182=""),"",S182-W182)</f>
        <v/>
      </c>
      <c r="AD182" s="13"/>
      <c r="AE182" s="23" t="str">
        <f>IF(OR(AD182="",AD181=""),"",IF(AD181=0,"",(AD182/AD181)-1))</f>
        <v/>
      </c>
      <c r="AF182" s="23" t="str">
        <f>IF(ROW()&lt;7,"",IF(OR(AD182="",AD179=""),"",IF(AD179=0,"",(AD182/AD179)-1)))</f>
        <v/>
      </c>
      <c r="AG182" s="23" t="str">
        <f>IF(ROW()&lt;9,"",IF(OR(AD182="",AD177=""),"",IF(AD177=0,"",(AD182/AD177)-1)))</f>
        <v/>
      </c>
      <c r="AH182" s="23" t="str">
        <f>IF(OR(AF182="",AG182=""),"",IF(AND(AF182&gt;0,AG182&gt;0),"Bull",IF(AND(AF182&lt;0,AG182&lt;0),"Bear","Mixed")))</f>
        <v/>
      </c>
      <c r="AI182" s="13"/>
      <c r="AJ182" s="13" t="str">
        <f>IF(OR(AI182="",AI181=""),"",IF(AI181=0,"",(AI182/AI181)-1))</f>
        <v/>
      </c>
      <c r="AK182" s="23" t="str">
        <f>IF(OR(AJ182="",AJ181=""),"",IF(AJ181=0,"",(AJ182/AJ181)-1))</f>
        <v/>
      </c>
      <c r="AL182" s="23" t="str">
        <f>IF(ROW()&lt;7,"",IF(OR(AJ182="",AJ179=""),"",IF(AJ179=0,"",(AJ182/AJ179)-1)))</f>
        <v/>
      </c>
      <c r="AM182" s="23" t="str">
        <f>IF(ROW()&lt;9,"",IF(OR(AJ182="",AJ177=""),"",IF(AJ177=0,"",(AJ182/AJ177)-1)))</f>
        <v/>
      </c>
      <c r="AN182" t="str">
        <f>IF(OR(AL182="",AM182=""),"",IF(AND(AL182&gt;0,AM182&gt;0),"Bull",IF(AND(AL182&lt;0,AM182&lt;0),"Bear","Mixed")))</f>
        <v/>
      </c>
      <c r="AO182" t="str">
        <f>IF(OR(AH182="",AN182=""),"",IF(AND(AH182="Bull",AN182="Bull"),"YES","NO"))</f>
        <v/>
      </c>
      <c r="AP182" t="str">
        <f>IF(OR(AH182="",AN182=""),"",IF(AND(AH182="Bear",AN182="Bear"),"YES","NO"))</f>
        <v/>
      </c>
      <c r="AQ182" t="str">
        <f>IF(AO182="YES",IF(SUM(N(X182),N(Y182),N(Z182))&gt;0,"SOXL","TQQQ"),IF(AP182="YES",IF(SUM(N(AA182),N(AB182),N(AC182))&gt;0,"SOXS","SQQQ"),"WAIT"))</f>
        <v>WAIT</v>
      </c>
      <c r="AR182" s="23" t="str">
        <f>IF(AO182="YES",IF(SUM(N(X182),N(Y182),N(Z182))&gt;0,"TQQQ","SOXL"),IF(AP182="YES",IF(SUM(N(AA182),N(AB182),N(AC182))&gt;0,"SQQQ","SOXS"),""))</f>
        <v/>
      </c>
      <c r="AS182" s="23" t="str">
        <f>IF(AQ182="WAIT","",IF(AR182="",1,0.6))</f>
        <v/>
      </c>
      <c r="AT182" s="23">
        <f>IF(AR182="",0,0.4)</f>
        <v>0</v>
      </c>
      <c r="AU182" s="23" t="str">
        <f>IF(AQ182="WAIT","WAIT",IF(AO182="YES","BULL",IF(AP182="YES","BEAR","WAIT")))</f>
        <v>WAIT</v>
      </c>
      <c r="AV182" t="str">
        <f>IF(AQ182="WAIT","Low",IF(OR(AND(AU182="BULL",ABS(SUM(N(X182),N(Y182),N(Z182)))&gt;=0.15),AND(AU182="BEAR",ABS(SUM(N(AA182),N(AB182),N(AC182)))&gt;=0.15)),"Strong",IF(OR(AND(AU182="BULL",ABS(SUM(N(X182),N(Y182),N(Z182)))&gt;=0.05),AND(AU182="BEAR",ABS(SUM(N(AA182),N(AB182),N(AC182)))&gt;=0.05)),"Moderate","Low")))</f>
        <v>Low</v>
      </c>
      <c r="AW182" t="str">
        <f>IF(AQ182="WAIT","QQQ and SMH not aligned",IF(AU182="BULL",IF(AQ182="SOXL","Bull regime; semiconductors leading","Bull regime; tech leading"),IF(AQ182="SOXS","Bear regime; semiconductors weakest","Bear regime; tech weakest")))</f>
        <v>QQQ and SMH not aligned</v>
      </c>
      <c r="AX182" t="str">
        <f>IF(AR182="WAIT","QQQ and SMH not aligned",IF(AV182="BULL",IF(AR182="SOXL","Bull regime; semiconductors leading","Bull regime; tech leading"),IF(AR182="SOXS","Bear regime; semiconductors weakest","Bear regime; tech weakest")))</f>
        <v>Bear regime; tech weakest</v>
      </c>
    </row>
    <row r="183" spans="1:50" x14ac:dyDescent="0.2">
      <c r="A183" s="12"/>
      <c r="B183" s="13"/>
      <c r="C183" s="13"/>
      <c r="D183" s="13"/>
      <c r="E183" s="13"/>
      <c r="F183" s="11" t="str">
        <f>IF(OR(E183="",E182=""),"",IF(E182=0,"",(E183/E182)-1))</f>
        <v/>
      </c>
      <c r="G183" s="13"/>
      <c r="H183" s="11" t="str">
        <f>IF(OR(G183="",G182=""),"",IF(G182=0,"",(G183/G182)-1))</f>
        <v/>
      </c>
      <c r="I183" s="13"/>
      <c r="J183" s="13"/>
      <c r="K183" s="13"/>
      <c r="L183" s="13"/>
      <c r="M183" s="23" t="str">
        <f>IF(OR(L183="",L182=""),"",IF(L182=0,"",(L183/L182)-1))</f>
        <v/>
      </c>
      <c r="N183" s="26" t="str">
        <f>IFERROR((M183/M182)-1,"")</f>
        <v/>
      </c>
      <c r="O183" s="23" t="str">
        <f>IF(OR(N183="",N182=""),"",IF(N182=0,"",(N183/N182)-1))</f>
        <v/>
      </c>
      <c r="P183" s="11" t="str">
        <f>IF(ROW()&lt;7,"",IF(OR(E183="",E180=""),"",IF(E180=0,"",(E183/E180)-1)))</f>
        <v/>
      </c>
      <c r="Q183" s="23" t="str">
        <f>IF(ROW()&lt;9,"",IF(OR(E183="",E178=""),"",IF(E178=0,"",(E183/E178)-1)))</f>
        <v/>
      </c>
      <c r="R183" s="23" t="str">
        <f>IF(ROW()&lt;7,"",IF(OR(G183="",G180=""),"",IF(G180=0,"",(G183/G180)-1)))</f>
        <v/>
      </c>
      <c r="S183" s="23" t="str">
        <f>IF(ROW()&lt;9,"",IF(OR(G183="",G178=""),"",IF(G178=0,"",(G183/G178)-1)))</f>
        <v/>
      </c>
      <c r="T183" s="23" t="str">
        <f>IF(ROW()&lt;7,"",IF(OR(L183="",L180=""),"",IF(L180=0,"",(L183/L180)-1)))</f>
        <v/>
      </c>
      <c r="U183" s="23" t="str">
        <f>IF(ROW()&lt;9,"",IF(OR(L183="",L178=""),"",IF(L178=0,"",(L183/L178)-1)))</f>
        <v/>
      </c>
      <c r="V183" s="23" t="str">
        <f>IF(ROW()&lt;7,"",IF(OR(N183="",N180=""),"",IF(N180=0,"",(N183/N180)-1)))</f>
        <v/>
      </c>
      <c r="W183" s="23" t="str">
        <f>IF(ROW()&lt;9,"",IF(OR(N183="",N178=""),"",IF(N178=0,"",(N183/N178)-1)))</f>
        <v/>
      </c>
      <c r="X183" s="23" t="str">
        <f>IF(OR(F183="",M183=""),"",F183-M183)</f>
        <v/>
      </c>
      <c r="Y183" s="23" t="str">
        <f>IF(OR(P183="",T183=""),"",P183-T183)</f>
        <v/>
      </c>
      <c r="Z183" s="23" t="str">
        <f>IF(OR(Q183="",U183=""),"",Q183-U183)</f>
        <v/>
      </c>
      <c r="AA183" s="23" t="str">
        <f>IF(OR(H183="",O183=""),"",H183-O183)</f>
        <v/>
      </c>
      <c r="AB183" s="23" t="str">
        <f>IF(OR(R183="",V183=""),"",R183-V183)</f>
        <v/>
      </c>
      <c r="AC183" s="23" t="str">
        <f>IF(OR(S183="",W183=""),"",S183-W183)</f>
        <v/>
      </c>
      <c r="AD183" s="13"/>
      <c r="AE183" s="23" t="str">
        <f>IF(OR(AD183="",AD182=""),"",IF(AD182=0,"",(AD183/AD182)-1))</f>
        <v/>
      </c>
      <c r="AF183" s="23" t="str">
        <f>IF(ROW()&lt;7,"",IF(OR(AD183="",AD180=""),"",IF(AD180=0,"",(AD183/AD180)-1)))</f>
        <v/>
      </c>
      <c r="AG183" s="23" t="str">
        <f>IF(ROW()&lt;9,"",IF(OR(AD183="",AD178=""),"",IF(AD178=0,"",(AD183/AD178)-1)))</f>
        <v/>
      </c>
      <c r="AH183" s="23" t="str">
        <f>IF(OR(AF183="",AG183=""),"",IF(AND(AF183&gt;0,AG183&gt;0),"Bull",IF(AND(AF183&lt;0,AG183&lt;0),"Bear","Mixed")))</f>
        <v/>
      </c>
      <c r="AI183" s="13"/>
      <c r="AJ183" s="13" t="str">
        <f>IF(OR(AI183="",AI182=""),"",IF(AI182=0,"",(AI183/AI182)-1))</f>
        <v/>
      </c>
      <c r="AK183" s="23" t="str">
        <f>IF(OR(AJ183="",AJ182=""),"",IF(AJ182=0,"",(AJ183/AJ182)-1))</f>
        <v/>
      </c>
      <c r="AL183" s="23" t="str">
        <f>IF(ROW()&lt;7,"",IF(OR(AJ183="",AJ180=""),"",IF(AJ180=0,"",(AJ183/AJ180)-1)))</f>
        <v/>
      </c>
      <c r="AM183" s="23" t="str">
        <f>IF(ROW()&lt;9,"",IF(OR(AJ183="",AJ178=""),"",IF(AJ178=0,"",(AJ183/AJ178)-1)))</f>
        <v/>
      </c>
      <c r="AN183" t="str">
        <f>IF(OR(AL183="",AM183=""),"",IF(AND(AL183&gt;0,AM183&gt;0),"Bull",IF(AND(AL183&lt;0,AM183&lt;0),"Bear","Mixed")))</f>
        <v/>
      </c>
      <c r="AO183" t="str">
        <f>IF(OR(AH183="",AN183=""),"",IF(AND(AH183="Bull",AN183="Bull"),"YES","NO"))</f>
        <v/>
      </c>
      <c r="AP183" t="str">
        <f>IF(OR(AH183="",AN183=""),"",IF(AND(AH183="Bear",AN183="Bear"),"YES","NO"))</f>
        <v/>
      </c>
      <c r="AQ183" t="str">
        <f>IF(AO183="YES",IF(SUM(N(X183),N(Y183),N(Z183))&gt;0,"SOXL","TQQQ"),IF(AP183="YES",IF(SUM(N(AA183),N(AB183),N(AC183))&gt;0,"SOXS","SQQQ"),"WAIT"))</f>
        <v>WAIT</v>
      </c>
      <c r="AR183" s="23" t="str">
        <f>IF(AO183="YES",IF(SUM(N(X183),N(Y183),N(Z183))&gt;0,"TQQQ","SOXL"),IF(AP183="YES",IF(SUM(N(AA183),N(AB183),N(AC183))&gt;0,"SQQQ","SOXS"),""))</f>
        <v/>
      </c>
      <c r="AS183" s="23" t="str">
        <f>IF(AQ183="WAIT","",IF(AR183="",1,0.6))</f>
        <v/>
      </c>
      <c r="AT183" s="23">
        <f>IF(AR183="",0,0.4)</f>
        <v>0</v>
      </c>
      <c r="AU183" s="23" t="str">
        <f>IF(AQ183="WAIT","WAIT",IF(AO183="YES","BULL",IF(AP183="YES","BEAR","WAIT")))</f>
        <v>WAIT</v>
      </c>
      <c r="AV183" t="str">
        <f>IF(AQ183="WAIT","Low",IF(OR(AND(AU183="BULL",ABS(SUM(N(X183),N(Y183),N(Z183)))&gt;=0.15),AND(AU183="BEAR",ABS(SUM(N(AA183),N(AB183),N(AC183)))&gt;=0.15)),"Strong",IF(OR(AND(AU183="BULL",ABS(SUM(N(X183),N(Y183),N(Z183)))&gt;=0.05),AND(AU183="BEAR",ABS(SUM(N(AA183),N(AB183),N(AC183)))&gt;=0.05)),"Moderate","Low")))</f>
        <v>Low</v>
      </c>
      <c r="AW183" t="str">
        <f>IF(AQ183="WAIT","QQQ and SMH not aligned",IF(AU183="BULL",IF(AQ183="SOXL","Bull regime; semiconductors leading","Bull regime; tech leading"),IF(AQ183="SOXS","Bear regime; semiconductors weakest","Bear regime; tech weakest")))</f>
        <v>QQQ and SMH not aligned</v>
      </c>
      <c r="AX183" t="str">
        <f>IF(AR183="WAIT","QQQ and SMH not aligned",IF(AV183="BULL",IF(AR183="SOXL","Bull regime; semiconductors leading","Bull regime; tech leading"),IF(AR183="SOXS","Bear regime; semiconductors weakest","Bear regime; tech weakest")))</f>
        <v>Bear regime; tech weakest</v>
      </c>
    </row>
    <row r="184" spans="1:50" x14ac:dyDescent="0.2">
      <c r="A184" s="12"/>
      <c r="B184" s="13"/>
      <c r="C184" s="13"/>
      <c r="D184" s="13"/>
      <c r="E184" s="13"/>
      <c r="F184" s="11" t="str">
        <f>IF(OR(E184="",E183=""),"",IF(E183=0,"",(E184/E183)-1))</f>
        <v/>
      </c>
      <c r="G184" s="13"/>
      <c r="H184" s="11" t="str">
        <f>IF(OR(G184="",G183=""),"",IF(G183=0,"",(G184/G183)-1))</f>
        <v/>
      </c>
      <c r="I184" s="13"/>
      <c r="J184" s="13"/>
      <c r="K184" s="13"/>
      <c r="L184" s="13"/>
      <c r="M184" s="23" t="str">
        <f>IF(OR(L184="",L183=""),"",IF(L183=0,"",(L184/L183)-1))</f>
        <v/>
      </c>
      <c r="N184" s="26" t="str">
        <f>IFERROR((M184/M183)-1,"")</f>
        <v/>
      </c>
      <c r="O184" s="23" t="str">
        <f>IF(OR(N184="",N183=""),"",IF(N183=0,"",(N184/N183)-1))</f>
        <v/>
      </c>
      <c r="P184" s="11" t="str">
        <f>IF(ROW()&lt;7,"",IF(OR(E184="",E181=""),"",IF(E181=0,"",(E184/E181)-1)))</f>
        <v/>
      </c>
      <c r="Q184" s="23" t="str">
        <f>IF(ROW()&lt;9,"",IF(OR(E184="",E179=""),"",IF(E179=0,"",(E184/E179)-1)))</f>
        <v/>
      </c>
      <c r="R184" s="23" t="str">
        <f>IF(ROW()&lt;7,"",IF(OR(G184="",G181=""),"",IF(G181=0,"",(G184/G181)-1)))</f>
        <v/>
      </c>
      <c r="S184" s="23" t="str">
        <f>IF(ROW()&lt;9,"",IF(OR(G184="",G179=""),"",IF(G179=0,"",(G184/G179)-1)))</f>
        <v/>
      </c>
      <c r="T184" s="23" t="str">
        <f>IF(ROW()&lt;7,"",IF(OR(L184="",L181=""),"",IF(L181=0,"",(L184/L181)-1)))</f>
        <v/>
      </c>
      <c r="U184" s="23" t="str">
        <f>IF(ROW()&lt;9,"",IF(OR(L184="",L179=""),"",IF(L179=0,"",(L184/L179)-1)))</f>
        <v/>
      </c>
      <c r="V184" s="23" t="str">
        <f>IF(ROW()&lt;7,"",IF(OR(N184="",N181=""),"",IF(N181=0,"",(N184/N181)-1)))</f>
        <v/>
      </c>
      <c r="W184" s="23" t="str">
        <f>IF(ROW()&lt;9,"",IF(OR(N184="",N179=""),"",IF(N179=0,"",(N184/N179)-1)))</f>
        <v/>
      </c>
      <c r="X184" s="23" t="str">
        <f>IF(OR(F184="",M184=""),"",F184-M184)</f>
        <v/>
      </c>
      <c r="Y184" s="23" t="str">
        <f>IF(OR(P184="",T184=""),"",P184-T184)</f>
        <v/>
      </c>
      <c r="Z184" s="23" t="str">
        <f>IF(OR(Q184="",U184=""),"",Q184-U184)</f>
        <v/>
      </c>
      <c r="AA184" s="23" t="str">
        <f>IF(OR(H184="",O184=""),"",H184-O184)</f>
        <v/>
      </c>
      <c r="AB184" s="23" t="str">
        <f>IF(OR(R184="",V184=""),"",R184-V184)</f>
        <v/>
      </c>
      <c r="AC184" s="23" t="str">
        <f>IF(OR(S184="",W184=""),"",S184-W184)</f>
        <v/>
      </c>
      <c r="AD184" s="13"/>
      <c r="AE184" s="23" t="str">
        <f>IF(OR(AD184="",AD183=""),"",IF(AD183=0,"",(AD184/AD183)-1))</f>
        <v/>
      </c>
      <c r="AF184" s="23" t="str">
        <f>IF(ROW()&lt;7,"",IF(OR(AD184="",AD181=""),"",IF(AD181=0,"",(AD184/AD181)-1)))</f>
        <v/>
      </c>
      <c r="AG184" s="23" t="str">
        <f>IF(ROW()&lt;9,"",IF(OR(AD184="",AD179=""),"",IF(AD179=0,"",(AD184/AD179)-1)))</f>
        <v/>
      </c>
      <c r="AH184" s="23" t="str">
        <f>IF(OR(AF184="",AG184=""),"",IF(AND(AF184&gt;0,AG184&gt;0),"Bull",IF(AND(AF184&lt;0,AG184&lt;0),"Bear","Mixed")))</f>
        <v/>
      </c>
      <c r="AI184" s="13"/>
      <c r="AJ184" s="13" t="str">
        <f>IF(OR(AI184="",AI183=""),"",IF(AI183=0,"",(AI184/AI183)-1))</f>
        <v/>
      </c>
      <c r="AK184" s="23" t="str">
        <f>IF(OR(AJ184="",AJ183=""),"",IF(AJ183=0,"",(AJ184/AJ183)-1))</f>
        <v/>
      </c>
      <c r="AL184" s="23" t="str">
        <f>IF(ROW()&lt;7,"",IF(OR(AJ184="",AJ181=""),"",IF(AJ181=0,"",(AJ184/AJ181)-1)))</f>
        <v/>
      </c>
      <c r="AM184" s="23" t="str">
        <f>IF(ROW()&lt;9,"",IF(OR(AJ184="",AJ179=""),"",IF(AJ179=0,"",(AJ184/AJ179)-1)))</f>
        <v/>
      </c>
      <c r="AN184" t="str">
        <f>IF(OR(AL184="",AM184=""),"",IF(AND(AL184&gt;0,AM184&gt;0),"Bull",IF(AND(AL184&lt;0,AM184&lt;0),"Bear","Mixed")))</f>
        <v/>
      </c>
      <c r="AO184" t="str">
        <f>IF(OR(AH184="",AN184=""),"",IF(AND(AH184="Bull",AN184="Bull"),"YES","NO"))</f>
        <v/>
      </c>
      <c r="AP184" t="str">
        <f>IF(OR(AH184="",AN184=""),"",IF(AND(AH184="Bear",AN184="Bear"),"YES","NO"))</f>
        <v/>
      </c>
      <c r="AQ184" t="str">
        <f>IF(AO184="YES",IF(SUM(N(X184),N(Y184),N(Z184))&gt;0,"SOXL","TQQQ"),IF(AP184="YES",IF(SUM(N(AA184),N(AB184),N(AC184))&gt;0,"SOXS","SQQQ"),"WAIT"))</f>
        <v>WAIT</v>
      </c>
      <c r="AR184" s="23" t="str">
        <f>IF(AO184="YES",IF(SUM(N(X184),N(Y184),N(Z184))&gt;0,"TQQQ","SOXL"),IF(AP184="YES",IF(SUM(N(AA184),N(AB184),N(AC184))&gt;0,"SQQQ","SOXS"),""))</f>
        <v/>
      </c>
      <c r="AS184" s="23" t="str">
        <f>IF(AQ184="WAIT","",IF(AR184="",1,0.6))</f>
        <v/>
      </c>
      <c r="AT184" s="23">
        <f>IF(AR184="",0,0.4)</f>
        <v>0</v>
      </c>
      <c r="AU184" s="23" t="str">
        <f>IF(AQ184="WAIT","WAIT",IF(AO184="YES","BULL",IF(AP184="YES","BEAR","WAIT")))</f>
        <v>WAIT</v>
      </c>
      <c r="AV184" t="str">
        <f>IF(AQ184="WAIT","Low",IF(OR(AND(AU184="BULL",ABS(SUM(N(X184),N(Y184),N(Z184)))&gt;=0.15),AND(AU184="BEAR",ABS(SUM(N(AA184),N(AB184),N(AC184)))&gt;=0.15)),"Strong",IF(OR(AND(AU184="BULL",ABS(SUM(N(X184),N(Y184),N(Z184)))&gt;=0.05),AND(AU184="BEAR",ABS(SUM(N(AA184),N(AB184),N(AC184)))&gt;=0.05)),"Moderate","Low")))</f>
        <v>Low</v>
      </c>
      <c r="AW184" t="str">
        <f>IF(AQ184="WAIT","QQQ and SMH not aligned",IF(AU184="BULL",IF(AQ184="SOXL","Bull regime; semiconductors leading","Bull regime; tech leading"),IF(AQ184="SOXS","Bear regime; semiconductors weakest","Bear regime; tech weakest")))</f>
        <v>QQQ and SMH not aligned</v>
      </c>
      <c r="AX184" t="str">
        <f>IF(AR184="WAIT","QQQ and SMH not aligned",IF(AV184="BULL",IF(AR184="SOXL","Bull regime; semiconductors leading","Bull regime; tech leading"),IF(AR184="SOXS","Bear regime; semiconductors weakest","Bear regime; tech weakest")))</f>
        <v>Bear regime; tech weakest</v>
      </c>
    </row>
    <row r="185" spans="1:50" x14ac:dyDescent="0.2">
      <c r="A185" s="12"/>
      <c r="B185" s="13"/>
      <c r="C185" s="13"/>
      <c r="D185" s="13"/>
      <c r="E185" s="13"/>
      <c r="F185" s="11" t="str">
        <f>IF(OR(E185="",E184=""),"",IF(E184=0,"",(E185/E184)-1))</f>
        <v/>
      </c>
      <c r="G185" s="13"/>
      <c r="H185" s="11" t="str">
        <f>IF(OR(G185="",G184=""),"",IF(G184=0,"",(G185/G184)-1))</f>
        <v/>
      </c>
      <c r="I185" s="13"/>
      <c r="J185" s="13"/>
      <c r="K185" s="13"/>
      <c r="L185" s="13"/>
      <c r="M185" s="23" t="str">
        <f>IF(OR(L185="",L184=""),"",IF(L184=0,"",(L185/L184)-1))</f>
        <v/>
      </c>
      <c r="N185" s="26" t="str">
        <f>IFERROR((M185/M184)-1,"")</f>
        <v/>
      </c>
      <c r="O185" s="23" t="str">
        <f>IF(OR(N185="",N184=""),"",IF(N184=0,"",(N185/N184)-1))</f>
        <v/>
      </c>
      <c r="P185" s="11" t="str">
        <f>IF(ROW()&lt;7,"",IF(OR(E185="",E182=""),"",IF(E182=0,"",(E185/E182)-1)))</f>
        <v/>
      </c>
      <c r="Q185" s="23" t="str">
        <f>IF(ROW()&lt;9,"",IF(OR(E185="",E180=""),"",IF(E180=0,"",(E185/E180)-1)))</f>
        <v/>
      </c>
      <c r="R185" s="23" t="str">
        <f>IF(ROW()&lt;7,"",IF(OR(G185="",G182=""),"",IF(G182=0,"",(G185/G182)-1)))</f>
        <v/>
      </c>
      <c r="S185" s="23" t="str">
        <f>IF(ROW()&lt;9,"",IF(OR(G185="",G180=""),"",IF(G180=0,"",(G185/G180)-1)))</f>
        <v/>
      </c>
      <c r="T185" s="23" t="str">
        <f>IF(ROW()&lt;7,"",IF(OR(L185="",L182=""),"",IF(L182=0,"",(L185/L182)-1)))</f>
        <v/>
      </c>
      <c r="U185" s="23" t="str">
        <f>IF(ROW()&lt;9,"",IF(OR(L185="",L180=""),"",IF(L180=0,"",(L185/L180)-1)))</f>
        <v/>
      </c>
      <c r="V185" s="23" t="str">
        <f>IF(ROW()&lt;7,"",IF(OR(N185="",N182=""),"",IF(N182=0,"",(N185/N182)-1)))</f>
        <v/>
      </c>
      <c r="W185" s="23" t="str">
        <f>IF(ROW()&lt;9,"",IF(OR(N185="",N180=""),"",IF(N180=0,"",(N185/N180)-1)))</f>
        <v/>
      </c>
      <c r="X185" s="23" t="str">
        <f>IF(OR(F185="",M185=""),"",F185-M185)</f>
        <v/>
      </c>
      <c r="Y185" s="23" t="str">
        <f>IF(OR(P185="",T185=""),"",P185-T185)</f>
        <v/>
      </c>
      <c r="Z185" s="23" t="str">
        <f>IF(OR(Q185="",U185=""),"",Q185-U185)</f>
        <v/>
      </c>
      <c r="AA185" s="23" t="str">
        <f>IF(OR(H185="",O185=""),"",H185-O185)</f>
        <v/>
      </c>
      <c r="AB185" s="23" t="str">
        <f>IF(OR(R185="",V185=""),"",R185-V185)</f>
        <v/>
      </c>
      <c r="AC185" s="23" t="str">
        <f>IF(OR(S185="",W185=""),"",S185-W185)</f>
        <v/>
      </c>
      <c r="AD185" s="13"/>
      <c r="AE185" s="23" t="str">
        <f>IF(OR(AD185="",AD184=""),"",IF(AD184=0,"",(AD185/AD184)-1))</f>
        <v/>
      </c>
      <c r="AF185" s="23" t="str">
        <f>IF(ROW()&lt;7,"",IF(OR(AD185="",AD182=""),"",IF(AD182=0,"",(AD185/AD182)-1)))</f>
        <v/>
      </c>
      <c r="AG185" s="23" t="str">
        <f>IF(ROW()&lt;9,"",IF(OR(AD185="",AD180=""),"",IF(AD180=0,"",(AD185/AD180)-1)))</f>
        <v/>
      </c>
      <c r="AH185" s="23" t="str">
        <f>IF(OR(AF185="",AG185=""),"",IF(AND(AF185&gt;0,AG185&gt;0),"Bull",IF(AND(AF185&lt;0,AG185&lt;0),"Bear","Mixed")))</f>
        <v/>
      </c>
      <c r="AI185" s="13"/>
      <c r="AJ185" s="13" t="str">
        <f>IF(OR(AI185="",AI184=""),"",IF(AI184=0,"",(AI185/AI184)-1))</f>
        <v/>
      </c>
      <c r="AK185" s="23" t="str">
        <f>IF(OR(AJ185="",AJ184=""),"",IF(AJ184=0,"",(AJ185/AJ184)-1))</f>
        <v/>
      </c>
      <c r="AL185" s="23" t="str">
        <f>IF(ROW()&lt;7,"",IF(OR(AJ185="",AJ182=""),"",IF(AJ182=0,"",(AJ185/AJ182)-1)))</f>
        <v/>
      </c>
      <c r="AM185" s="23" t="str">
        <f>IF(ROW()&lt;9,"",IF(OR(AJ185="",AJ180=""),"",IF(AJ180=0,"",(AJ185/AJ180)-1)))</f>
        <v/>
      </c>
      <c r="AN185" t="str">
        <f>IF(OR(AL185="",AM185=""),"",IF(AND(AL185&gt;0,AM185&gt;0),"Bull",IF(AND(AL185&lt;0,AM185&lt;0),"Bear","Mixed")))</f>
        <v/>
      </c>
      <c r="AO185" t="str">
        <f>IF(OR(AH185="",AN185=""),"",IF(AND(AH185="Bull",AN185="Bull"),"YES","NO"))</f>
        <v/>
      </c>
      <c r="AP185" t="str">
        <f>IF(OR(AH185="",AN185=""),"",IF(AND(AH185="Bear",AN185="Bear"),"YES","NO"))</f>
        <v/>
      </c>
      <c r="AQ185" t="str">
        <f>IF(AO185="YES",IF(SUM(N(X185),N(Y185),N(Z185))&gt;0,"SOXL","TQQQ"),IF(AP185="YES",IF(SUM(N(AA185),N(AB185),N(AC185))&gt;0,"SOXS","SQQQ"),"WAIT"))</f>
        <v>WAIT</v>
      </c>
      <c r="AR185" s="23" t="str">
        <f>IF(AO185="YES",IF(SUM(N(X185),N(Y185),N(Z185))&gt;0,"TQQQ","SOXL"),IF(AP185="YES",IF(SUM(N(AA185),N(AB185),N(AC185))&gt;0,"SQQQ","SOXS"),""))</f>
        <v/>
      </c>
      <c r="AS185" s="23" t="str">
        <f>IF(AQ185="WAIT","",IF(AR185="",1,0.6))</f>
        <v/>
      </c>
      <c r="AT185" s="23">
        <f>IF(AR185="",0,0.4)</f>
        <v>0</v>
      </c>
      <c r="AU185" s="23" t="str">
        <f>IF(AQ185="WAIT","WAIT",IF(AO185="YES","BULL",IF(AP185="YES","BEAR","WAIT")))</f>
        <v>WAIT</v>
      </c>
      <c r="AV185" t="str">
        <f>IF(AQ185="WAIT","Low",IF(OR(AND(AU185="BULL",ABS(SUM(N(X185),N(Y185),N(Z185)))&gt;=0.15),AND(AU185="BEAR",ABS(SUM(N(AA185),N(AB185),N(AC185)))&gt;=0.15)),"Strong",IF(OR(AND(AU185="BULL",ABS(SUM(N(X185),N(Y185),N(Z185)))&gt;=0.05),AND(AU185="BEAR",ABS(SUM(N(AA185),N(AB185),N(AC185)))&gt;=0.05)),"Moderate","Low")))</f>
        <v>Low</v>
      </c>
      <c r="AW185" t="str">
        <f>IF(AQ185="WAIT","QQQ and SMH not aligned",IF(AU185="BULL",IF(AQ185="SOXL","Bull regime; semiconductors leading","Bull regime; tech leading"),IF(AQ185="SOXS","Bear regime; semiconductors weakest","Bear regime; tech weakest")))</f>
        <v>QQQ and SMH not aligned</v>
      </c>
      <c r="AX185" t="str">
        <f>IF(AR185="WAIT","QQQ and SMH not aligned",IF(AV185="BULL",IF(AR185="SOXL","Bull regime; semiconductors leading","Bull regime; tech leading"),IF(AR185="SOXS","Bear regime; semiconductors weakest","Bear regime; tech weakest")))</f>
        <v>Bear regime; tech weakest</v>
      </c>
    </row>
    <row r="186" spans="1:50" x14ac:dyDescent="0.2">
      <c r="A186" s="12"/>
      <c r="B186" s="13"/>
      <c r="C186" s="13"/>
      <c r="D186" s="13"/>
      <c r="E186" s="13"/>
      <c r="F186" s="11" t="str">
        <f>IF(OR(E186="",E185=""),"",IF(E185=0,"",(E186/E185)-1))</f>
        <v/>
      </c>
      <c r="G186" s="13"/>
      <c r="H186" s="11" t="str">
        <f>IF(OR(G186="",G185=""),"",IF(G185=0,"",(G186/G185)-1))</f>
        <v/>
      </c>
      <c r="I186" s="13"/>
      <c r="J186" s="13"/>
      <c r="K186" s="13"/>
      <c r="L186" s="13"/>
      <c r="M186" s="23" t="str">
        <f>IF(OR(L186="",L185=""),"",IF(L185=0,"",(L186/L185)-1))</f>
        <v/>
      </c>
      <c r="N186" s="26" t="str">
        <f>IFERROR((M186/M185)-1,"")</f>
        <v/>
      </c>
      <c r="O186" s="23" t="str">
        <f>IF(OR(N186="",N185=""),"",IF(N185=0,"",(N186/N185)-1))</f>
        <v/>
      </c>
      <c r="P186" s="11" t="str">
        <f>IF(ROW()&lt;7,"",IF(OR(E186="",E183=""),"",IF(E183=0,"",(E186/E183)-1)))</f>
        <v/>
      </c>
      <c r="Q186" s="23" t="str">
        <f>IF(ROW()&lt;9,"",IF(OR(E186="",E181=""),"",IF(E181=0,"",(E186/E181)-1)))</f>
        <v/>
      </c>
      <c r="R186" s="23" t="str">
        <f>IF(ROW()&lt;7,"",IF(OR(G186="",G183=""),"",IF(G183=0,"",(G186/G183)-1)))</f>
        <v/>
      </c>
      <c r="S186" s="23" t="str">
        <f>IF(ROW()&lt;9,"",IF(OR(G186="",G181=""),"",IF(G181=0,"",(G186/G181)-1)))</f>
        <v/>
      </c>
      <c r="T186" s="23" t="str">
        <f>IF(ROW()&lt;7,"",IF(OR(L186="",L183=""),"",IF(L183=0,"",(L186/L183)-1)))</f>
        <v/>
      </c>
      <c r="U186" s="23" t="str">
        <f>IF(ROW()&lt;9,"",IF(OR(L186="",L181=""),"",IF(L181=0,"",(L186/L181)-1)))</f>
        <v/>
      </c>
      <c r="V186" s="23" t="str">
        <f>IF(ROW()&lt;7,"",IF(OR(N186="",N183=""),"",IF(N183=0,"",(N186/N183)-1)))</f>
        <v/>
      </c>
      <c r="W186" s="23" t="str">
        <f>IF(ROW()&lt;9,"",IF(OR(N186="",N181=""),"",IF(N181=0,"",(N186/N181)-1)))</f>
        <v/>
      </c>
      <c r="X186" s="23" t="str">
        <f>IF(OR(F186="",M186=""),"",F186-M186)</f>
        <v/>
      </c>
      <c r="Y186" s="23" t="str">
        <f>IF(OR(P186="",T186=""),"",P186-T186)</f>
        <v/>
      </c>
      <c r="Z186" s="23" t="str">
        <f>IF(OR(Q186="",U186=""),"",Q186-U186)</f>
        <v/>
      </c>
      <c r="AA186" s="23" t="str">
        <f>IF(OR(H186="",O186=""),"",H186-O186)</f>
        <v/>
      </c>
      <c r="AB186" s="23" t="str">
        <f>IF(OR(R186="",V186=""),"",R186-V186)</f>
        <v/>
      </c>
      <c r="AC186" s="23" t="str">
        <f>IF(OR(S186="",W186=""),"",S186-W186)</f>
        <v/>
      </c>
      <c r="AD186" s="13"/>
      <c r="AE186" s="23" t="str">
        <f>IF(OR(AD186="",AD185=""),"",IF(AD185=0,"",(AD186/AD185)-1))</f>
        <v/>
      </c>
      <c r="AF186" s="23" t="str">
        <f>IF(ROW()&lt;7,"",IF(OR(AD186="",AD183=""),"",IF(AD183=0,"",(AD186/AD183)-1)))</f>
        <v/>
      </c>
      <c r="AG186" s="23" t="str">
        <f>IF(ROW()&lt;9,"",IF(OR(AD186="",AD181=""),"",IF(AD181=0,"",(AD186/AD181)-1)))</f>
        <v/>
      </c>
      <c r="AH186" s="23" t="str">
        <f>IF(OR(AF186="",AG186=""),"",IF(AND(AF186&gt;0,AG186&gt;0),"Bull",IF(AND(AF186&lt;0,AG186&lt;0),"Bear","Mixed")))</f>
        <v/>
      </c>
      <c r="AI186" s="13"/>
      <c r="AJ186" s="13" t="str">
        <f>IF(OR(AI186="",AI185=""),"",IF(AI185=0,"",(AI186/AI185)-1))</f>
        <v/>
      </c>
      <c r="AK186" s="23" t="str">
        <f>IF(OR(AJ186="",AJ185=""),"",IF(AJ185=0,"",(AJ186/AJ185)-1))</f>
        <v/>
      </c>
      <c r="AL186" s="23" t="str">
        <f>IF(ROW()&lt;7,"",IF(OR(AJ186="",AJ183=""),"",IF(AJ183=0,"",(AJ186/AJ183)-1)))</f>
        <v/>
      </c>
      <c r="AM186" s="23" t="str">
        <f>IF(ROW()&lt;9,"",IF(OR(AJ186="",AJ181=""),"",IF(AJ181=0,"",(AJ186/AJ181)-1)))</f>
        <v/>
      </c>
      <c r="AN186" t="str">
        <f>IF(OR(AL186="",AM186=""),"",IF(AND(AL186&gt;0,AM186&gt;0),"Bull",IF(AND(AL186&lt;0,AM186&lt;0),"Bear","Mixed")))</f>
        <v/>
      </c>
      <c r="AO186" t="str">
        <f>IF(OR(AH186="",AN186=""),"",IF(AND(AH186="Bull",AN186="Bull"),"YES","NO"))</f>
        <v/>
      </c>
      <c r="AP186" t="str">
        <f>IF(OR(AH186="",AN186=""),"",IF(AND(AH186="Bear",AN186="Bear"),"YES","NO"))</f>
        <v/>
      </c>
      <c r="AQ186" t="str">
        <f>IF(AO186="YES",IF(SUM(N(X186),N(Y186),N(Z186))&gt;0,"SOXL","TQQQ"),IF(AP186="YES",IF(SUM(N(AA186),N(AB186),N(AC186))&gt;0,"SOXS","SQQQ"),"WAIT"))</f>
        <v>WAIT</v>
      </c>
      <c r="AR186" s="23" t="str">
        <f>IF(AO186="YES",IF(SUM(N(X186),N(Y186),N(Z186))&gt;0,"TQQQ","SOXL"),IF(AP186="YES",IF(SUM(N(AA186),N(AB186),N(AC186))&gt;0,"SQQQ","SOXS"),""))</f>
        <v/>
      </c>
      <c r="AS186" s="23" t="str">
        <f>IF(AQ186="WAIT","",IF(AR186="",1,0.6))</f>
        <v/>
      </c>
      <c r="AT186" s="23">
        <f>IF(AR186="",0,0.4)</f>
        <v>0</v>
      </c>
      <c r="AU186" s="23" t="str">
        <f>IF(AQ186="WAIT","WAIT",IF(AO186="YES","BULL",IF(AP186="YES","BEAR","WAIT")))</f>
        <v>WAIT</v>
      </c>
      <c r="AV186" t="str">
        <f>IF(AQ186="WAIT","Low",IF(OR(AND(AU186="BULL",ABS(SUM(N(X186),N(Y186),N(Z186)))&gt;=0.15),AND(AU186="BEAR",ABS(SUM(N(AA186),N(AB186),N(AC186)))&gt;=0.15)),"Strong",IF(OR(AND(AU186="BULL",ABS(SUM(N(X186),N(Y186),N(Z186)))&gt;=0.05),AND(AU186="BEAR",ABS(SUM(N(AA186),N(AB186),N(AC186)))&gt;=0.05)),"Moderate","Low")))</f>
        <v>Low</v>
      </c>
      <c r="AW186" t="str">
        <f>IF(AQ186="WAIT","QQQ and SMH not aligned",IF(AU186="BULL",IF(AQ186="SOXL","Bull regime; semiconductors leading","Bull regime; tech leading"),IF(AQ186="SOXS","Bear regime; semiconductors weakest","Bear regime; tech weakest")))</f>
        <v>QQQ and SMH not aligned</v>
      </c>
      <c r="AX186" t="str">
        <f>IF(AR186="WAIT","QQQ and SMH not aligned",IF(AV186="BULL",IF(AR186="SOXL","Bull regime; semiconductors leading","Bull regime; tech leading"),IF(AR186="SOXS","Bear regime; semiconductors weakest","Bear regime; tech weakest")))</f>
        <v>Bear regime; tech weakest</v>
      </c>
    </row>
    <row r="187" spans="1:50" x14ac:dyDescent="0.2">
      <c r="A187" s="12"/>
      <c r="B187" s="13"/>
      <c r="C187" s="13"/>
      <c r="D187" s="13"/>
      <c r="E187" s="13"/>
      <c r="F187" s="11" t="str">
        <f>IF(OR(E187="",E186=""),"",IF(E186=0,"",(E187/E186)-1))</f>
        <v/>
      </c>
      <c r="G187" s="13"/>
      <c r="H187" s="11" t="str">
        <f>IF(OR(G187="",G186=""),"",IF(G186=0,"",(G187/G186)-1))</f>
        <v/>
      </c>
      <c r="I187" s="13"/>
      <c r="J187" s="13"/>
      <c r="K187" s="13"/>
      <c r="L187" s="13"/>
      <c r="M187" s="23" t="str">
        <f>IF(OR(L187="",L186=""),"",IF(L186=0,"",(L187/L186)-1))</f>
        <v/>
      </c>
      <c r="N187" s="26" t="str">
        <f>IFERROR((M187/M186)-1,"")</f>
        <v/>
      </c>
      <c r="O187" s="23" t="str">
        <f>IF(OR(N187="",N186=""),"",IF(N186=0,"",(N187/N186)-1))</f>
        <v/>
      </c>
      <c r="P187" s="11" t="str">
        <f>IF(ROW()&lt;7,"",IF(OR(E187="",E184=""),"",IF(E184=0,"",(E187/E184)-1)))</f>
        <v/>
      </c>
      <c r="Q187" s="23" t="str">
        <f>IF(ROW()&lt;9,"",IF(OR(E187="",E182=""),"",IF(E182=0,"",(E187/E182)-1)))</f>
        <v/>
      </c>
      <c r="R187" s="23" t="str">
        <f>IF(ROW()&lt;7,"",IF(OR(G187="",G184=""),"",IF(G184=0,"",(G187/G184)-1)))</f>
        <v/>
      </c>
      <c r="S187" s="23" t="str">
        <f>IF(ROW()&lt;9,"",IF(OR(G187="",G182=""),"",IF(G182=0,"",(G187/G182)-1)))</f>
        <v/>
      </c>
      <c r="T187" s="23" t="str">
        <f>IF(ROW()&lt;7,"",IF(OR(L187="",L184=""),"",IF(L184=0,"",(L187/L184)-1)))</f>
        <v/>
      </c>
      <c r="U187" s="23" t="str">
        <f>IF(ROW()&lt;9,"",IF(OR(L187="",L182=""),"",IF(L182=0,"",(L187/L182)-1)))</f>
        <v/>
      </c>
      <c r="V187" s="23" t="str">
        <f>IF(ROW()&lt;7,"",IF(OR(N187="",N184=""),"",IF(N184=0,"",(N187/N184)-1)))</f>
        <v/>
      </c>
      <c r="W187" s="23" t="str">
        <f>IF(ROW()&lt;9,"",IF(OR(N187="",N182=""),"",IF(N182=0,"",(N187/N182)-1)))</f>
        <v/>
      </c>
      <c r="X187" s="23" t="str">
        <f>IF(OR(F187="",M187=""),"",F187-M187)</f>
        <v/>
      </c>
      <c r="Y187" s="23" t="str">
        <f>IF(OR(P187="",T187=""),"",P187-T187)</f>
        <v/>
      </c>
      <c r="Z187" s="23" t="str">
        <f>IF(OR(Q187="",U187=""),"",Q187-U187)</f>
        <v/>
      </c>
      <c r="AA187" s="23" t="str">
        <f>IF(OR(H187="",O187=""),"",H187-O187)</f>
        <v/>
      </c>
      <c r="AB187" s="23" t="str">
        <f>IF(OR(R187="",V187=""),"",R187-V187)</f>
        <v/>
      </c>
      <c r="AC187" s="23" t="str">
        <f>IF(OR(S187="",W187=""),"",S187-W187)</f>
        <v/>
      </c>
      <c r="AD187" s="13"/>
      <c r="AE187" s="23" t="str">
        <f>IF(OR(AD187="",AD186=""),"",IF(AD186=0,"",(AD187/AD186)-1))</f>
        <v/>
      </c>
      <c r="AF187" s="23" t="str">
        <f>IF(ROW()&lt;7,"",IF(OR(AD187="",AD184=""),"",IF(AD184=0,"",(AD187/AD184)-1)))</f>
        <v/>
      </c>
      <c r="AG187" s="23" t="str">
        <f>IF(ROW()&lt;9,"",IF(OR(AD187="",AD182=""),"",IF(AD182=0,"",(AD187/AD182)-1)))</f>
        <v/>
      </c>
      <c r="AH187" s="23" t="str">
        <f>IF(OR(AF187="",AG187=""),"",IF(AND(AF187&gt;0,AG187&gt;0),"Bull",IF(AND(AF187&lt;0,AG187&lt;0),"Bear","Mixed")))</f>
        <v/>
      </c>
      <c r="AI187" s="13"/>
      <c r="AJ187" s="13" t="str">
        <f>IF(OR(AI187="",AI186=""),"",IF(AI186=0,"",(AI187/AI186)-1))</f>
        <v/>
      </c>
      <c r="AK187" s="23" t="str">
        <f>IF(OR(AJ187="",AJ186=""),"",IF(AJ186=0,"",(AJ187/AJ186)-1))</f>
        <v/>
      </c>
      <c r="AL187" s="23" t="str">
        <f>IF(ROW()&lt;7,"",IF(OR(AJ187="",AJ184=""),"",IF(AJ184=0,"",(AJ187/AJ184)-1)))</f>
        <v/>
      </c>
      <c r="AM187" s="23" t="str">
        <f>IF(ROW()&lt;9,"",IF(OR(AJ187="",AJ182=""),"",IF(AJ182=0,"",(AJ187/AJ182)-1)))</f>
        <v/>
      </c>
      <c r="AN187" t="str">
        <f>IF(OR(AL187="",AM187=""),"",IF(AND(AL187&gt;0,AM187&gt;0),"Bull",IF(AND(AL187&lt;0,AM187&lt;0),"Bear","Mixed")))</f>
        <v/>
      </c>
      <c r="AO187" t="str">
        <f>IF(OR(AH187="",AN187=""),"",IF(AND(AH187="Bull",AN187="Bull"),"YES","NO"))</f>
        <v/>
      </c>
      <c r="AP187" t="str">
        <f>IF(OR(AH187="",AN187=""),"",IF(AND(AH187="Bear",AN187="Bear"),"YES","NO"))</f>
        <v/>
      </c>
      <c r="AQ187" t="str">
        <f>IF(AO187="YES",IF(SUM(N(X187),N(Y187),N(Z187))&gt;0,"SOXL","TQQQ"),IF(AP187="YES",IF(SUM(N(AA187),N(AB187),N(AC187))&gt;0,"SOXS","SQQQ"),"WAIT"))</f>
        <v>WAIT</v>
      </c>
      <c r="AR187" s="23" t="str">
        <f>IF(AO187="YES",IF(SUM(N(X187),N(Y187),N(Z187))&gt;0,"TQQQ","SOXL"),IF(AP187="YES",IF(SUM(N(AA187),N(AB187),N(AC187))&gt;0,"SQQQ","SOXS"),""))</f>
        <v/>
      </c>
      <c r="AS187" s="23" t="str">
        <f>IF(AQ187="WAIT","",IF(AR187="",1,0.6))</f>
        <v/>
      </c>
      <c r="AT187" s="23">
        <f>IF(AR187="",0,0.4)</f>
        <v>0</v>
      </c>
      <c r="AU187" s="23" t="str">
        <f>IF(AQ187="WAIT","WAIT",IF(AO187="YES","BULL",IF(AP187="YES","BEAR","WAIT")))</f>
        <v>WAIT</v>
      </c>
      <c r="AV187" t="str">
        <f>IF(AQ187="WAIT","Low",IF(OR(AND(AU187="BULL",ABS(SUM(N(X187),N(Y187),N(Z187)))&gt;=0.15),AND(AU187="BEAR",ABS(SUM(N(AA187),N(AB187),N(AC187)))&gt;=0.15)),"Strong",IF(OR(AND(AU187="BULL",ABS(SUM(N(X187),N(Y187),N(Z187)))&gt;=0.05),AND(AU187="BEAR",ABS(SUM(N(AA187),N(AB187),N(AC187)))&gt;=0.05)),"Moderate","Low")))</f>
        <v>Low</v>
      </c>
      <c r="AW187" t="str">
        <f>IF(AQ187="WAIT","QQQ and SMH not aligned",IF(AU187="BULL",IF(AQ187="SOXL","Bull regime; semiconductors leading","Bull regime; tech leading"),IF(AQ187="SOXS","Bear regime; semiconductors weakest","Bear regime; tech weakest")))</f>
        <v>QQQ and SMH not aligned</v>
      </c>
      <c r="AX187" t="str">
        <f>IF(AR187="WAIT","QQQ and SMH not aligned",IF(AV187="BULL",IF(AR187="SOXL","Bull regime; semiconductors leading","Bull regime; tech leading"),IF(AR187="SOXS","Bear regime; semiconductors weakest","Bear regime; tech weakest")))</f>
        <v>Bear regime; tech weakest</v>
      </c>
    </row>
    <row r="188" spans="1:50" x14ac:dyDescent="0.2">
      <c r="A188" s="12"/>
      <c r="B188" s="13"/>
      <c r="C188" s="13"/>
      <c r="D188" s="13"/>
      <c r="E188" s="13"/>
      <c r="F188" s="11" t="str">
        <f>IF(OR(E188="",E187=""),"",IF(E187=0,"",(E188/E187)-1))</f>
        <v/>
      </c>
      <c r="G188" s="13"/>
      <c r="H188" s="11" t="str">
        <f>IF(OR(G188="",G187=""),"",IF(G187=0,"",(G188/G187)-1))</f>
        <v/>
      </c>
      <c r="I188" s="13"/>
      <c r="J188" s="13"/>
      <c r="K188" s="13"/>
      <c r="L188" s="13"/>
      <c r="M188" s="23" t="str">
        <f>IF(OR(L188="",L187=""),"",IF(L187=0,"",(L188/L187)-1))</f>
        <v/>
      </c>
      <c r="N188" s="26" t="str">
        <f>IFERROR((M188/M187)-1,"")</f>
        <v/>
      </c>
      <c r="O188" s="23" t="str">
        <f>IF(OR(N188="",N187=""),"",IF(N187=0,"",(N188/N187)-1))</f>
        <v/>
      </c>
      <c r="P188" s="11" t="str">
        <f>IF(ROW()&lt;7,"",IF(OR(E188="",E185=""),"",IF(E185=0,"",(E188/E185)-1)))</f>
        <v/>
      </c>
      <c r="Q188" s="23" t="str">
        <f>IF(ROW()&lt;9,"",IF(OR(E188="",E183=""),"",IF(E183=0,"",(E188/E183)-1)))</f>
        <v/>
      </c>
      <c r="R188" s="23" t="str">
        <f>IF(ROW()&lt;7,"",IF(OR(G188="",G185=""),"",IF(G185=0,"",(G188/G185)-1)))</f>
        <v/>
      </c>
      <c r="S188" s="23" t="str">
        <f>IF(ROW()&lt;9,"",IF(OR(G188="",G183=""),"",IF(G183=0,"",(G188/G183)-1)))</f>
        <v/>
      </c>
      <c r="T188" s="23" t="str">
        <f>IF(ROW()&lt;7,"",IF(OR(L188="",L185=""),"",IF(L185=0,"",(L188/L185)-1)))</f>
        <v/>
      </c>
      <c r="U188" s="23" t="str">
        <f>IF(ROW()&lt;9,"",IF(OR(L188="",L183=""),"",IF(L183=0,"",(L188/L183)-1)))</f>
        <v/>
      </c>
      <c r="V188" s="23" t="str">
        <f>IF(ROW()&lt;7,"",IF(OR(N188="",N185=""),"",IF(N185=0,"",(N188/N185)-1)))</f>
        <v/>
      </c>
      <c r="W188" s="23" t="str">
        <f>IF(ROW()&lt;9,"",IF(OR(N188="",N183=""),"",IF(N183=0,"",(N188/N183)-1)))</f>
        <v/>
      </c>
      <c r="X188" s="23" t="str">
        <f>IF(OR(F188="",M188=""),"",F188-M188)</f>
        <v/>
      </c>
      <c r="Y188" s="23" t="str">
        <f>IF(OR(P188="",T188=""),"",P188-T188)</f>
        <v/>
      </c>
      <c r="Z188" s="23" t="str">
        <f>IF(OR(Q188="",U188=""),"",Q188-U188)</f>
        <v/>
      </c>
      <c r="AA188" s="23" t="str">
        <f>IF(OR(H188="",O188=""),"",H188-O188)</f>
        <v/>
      </c>
      <c r="AB188" s="23" t="str">
        <f>IF(OR(R188="",V188=""),"",R188-V188)</f>
        <v/>
      </c>
      <c r="AC188" s="23" t="str">
        <f>IF(OR(S188="",W188=""),"",S188-W188)</f>
        <v/>
      </c>
      <c r="AD188" s="13"/>
      <c r="AE188" s="23" t="str">
        <f>IF(OR(AD188="",AD187=""),"",IF(AD187=0,"",(AD188/AD187)-1))</f>
        <v/>
      </c>
      <c r="AF188" s="23" t="str">
        <f>IF(ROW()&lt;7,"",IF(OR(AD188="",AD185=""),"",IF(AD185=0,"",(AD188/AD185)-1)))</f>
        <v/>
      </c>
      <c r="AG188" s="23" t="str">
        <f>IF(ROW()&lt;9,"",IF(OR(AD188="",AD183=""),"",IF(AD183=0,"",(AD188/AD183)-1)))</f>
        <v/>
      </c>
      <c r="AH188" s="23" t="str">
        <f>IF(OR(AF188="",AG188=""),"",IF(AND(AF188&gt;0,AG188&gt;0),"Bull",IF(AND(AF188&lt;0,AG188&lt;0),"Bear","Mixed")))</f>
        <v/>
      </c>
      <c r="AI188" s="13"/>
      <c r="AJ188" s="13" t="str">
        <f>IF(OR(AI188="",AI187=""),"",IF(AI187=0,"",(AI188/AI187)-1))</f>
        <v/>
      </c>
      <c r="AK188" s="23" t="str">
        <f>IF(OR(AJ188="",AJ187=""),"",IF(AJ187=0,"",(AJ188/AJ187)-1))</f>
        <v/>
      </c>
      <c r="AL188" s="23" t="str">
        <f>IF(ROW()&lt;7,"",IF(OR(AJ188="",AJ185=""),"",IF(AJ185=0,"",(AJ188/AJ185)-1)))</f>
        <v/>
      </c>
      <c r="AM188" s="23" t="str">
        <f>IF(ROW()&lt;9,"",IF(OR(AJ188="",AJ183=""),"",IF(AJ183=0,"",(AJ188/AJ183)-1)))</f>
        <v/>
      </c>
      <c r="AN188" t="str">
        <f>IF(OR(AL188="",AM188=""),"",IF(AND(AL188&gt;0,AM188&gt;0),"Bull",IF(AND(AL188&lt;0,AM188&lt;0),"Bear","Mixed")))</f>
        <v/>
      </c>
      <c r="AO188" t="str">
        <f>IF(OR(AH188="",AN188=""),"",IF(AND(AH188="Bull",AN188="Bull"),"YES","NO"))</f>
        <v/>
      </c>
      <c r="AP188" t="str">
        <f>IF(OR(AH188="",AN188=""),"",IF(AND(AH188="Bear",AN188="Bear"),"YES","NO"))</f>
        <v/>
      </c>
      <c r="AQ188" t="str">
        <f>IF(AO188="YES",IF(SUM(N(X188),N(Y188),N(Z188))&gt;0,"SOXL","TQQQ"),IF(AP188="YES",IF(SUM(N(AA188),N(AB188),N(AC188))&gt;0,"SOXS","SQQQ"),"WAIT"))</f>
        <v>WAIT</v>
      </c>
      <c r="AR188" s="23" t="str">
        <f>IF(AO188="YES",IF(SUM(N(X188),N(Y188),N(Z188))&gt;0,"TQQQ","SOXL"),IF(AP188="YES",IF(SUM(N(AA188),N(AB188),N(AC188))&gt;0,"SQQQ","SOXS"),""))</f>
        <v/>
      </c>
      <c r="AS188" s="23" t="str">
        <f>IF(AQ188="WAIT","",IF(AR188="",1,0.6))</f>
        <v/>
      </c>
      <c r="AT188" s="23">
        <f>IF(AR188="",0,0.4)</f>
        <v>0</v>
      </c>
      <c r="AU188" s="23" t="str">
        <f>IF(AQ188="WAIT","WAIT",IF(AO188="YES","BULL",IF(AP188="YES","BEAR","WAIT")))</f>
        <v>WAIT</v>
      </c>
      <c r="AV188" t="str">
        <f>IF(AQ188="WAIT","Low",IF(OR(AND(AU188="BULL",ABS(SUM(N(X188),N(Y188),N(Z188)))&gt;=0.15),AND(AU188="BEAR",ABS(SUM(N(AA188),N(AB188),N(AC188)))&gt;=0.15)),"Strong",IF(OR(AND(AU188="BULL",ABS(SUM(N(X188),N(Y188),N(Z188)))&gt;=0.05),AND(AU188="BEAR",ABS(SUM(N(AA188),N(AB188),N(AC188)))&gt;=0.05)),"Moderate","Low")))</f>
        <v>Low</v>
      </c>
      <c r="AW188" t="str">
        <f>IF(AQ188="WAIT","QQQ and SMH not aligned",IF(AU188="BULL",IF(AQ188="SOXL","Bull regime; semiconductors leading","Bull regime; tech leading"),IF(AQ188="SOXS","Bear regime; semiconductors weakest","Bear regime; tech weakest")))</f>
        <v>QQQ and SMH not aligned</v>
      </c>
      <c r="AX188" t="str">
        <f>IF(AR188="WAIT","QQQ and SMH not aligned",IF(AV188="BULL",IF(AR188="SOXL","Bull regime; semiconductors leading","Bull regime; tech leading"),IF(AR188="SOXS","Bear regime; semiconductors weakest","Bear regime; tech weakest")))</f>
        <v>Bear regime; tech weakest</v>
      </c>
    </row>
    <row r="189" spans="1:50" x14ac:dyDescent="0.2">
      <c r="A189" s="12"/>
      <c r="B189" s="13"/>
      <c r="C189" s="13"/>
      <c r="D189" s="13"/>
      <c r="E189" s="13"/>
      <c r="F189" s="11" t="str">
        <f>IF(OR(E189="",E188=""),"",IF(E188=0,"",(E189/E188)-1))</f>
        <v/>
      </c>
      <c r="G189" s="13"/>
      <c r="H189" s="11" t="str">
        <f>IF(OR(G189="",G188=""),"",IF(G188=0,"",(G189/G188)-1))</f>
        <v/>
      </c>
      <c r="I189" s="13"/>
      <c r="J189" s="13"/>
      <c r="K189" s="13"/>
      <c r="L189" s="13"/>
      <c r="M189" s="23" t="str">
        <f>IF(OR(L189="",L188=""),"",IF(L188=0,"",(L189/L188)-1))</f>
        <v/>
      </c>
      <c r="N189" s="26" t="str">
        <f>IFERROR((M189/M188)-1,"")</f>
        <v/>
      </c>
      <c r="O189" s="23" t="str">
        <f>IF(OR(N189="",N188=""),"",IF(N188=0,"",(N189/N188)-1))</f>
        <v/>
      </c>
      <c r="P189" s="11" t="str">
        <f>IF(ROW()&lt;7,"",IF(OR(E189="",E186=""),"",IF(E186=0,"",(E189/E186)-1)))</f>
        <v/>
      </c>
      <c r="Q189" s="23" t="str">
        <f>IF(ROW()&lt;9,"",IF(OR(E189="",E184=""),"",IF(E184=0,"",(E189/E184)-1)))</f>
        <v/>
      </c>
      <c r="R189" s="23" t="str">
        <f>IF(ROW()&lt;7,"",IF(OR(G189="",G186=""),"",IF(G186=0,"",(G189/G186)-1)))</f>
        <v/>
      </c>
      <c r="S189" s="23" t="str">
        <f>IF(ROW()&lt;9,"",IF(OR(G189="",G184=""),"",IF(G184=0,"",(G189/G184)-1)))</f>
        <v/>
      </c>
      <c r="T189" s="23" t="str">
        <f>IF(ROW()&lt;7,"",IF(OR(L189="",L186=""),"",IF(L186=0,"",(L189/L186)-1)))</f>
        <v/>
      </c>
      <c r="U189" s="23" t="str">
        <f>IF(ROW()&lt;9,"",IF(OR(L189="",L184=""),"",IF(L184=0,"",(L189/L184)-1)))</f>
        <v/>
      </c>
      <c r="V189" s="23" t="str">
        <f>IF(ROW()&lt;7,"",IF(OR(N189="",N186=""),"",IF(N186=0,"",(N189/N186)-1)))</f>
        <v/>
      </c>
      <c r="W189" s="23" t="str">
        <f>IF(ROW()&lt;9,"",IF(OR(N189="",N184=""),"",IF(N184=0,"",(N189/N184)-1)))</f>
        <v/>
      </c>
      <c r="X189" s="23" t="str">
        <f>IF(OR(F189="",M189=""),"",F189-M189)</f>
        <v/>
      </c>
      <c r="Y189" s="23" t="str">
        <f>IF(OR(P189="",T189=""),"",P189-T189)</f>
        <v/>
      </c>
      <c r="Z189" s="23" t="str">
        <f>IF(OR(Q189="",U189=""),"",Q189-U189)</f>
        <v/>
      </c>
      <c r="AA189" s="23" t="str">
        <f>IF(OR(H189="",O189=""),"",H189-O189)</f>
        <v/>
      </c>
      <c r="AB189" s="23" t="str">
        <f>IF(OR(R189="",V189=""),"",R189-V189)</f>
        <v/>
      </c>
      <c r="AC189" s="23" t="str">
        <f>IF(OR(S189="",W189=""),"",S189-W189)</f>
        <v/>
      </c>
      <c r="AD189" s="13"/>
      <c r="AE189" s="23" t="str">
        <f>IF(OR(AD189="",AD188=""),"",IF(AD188=0,"",(AD189/AD188)-1))</f>
        <v/>
      </c>
      <c r="AF189" s="23" t="str">
        <f>IF(ROW()&lt;7,"",IF(OR(AD189="",AD186=""),"",IF(AD186=0,"",(AD189/AD186)-1)))</f>
        <v/>
      </c>
      <c r="AG189" s="23" t="str">
        <f>IF(ROW()&lt;9,"",IF(OR(AD189="",AD184=""),"",IF(AD184=0,"",(AD189/AD184)-1)))</f>
        <v/>
      </c>
      <c r="AH189" s="23" t="str">
        <f>IF(OR(AF189="",AG189=""),"",IF(AND(AF189&gt;0,AG189&gt;0),"Bull",IF(AND(AF189&lt;0,AG189&lt;0),"Bear","Mixed")))</f>
        <v/>
      </c>
      <c r="AI189" s="13"/>
      <c r="AJ189" s="13" t="str">
        <f>IF(OR(AI189="",AI188=""),"",IF(AI188=0,"",(AI189/AI188)-1))</f>
        <v/>
      </c>
      <c r="AK189" s="23" t="str">
        <f>IF(OR(AJ189="",AJ188=""),"",IF(AJ188=0,"",(AJ189/AJ188)-1))</f>
        <v/>
      </c>
      <c r="AL189" s="23" t="str">
        <f>IF(ROW()&lt;7,"",IF(OR(AJ189="",AJ186=""),"",IF(AJ186=0,"",(AJ189/AJ186)-1)))</f>
        <v/>
      </c>
      <c r="AM189" s="23" t="str">
        <f>IF(ROW()&lt;9,"",IF(OR(AJ189="",AJ184=""),"",IF(AJ184=0,"",(AJ189/AJ184)-1)))</f>
        <v/>
      </c>
      <c r="AN189" t="str">
        <f>IF(OR(AL189="",AM189=""),"",IF(AND(AL189&gt;0,AM189&gt;0),"Bull",IF(AND(AL189&lt;0,AM189&lt;0),"Bear","Mixed")))</f>
        <v/>
      </c>
      <c r="AO189" t="str">
        <f>IF(OR(AH189="",AN189=""),"",IF(AND(AH189="Bull",AN189="Bull"),"YES","NO"))</f>
        <v/>
      </c>
      <c r="AP189" t="str">
        <f>IF(OR(AH189="",AN189=""),"",IF(AND(AH189="Bear",AN189="Bear"),"YES","NO"))</f>
        <v/>
      </c>
      <c r="AQ189" t="str">
        <f>IF(AO189="YES",IF(SUM(N(X189),N(Y189),N(Z189))&gt;0,"SOXL","TQQQ"),IF(AP189="YES",IF(SUM(N(AA189),N(AB189),N(AC189))&gt;0,"SOXS","SQQQ"),"WAIT"))</f>
        <v>WAIT</v>
      </c>
      <c r="AR189" s="23" t="str">
        <f>IF(AO189="YES",IF(SUM(N(X189),N(Y189),N(Z189))&gt;0,"TQQQ","SOXL"),IF(AP189="YES",IF(SUM(N(AA189),N(AB189),N(AC189))&gt;0,"SQQQ","SOXS"),""))</f>
        <v/>
      </c>
      <c r="AS189" s="23" t="str">
        <f>IF(AQ189="WAIT","",IF(AR189="",1,0.6))</f>
        <v/>
      </c>
      <c r="AT189" s="23">
        <f>IF(AR189="",0,0.4)</f>
        <v>0</v>
      </c>
      <c r="AU189" s="23" t="str">
        <f>IF(AQ189="WAIT","WAIT",IF(AO189="YES","BULL",IF(AP189="YES","BEAR","WAIT")))</f>
        <v>WAIT</v>
      </c>
      <c r="AV189" t="str">
        <f>IF(AQ189="WAIT","Low",IF(OR(AND(AU189="BULL",ABS(SUM(N(X189),N(Y189),N(Z189)))&gt;=0.15),AND(AU189="BEAR",ABS(SUM(N(AA189),N(AB189),N(AC189)))&gt;=0.15)),"Strong",IF(OR(AND(AU189="BULL",ABS(SUM(N(X189),N(Y189),N(Z189)))&gt;=0.05),AND(AU189="BEAR",ABS(SUM(N(AA189),N(AB189),N(AC189)))&gt;=0.05)),"Moderate","Low")))</f>
        <v>Low</v>
      </c>
      <c r="AW189" t="str">
        <f>IF(AQ189="WAIT","QQQ and SMH not aligned",IF(AU189="BULL",IF(AQ189="SOXL","Bull regime; semiconductors leading","Bull regime; tech leading"),IF(AQ189="SOXS","Bear regime; semiconductors weakest","Bear regime; tech weakest")))</f>
        <v>QQQ and SMH not aligned</v>
      </c>
      <c r="AX189" t="str">
        <f>IF(AR189="WAIT","QQQ and SMH not aligned",IF(AV189="BULL",IF(AR189="SOXL","Bull regime; semiconductors leading","Bull regime; tech leading"),IF(AR189="SOXS","Bear regime; semiconductors weakest","Bear regime; tech weakest")))</f>
        <v>Bear regime; tech weakest</v>
      </c>
    </row>
    <row r="190" spans="1:50" x14ac:dyDescent="0.2">
      <c r="A190" s="12"/>
      <c r="B190" s="13"/>
      <c r="C190" s="13"/>
      <c r="D190" s="13"/>
      <c r="E190" s="13"/>
      <c r="F190" s="11" t="str">
        <f>IF(OR(E190="",E189=""),"",IF(E189=0,"",(E190/E189)-1))</f>
        <v/>
      </c>
      <c r="G190" s="13"/>
      <c r="H190" s="11" t="str">
        <f>IF(OR(G190="",G189=""),"",IF(G189=0,"",(G190/G189)-1))</f>
        <v/>
      </c>
      <c r="I190" s="13"/>
      <c r="J190" s="13"/>
      <c r="K190" s="13"/>
      <c r="L190" s="13"/>
      <c r="M190" s="23" t="str">
        <f>IF(OR(L190="",L189=""),"",IF(L189=0,"",(L190/L189)-1))</f>
        <v/>
      </c>
      <c r="N190" s="26" t="str">
        <f>IFERROR((M190/M189)-1,"")</f>
        <v/>
      </c>
      <c r="O190" s="23" t="str">
        <f>IF(OR(N190="",N189=""),"",IF(N189=0,"",(N190/N189)-1))</f>
        <v/>
      </c>
      <c r="P190" s="11" t="str">
        <f>IF(ROW()&lt;7,"",IF(OR(E190="",E187=""),"",IF(E187=0,"",(E190/E187)-1)))</f>
        <v/>
      </c>
      <c r="Q190" s="23" t="str">
        <f>IF(ROW()&lt;9,"",IF(OR(E190="",E185=""),"",IF(E185=0,"",(E190/E185)-1)))</f>
        <v/>
      </c>
      <c r="R190" s="23" t="str">
        <f>IF(ROW()&lt;7,"",IF(OR(G190="",G187=""),"",IF(G187=0,"",(G190/G187)-1)))</f>
        <v/>
      </c>
      <c r="S190" s="23" t="str">
        <f>IF(ROW()&lt;9,"",IF(OR(G190="",G185=""),"",IF(G185=0,"",(G190/G185)-1)))</f>
        <v/>
      </c>
      <c r="T190" s="23" t="str">
        <f>IF(ROW()&lt;7,"",IF(OR(L190="",L187=""),"",IF(L187=0,"",(L190/L187)-1)))</f>
        <v/>
      </c>
      <c r="U190" s="23" t="str">
        <f>IF(ROW()&lt;9,"",IF(OR(L190="",L185=""),"",IF(L185=0,"",(L190/L185)-1)))</f>
        <v/>
      </c>
      <c r="V190" s="23" t="str">
        <f>IF(ROW()&lt;7,"",IF(OR(N190="",N187=""),"",IF(N187=0,"",(N190/N187)-1)))</f>
        <v/>
      </c>
      <c r="W190" s="23" t="str">
        <f>IF(ROW()&lt;9,"",IF(OR(N190="",N185=""),"",IF(N185=0,"",(N190/N185)-1)))</f>
        <v/>
      </c>
      <c r="X190" s="23" t="str">
        <f>IF(OR(F190="",M190=""),"",F190-M190)</f>
        <v/>
      </c>
      <c r="Y190" s="23" t="str">
        <f>IF(OR(P190="",T190=""),"",P190-T190)</f>
        <v/>
      </c>
      <c r="Z190" s="23" t="str">
        <f>IF(OR(Q190="",U190=""),"",Q190-U190)</f>
        <v/>
      </c>
      <c r="AA190" s="23" t="str">
        <f>IF(OR(H190="",O190=""),"",H190-O190)</f>
        <v/>
      </c>
      <c r="AB190" s="23" t="str">
        <f>IF(OR(R190="",V190=""),"",R190-V190)</f>
        <v/>
      </c>
      <c r="AC190" s="23" t="str">
        <f>IF(OR(S190="",W190=""),"",S190-W190)</f>
        <v/>
      </c>
      <c r="AD190" s="13"/>
      <c r="AE190" s="23" t="str">
        <f>IF(OR(AD190="",AD189=""),"",IF(AD189=0,"",(AD190/AD189)-1))</f>
        <v/>
      </c>
      <c r="AF190" s="23" t="str">
        <f>IF(ROW()&lt;7,"",IF(OR(AD190="",AD187=""),"",IF(AD187=0,"",(AD190/AD187)-1)))</f>
        <v/>
      </c>
      <c r="AG190" s="23" t="str">
        <f>IF(ROW()&lt;9,"",IF(OR(AD190="",AD185=""),"",IF(AD185=0,"",(AD190/AD185)-1)))</f>
        <v/>
      </c>
      <c r="AH190" s="23" t="str">
        <f>IF(OR(AF190="",AG190=""),"",IF(AND(AF190&gt;0,AG190&gt;0),"Bull",IF(AND(AF190&lt;0,AG190&lt;0),"Bear","Mixed")))</f>
        <v/>
      </c>
      <c r="AI190" s="13"/>
      <c r="AJ190" s="13" t="str">
        <f>IF(OR(AI190="",AI189=""),"",IF(AI189=0,"",(AI190/AI189)-1))</f>
        <v/>
      </c>
      <c r="AK190" s="23" t="str">
        <f>IF(OR(AJ190="",AJ189=""),"",IF(AJ189=0,"",(AJ190/AJ189)-1))</f>
        <v/>
      </c>
      <c r="AL190" s="23" t="str">
        <f>IF(ROW()&lt;7,"",IF(OR(AJ190="",AJ187=""),"",IF(AJ187=0,"",(AJ190/AJ187)-1)))</f>
        <v/>
      </c>
      <c r="AM190" s="23" t="str">
        <f>IF(ROW()&lt;9,"",IF(OR(AJ190="",AJ185=""),"",IF(AJ185=0,"",(AJ190/AJ185)-1)))</f>
        <v/>
      </c>
      <c r="AN190" t="str">
        <f>IF(OR(AL190="",AM190=""),"",IF(AND(AL190&gt;0,AM190&gt;0),"Bull",IF(AND(AL190&lt;0,AM190&lt;0),"Bear","Mixed")))</f>
        <v/>
      </c>
      <c r="AO190" t="str">
        <f>IF(OR(AH190="",AN190=""),"",IF(AND(AH190="Bull",AN190="Bull"),"YES","NO"))</f>
        <v/>
      </c>
      <c r="AP190" t="str">
        <f>IF(OR(AH190="",AN190=""),"",IF(AND(AH190="Bear",AN190="Bear"),"YES","NO"))</f>
        <v/>
      </c>
      <c r="AQ190" t="str">
        <f>IF(AO190="YES",IF(SUM(N(X190),N(Y190),N(Z190))&gt;0,"SOXL","TQQQ"),IF(AP190="YES",IF(SUM(N(AA190),N(AB190),N(AC190))&gt;0,"SOXS","SQQQ"),"WAIT"))</f>
        <v>WAIT</v>
      </c>
      <c r="AR190" s="23" t="str">
        <f>IF(AO190="YES",IF(SUM(N(X190),N(Y190),N(Z190))&gt;0,"TQQQ","SOXL"),IF(AP190="YES",IF(SUM(N(AA190),N(AB190),N(AC190))&gt;0,"SQQQ","SOXS"),""))</f>
        <v/>
      </c>
      <c r="AS190" s="23" t="str">
        <f>IF(AQ190="WAIT","",IF(AR190="",1,0.6))</f>
        <v/>
      </c>
      <c r="AT190" s="23">
        <f>IF(AR190="",0,0.4)</f>
        <v>0</v>
      </c>
      <c r="AU190" s="23" t="str">
        <f>IF(AQ190="WAIT","WAIT",IF(AO190="YES","BULL",IF(AP190="YES","BEAR","WAIT")))</f>
        <v>WAIT</v>
      </c>
      <c r="AV190" t="str">
        <f>IF(AQ190="WAIT","Low",IF(OR(AND(AU190="BULL",ABS(SUM(N(X190),N(Y190),N(Z190)))&gt;=0.15),AND(AU190="BEAR",ABS(SUM(N(AA190),N(AB190),N(AC190)))&gt;=0.15)),"Strong",IF(OR(AND(AU190="BULL",ABS(SUM(N(X190),N(Y190),N(Z190)))&gt;=0.05),AND(AU190="BEAR",ABS(SUM(N(AA190),N(AB190),N(AC190)))&gt;=0.05)),"Moderate","Low")))</f>
        <v>Low</v>
      </c>
      <c r="AW190" t="str">
        <f>IF(AQ190="WAIT","QQQ and SMH not aligned",IF(AU190="BULL",IF(AQ190="SOXL","Bull regime; semiconductors leading","Bull regime; tech leading"),IF(AQ190="SOXS","Bear regime; semiconductors weakest","Bear regime; tech weakest")))</f>
        <v>QQQ and SMH not aligned</v>
      </c>
      <c r="AX190" t="str">
        <f>IF(AR190="WAIT","QQQ and SMH not aligned",IF(AV190="BULL",IF(AR190="SOXL","Bull regime; semiconductors leading","Bull regime; tech leading"),IF(AR190="SOXS","Bear regime; semiconductors weakest","Bear regime; tech weakest")))</f>
        <v>Bear regime; tech weakest</v>
      </c>
    </row>
    <row r="191" spans="1:50" x14ac:dyDescent="0.2">
      <c r="A191" s="12"/>
      <c r="B191" s="13"/>
      <c r="C191" s="13"/>
      <c r="D191" s="13"/>
      <c r="E191" s="13"/>
      <c r="F191" s="11" t="str">
        <f>IF(OR(E191="",E190=""),"",IF(E190=0,"",(E191/E190)-1))</f>
        <v/>
      </c>
      <c r="G191" s="13"/>
      <c r="H191" s="11" t="str">
        <f>IF(OR(G191="",G190=""),"",IF(G190=0,"",(G191/G190)-1))</f>
        <v/>
      </c>
      <c r="I191" s="13"/>
      <c r="J191" s="13"/>
      <c r="K191" s="13"/>
      <c r="L191" s="13"/>
      <c r="M191" s="23" t="str">
        <f>IF(OR(L191="",L190=""),"",IF(L190=0,"",(L191/L190)-1))</f>
        <v/>
      </c>
      <c r="N191" s="26" t="str">
        <f>IFERROR((M191/M190)-1,"")</f>
        <v/>
      </c>
      <c r="O191" s="23" t="str">
        <f>IF(OR(N191="",N190=""),"",IF(N190=0,"",(N191/N190)-1))</f>
        <v/>
      </c>
      <c r="P191" s="11" t="str">
        <f>IF(ROW()&lt;7,"",IF(OR(E191="",E188=""),"",IF(E188=0,"",(E191/E188)-1)))</f>
        <v/>
      </c>
      <c r="Q191" s="23" t="str">
        <f>IF(ROW()&lt;9,"",IF(OR(E191="",E186=""),"",IF(E186=0,"",(E191/E186)-1)))</f>
        <v/>
      </c>
      <c r="R191" s="23" t="str">
        <f>IF(ROW()&lt;7,"",IF(OR(G191="",G188=""),"",IF(G188=0,"",(G191/G188)-1)))</f>
        <v/>
      </c>
      <c r="S191" s="23" t="str">
        <f>IF(ROW()&lt;9,"",IF(OR(G191="",G186=""),"",IF(G186=0,"",(G191/G186)-1)))</f>
        <v/>
      </c>
      <c r="T191" s="23" t="str">
        <f>IF(ROW()&lt;7,"",IF(OR(L191="",L188=""),"",IF(L188=0,"",(L191/L188)-1)))</f>
        <v/>
      </c>
      <c r="U191" s="23" t="str">
        <f>IF(ROW()&lt;9,"",IF(OR(L191="",L186=""),"",IF(L186=0,"",(L191/L186)-1)))</f>
        <v/>
      </c>
      <c r="V191" s="23" t="str">
        <f>IF(ROW()&lt;7,"",IF(OR(N191="",N188=""),"",IF(N188=0,"",(N191/N188)-1)))</f>
        <v/>
      </c>
      <c r="W191" s="23" t="str">
        <f>IF(ROW()&lt;9,"",IF(OR(N191="",N186=""),"",IF(N186=0,"",(N191/N186)-1)))</f>
        <v/>
      </c>
      <c r="X191" s="23" t="str">
        <f>IF(OR(F191="",M191=""),"",F191-M191)</f>
        <v/>
      </c>
      <c r="Y191" s="23" t="str">
        <f>IF(OR(P191="",T191=""),"",P191-T191)</f>
        <v/>
      </c>
      <c r="Z191" s="23" t="str">
        <f>IF(OR(Q191="",U191=""),"",Q191-U191)</f>
        <v/>
      </c>
      <c r="AA191" s="23" t="str">
        <f>IF(OR(H191="",O191=""),"",H191-O191)</f>
        <v/>
      </c>
      <c r="AB191" s="23" t="str">
        <f>IF(OR(R191="",V191=""),"",R191-V191)</f>
        <v/>
      </c>
      <c r="AC191" s="23" t="str">
        <f>IF(OR(S191="",W191=""),"",S191-W191)</f>
        <v/>
      </c>
      <c r="AD191" s="13"/>
      <c r="AE191" s="23" t="str">
        <f>IF(OR(AD191="",AD190=""),"",IF(AD190=0,"",(AD191/AD190)-1))</f>
        <v/>
      </c>
      <c r="AF191" s="23" t="str">
        <f>IF(ROW()&lt;7,"",IF(OR(AD191="",AD188=""),"",IF(AD188=0,"",(AD191/AD188)-1)))</f>
        <v/>
      </c>
      <c r="AG191" s="23" t="str">
        <f>IF(ROW()&lt;9,"",IF(OR(AD191="",AD186=""),"",IF(AD186=0,"",(AD191/AD186)-1)))</f>
        <v/>
      </c>
      <c r="AH191" s="23" t="str">
        <f>IF(OR(AF191="",AG191=""),"",IF(AND(AF191&gt;0,AG191&gt;0),"Bull",IF(AND(AF191&lt;0,AG191&lt;0),"Bear","Mixed")))</f>
        <v/>
      </c>
      <c r="AI191" s="13"/>
      <c r="AJ191" s="13" t="str">
        <f>IF(OR(AI191="",AI190=""),"",IF(AI190=0,"",(AI191/AI190)-1))</f>
        <v/>
      </c>
      <c r="AK191" s="23" t="str">
        <f>IF(OR(AJ191="",AJ190=""),"",IF(AJ190=0,"",(AJ191/AJ190)-1))</f>
        <v/>
      </c>
      <c r="AL191" s="23" t="str">
        <f>IF(ROW()&lt;7,"",IF(OR(AJ191="",AJ188=""),"",IF(AJ188=0,"",(AJ191/AJ188)-1)))</f>
        <v/>
      </c>
      <c r="AM191" s="23" t="str">
        <f>IF(ROW()&lt;9,"",IF(OR(AJ191="",AJ186=""),"",IF(AJ186=0,"",(AJ191/AJ186)-1)))</f>
        <v/>
      </c>
      <c r="AN191" t="str">
        <f>IF(OR(AL191="",AM191=""),"",IF(AND(AL191&gt;0,AM191&gt;0),"Bull",IF(AND(AL191&lt;0,AM191&lt;0),"Bear","Mixed")))</f>
        <v/>
      </c>
      <c r="AO191" t="str">
        <f>IF(OR(AH191="",AN191=""),"",IF(AND(AH191="Bull",AN191="Bull"),"YES","NO"))</f>
        <v/>
      </c>
      <c r="AP191" t="str">
        <f>IF(OR(AH191="",AN191=""),"",IF(AND(AH191="Bear",AN191="Bear"),"YES","NO"))</f>
        <v/>
      </c>
      <c r="AQ191" t="str">
        <f>IF(AO191="YES",IF(SUM(N(X191),N(Y191),N(Z191))&gt;0,"SOXL","TQQQ"),IF(AP191="YES",IF(SUM(N(AA191),N(AB191),N(AC191))&gt;0,"SOXS","SQQQ"),"WAIT"))</f>
        <v>WAIT</v>
      </c>
      <c r="AR191" s="23" t="str">
        <f>IF(AO191="YES",IF(SUM(N(X191),N(Y191),N(Z191))&gt;0,"TQQQ","SOXL"),IF(AP191="YES",IF(SUM(N(AA191),N(AB191),N(AC191))&gt;0,"SQQQ","SOXS"),""))</f>
        <v/>
      </c>
      <c r="AS191" s="23" t="str">
        <f>IF(AQ191="WAIT","",IF(AR191="",1,0.6))</f>
        <v/>
      </c>
      <c r="AT191" s="23">
        <f>IF(AR191="",0,0.4)</f>
        <v>0</v>
      </c>
      <c r="AU191" s="23" t="str">
        <f>IF(AQ191="WAIT","WAIT",IF(AO191="YES","BULL",IF(AP191="YES","BEAR","WAIT")))</f>
        <v>WAIT</v>
      </c>
      <c r="AV191" t="str">
        <f>IF(AQ191="WAIT","Low",IF(OR(AND(AU191="BULL",ABS(SUM(N(X191),N(Y191),N(Z191)))&gt;=0.15),AND(AU191="BEAR",ABS(SUM(N(AA191),N(AB191),N(AC191)))&gt;=0.15)),"Strong",IF(OR(AND(AU191="BULL",ABS(SUM(N(X191),N(Y191),N(Z191)))&gt;=0.05),AND(AU191="BEAR",ABS(SUM(N(AA191),N(AB191),N(AC191)))&gt;=0.05)),"Moderate","Low")))</f>
        <v>Low</v>
      </c>
      <c r="AW191" t="str">
        <f>IF(AQ191="WAIT","QQQ and SMH not aligned",IF(AU191="BULL",IF(AQ191="SOXL","Bull regime; semiconductors leading","Bull regime; tech leading"),IF(AQ191="SOXS","Bear regime; semiconductors weakest","Bear regime; tech weakest")))</f>
        <v>QQQ and SMH not aligned</v>
      </c>
      <c r="AX191" t="str">
        <f>IF(AR191="WAIT","QQQ and SMH not aligned",IF(AV191="BULL",IF(AR191="SOXL","Bull regime; semiconductors leading","Bull regime; tech leading"),IF(AR191="SOXS","Bear regime; semiconductors weakest","Bear regime; tech weakest")))</f>
        <v>Bear regime; tech weakest</v>
      </c>
    </row>
    <row r="192" spans="1:50" x14ac:dyDescent="0.2">
      <c r="A192" s="12"/>
      <c r="B192" s="13"/>
      <c r="C192" s="13"/>
      <c r="D192" s="13"/>
      <c r="E192" s="13"/>
      <c r="F192" s="11" t="str">
        <f>IF(OR(E192="",E191=""),"",IF(E191=0,"",(E192/E191)-1))</f>
        <v/>
      </c>
      <c r="G192" s="13"/>
      <c r="H192" s="11" t="str">
        <f>IF(OR(G192="",G191=""),"",IF(G191=0,"",(G192/G191)-1))</f>
        <v/>
      </c>
      <c r="I192" s="13"/>
      <c r="J192" s="13"/>
      <c r="K192" s="13"/>
      <c r="L192" s="13"/>
      <c r="M192" s="23" t="str">
        <f>IF(OR(L192="",L191=""),"",IF(L191=0,"",(L192/L191)-1))</f>
        <v/>
      </c>
      <c r="N192" s="26" t="str">
        <f>IFERROR((M192/M191)-1,"")</f>
        <v/>
      </c>
      <c r="O192" s="23" t="str">
        <f>IF(OR(N192="",N191=""),"",IF(N191=0,"",(N192/N191)-1))</f>
        <v/>
      </c>
      <c r="P192" s="11" t="str">
        <f>IF(ROW()&lt;7,"",IF(OR(E192="",E189=""),"",IF(E189=0,"",(E192/E189)-1)))</f>
        <v/>
      </c>
      <c r="Q192" s="23" t="str">
        <f>IF(ROW()&lt;9,"",IF(OR(E192="",E187=""),"",IF(E187=0,"",(E192/E187)-1)))</f>
        <v/>
      </c>
      <c r="R192" s="23" t="str">
        <f>IF(ROW()&lt;7,"",IF(OR(G192="",G189=""),"",IF(G189=0,"",(G192/G189)-1)))</f>
        <v/>
      </c>
      <c r="S192" s="23" t="str">
        <f>IF(ROW()&lt;9,"",IF(OR(G192="",G187=""),"",IF(G187=0,"",(G192/G187)-1)))</f>
        <v/>
      </c>
      <c r="T192" s="23" t="str">
        <f>IF(ROW()&lt;7,"",IF(OR(L192="",L189=""),"",IF(L189=0,"",(L192/L189)-1)))</f>
        <v/>
      </c>
      <c r="U192" s="23" t="str">
        <f>IF(ROW()&lt;9,"",IF(OR(L192="",L187=""),"",IF(L187=0,"",(L192/L187)-1)))</f>
        <v/>
      </c>
      <c r="V192" s="23" t="str">
        <f>IF(ROW()&lt;7,"",IF(OR(N192="",N189=""),"",IF(N189=0,"",(N192/N189)-1)))</f>
        <v/>
      </c>
      <c r="W192" s="23" t="str">
        <f>IF(ROW()&lt;9,"",IF(OR(N192="",N187=""),"",IF(N187=0,"",(N192/N187)-1)))</f>
        <v/>
      </c>
      <c r="X192" s="23" t="str">
        <f>IF(OR(F192="",M192=""),"",F192-M192)</f>
        <v/>
      </c>
      <c r="Y192" s="23" t="str">
        <f>IF(OR(P192="",T192=""),"",P192-T192)</f>
        <v/>
      </c>
      <c r="Z192" s="23" t="str">
        <f>IF(OR(Q192="",U192=""),"",Q192-U192)</f>
        <v/>
      </c>
      <c r="AA192" s="23" t="str">
        <f>IF(OR(H192="",O192=""),"",H192-O192)</f>
        <v/>
      </c>
      <c r="AB192" s="23" t="str">
        <f>IF(OR(R192="",V192=""),"",R192-V192)</f>
        <v/>
      </c>
      <c r="AC192" s="23" t="str">
        <f>IF(OR(S192="",W192=""),"",S192-W192)</f>
        <v/>
      </c>
      <c r="AD192" s="13"/>
      <c r="AE192" s="23" t="str">
        <f>IF(OR(AD192="",AD191=""),"",IF(AD191=0,"",(AD192/AD191)-1))</f>
        <v/>
      </c>
      <c r="AF192" s="23" t="str">
        <f>IF(ROW()&lt;7,"",IF(OR(AD192="",AD189=""),"",IF(AD189=0,"",(AD192/AD189)-1)))</f>
        <v/>
      </c>
      <c r="AG192" s="23" t="str">
        <f>IF(ROW()&lt;9,"",IF(OR(AD192="",AD187=""),"",IF(AD187=0,"",(AD192/AD187)-1)))</f>
        <v/>
      </c>
      <c r="AH192" s="23" t="str">
        <f>IF(OR(AF192="",AG192=""),"",IF(AND(AF192&gt;0,AG192&gt;0),"Bull",IF(AND(AF192&lt;0,AG192&lt;0),"Bear","Mixed")))</f>
        <v/>
      </c>
      <c r="AI192" s="13"/>
      <c r="AJ192" s="13" t="str">
        <f>IF(OR(AI192="",AI191=""),"",IF(AI191=0,"",(AI192/AI191)-1))</f>
        <v/>
      </c>
      <c r="AK192" s="23" t="str">
        <f>IF(OR(AJ192="",AJ191=""),"",IF(AJ191=0,"",(AJ192/AJ191)-1))</f>
        <v/>
      </c>
      <c r="AL192" s="23" t="str">
        <f>IF(ROW()&lt;7,"",IF(OR(AJ192="",AJ189=""),"",IF(AJ189=0,"",(AJ192/AJ189)-1)))</f>
        <v/>
      </c>
      <c r="AM192" s="23" t="str">
        <f>IF(ROW()&lt;9,"",IF(OR(AJ192="",AJ187=""),"",IF(AJ187=0,"",(AJ192/AJ187)-1)))</f>
        <v/>
      </c>
      <c r="AN192" t="str">
        <f>IF(OR(AL192="",AM192=""),"",IF(AND(AL192&gt;0,AM192&gt;0),"Bull",IF(AND(AL192&lt;0,AM192&lt;0),"Bear","Mixed")))</f>
        <v/>
      </c>
      <c r="AO192" t="str">
        <f>IF(OR(AH192="",AN192=""),"",IF(AND(AH192="Bull",AN192="Bull"),"YES","NO"))</f>
        <v/>
      </c>
      <c r="AP192" t="str">
        <f>IF(OR(AH192="",AN192=""),"",IF(AND(AH192="Bear",AN192="Bear"),"YES","NO"))</f>
        <v/>
      </c>
      <c r="AQ192" t="str">
        <f>IF(AO192="YES",IF(SUM(N(X192),N(Y192),N(Z192))&gt;0,"SOXL","TQQQ"),IF(AP192="YES",IF(SUM(N(AA192),N(AB192),N(AC192))&gt;0,"SOXS","SQQQ"),"WAIT"))</f>
        <v>WAIT</v>
      </c>
      <c r="AR192" s="23" t="str">
        <f>IF(AO192="YES",IF(SUM(N(X192),N(Y192),N(Z192))&gt;0,"TQQQ","SOXL"),IF(AP192="YES",IF(SUM(N(AA192),N(AB192),N(AC192))&gt;0,"SQQQ","SOXS"),""))</f>
        <v/>
      </c>
      <c r="AS192" s="23" t="str">
        <f>IF(AQ192="WAIT","",IF(AR192="",1,0.6))</f>
        <v/>
      </c>
      <c r="AT192" s="23">
        <f>IF(AR192="",0,0.4)</f>
        <v>0</v>
      </c>
      <c r="AU192" s="23" t="str">
        <f>IF(AQ192="WAIT","WAIT",IF(AO192="YES","BULL",IF(AP192="YES","BEAR","WAIT")))</f>
        <v>WAIT</v>
      </c>
      <c r="AV192" t="str">
        <f>IF(AQ192="WAIT","Low",IF(OR(AND(AU192="BULL",ABS(SUM(N(X192),N(Y192),N(Z192)))&gt;=0.15),AND(AU192="BEAR",ABS(SUM(N(AA192),N(AB192),N(AC192)))&gt;=0.15)),"Strong",IF(OR(AND(AU192="BULL",ABS(SUM(N(X192),N(Y192),N(Z192)))&gt;=0.05),AND(AU192="BEAR",ABS(SUM(N(AA192),N(AB192),N(AC192)))&gt;=0.05)),"Moderate","Low")))</f>
        <v>Low</v>
      </c>
      <c r="AW192" t="str">
        <f>IF(AQ192="WAIT","QQQ and SMH not aligned",IF(AU192="BULL",IF(AQ192="SOXL","Bull regime; semiconductors leading","Bull regime; tech leading"),IF(AQ192="SOXS","Bear regime; semiconductors weakest","Bear regime; tech weakest")))</f>
        <v>QQQ and SMH not aligned</v>
      </c>
      <c r="AX192" t="str">
        <f>IF(AR192="WAIT","QQQ and SMH not aligned",IF(AV192="BULL",IF(AR192="SOXL","Bull regime; semiconductors leading","Bull regime; tech leading"),IF(AR192="SOXS","Bear regime; semiconductors weakest","Bear regime; tech weakest")))</f>
        <v>Bear regime; tech weakest</v>
      </c>
    </row>
    <row r="193" spans="1:50" x14ac:dyDescent="0.2">
      <c r="A193" s="12"/>
      <c r="B193" s="13"/>
      <c r="C193" s="13"/>
      <c r="D193" s="13"/>
      <c r="E193" s="13"/>
      <c r="F193" s="11" t="str">
        <f>IF(OR(E193="",E192=""),"",IF(E192=0,"",(E193/E192)-1))</f>
        <v/>
      </c>
      <c r="G193" s="13"/>
      <c r="H193" s="11" t="str">
        <f>IF(OR(G193="",G192=""),"",IF(G192=0,"",(G193/G192)-1))</f>
        <v/>
      </c>
      <c r="I193" s="13"/>
      <c r="J193" s="13"/>
      <c r="K193" s="13"/>
      <c r="L193" s="13"/>
      <c r="M193" s="23" t="str">
        <f>IF(OR(L193="",L192=""),"",IF(L192=0,"",(L193/L192)-1))</f>
        <v/>
      </c>
      <c r="N193" s="26" t="str">
        <f>IFERROR((M193/M192)-1,"")</f>
        <v/>
      </c>
      <c r="O193" s="23" t="str">
        <f>IF(OR(N193="",N192=""),"",IF(N192=0,"",(N193/N192)-1))</f>
        <v/>
      </c>
      <c r="P193" s="11" t="str">
        <f>IF(ROW()&lt;7,"",IF(OR(E193="",E190=""),"",IF(E190=0,"",(E193/E190)-1)))</f>
        <v/>
      </c>
      <c r="Q193" s="23" t="str">
        <f>IF(ROW()&lt;9,"",IF(OR(E193="",E188=""),"",IF(E188=0,"",(E193/E188)-1)))</f>
        <v/>
      </c>
      <c r="R193" s="23" t="str">
        <f>IF(ROW()&lt;7,"",IF(OR(G193="",G190=""),"",IF(G190=0,"",(G193/G190)-1)))</f>
        <v/>
      </c>
      <c r="S193" s="23" t="str">
        <f>IF(ROW()&lt;9,"",IF(OR(G193="",G188=""),"",IF(G188=0,"",(G193/G188)-1)))</f>
        <v/>
      </c>
      <c r="T193" s="23" t="str">
        <f>IF(ROW()&lt;7,"",IF(OR(L193="",L190=""),"",IF(L190=0,"",(L193/L190)-1)))</f>
        <v/>
      </c>
      <c r="U193" s="23" t="str">
        <f>IF(ROW()&lt;9,"",IF(OR(L193="",L188=""),"",IF(L188=0,"",(L193/L188)-1)))</f>
        <v/>
      </c>
      <c r="V193" s="23" t="str">
        <f>IF(ROW()&lt;7,"",IF(OR(N193="",N190=""),"",IF(N190=0,"",(N193/N190)-1)))</f>
        <v/>
      </c>
      <c r="W193" s="23" t="str">
        <f>IF(ROW()&lt;9,"",IF(OR(N193="",N188=""),"",IF(N188=0,"",(N193/N188)-1)))</f>
        <v/>
      </c>
      <c r="X193" s="23" t="str">
        <f>IF(OR(F193="",M193=""),"",F193-M193)</f>
        <v/>
      </c>
      <c r="Y193" s="23" t="str">
        <f>IF(OR(P193="",T193=""),"",P193-T193)</f>
        <v/>
      </c>
      <c r="Z193" s="23" t="str">
        <f>IF(OR(Q193="",U193=""),"",Q193-U193)</f>
        <v/>
      </c>
      <c r="AA193" s="23" t="str">
        <f>IF(OR(H193="",O193=""),"",H193-O193)</f>
        <v/>
      </c>
      <c r="AB193" s="23" t="str">
        <f>IF(OR(R193="",V193=""),"",R193-V193)</f>
        <v/>
      </c>
      <c r="AC193" s="23" t="str">
        <f>IF(OR(S193="",W193=""),"",S193-W193)</f>
        <v/>
      </c>
      <c r="AD193" s="13"/>
      <c r="AE193" s="23" t="str">
        <f>IF(OR(AD193="",AD192=""),"",IF(AD192=0,"",(AD193/AD192)-1))</f>
        <v/>
      </c>
      <c r="AF193" s="23" t="str">
        <f>IF(ROW()&lt;7,"",IF(OR(AD193="",AD190=""),"",IF(AD190=0,"",(AD193/AD190)-1)))</f>
        <v/>
      </c>
      <c r="AG193" s="23" t="str">
        <f>IF(ROW()&lt;9,"",IF(OR(AD193="",AD188=""),"",IF(AD188=0,"",(AD193/AD188)-1)))</f>
        <v/>
      </c>
      <c r="AH193" s="23" t="str">
        <f>IF(OR(AF193="",AG193=""),"",IF(AND(AF193&gt;0,AG193&gt;0),"Bull",IF(AND(AF193&lt;0,AG193&lt;0),"Bear","Mixed")))</f>
        <v/>
      </c>
      <c r="AI193" s="13"/>
      <c r="AJ193" s="13" t="str">
        <f>IF(OR(AI193="",AI192=""),"",IF(AI192=0,"",(AI193/AI192)-1))</f>
        <v/>
      </c>
      <c r="AK193" s="23" t="str">
        <f>IF(OR(AJ193="",AJ192=""),"",IF(AJ192=0,"",(AJ193/AJ192)-1))</f>
        <v/>
      </c>
      <c r="AL193" s="23" t="str">
        <f>IF(ROW()&lt;7,"",IF(OR(AJ193="",AJ190=""),"",IF(AJ190=0,"",(AJ193/AJ190)-1)))</f>
        <v/>
      </c>
      <c r="AM193" s="23" t="str">
        <f>IF(ROW()&lt;9,"",IF(OR(AJ193="",AJ188=""),"",IF(AJ188=0,"",(AJ193/AJ188)-1)))</f>
        <v/>
      </c>
      <c r="AN193" t="str">
        <f>IF(OR(AL193="",AM193=""),"",IF(AND(AL193&gt;0,AM193&gt;0),"Bull",IF(AND(AL193&lt;0,AM193&lt;0),"Bear","Mixed")))</f>
        <v/>
      </c>
      <c r="AO193" t="str">
        <f>IF(OR(AH193="",AN193=""),"",IF(AND(AH193="Bull",AN193="Bull"),"YES","NO"))</f>
        <v/>
      </c>
      <c r="AP193" t="str">
        <f>IF(OR(AH193="",AN193=""),"",IF(AND(AH193="Bear",AN193="Bear"),"YES","NO"))</f>
        <v/>
      </c>
      <c r="AQ193" t="str">
        <f>IF(AO193="YES",IF(SUM(N(X193),N(Y193),N(Z193))&gt;0,"SOXL","TQQQ"),IF(AP193="YES",IF(SUM(N(AA193),N(AB193),N(AC193))&gt;0,"SOXS","SQQQ"),"WAIT"))</f>
        <v>WAIT</v>
      </c>
      <c r="AR193" s="23" t="str">
        <f>IF(AO193="YES",IF(SUM(N(X193),N(Y193),N(Z193))&gt;0,"TQQQ","SOXL"),IF(AP193="YES",IF(SUM(N(AA193),N(AB193),N(AC193))&gt;0,"SQQQ","SOXS"),""))</f>
        <v/>
      </c>
      <c r="AS193" s="23" t="str">
        <f>IF(AQ193="WAIT","",IF(AR193="",1,0.6))</f>
        <v/>
      </c>
      <c r="AT193" s="23">
        <f>IF(AR193="",0,0.4)</f>
        <v>0</v>
      </c>
      <c r="AU193" s="23" t="str">
        <f>IF(AQ193="WAIT","WAIT",IF(AO193="YES","BULL",IF(AP193="YES","BEAR","WAIT")))</f>
        <v>WAIT</v>
      </c>
      <c r="AV193" t="str">
        <f>IF(AQ193="WAIT","Low",IF(OR(AND(AU193="BULL",ABS(SUM(N(X193),N(Y193),N(Z193)))&gt;=0.15),AND(AU193="BEAR",ABS(SUM(N(AA193),N(AB193),N(AC193)))&gt;=0.15)),"Strong",IF(OR(AND(AU193="BULL",ABS(SUM(N(X193),N(Y193),N(Z193)))&gt;=0.05),AND(AU193="BEAR",ABS(SUM(N(AA193),N(AB193),N(AC193)))&gt;=0.05)),"Moderate","Low")))</f>
        <v>Low</v>
      </c>
      <c r="AW193" t="str">
        <f>IF(AQ193="WAIT","QQQ and SMH not aligned",IF(AU193="BULL",IF(AQ193="SOXL","Bull regime; semiconductors leading","Bull regime; tech leading"),IF(AQ193="SOXS","Bear regime; semiconductors weakest","Bear regime; tech weakest")))</f>
        <v>QQQ and SMH not aligned</v>
      </c>
      <c r="AX193" t="str">
        <f>IF(AR193="WAIT","QQQ and SMH not aligned",IF(AV193="BULL",IF(AR193="SOXL","Bull regime; semiconductors leading","Bull regime; tech leading"),IF(AR193="SOXS","Bear regime; semiconductors weakest","Bear regime; tech weakest")))</f>
        <v>Bear regime; tech weakest</v>
      </c>
    </row>
    <row r="194" spans="1:50" x14ac:dyDescent="0.2">
      <c r="A194" s="12"/>
      <c r="B194" s="13"/>
      <c r="C194" s="13"/>
      <c r="D194" s="13"/>
      <c r="E194" s="13"/>
      <c r="F194" s="11" t="str">
        <f>IF(OR(E194="",E193=""),"",IF(E193=0,"",(E194/E193)-1))</f>
        <v/>
      </c>
      <c r="G194" s="13"/>
      <c r="H194" s="11" t="str">
        <f>IF(OR(G194="",G193=""),"",IF(G193=0,"",(G194/G193)-1))</f>
        <v/>
      </c>
      <c r="I194" s="13"/>
      <c r="J194" s="13"/>
      <c r="K194" s="13"/>
      <c r="L194" s="13"/>
      <c r="M194" s="23" t="str">
        <f>IF(OR(L194="",L193=""),"",IF(L193=0,"",(L194/L193)-1))</f>
        <v/>
      </c>
      <c r="N194" s="26" t="str">
        <f>IFERROR((M194/M193)-1,"")</f>
        <v/>
      </c>
      <c r="O194" s="23" t="str">
        <f>IF(OR(N194="",N193=""),"",IF(N193=0,"",(N194/N193)-1))</f>
        <v/>
      </c>
      <c r="P194" s="11" t="str">
        <f>IF(ROW()&lt;7,"",IF(OR(E194="",E191=""),"",IF(E191=0,"",(E194/E191)-1)))</f>
        <v/>
      </c>
      <c r="Q194" s="23" t="str">
        <f>IF(ROW()&lt;9,"",IF(OR(E194="",E189=""),"",IF(E189=0,"",(E194/E189)-1)))</f>
        <v/>
      </c>
      <c r="R194" s="23" t="str">
        <f>IF(ROW()&lt;7,"",IF(OR(G194="",G191=""),"",IF(G191=0,"",(G194/G191)-1)))</f>
        <v/>
      </c>
      <c r="S194" s="23" t="str">
        <f>IF(ROW()&lt;9,"",IF(OR(G194="",G189=""),"",IF(G189=0,"",(G194/G189)-1)))</f>
        <v/>
      </c>
      <c r="T194" s="23" t="str">
        <f>IF(ROW()&lt;7,"",IF(OR(L194="",L191=""),"",IF(L191=0,"",(L194/L191)-1)))</f>
        <v/>
      </c>
      <c r="U194" s="23" t="str">
        <f>IF(ROW()&lt;9,"",IF(OR(L194="",L189=""),"",IF(L189=0,"",(L194/L189)-1)))</f>
        <v/>
      </c>
      <c r="V194" s="23" t="str">
        <f>IF(ROW()&lt;7,"",IF(OR(N194="",N191=""),"",IF(N191=0,"",(N194/N191)-1)))</f>
        <v/>
      </c>
      <c r="W194" s="23" t="str">
        <f>IF(ROW()&lt;9,"",IF(OR(N194="",N189=""),"",IF(N189=0,"",(N194/N189)-1)))</f>
        <v/>
      </c>
      <c r="X194" s="23" t="str">
        <f>IF(OR(F194="",M194=""),"",F194-M194)</f>
        <v/>
      </c>
      <c r="Y194" s="23" t="str">
        <f>IF(OR(P194="",T194=""),"",P194-T194)</f>
        <v/>
      </c>
      <c r="Z194" s="23" t="str">
        <f>IF(OR(Q194="",U194=""),"",Q194-U194)</f>
        <v/>
      </c>
      <c r="AA194" s="23" t="str">
        <f>IF(OR(H194="",O194=""),"",H194-O194)</f>
        <v/>
      </c>
      <c r="AB194" s="23" t="str">
        <f>IF(OR(R194="",V194=""),"",R194-V194)</f>
        <v/>
      </c>
      <c r="AC194" s="23" t="str">
        <f>IF(OR(S194="",W194=""),"",S194-W194)</f>
        <v/>
      </c>
      <c r="AD194" s="13"/>
      <c r="AE194" s="23" t="str">
        <f>IF(OR(AD194="",AD193=""),"",IF(AD193=0,"",(AD194/AD193)-1))</f>
        <v/>
      </c>
      <c r="AF194" s="23" t="str">
        <f>IF(ROW()&lt;7,"",IF(OR(AD194="",AD191=""),"",IF(AD191=0,"",(AD194/AD191)-1)))</f>
        <v/>
      </c>
      <c r="AG194" s="23" t="str">
        <f>IF(ROW()&lt;9,"",IF(OR(AD194="",AD189=""),"",IF(AD189=0,"",(AD194/AD189)-1)))</f>
        <v/>
      </c>
      <c r="AH194" s="23" t="str">
        <f>IF(OR(AF194="",AG194=""),"",IF(AND(AF194&gt;0,AG194&gt;0),"Bull",IF(AND(AF194&lt;0,AG194&lt;0),"Bear","Mixed")))</f>
        <v/>
      </c>
      <c r="AI194" s="13"/>
      <c r="AJ194" s="13" t="str">
        <f>IF(OR(AI194="",AI193=""),"",IF(AI193=0,"",(AI194/AI193)-1))</f>
        <v/>
      </c>
      <c r="AK194" s="23" t="str">
        <f>IF(OR(AJ194="",AJ193=""),"",IF(AJ193=0,"",(AJ194/AJ193)-1))</f>
        <v/>
      </c>
      <c r="AL194" s="23" t="str">
        <f>IF(ROW()&lt;7,"",IF(OR(AJ194="",AJ191=""),"",IF(AJ191=0,"",(AJ194/AJ191)-1)))</f>
        <v/>
      </c>
      <c r="AM194" s="23" t="str">
        <f>IF(ROW()&lt;9,"",IF(OR(AJ194="",AJ189=""),"",IF(AJ189=0,"",(AJ194/AJ189)-1)))</f>
        <v/>
      </c>
      <c r="AN194" t="str">
        <f>IF(OR(AL194="",AM194=""),"",IF(AND(AL194&gt;0,AM194&gt;0),"Bull",IF(AND(AL194&lt;0,AM194&lt;0),"Bear","Mixed")))</f>
        <v/>
      </c>
      <c r="AO194" t="str">
        <f>IF(OR(AH194="",AN194=""),"",IF(AND(AH194="Bull",AN194="Bull"),"YES","NO"))</f>
        <v/>
      </c>
      <c r="AP194" t="str">
        <f>IF(OR(AH194="",AN194=""),"",IF(AND(AH194="Bear",AN194="Bear"),"YES","NO"))</f>
        <v/>
      </c>
      <c r="AQ194" t="str">
        <f>IF(AO194="YES",IF(SUM(N(X194),N(Y194),N(Z194))&gt;0,"SOXL","TQQQ"),IF(AP194="YES",IF(SUM(N(AA194),N(AB194),N(AC194))&gt;0,"SOXS","SQQQ"),"WAIT"))</f>
        <v>WAIT</v>
      </c>
      <c r="AR194" s="23" t="str">
        <f>IF(AO194="YES",IF(SUM(N(X194),N(Y194),N(Z194))&gt;0,"TQQQ","SOXL"),IF(AP194="YES",IF(SUM(N(AA194),N(AB194),N(AC194))&gt;0,"SQQQ","SOXS"),""))</f>
        <v/>
      </c>
      <c r="AS194" s="23" t="str">
        <f>IF(AQ194="WAIT","",IF(AR194="",1,0.6))</f>
        <v/>
      </c>
      <c r="AT194" s="23">
        <f>IF(AR194="",0,0.4)</f>
        <v>0</v>
      </c>
      <c r="AU194" s="23" t="str">
        <f>IF(AQ194="WAIT","WAIT",IF(AO194="YES","BULL",IF(AP194="YES","BEAR","WAIT")))</f>
        <v>WAIT</v>
      </c>
      <c r="AV194" t="str">
        <f>IF(AQ194="WAIT","Low",IF(OR(AND(AU194="BULL",ABS(SUM(N(X194),N(Y194),N(Z194)))&gt;=0.15),AND(AU194="BEAR",ABS(SUM(N(AA194),N(AB194),N(AC194)))&gt;=0.15)),"Strong",IF(OR(AND(AU194="BULL",ABS(SUM(N(X194),N(Y194),N(Z194)))&gt;=0.05),AND(AU194="BEAR",ABS(SUM(N(AA194),N(AB194),N(AC194)))&gt;=0.05)),"Moderate","Low")))</f>
        <v>Low</v>
      </c>
      <c r="AW194" t="str">
        <f>IF(AQ194="WAIT","QQQ and SMH not aligned",IF(AU194="BULL",IF(AQ194="SOXL","Bull regime; semiconductors leading","Bull regime; tech leading"),IF(AQ194="SOXS","Bear regime; semiconductors weakest","Bear regime; tech weakest")))</f>
        <v>QQQ and SMH not aligned</v>
      </c>
      <c r="AX194" t="str">
        <f>IF(AR194="WAIT","QQQ and SMH not aligned",IF(AV194="BULL",IF(AR194="SOXL","Bull regime; semiconductors leading","Bull regime; tech leading"),IF(AR194="SOXS","Bear regime; semiconductors weakest","Bear regime; tech weakest")))</f>
        <v>Bear regime; tech weakest</v>
      </c>
    </row>
    <row r="195" spans="1:50" x14ac:dyDescent="0.2">
      <c r="A195" s="12"/>
      <c r="B195" s="13"/>
      <c r="C195" s="13"/>
      <c r="D195" s="13"/>
      <c r="E195" s="13"/>
      <c r="F195" s="11" t="str">
        <f>IF(OR(E195="",E194=""),"",IF(E194=0,"",(E195/E194)-1))</f>
        <v/>
      </c>
      <c r="G195" s="13"/>
      <c r="H195" s="11" t="str">
        <f>IF(OR(G195="",G194=""),"",IF(G194=0,"",(G195/G194)-1))</f>
        <v/>
      </c>
      <c r="I195" s="13"/>
      <c r="J195" s="13"/>
      <c r="K195" s="13"/>
      <c r="L195" s="13"/>
      <c r="M195" s="23" t="str">
        <f>IF(OR(L195="",L194=""),"",IF(L194=0,"",(L195/L194)-1))</f>
        <v/>
      </c>
      <c r="N195" s="26" t="str">
        <f>IFERROR((M195/M194)-1,"")</f>
        <v/>
      </c>
      <c r="O195" s="23" t="str">
        <f>IF(OR(N195="",N194=""),"",IF(N194=0,"",(N195/N194)-1))</f>
        <v/>
      </c>
      <c r="P195" s="11" t="str">
        <f>IF(ROW()&lt;7,"",IF(OR(E195="",E192=""),"",IF(E192=0,"",(E195/E192)-1)))</f>
        <v/>
      </c>
      <c r="Q195" s="23" t="str">
        <f>IF(ROW()&lt;9,"",IF(OR(E195="",E190=""),"",IF(E190=0,"",(E195/E190)-1)))</f>
        <v/>
      </c>
      <c r="R195" s="23" t="str">
        <f>IF(ROW()&lt;7,"",IF(OR(G195="",G192=""),"",IF(G192=0,"",(G195/G192)-1)))</f>
        <v/>
      </c>
      <c r="S195" s="23" t="str">
        <f>IF(ROW()&lt;9,"",IF(OR(G195="",G190=""),"",IF(G190=0,"",(G195/G190)-1)))</f>
        <v/>
      </c>
      <c r="T195" s="23" t="str">
        <f>IF(ROW()&lt;7,"",IF(OR(L195="",L192=""),"",IF(L192=0,"",(L195/L192)-1)))</f>
        <v/>
      </c>
      <c r="U195" s="23" t="str">
        <f>IF(ROW()&lt;9,"",IF(OR(L195="",L190=""),"",IF(L190=0,"",(L195/L190)-1)))</f>
        <v/>
      </c>
      <c r="V195" s="23" t="str">
        <f>IF(ROW()&lt;7,"",IF(OR(N195="",N192=""),"",IF(N192=0,"",(N195/N192)-1)))</f>
        <v/>
      </c>
      <c r="W195" s="23" t="str">
        <f>IF(ROW()&lt;9,"",IF(OR(N195="",N190=""),"",IF(N190=0,"",(N195/N190)-1)))</f>
        <v/>
      </c>
      <c r="X195" s="23" t="str">
        <f>IF(OR(F195="",M195=""),"",F195-M195)</f>
        <v/>
      </c>
      <c r="Y195" s="23" t="str">
        <f>IF(OR(P195="",T195=""),"",P195-T195)</f>
        <v/>
      </c>
      <c r="Z195" s="23" t="str">
        <f>IF(OR(Q195="",U195=""),"",Q195-U195)</f>
        <v/>
      </c>
      <c r="AA195" s="23" t="str">
        <f>IF(OR(H195="",O195=""),"",H195-O195)</f>
        <v/>
      </c>
      <c r="AB195" s="23" t="str">
        <f>IF(OR(R195="",V195=""),"",R195-V195)</f>
        <v/>
      </c>
      <c r="AC195" s="23" t="str">
        <f>IF(OR(S195="",W195=""),"",S195-W195)</f>
        <v/>
      </c>
      <c r="AD195" s="13"/>
      <c r="AE195" s="23" t="str">
        <f>IF(OR(AD195="",AD194=""),"",IF(AD194=0,"",(AD195/AD194)-1))</f>
        <v/>
      </c>
      <c r="AF195" s="23" t="str">
        <f>IF(ROW()&lt;7,"",IF(OR(AD195="",AD192=""),"",IF(AD192=0,"",(AD195/AD192)-1)))</f>
        <v/>
      </c>
      <c r="AG195" s="23" t="str">
        <f>IF(ROW()&lt;9,"",IF(OR(AD195="",AD190=""),"",IF(AD190=0,"",(AD195/AD190)-1)))</f>
        <v/>
      </c>
      <c r="AH195" s="23" t="str">
        <f>IF(OR(AF195="",AG195=""),"",IF(AND(AF195&gt;0,AG195&gt;0),"Bull",IF(AND(AF195&lt;0,AG195&lt;0),"Bear","Mixed")))</f>
        <v/>
      </c>
      <c r="AI195" s="13"/>
      <c r="AJ195" s="13" t="str">
        <f>IF(OR(AI195="",AI194=""),"",IF(AI194=0,"",(AI195/AI194)-1))</f>
        <v/>
      </c>
      <c r="AK195" s="23" t="str">
        <f>IF(OR(AJ195="",AJ194=""),"",IF(AJ194=0,"",(AJ195/AJ194)-1))</f>
        <v/>
      </c>
      <c r="AL195" s="23" t="str">
        <f>IF(ROW()&lt;7,"",IF(OR(AJ195="",AJ192=""),"",IF(AJ192=0,"",(AJ195/AJ192)-1)))</f>
        <v/>
      </c>
      <c r="AM195" s="23" t="str">
        <f>IF(ROW()&lt;9,"",IF(OR(AJ195="",AJ190=""),"",IF(AJ190=0,"",(AJ195/AJ190)-1)))</f>
        <v/>
      </c>
      <c r="AN195" t="str">
        <f>IF(OR(AL195="",AM195=""),"",IF(AND(AL195&gt;0,AM195&gt;0),"Bull",IF(AND(AL195&lt;0,AM195&lt;0),"Bear","Mixed")))</f>
        <v/>
      </c>
      <c r="AO195" t="str">
        <f>IF(OR(AH195="",AN195=""),"",IF(AND(AH195="Bull",AN195="Bull"),"YES","NO"))</f>
        <v/>
      </c>
      <c r="AP195" t="str">
        <f>IF(OR(AH195="",AN195=""),"",IF(AND(AH195="Bear",AN195="Bear"),"YES","NO"))</f>
        <v/>
      </c>
      <c r="AQ195" t="str">
        <f>IF(AO195="YES",IF(SUM(N(X195),N(Y195),N(Z195))&gt;0,"SOXL","TQQQ"),IF(AP195="YES",IF(SUM(N(AA195),N(AB195),N(AC195))&gt;0,"SOXS","SQQQ"),"WAIT"))</f>
        <v>WAIT</v>
      </c>
      <c r="AR195" s="23" t="str">
        <f>IF(AO195="YES",IF(SUM(N(X195),N(Y195),N(Z195))&gt;0,"TQQQ","SOXL"),IF(AP195="YES",IF(SUM(N(AA195),N(AB195),N(AC195))&gt;0,"SQQQ","SOXS"),""))</f>
        <v/>
      </c>
      <c r="AS195" s="23" t="str">
        <f>IF(AQ195="WAIT","",IF(AR195="",1,0.6))</f>
        <v/>
      </c>
      <c r="AT195" s="23">
        <f>IF(AR195="",0,0.4)</f>
        <v>0</v>
      </c>
      <c r="AU195" s="23" t="str">
        <f>IF(AQ195="WAIT","WAIT",IF(AO195="YES","BULL",IF(AP195="YES","BEAR","WAIT")))</f>
        <v>WAIT</v>
      </c>
      <c r="AV195" t="str">
        <f>IF(AQ195="WAIT","Low",IF(OR(AND(AU195="BULL",ABS(SUM(N(X195),N(Y195),N(Z195)))&gt;=0.15),AND(AU195="BEAR",ABS(SUM(N(AA195),N(AB195),N(AC195)))&gt;=0.15)),"Strong",IF(OR(AND(AU195="BULL",ABS(SUM(N(X195),N(Y195),N(Z195)))&gt;=0.05),AND(AU195="BEAR",ABS(SUM(N(AA195),N(AB195),N(AC195)))&gt;=0.05)),"Moderate","Low")))</f>
        <v>Low</v>
      </c>
      <c r="AW195" t="str">
        <f>IF(AQ195="WAIT","QQQ and SMH not aligned",IF(AU195="BULL",IF(AQ195="SOXL","Bull regime; semiconductors leading","Bull regime; tech leading"),IF(AQ195="SOXS","Bear regime; semiconductors weakest","Bear regime; tech weakest")))</f>
        <v>QQQ and SMH not aligned</v>
      </c>
      <c r="AX195" t="str">
        <f>IF(AR195="WAIT","QQQ and SMH not aligned",IF(AV195="BULL",IF(AR195="SOXL","Bull regime; semiconductors leading","Bull regime; tech leading"),IF(AR195="SOXS","Bear regime; semiconductors weakest","Bear regime; tech weakest")))</f>
        <v>Bear regime; tech weakest</v>
      </c>
    </row>
    <row r="196" spans="1:50" x14ac:dyDescent="0.2">
      <c r="A196" s="12"/>
      <c r="B196" s="13"/>
      <c r="C196" s="13"/>
      <c r="D196" s="13"/>
      <c r="E196" s="13"/>
      <c r="F196" s="11" t="str">
        <f>IF(OR(E196="",E195=""),"",IF(E195=0,"",(E196/E195)-1))</f>
        <v/>
      </c>
      <c r="G196" s="13"/>
      <c r="H196" s="11" t="str">
        <f>IF(OR(G196="",G195=""),"",IF(G195=0,"",(G196/G195)-1))</f>
        <v/>
      </c>
      <c r="I196" s="13"/>
      <c r="J196" s="13"/>
      <c r="K196" s="13"/>
      <c r="L196" s="13"/>
      <c r="M196" s="23" t="str">
        <f>IF(OR(L196="",L195=""),"",IF(L195=0,"",(L196/L195)-1))</f>
        <v/>
      </c>
      <c r="N196" s="26" t="str">
        <f>IFERROR((M196/M195)-1,"")</f>
        <v/>
      </c>
      <c r="O196" s="23" t="str">
        <f>IF(OR(N196="",N195=""),"",IF(N195=0,"",(N196/N195)-1))</f>
        <v/>
      </c>
      <c r="P196" s="11" t="str">
        <f>IF(ROW()&lt;7,"",IF(OR(E196="",E193=""),"",IF(E193=0,"",(E196/E193)-1)))</f>
        <v/>
      </c>
      <c r="Q196" s="23" t="str">
        <f>IF(ROW()&lt;9,"",IF(OR(E196="",E191=""),"",IF(E191=0,"",(E196/E191)-1)))</f>
        <v/>
      </c>
      <c r="R196" s="23" t="str">
        <f>IF(ROW()&lt;7,"",IF(OR(G196="",G193=""),"",IF(G193=0,"",(G196/G193)-1)))</f>
        <v/>
      </c>
      <c r="S196" s="23" t="str">
        <f>IF(ROW()&lt;9,"",IF(OR(G196="",G191=""),"",IF(G191=0,"",(G196/G191)-1)))</f>
        <v/>
      </c>
      <c r="T196" s="23" t="str">
        <f>IF(ROW()&lt;7,"",IF(OR(L196="",L193=""),"",IF(L193=0,"",(L196/L193)-1)))</f>
        <v/>
      </c>
      <c r="U196" s="23" t="str">
        <f>IF(ROW()&lt;9,"",IF(OR(L196="",L191=""),"",IF(L191=0,"",(L196/L191)-1)))</f>
        <v/>
      </c>
      <c r="V196" s="23" t="str">
        <f>IF(ROW()&lt;7,"",IF(OR(N196="",N193=""),"",IF(N193=0,"",(N196/N193)-1)))</f>
        <v/>
      </c>
      <c r="W196" s="23" t="str">
        <f>IF(ROW()&lt;9,"",IF(OR(N196="",N191=""),"",IF(N191=0,"",(N196/N191)-1)))</f>
        <v/>
      </c>
      <c r="X196" s="23" t="str">
        <f>IF(OR(F196="",M196=""),"",F196-M196)</f>
        <v/>
      </c>
      <c r="Y196" s="23" t="str">
        <f>IF(OR(P196="",T196=""),"",P196-T196)</f>
        <v/>
      </c>
      <c r="Z196" s="23" t="str">
        <f>IF(OR(Q196="",U196=""),"",Q196-U196)</f>
        <v/>
      </c>
      <c r="AA196" s="23" t="str">
        <f>IF(OR(H196="",O196=""),"",H196-O196)</f>
        <v/>
      </c>
      <c r="AB196" s="23" t="str">
        <f>IF(OR(R196="",V196=""),"",R196-V196)</f>
        <v/>
      </c>
      <c r="AC196" s="23" t="str">
        <f>IF(OR(S196="",W196=""),"",S196-W196)</f>
        <v/>
      </c>
      <c r="AD196" s="13"/>
      <c r="AE196" s="23" t="str">
        <f>IF(OR(AD196="",AD195=""),"",IF(AD195=0,"",(AD196/AD195)-1))</f>
        <v/>
      </c>
      <c r="AF196" s="23" t="str">
        <f>IF(ROW()&lt;7,"",IF(OR(AD196="",AD193=""),"",IF(AD193=0,"",(AD196/AD193)-1)))</f>
        <v/>
      </c>
      <c r="AG196" s="23" t="str">
        <f>IF(ROW()&lt;9,"",IF(OR(AD196="",AD191=""),"",IF(AD191=0,"",(AD196/AD191)-1)))</f>
        <v/>
      </c>
      <c r="AH196" s="23" t="str">
        <f>IF(OR(AF196="",AG196=""),"",IF(AND(AF196&gt;0,AG196&gt;0),"Bull",IF(AND(AF196&lt;0,AG196&lt;0),"Bear","Mixed")))</f>
        <v/>
      </c>
      <c r="AI196" s="13"/>
      <c r="AJ196" s="13" t="str">
        <f>IF(OR(AI196="",AI195=""),"",IF(AI195=0,"",(AI196/AI195)-1))</f>
        <v/>
      </c>
      <c r="AK196" s="23" t="str">
        <f>IF(OR(AJ196="",AJ195=""),"",IF(AJ195=0,"",(AJ196/AJ195)-1))</f>
        <v/>
      </c>
      <c r="AL196" s="23" t="str">
        <f>IF(ROW()&lt;7,"",IF(OR(AJ196="",AJ193=""),"",IF(AJ193=0,"",(AJ196/AJ193)-1)))</f>
        <v/>
      </c>
      <c r="AM196" s="23" t="str">
        <f>IF(ROW()&lt;9,"",IF(OR(AJ196="",AJ191=""),"",IF(AJ191=0,"",(AJ196/AJ191)-1)))</f>
        <v/>
      </c>
      <c r="AN196" t="str">
        <f>IF(OR(AL196="",AM196=""),"",IF(AND(AL196&gt;0,AM196&gt;0),"Bull",IF(AND(AL196&lt;0,AM196&lt;0),"Bear","Mixed")))</f>
        <v/>
      </c>
      <c r="AO196" t="str">
        <f>IF(OR(AH196="",AN196=""),"",IF(AND(AH196="Bull",AN196="Bull"),"YES","NO"))</f>
        <v/>
      </c>
      <c r="AP196" t="str">
        <f>IF(OR(AH196="",AN196=""),"",IF(AND(AH196="Bear",AN196="Bear"),"YES","NO"))</f>
        <v/>
      </c>
      <c r="AQ196" t="str">
        <f>IF(AO196="YES",IF(SUM(N(X196),N(Y196),N(Z196))&gt;0,"SOXL","TQQQ"),IF(AP196="YES",IF(SUM(N(AA196),N(AB196),N(AC196))&gt;0,"SOXS","SQQQ"),"WAIT"))</f>
        <v>WAIT</v>
      </c>
      <c r="AR196" s="23" t="str">
        <f>IF(AO196="YES",IF(SUM(N(X196),N(Y196),N(Z196))&gt;0,"TQQQ","SOXL"),IF(AP196="YES",IF(SUM(N(AA196),N(AB196),N(AC196))&gt;0,"SQQQ","SOXS"),""))</f>
        <v/>
      </c>
      <c r="AS196" s="23" t="str">
        <f>IF(AQ196="WAIT","",IF(AR196="",1,0.6))</f>
        <v/>
      </c>
      <c r="AT196" s="23">
        <f>IF(AR196="",0,0.4)</f>
        <v>0</v>
      </c>
      <c r="AU196" s="23" t="str">
        <f>IF(AQ196="WAIT","WAIT",IF(AO196="YES","BULL",IF(AP196="YES","BEAR","WAIT")))</f>
        <v>WAIT</v>
      </c>
      <c r="AV196" t="str">
        <f>IF(AQ196="WAIT","Low",IF(OR(AND(AU196="BULL",ABS(SUM(N(X196),N(Y196),N(Z196)))&gt;=0.15),AND(AU196="BEAR",ABS(SUM(N(AA196),N(AB196),N(AC196)))&gt;=0.15)),"Strong",IF(OR(AND(AU196="BULL",ABS(SUM(N(X196),N(Y196),N(Z196)))&gt;=0.05),AND(AU196="BEAR",ABS(SUM(N(AA196),N(AB196),N(AC196)))&gt;=0.05)),"Moderate","Low")))</f>
        <v>Low</v>
      </c>
      <c r="AW196" t="str">
        <f>IF(AQ196="WAIT","QQQ and SMH not aligned",IF(AU196="BULL",IF(AQ196="SOXL","Bull regime; semiconductors leading","Bull regime; tech leading"),IF(AQ196="SOXS","Bear regime; semiconductors weakest","Bear regime; tech weakest")))</f>
        <v>QQQ and SMH not aligned</v>
      </c>
      <c r="AX196" t="str">
        <f>IF(AR196="WAIT","QQQ and SMH not aligned",IF(AV196="BULL",IF(AR196="SOXL","Bull regime; semiconductors leading","Bull regime; tech leading"),IF(AR196="SOXS","Bear regime; semiconductors weakest","Bear regime; tech weakest")))</f>
        <v>Bear regime; tech weakest</v>
      </c>
    </row>
    <row r="197" spans="1:50" x14ac:dyDescent="0.2">
      <c r="A197" s="12"/>
      <c r="B197" s="13"/>
      <c r="C197" s="13"/>
      <c r="D197" s="13"/>
      <c r="E197" s="13"/>
      <c r="F197" s="11" t="str">
        <f>IF(OR(E197="",E196=""),"",IF(E196=0,"",(E197/E196)-1))</f>
        <v/>
      </c>
      <c r="G197" s="13"/>
      <c r="H197" s="11" t="str">
        <f>IF(OR(G197="",G196=""),"",IF(G196=0,"",(G197/G196)-1))</f>
        <v/>
      </c>
      <c r="I197" s="13"/>
      <c r="J197" s="13"/>
      <c r="K197" s="13"/>
      <c r="L197" s="13"/>
      <c r="M197" s="23" t="str">
        <f>IF(OR(L197="",L196=""),"",IF(L196=0,"",(L197/L196)-1))</f>
        <v/>
      </c>
      <c r="N197" s="26" t="str">
        <f>IFERROR((M197/M196)-1,"")</f>
        <v/>
      </c>
      <c r="O197" s="23" t="str">
        <f>IF(OR(N197="",N196=""),"",IF(N196=0,"",(N197/N196)-1))</f>
        <v/>
      </c>
      <c r="P197" s="11" t="str">
        <f>IF(ROW()&lt;7,"",IF(OR(E197="",E194=""),"",IF(E194=0,"",(E197/E194)-1)))</f>
        <v/>
      </c>
      <c r="Q197" s="23" t="str">
        <f>IF(ROW()&lt;9,"",IF(OR(E197="",E192=""),"",IF(E192=0,"",(E197/E192)-1)))</f>
        <v/>
      </c>
      <c r="R197" s="23" t="str">
        <f>IF(ROW()&lt;7,"",IF(OR(G197="",G194=""),"",IF(G194=0,"",(G197/G194)-1)))</f>
        <v/>
      </c>
      <c r="S197" s="23" t="str">
        <f>IF(ROW()&lt;9,"",IF(OR(G197="",G192=""),"",IF(G192=0,"",(G197/G192)-1)))</f>
        <v/>
      </c>
      <c r="T197" s="23" t="str">
        <f>IF(ROW()&lt;7,"",IF(OR(L197="",L194=""),"",IF(L194=0,"",(L197/L194)-1)))</f>
        <v/>
      </c>
      <c r="U197" s="23" t="str">
        <f>IF(ROW()&lt;9,"",IF(OR(L197="",L192=""),"",IF(L192=0,"",(L197/L192)-1)))</f>
        <v/>
      </c>
      <c r="V197" s="23" t="str">
        <f>IF(ROW()&lt;7,"",IF(OR(N197="",N194=""),"",IF(N194=0,"",(N197/N194)-1)))</f>
        <v/>
      </c>
      <c r="W197" s="23" t="str">
        <f>IF(ROW()&lt;9,"",IF(OR(N197="",N192=""),"",IF(N192=0,"",(N197/N192)-1)))</f>
        <v/>
      </c>
      <c r="X197" s="23" t="str">
        <f>IF(OR(F197="",M197=""),"",F197-M197)</f>
        <v/>
      </c>
      <c r="Y197" s="23" t="str">
        <f>IF(OR(P197="",T197=""),"",P197-T197)</f>
        <v/>
      </c>
      <c r="Z197" s="23" t="str">
        <f>IF(OR(Q197="",U197=""),"",Q197-U197)</f>
        <v/>
      </c>
      <c r="AA197" s="23" t="str">
        <f>IF(OR(H197="",O197=""),"",H197-O197)</f>
        <v/>
      </c>
      <c r="AB197" s="23" t="str">
        <f>IF(OR(R197="",V197=""),"",R197-V197)</f>
        <v/>
      </c>
      <c r="AC197" s="23" t="str">
        <f>IF(OR(S197="",W197=""),"",S197-W197)</f>
        <v/>
      </c>
      <c r="AD197" s="13"/>
      <c r="AE197" s="23" t="str">
        <f>IF(OR(AD197="",AD196=""),"",IF(AD196=0,"",(AD197/AD196)-1))</f>
        <v/>
      </c>
      <c r="AF197" s="23" t="str">
        <f>IF(ROW()&lt;7,"",IF(OR(AD197="",AD194=""),"",IF(AD194=0,"",(AD197/AD194)-1)))</f>
        <v/>
      </c>
      <c r="AG197" s="23" t="str">
        <f>IF(ROW()&lt;9,"",IF(OR(AD197="",AD192=""),"",IF(AD192=0,"",(AD197/AD192)-1)))</f>
        <v/>
      </c>
      <c r="AH197" s="23" t="str">
        <f>IF(OR(AF197="",AG197=""),"",IF(AND(AF197&gt;0,AG197&gt;0),"Bull",IF(AND(AF197&lt;0,AG197&lt;0),"Bear","Mixed")))</f>
        <v/>
      </c>
      <c r="AI197" s="13"/>
      <c r="AJ197" s="13" t="str">
        <f>IF(OR(AI197="",AI196=""),"",IF(AI196=0,"",(AI197/AI196)-1))</f>
        <v/>
      </c>
      <c r="AK197" s="23" t="str">
        <f>IF(OR(AJ197="",AJ196=""),"",IF(AJ196=0,"",(AJ197/AJ196)-1))</f>
        <v/>
      </c>
      <c r="AL197" s="23" t="str">
        <f>IF(ROW()&lt;7,"",IF(OR(AJ197="",AJ194=""),"",IF(AJ194=0,"",(AJ197/AJ194)-1)))</f>
        <v/>
      </c>
      <c r="AM197" s="23" t="str">
        <f>IF(ROW()&lt;9,"",IF(OR(AJ197="",AJ192=""),"",IF(AJ192=0,"",(AJ197/AJ192)-1)))</f>
        <v/>
      </c>
      <c r="AN197" t="str">
        <f>IF(OR(AL197="",AM197=""),"",IF(AND(AL197&gt;0,AM197&gt;0),"Bull",IF(AND(AL197&lt;0,AM197&lt;0),"Bear","Mixed")))</f>
        <v/>
      </c>
      <c r="AO197" t="str">
        <f>IF(OR(AH197="",AN197=""),"",IF(AND(AH197="Bull",AN197="Bull"),"YES","NO"))</f>
        <v/>
      </c>
      <c r="AP197" t="str">
        <f>IF(OR(AH197="",AN197=""),"",IF(AND(AH197="Bear",AN197="Bear"),"YES","NO"))</f>
        <v/>
      </c>
      <c r="AQ197" t="str">
        <f>IF(AO197="YES",IF(SUM(N(X197),N(Y197),N(Z197))&gt;0,"SOXL","TQQQ"),IF(AP197="YES",IF(SUM(N(AA197),N(AB197),N(AC197))&gt;0,"SOXS","SQQQ"),"WAIT"))</f>
        <v>WAIT</v>
      </c>
      <c r="AR197" s="23" t="str">
        <f>IF(AO197="YES",IF(SUM(N(X197),N(Y197),N(Z197))&gt;0,"TQQQ","SOXL"),IF(AP197="YES",IF(SUM(N(AA197),N(AB197),N(AC197))&gt;0,"SQQQ","SOXS"),""))</f>
        <v/>
      </c>
      <c r="AS197" s="23" t="str">
        <f>IF(AQ197="WAIT","",IF(AR197="",1,0.6))</f>
        <v/>
      </c>
      <c r="AT197" s="23">
        <f>IF(AR197="",0,0.4)</f>
        <v>0</v>
      </c>
      <c r="AU197" s="23" t="str">
        <f>IF(AQ197="WAIT","WAIT",IF(AO197="YES","BULL",IF(AP197="YES","BEAR","WAIT")))</f>
        <v>WAIT</v>
      </c>
      <c r="AV197" t="str">
        <f>IF(AQ197="WAIT","Low",IF(OR(AND(AU197="BULL",ABS(SUM(N(X197),N(Y197),N(Z197)))&gt;=0.15),AND(AU197="BEAR",ABS(SUM(N(AA197),N(AB197),N(AC197)))&gt;=0.15)),"Strong",IF(OR(AND(AU197="BULL",ABS(SUM(N(X197),N(Y197),N(Z197)))&gt;=0.05),AND(AU197="BEAR",ABS(SUM(N(AA197),N(AB197),N(AC197)))&gt;=0.05)),"Moderate","Low")))</f>
        <v>Low</v>
      </c>
      <c r="AW197" t="str">
        <f>IF(AQ197="WAIT","QQQ and SMH not aligned",IF(AU197="BULL",IF(AQ197="SOXL","Bull regime; semiconductors leading","Bull regime; tech leading"),IF(AQ197="SOXS","Bear regime; semiconductors weakest","Bear regime; tech weakest")))</f>
        <v>QQQ and SMH not aligned</v>
      </c>
      <c r="AX197" t="str">
        <f>IF(AR197="WAIT","QQQ and SMH not aligned",IF(AV197="BULL",IF(AR197="SOXL","Bull regime; semiconductors leading","Bull regime; tech leading"),IF(AR197="SOXS","Bear regime; semiconductors weakest","Bear regime; tech weakest")))</f>
        <v>Bear regime; tech weakest</v>
      </c>
    </row>
    <row r="198" spans="1:50" x14ac:dyDescent="0.2">
      <c r="A198" s="12"/>
      <c r="B198" s="13"/>
      <c r="C198" s="13"/>
      <c r="D198" s="13"/>
      <c r="E198" s="13"/>
      <c r="F198" s="11" t="str">
        <f>IF(OR(E198="",E197=""),"",IF(E197=0,"",(E198/E197)-1))</f>
        <v/>
      </c>
      <c r="G198" s="13"/>
      <c r="H198" s="11" t="str">
        <f>IF(OR(G198="",G197=""),"",IF(G197=0,"",(G198/G197)-1))</f>
        <v/>
      </c>
      <c r="I198" s="13"/>
      <c r="J198" s="13"/>
      <c r="K198" s="13"/>
      <c r="L198" s="13"/>
      <c r="M198" s="23" t="str">
        <f>IF(OR(L198="",L197=""),"",IF(L197=0,"",(L198/L197)-1))</f>
        <v/>
      </c>
      <c r="N198" s="26" t="str">
        <f>IFERROR((M198/M197)-1,"")</f>
        <v/>
      </c>
      <c r="O198" s="23" t="str">
        <f>IF(OR(N198="",N197=""),"",IF(N197=0,"",(N198/N197)-1))</f>
        <v/>
      </c>
      <c r="P198" s="11" t="str">
        <f>IF(ROW()&lt;7,"",IF(OR(E198="",E195=""),"",IF(E195=0,"",(E198/E195)-1)))</f>
        <v/>
      </c>
      <c r="Q198" s="23" t="str">
        <f>IF(ROW()&lt;9,"",IF(OR(E198="",E193=""),"",IF(E193=0,"",(E198/E193)-1)))</f>
        <v/>
      </c>
      <c r="R198" s="23" t="str">
        <f>IF(ROW()&lt;7,"",IF(OR(G198="",G195=""),"",IF(G195=0,"",(G198/G195)-1)))</f>
        <v/>
      </c>
      <c r="S198" s="23" t="str">
        <f>IF(ROW()&lt;9,"",IF(OR(G198="",G193=""),"",IF(G193=0,"",(G198/G193)-1)))</f>
        <v/>
      </c>
      <c r="T198" s="23" t="str">
        <f>IF(ROW()&lt;7,"",IF(OR(L198="",L195=""),"",IF(L195=0,"",(L198/L195)-1)))</f>
        <v/>
      </c>
      <c r="U198" s="23" t="str">
        <f>IF(ROW()&lt;9,"",IF(OR(L198="",L193=""),"",IF(L193=0,"",(L198/L193)-1)))</f>
        <v/>
      </c>
      <c r="V198" s="23" t="str">
        <f>IF(ROW()&lt;7,"",IF(OR(N198="",N195=""),"",IF(N195=0,"",(N198/N195)-1)))</f>
        <v/>
      </c>
      <c r="W198" s="23" t="str">
        <f>IF(ROW()&lt;9,"",IF(OR(N198="",N193=""),"",IF(N193=0,"",(N198/N193)-1)))</f>
        <v/>
      </c>
      <c r="X198" s="23" t="str">
        <f>IF(OR(F198="",M198=""),"",F198-M198)</f>
        <v/>
      </c>
      <c r="Y198" s="23" t="str">
        <f>IF(OR(P198="",T198=""),"",P198-T198)</f>
        <v/>
      </c>
      <c r="Z198" s="23" t="str">
        <f>IF(OR(Q198="",U198=""),"",Q198-U198)</f>
        <v/>
      </c>
      <c r="AA198" s="23" t="str">
        <f>IF(OR(H198="",O198=""),"",H198-O198)</f>
        <v/>
      </c>
      <c r="AB198" s="23" t="str">
        <f>IF(OR(R198="",V198=""),"",R198-V198)</f>
        <v/>
      </c>
      <c r="AC198" s="23" t="str">
        <f>IF(OR(S198="",W198=""),"",S198-W198)</f>
        <v/>
      </c>
      <c r="AD198" s="13"/>
      <c r="AE198" s="23" t="str">
        <f>IF(OR(AD198="",AD197=""),"",IF(AD197=0,"",(AD198/AD197)-1))</f>
        <v/>
      </c>
      <c r="AF198" s="23" t="str">
        <f>IF(ROW()&lt;7,"",IF(OR(AD198="",AD195=""),"",IF(AD195=0,"",(AD198/AD195)-1)))</f>
        <v/>
      </c>
      <c r="AG198" s="23" t="str">
        <f>IF(ROW()&lt;9,"",IF(OR(AD198="",AD193=""),"",IF(AD193=0,"",(AD198/AD193)-1)))</f>
        <v/>
      </c>
      <c r="AH198" s="23" t="str">
        <f>IF(OR(AF198="",AG198=""),"",IF(AND(AF198&gt;0,AG198&gt;0),"Bull",IF(AND(AF198&lt;0,AG198&lt;0),"Bear","Mixed")))</f>
        <v/>
      </c>
      <c r="AI198" s="13"/>
      <c r="AJ198" s="13" t="str">
        <f>IF(OR(AI198="",AI197=""),"",IF(AI197=0,"",(AI198/AI197)-1))</f>
        <v/>
      </c>
      <c r="AK198" s="23" t="str">
        <f>IF(OR(AJ198="",AJ197=""),"",IF(AJ197=0,"",(AJ198/AJ197)-1))</f>
        <v/>
      </c>
      <c r="AL198" s="23" t="str">
        <f>IF(ROW()&lt;7,"",IF(OR(AJ198="",AJ195=""),"",IF(AJ195=0,"",(AJ198/AJ195)-1)))</f>
        <v/>
      </c>
      <c r="AM198" s="23" t="str">
        <f>IF(ROW()&lt;9,"",IF(OR(AJ198="",AJ193=""),"",IF(AJ193=0,"",(AJ198/AJ193)-1)))</f>
        <v/>
      </c>
      <c r="AN198" t="str">
        <f>IF(OR(AL198="",AM198=""),"",IF(AND(AL198&gt;0,AM198&gt;0),"Bull",IF(AND(AL198&lt;0,AM198&lt;0),"Bear","Mixed")))</f>
        <v/>
      </c>
      <c r="AO198" t="str">
        <f>IF(OR(AH198="",AN198=""),"",IF(AND(AH198="Bull",AN198="Bull"),"YES","NO"))</f>
        <v/>
      </c>
      <c r="AP198" t="str">
        <f>IF(OR(AH198="",AN198=""),"",IF(AND(AH198="Bear",AN198="Bear"),"YES","NO"))</f>
        <v/>
      </c>
      <c r="AQ198" t="str">
        <f>IF(AO198="YES",IF(SUM(N(X198),N(Y198),N(Z198))&gt;0,"SOXL","TQQQ"),IF(AP198="YES",IF(SUM(N(AA198),N(AB198),N(AC198))&gt;0,"SOXS","SQQQ"),"WAIT"))</f>
        <v>WAIT</v>
      </c>
      <c r="AR198" s="23" t="str">
        <f>IF(AO198="YES",IF(SUM(N(X198),N(Y198),N(Z198))&gt;0,"TQQQ","SOXL"),IF(AP198="YES",IF(SUM(N(AA198),N(AB198),N(AC198))&gt;0,"SQQQ","SOXS"),""))</f>
        <v/>
      </c>
      <c r="AS198" s="23" t="str">
        <f>IF(AQ198="WAIT","",IF(AR198="",1,0.6))</f>
        <v/>
      </c>
      <c r="AT198" s="23">
        <f>IF(AR198="",0,0.4)</f>
        <v>0</v>
      </c>
      <c r="AU198" s="23" t="str">
        <f>IF(AQ198="WAIT","WAIT",IF(AO198="YES","BULL",IF(AP198="YES","BEAR","WAIT")))</f>
        <v>WAIT</v>
      </c>
      <c r="AV198" t="str">
        <f>IF(AQ198="WAIT","Low",IF(OR(AND(AU198="BULL",ABS(SUM(N(X198),N(Y198),N(Z198)))&gt;=0.15),AND(AU198="BEAR",ABS(SUM(N(AA198),N(AB198),N(AC198)))&gt;=0.15)),"Strong",IF(OR(AND(AU198="BULL",ABS(SUM(N(X198),N(Y198),N(Z198)))&gt;=0.05),AND(AU198="BEAR",ABS(SUM(N(AA198),N(AB198),N(AC198)))&gt;=0.05)),"Moderate","Low")))</f>
        <v>Low</v>
      </c>
      <c r="AW198" t="str">
        <f>IF(AQ198="WAIT","QQQ and SMH not aligned",IF(AU198="BULL",IF(AQ198="SOXL","Bull regime; semiconductors leading","Bull regime; tech leading"),IF(AQ198="SOXS","Bear regime; semiconductors weakest","Bear regime; tech weakest")))</f>
        <v>QQQ and SMH not aligned</v>
      </c>
      <c r="AX198" t="str">
        <f>IF(AR198="WAIT","QQQ and SMH not aligned",IF(AV198="BULL",IF(AR198="SOXL","Bull regime; semiconductors leading","Bull regime; tech leading"),IF(AR198="SOXS","Bear regime; semiconductors weakest","Bear regime; tech weakest")))</f>
        <v>Bear regime; tech weakest</v>
      </c>
    </row>
    <row r="199" spans="1:50" x14ac:dyDescent="0.2">
      <c r="A199" s="12"/>
      <c r="B199" s="13"/>
      <c r="C199" s="13"/>
      <c r="D199" s="13"/>
      <c r="E199" s="13"/>
      <c r="F199" s="11" t="str">
        <f>IF(OR(E199="",E198=""),"",IF(E198=0,"",(E199/E198)-1))</f>
        <v/>
      </c>
      <c r="G199" s="13"/>
      <c r="H199" s="11" t="str">
        <f>IF(OR(G199="",G198=""),"",IF(G198=0,"",(G199/G198)-1))</f>
        <v/>
      </c>
      <c r="I199" s="13"/>
      <c r="J199" s="13"/>
      <c r="K199" s="13"/>
      <c r="L199" s="13"/>
      <c r="M199" s="23" t="str">
        <f>IF(OR(L199="",L198=""),"",IF(L198=0,"",(L199/L198)-1))</f>
        <v/>
      </c>
      <c r="N199" s="26" t="str">
        <f>IFERROR((M199/M198)-1,"")</f>
        <v/>
      </c>
      <c r="O199" s="23" t="str">
        <f>IF(OR(N199="",N198=""),"",IF(N198=0,"",(N199/N198)-1))</f>
        <v/>
      </c>
      <c r="P199" s="11" t="str">
        <f>IF(ROW()&lt;7,"",IF(OR(E199="",E196=""),"",IF(E196=0,"",(E199/E196)-1)))</f>
        <v/>
      </c>
      <c r="Q199" s="23" t="str">
        <f>IF(ROW()&lt;9,"",IF(OR(E199="",E194=""),"",IF(E194=0,"",(E199/E194)-1)))</f>
        <v/>
      </c>
      <c r="R199" s="23" t="str">
        <f>IF(ROW()&lt;7,"",IF(OR(G199="",G196=""),"",IF(G196=0,"",(G199/G196)-1)))</f>
        <v/>
      </c>
      <c r="S199" s="23" t="str">
        <f>IF(ROW()&lt;9,"",IF(OR(G199="",G194=""),"",IF(G194=0,"",(G199/G194)-1)))</f>
        <v/>
      </c>
      <c r="T199" s="23" t="str">
        <f>IF(ROW()&lt;7,"",IF(OR(L199="",L196=""),"",IF(L196=0,"",(L199/L196)-1)))</f>
        <v/>
      </c>
      <c r="U199" s="23" t="str">
        <f>IF(ROW()&lt;9,"",IF(OR(L199="",L194=""),"",IF(L194=0,"",(L199/L194)-1)))</f>
        <v/>
      </c>
      <c r="V199" s="23" t="str">
        <f>IF(ROW()&lt;7,"",IF(OR(N199="",N196=""),"",IF(N196=0,"",(N199/N196)-1)))</f>
        <v/>
      </c>
      <c r="W199" s="23" t="str">
        <f>IF(ROW()&lt;9,"",IF(OR(N199="",N194=""),"",IF(N194=0,"",(N199/N194)-1)))</f>
        <v/>
      </c>
      <c r="X199" s="23" t="str">
        <f>IF(OR(F199="",M199=""),"",F199-M199)</f>
        <v/>
      </c>
      <c r="Y199" s="23" t="str">
        <f>IF(OR(P199="",T199=""),"",P199-T199)</f>
        <v/>
      </c>
      <c r="Z199" s="23" t="str">
        <f>IF(OR(Q199="",U199=""),"",Q199-U199)</f>
        <v/>
      </c>
      <c r="AA199" s="23" t="str">
        <f>IF(OR(H199="",O199=""),"",H199-O199)</f>
        <v/>
      </c>
      <c r="AB199" s="23" t="str">
        <f>IF(OR(R199="",V199=""),"",R199-V199)</f>
        <v/>
      </c>
      <c r="AC199" s="23" t="str">
        <f>IF(OR(S199="",W199=""),"",S199-W199)</f>
        <v/>
      </c>
      <c r="AD199" s="13"/>
      <c r="AE199" s="23" t="str">
        <f>IF(OR(AD199="",AD198=""),"",IF(AD198=0,"",(AD199/AD198)-1))</f>
        <v/>
      </c>
      <c r="AF199" s="23" t="str">
        <f>IF(ROW()&lt;7,"",IF(OR(AD199="",AD196=""),"",IF(AD196=0,"",(AD199/AD196)-1)))</f>
        <v/>
      </c>
      <c r="AG199" s="23" t="str">
        <f>IF(ROW()&lt;9,"",IF(OR(AD199="",AD194=""),"",IF(AD194=0,"",(AD199/AD194)-1)))</f>
        <v/>
      </c>
      <c r="AH199" s="23" t="str">
        <f>IF(OR(AF199="",AG199=""),"",IF(AND(AF199&gt;0,AG199&gt;0),"Bull",IF(AND(AF199&lt;0,AG199&lt;0),"Bear","Mixed")))</f>
        <v/>
      </c>
      <c r="AI199" s="13"/>
      <c r="AJ199" s="13" t="str">
        <f>IF(OR(AI199="",AI198=""),"",IF(AI198=0,"",(AI199/AI198)-1))</f>
        <v/>
      </c>
      <c r="AK199" s="23" t="str">
        <f>IF(OR(AJ199="",AJ198=""),"",IF(AJ198=0,"",(AJ199/AJ198)-1))</f>
        <v/>
      </c>
      <c r="AL199" s="23" t="str">
        <f>IF(ROW()&lt;7,"",IF(OR(AJ199="",AJ196=""),"",IF(AJ196=0,"",(AJ199/AJ196)-1)))</f>
        <v/>
      </c>
      <c r="AM199" s="23" t="str">
        <f>IF(ROW()&lt;9,"",IF(OR(AJ199="",AJ194=""),"",IF(AJ194=0,"",(AJ199/AJ194)-1)))</f>
        <v/>
      </c>
      <c r="AN199" t="str">
        <f>IF(OR(AL199="",AM199=""),"",IF(AND(AL199&gt;0,AM199&gt;0),"Bull",IF(AND(AL199&lt;0,AM199&lt;0),"Bear","Mixed")))</f>
        <v/>
      </c>
      <c r="AO199" t="str">
        <f>IF(OR(AH199="",AN199=""),"",IF(AND(AH199="Bull",AN199="Bull"),"YES","NO"))</f>
        <v/>
      </c>
      <c r="AP199" t="str">
        <f>IF(OR(AH199="",AN199=""),"",IF(AND(AH199="Bear",AN199="Bear"),"YES","NO"))</f>
        <v/>
      </c>
      <c r="AQ199" t="str">
        <f>IF(AO199="YES",IF(SUM(N(X199),N(Y199),N(Z199))&gt;0,"SOXL","TQQQ"),IF(AP199="YES",IF(SUM(N(AA199),N(AB199),N(AC199))&gt;0,"SOXS","SQQQ"),"WAIT"))</f>
        <v>WAIT</v>
      </c>
      <c r="AR199" s="23" t="str">
        <f>IF(AO199="YES",IF(SUM(N(X199),N(Y199),N(Z199))&gt;0,"TQQQ","SOXL"),IF(AP199="YES",IF(SUM(N(AA199),N(AB199),N(AC199))&gt;0,"SQQQ","SOXS"),""))</f>
        <v/>
      </c>
      <c r="AS199" s="23" t="str">
        <f>IF(AQ199="WAIT","",IF(AR199="",1,0.6))</f>
        <v/>
      </c>
      <c r="AT199" s="23">
        <f>IF(AR199="",0,0.4)</f>
        <v>0</v>
      </c>
      <c r="AU199" s="23" t="str">
        <f>IF(AQ199="WAIT","WAIT",IF(AO199="YES","BULL",IF(AP199="YES","BEAR","WAIT")))</f>
        <v>WAIT</v>
      </c>
      <c r="AV199" t="str">
        <f>IF(AQ199="WAIT","Low",IF(OR(AND(AU199="BULL",ABS(SUM(N(X199),N(Y199),N(Z199)))&gt;=0.15),AND(AU199="BEAR",ABS(SUM(N(AA199),N(AB199),N(AC199)))&gt;=0.15)),"Strong",IF(OR(AND(AU199="BULL",ABS(SUM(N(X199),N(Y199),N(Z199)))&gt;=0.05),AND(AU199="BEAR",ABS(SUM(N(AA199),N(AB199),N(AC199)))&gt;=0.05)),"Moderate","Low")))</f>
        <v>Low</v>
      </c>
      <c r="AW199" t="str">
        <f>IF(AQ199="WAIT","QQQ and SMH not aligned",IF(AU199="BULL",IF(AQ199="SOXL","Bull regime; semiconductors leading","Bull regime; tech leading"),IF(AQ199="SOXS","Bear regime; semiconductors weakest","Bear regime; tech weakest")))</f>
        <v>QQQ and SMH not aligned</v>
      </c>
      <c r="AX199" t="str">
        <f>IF(AR199="WAIT","QQQ and SMH not aligned",IF(AV199="BULL",IF(AR199="SOXL","Bull regime; semiconductors leading","Bull regime; tech leading"),IF(AR199="SOXS","Bear regime; semiconductors weakest","Bear regime; tech weakest")))</f>
        <v>Bear regime; tech weakest</v>
      </c>
    </row>
    <row r="200" spans="1:50" x14ac:dyDescent="0.2">
      <c r="A200" s="12"/>
      <c r="B200" s="13"/>
      <c r="C200" s="13"/>
      <c r="D200" s="13"/>
      <c r="E200" s="13"/>
      <c r="F200" s="11" t="str">
        <f>IF(OR(E200="",E199=""),"",IF(E199=0,"",(E200/E199)-1))</f>
        <v/>
      </c>
      <c r="G200" s="13"/>
      <c r="H200" s="11" t="str">
        <f>IF(OR(G200="",G199=""),"",IF(G199=0,"",(G200/G199)-1))</f>
        <v/>
      </c>
      <c r="I200" s="13"/>
      <c r="J200" s="13"/>
      <c r="K200" s="13"/>
      <c r="L200" s="13"/>
      <c r="M200" s="23" t="str">
        <f>IF(OR(L200="",L199=""),"",IF(L199=0,"",(L200/L199)-1))</f>
        <v/>
      </c>
      <c r="N200" s="26" t="str">
        <f>IFERROR((M200/M199)-1,"")</f>
        <v/>
      </c>
      <c r="O200" s="23" t="str">
        <f>IF(OR(N200="",N199=""),"",IF(N199=0,"",(N200/N199)-1))</f>
        <v/>
      </c>
      <c r="P200" s="11" t="str">
        <f>IF(ROW()&lt;7,"",IF(OR(E200="",E197=""),"",IF(E197=0,"",(E200/E197)-1)))</f>
        <v/>
      </c>
      <c r="Q200" s="23" t="str">
        <f>IF(ROW()&lt;9,"",IF(OR(E200="",E195=""),"",IF(E195=0,"",(E200/E195)-1)))</f>
        <v/>
      </c>
      <c r="R200" s="23" t="str">
        <f>IF(ROW()&lt;7,"",IF(OR(G200="",G197=""),"",IF(G197=0,"",(G200/G197)-1)))</f>
        <v/>
      </c>
      <c r="S200" s="23" t="str">
        <f>IF(ROW()&lt;9,"",IF(OR(G200="",G195=""),"",IF(G195=0,"",(G200/G195)-1)))</f>
        <v/>
      </c>
      <c r="T200" s="23" t="str">
        <f>IF(ROW()&lt;7,"",IF(OR(L200="",L197=""),"",IF(L197=0,"",(L200/L197)-1)))</f>
        <v/>
      </c>
      <c r="U200" s="23" t="str">
        <f>IF(ROW()&lt;9,"",IF(OR(L200="",L195=""),"",IF(L195=0,"",(L200/L195)-1)))</f>
        <v/>
      </c>
      <c r="V200" s="23" t="str">
        <f>IF(ROW()&lt;7,"",IF(OR(N200="",N197=""),"",IF(N197=0,"",(N200/N197)-1)))</f>
        <v/>
      </c>
      <c r="W200" s="23" t="str">
        <f>IF(ROW()&lt;9,"",IF(OR(N200="",N195=""),"",IF(N195=0,"",(N200/N195)-1)))</f>
        <v/>
      </c>
      <c r="X200" s="23" t="str">
        <f>IF(OR(F200="",M200=""),"",F200-M200)</f>
        <v/>
      </c>
      <c r="Y200" s="23" t="str">
        <f>IF(OR(P200="",T200=""),"",P200-T200)</f>
        <v/>
      </c>
      <c r="Z200" s="23" t="str">
        <f>IF(OR(Q200="",U200=""),"",Q200-U200)</f>
        <v/>
      </c>
      <c r="AA200" s="23" t="str">
        <f>IF(OR(H200="",O200=""),"",H200-O200)</f>
        <v/>
      </c>
      <c r="AB200" s="23" t="str">
        <f>IF(OR(R200="",V200=""),"",R200-V200)</f>
        <v/>
      </c>
      <c r="AC200" s="23" t="str">
        <f>IF(OR(S200="",W200=""),"",S200-W200)</f>
        <v/>
      </c>
      <c r="AD200" s="13"/>
      <c r="AE200" s="23" t="str">
        <f>IF(OR(AD200="",AD199=""),"",IF(AD199=0,"",(AD200/AD199)-1))</f>
        <v/>
      </c>
      <c r="AF200" s="23" t="str">
        <f>IF(ROW()&lt;7,"",IF(OR(AD200="",AD197=""),"",IF(AD197=0,"",(AD200/AD197)-1)))</f>
        <v/>
      </c>
      <c r="AG200" s="23" t="str">
        <f>IF(ROW()&lt;9,"",IF(OR(AD200="",AD195=""),"",IF(AD195=0,"",(AD200/AD195)-1)))</f>
        <v/>
      </c>
      <c r="AH200" s="23" t="str">
        <f>IF(OR(AF200="",AG200=""),"",IF(AND(AF200&gt;0,AG200&gt;0),"Bull",IF(AND(AF200&lt;0,AG200&lt;0),"Bear","Mixed")))</f>
        <v/>
      </c>
      <c r="AI200" s="13"/>
      <c r="AJ200" s="13" t="str">
        <f>IF(OR(AI200="",AI199=""),"",IF(AI199=0,"",(AI200/AI199)-1))</f>
        <v/>
      </c>
      <c r="AK200" s="23" t="str">
        <f>IF(OR(AJ200="",AJ199=""),"",IF(AJ199=0,"",(AJ200/AJ199)-1))</f>
        <v/>
      </c>
      <c r="AL200" s="23" t="str">
        <f>IF(ROW()&lt;7,"",IF(OR(AJ200="",AJ197=""),"",IF(AJ197=0,"",(AJ200/AJ197)-1)))</f>
        <v/>
      </c>
      <c r="AM200" s="23" t="str">
        <f>IF(ROW()&lt;9,"",IF(OR(AJ200="",AJ195=""),"",IF(AJ195=0,"",(AJ200/AJ195)-1)))</f>
        <v/>
      </c>
      <c r="AN200" t="str">
        <f>IF(OR(AL200="",AM200=""),"",IF(AND(AL200&gt;0,AM200&gt;0),"Bull",IF(AND(AL200&lt;0,AM200&lt;0),"Bear","Mixed")))</f>
        <v/>
      </c>
      <c r="AO200" t="str">
        <f>IF(OR(AH200="",AN200=""),"",IF(AND(AH200="Bull",AN200="Bull"),"YES","NO"))</f>
        <v/>
      </c>
      <c r="AP200" t="str">
        <f>IF(OR(AH200="",AN200=""),"",IF(AND(AH200="Bear",AN200="Bear"),"YES","NO"))</f>
        <v/>
      </c>
      <c r="AQ200" t="str">
        <f>IF(AO200="YES",IF(SUM(N(X200),N(Y200),N(Z200))&gt;0,"SOXL","TQQQ"),IF(AP200="YES",IF(SUM(N(AA200),N(AB200),N(AC200))&gt;0,"SOXS","SQQQ"),"WAIT"))</f>
        <v>WAIT</v>
      </c>
      <c r="AR200" s="23" t="str">
        <f>IF(AO200="YES",IF(SUM(N(X200),N(Y200),N(Z200))&gt;0,"TQQQ","SOXL"),IF(AP200="YES",IF(SUM(N(AA200),N(AB200),N(AC200))&gt;0,"SQQQ","SOXS"),""))</f>
        <v/>
      </c>
      <c r="AS200" s="23" t="str">
        <f>IF(AQ200="WAIT","",IF(AR200="",1,0.6))</f>
        <v/>
      </c>
      <c r="AT200" s="23">
        <f>IF(AR200="",0,0.4)</f>
        <v>0</v>
      </c>
      <c r="AU200" s="23" t="str">
        <f>IF(AQ200="WAIT","WAIT",IF(AO200="YES","BULL",IF(AP200="YES","BEAR","WAIT")))</f>
        <v>WAIT</v>
      </c>
      <c r="AV200" t="str">
        <f>IF(AQ200="WAIT","Low",IF(OR(AND(AU200="BULL",ABS(SUM(N(X200),N(Y200),N(Z200)))&gt;=0.15),AND(AU200="BEAR",ABS(SUM(N(AA200),N(AB200),N(AC200)))&gt;=0.15)),"Strong",IF(OR(AND(AU200="BULL",ABS(SUM(N(X200),N(Y200),N(Z200)))&gt;=0.05),AND(AU200="BEAR",ABS(SUM(N(AA200),N(AB200),N(AC200)))&gt;=0.05)),"Moderate","Low")))</f>
        <v>Low</v>
      </c>
      <c r="AW200" t="str">
        <f>IF(AQ200="WAIT","QQQ and SMH not aligned",IF(AU200="BULL",IF(AQ200="SOXL","Bull regime; semiconductors leading","Bull regime; tech leading"),IF(AQ200="SOXS","Bear regime; semiconductors weakest","Bear regime; tech weakest")))</f>
        <v>QQQ and SMH not aligned</v>
      </c>
      <c r="AX200" t="str">
        <f>IF(AR200="WAIT","QQQ and SMH not aligned",IF(AV200="BULL",IF(AR200="SOXL","Bull regime; semiconductors leading","Bull regime; tech leading"),IF(AR200="SOXS","Bear regime; semiconductors weakest","Bear regime; tech weakest")))</f>
        <v>Bear regime; tech weakest</v>
      </c>
    </row>
    <row r="201" spans="1:50" x14ac:dyDescent="0.2">
      <c r="A201" s="12"/>
      <c r="B201" s="13"/>
      <c r="C201" s="13"/>
      <c r="D201" s="13"/>
      <c r="E201" s="13"/>
      <c r="F201" s="11" t="str">
        <f>IF(OR(E201="",E200=""),"",IF(E200=0,"",(E201/E200)-1))</f>
        <v/>
      </c>
      <c r="G201" s="13"/>
      <c r="H201" s="11" t="str">
        <f>IF(OR(G201="",G200=""),"",IF(G200=0,"",(G201/G200)-1))</f>
        <v/>
      </c>
      <c r="I201" s="13"/>
      <c r="J201" s="13"/>
      <c r="K201" s="13"/>
      <c r="L201" s="13"/>
      <c r="M201" s="23" t="str">
        <f>IF(OR(L201="",L200=""),"",IF(L200=0,"",(L201/L200)-1))</f>
        <v/>
      </c>
      <c r="N201" s="26" t="str">
        <f>IFERROR((M201/M200)-1,"")</f>
        <v/>
      </c>
      <c r="O201" s="23" t="str">
        <f>IF(OR(N201="",N200=""),"",IF(N200=0,"",(N201/N200)-1))</f>
        <v/>
      </c>
      <c r="P201" s="11" t="str">
        <f>IF(ROW()&lt;7,"",IF(OR(E201="",E198=""),"",IF(E198=0,"",(E201/E198)-1)))</f>
        <v/>
      </c>
      <c r="Q201" s="23" t="str">
        <f>IF(ROW()&lt;9,"",IF(OR(E201="",E196=""),"",IF(E196=0,"",(E201/E196)-1)))</f>
        <v/>
      </c>
      <c r="R201" s="23" t="str">
        <f>IF(ROW()&lt;7,"",IF(OR(G201="",G198=""),"",IF(G198=0,"",(G201/G198)-1)))</f>
        <v/>
      </c>
      <c r="S201" s="23" t="str">
        <f>IF(ROW()&lt;9,"",IF(OR(G201="",G196=""),"",IF(G196=0,"",(G201/G196)-1)))</f>
        <v/>
      </c>
      <c r="T201" s="23" t="str">
        <f>IF(ROW()&lt;7,"",IF(OR(L201="",L198=""),"",IF(L198=0,"",(L201/L198)-1)))</f>
        <v/>
      </c>
      <c r="U201" s="23" t="str">
        <f>IF(ROW()&lt;9,"",IF(OR(L201="",L196=""),"",IF(L196=0,"",(L201/L196)-1)))</f>
        <v/>
      </c>
      <c r="V201" s="23" t="str">
        <f>IF(ROW()&lt;7,"",IF(OR(N201="",N198=""),"",IF(N198=0,"",(N201/N198)-1)))</f>
        <v/>
      </c>
      <c r="W201" s="23" t="str">
        <f>IF(ROW()&lt;9,"",IF(OR(N201="",N196=""),"",IF(N196=0,"",(N201/N196)-1)))</f>
        <v/>
      </c>
      <c r="X201" s="23" t="str">
        <f>IF(OR(F201="",M201=""),"",F201-M201)</f>
        <v/>
      </c>
      <c r="Y201" s="23" t="str">
        <f>IF(OR(P201="",T201=""),"",P201-T201)</f>
        <v/>
      </c>
      <c r="Z201" s="23" t="str">
        <f>IF(OR(Q201="",U201=""),"",Q201-U201)</f>
        <v/>
      </c>
      <c r="AA201" s="23" t="str">
        <f>IF(OR(H201="",O201=""),"",H201-O201)</f>
        <v/>
      </c>
      <c r="AB201" s="23" t="str">
        <f>IF(OR(R201="",V201=""),"",R201-V201)</f>
        <v/>
      </c>
      <c r="AC201" s="23" t="str">
        <f>IF(OR(S201="",W201=""),"",S201-W201)</f>
        <v/>
      </c>
      <c r="AD201" s="13"/>
      <c r="AE201" s="23" t="str">
        <f>IF(OR(AD201="",AD200=""),"",IF(AD200=0,"",(AD201/AD200)-1))</f>
        <v/>
      </c>
      <c r="AF201" s="23" t="str">
        <f>IF(ROW()&lt;7,"",IF(OR(AD201="",AD198=""),"",IF(AD198=0,"",(AD201/AD198)-1)))</f>
        <v/>
      </c>
      <c r="AG201" s="23" t="str">
        <f>IF(ROW()&lt;9,"",IF(OR(AD201="",AD196=""),"",IF(AD196=0,"",(AD201/AD196)-1)))</f>
        <v/>
      </c>
      <c r="AH201" s="23" t="str">
        <f>IF(OR(AF201="",AG201=""),"",IF(AND(AF201&gt;0,AG201&gt;0),"Bull",IF(AND(AF201&lt;0,AG201&lt;0),"Bear","Mixed")))</f>
        <v/>
      </c>
      <c r="AI201" s="13"/>
      <c r="AJ201" s="13" t="str">
        <f>IF(OR(AI201="",AI200=""),"",IF(AI200=0,"",(AI201/AI200)-1))</f>
        <v/>
      </c>
      <c r="AK201" s="23" t="str">
        <f>IF(OR(AJ201="",AJ200=""),"",IF(AJ200=0,"",(AJ201/AJ200)-1))</f>
        <v/>
      </c>
      <c r="AL201" s="23" t="str">
        <f>IF(ROW()&lt;7,"",IF(OR(AJ201="",AJ198=""),"",IF(AJ198=0,"",(AJ201/AJ198)-1)))</f>
        <v/>
      </c>
      <c r="AM201" s="23" t="str">
        <f>IF(ROW()&lt;9,"",IF(OR(AJ201="",AJ196=""),"",IF(AJ196=0,"",(AJ201/AJ196)-1)))</f>
        <v/>
      </c>
      <c r="AN201" t="str">
        <f>IF(OR(AL201="",AM201=""),"",IF(AND(AL201&gt;0,AM201&gt;0),"Bull",IF(AND(AL201&lt;0,AM201&lt;0),"Bear","Mixed")))</f>
        <v/>
      </c>
      <c r="AO201" t="str">
        <f>IF(OR(AH201="",AN201=""),"",IF(AND(AH201="Bull",AN201="Bull"),"YES","NO"))</f>
        <v/>
      </c>
      <c r="AP201" t="str">
        <f>IF(OR(AH201="",AN201=""),"",IF(AND(AH201="Bear",AN201="Bear"),"YES","NO"))</f>
        <v/>
      </c>
      <c r="AQ201" t="str">
        <f>IF(AO201="YES",IF(SUM(N(X201),N(Y201),N(Z201))&gt;0,"SOXL","TQQQ"),IF(AP201="YES",IF(SUM(N(AA201),N(AB201),N(AC201))&gt;0,"SOXS","SQQQ"),"WAIT"))</f>
        <v>WAIT</v>
      </c>
      <c r="AR201" s="23" t="str">
        <f>IF(AO201="YES",IF(SUM(N(X201),N(Y201),N(Z201))&gt;0,"TQQQ","SOXL"),IF(AP201="YES",IF(SUM(N(AA201),N(AB201),N(AC201))&gt;0,"SQQQ","SOXS"),""))</f>
        <v/>
      </c>
      <c r="AS201" s="23" t="str">
        <f>IF(AQ201="WAIT","",IF(AR201="",1,0.6))</f>
        <v/>
      </c>
      <c r="AT201" s="23">
        <f>IF(AR201="",0,0.4)</f>
        <v>0</v>
      </c>
      <c r="AU201" s="23" t="str">
        <f>IF(AQ201="WAIT","WAIT",IF(AO201="YES","BULL",IF(AP201="YES","BEAR","WAIT")))</f>
        <v>WAIT</v>
      </c>
      <c r="AV201" t="str">
        <f>IF(AQ201="WAIT","Low",IF(OR(AND(AU201="BULL",ABS(SUM(N(X201),N(Y201),N(Z201)))&gt;=0.15),AND(AU201="BEAR",ABS(SUM(N(AA201),N(AB201),N(AC201)))&gt;=0.15)),"Strong",IF(OR(AND(AU201="BULL",ABS(SUM(N(X201),N(Y201),N(Z201)))&gt;=0.05),AND(AU201="BEAR",ABS(SUM(N(AA201),N(AB201),N(AC201)))&gt;=0.05)),"Moderate","Low")))</f>
        <v>Low</v>
      </c>
      <c r="AW201" t="str">
        <f>IF(AQ201="WAIT","QQQ and SMH not aligned",IF(AU201="BULL",IF(AQ201="SOXL","Bull regime; semiconductors leading","Bull regime; tech leading"),IF(AQ201="SOXS","Bear regime; semiconductors weakest","Bear regime; tech weakest")))</f>
        <v>QQQ and SMH not aligned</v>
      </c>
      <c r="AX201" t="str">
        <f>IF(AR201="WAIT","QQQ and SMH not aligned",IF(AV201="BULL",IF(AR201="SOXL","Bull regime; semiconductors leading","Bull regime; tech leading"),IF(AR201="SOXS","Bear regime; semiconductors weakest","Bear regime; tech weakest")))</f>
        <v>Bear regime; tech weakest</v>
      </c>
    </row>
    <row r="202" spans="1:50" x14ac:dyDescent="0.2">
      <c r="A202" s="12"/>
      <c r="B202" s="13"/>
      <c r="C202" s="13"/>
      <c r="D202" s="13"/>
      <c r="E202" s="13"/>
      <c r="F202" s="11" t="str">
        <f>IF(OR(E202="",E201=""),"",IF(E201=0,"",(E202/E201)-1))</f>
        <v/>
      </c>
      <c r="G202" s="13"/>
      <c r="H202" s="11" t="str">
        <f>IF(OR(G202="",G201=""),"",IF(G201=0,"",(G202/G201)-1))</f>
        <v/>
      </c>
      <c r="I202" s="13"/>
      <c r="J202" s="13"/>
      <c r="K202" s="13"/>
      <c r="L202" s="13"/>
      <c r="M202" s="23" t="str">
        <f>IF(OR(L202="",L201=""),"",IF(L201=0,"",(L202/L201)-1))</f>
        <v/>
      </c>
      <c r="N202" s="26" t="str">
        <f>IFERROR((M202/M201)-1,"")</f>
        <v/>
      </c>
      <c r="O202" s="23" t="str">
        <f>IF(OR(N202="",N201=""),"",IF(N201=0,"",(N202/N201)-1))</f>
        <v/>
      </c>
      <c r="P202" s="11" t="str">
        <f>IF(ROW()&lt;7,"",IF(OR(E202="",E199=""),"",IF(E199=0,"",(E202/E199)-1)))</f>
        <v/>
      </c>
      <c r="Q202" s="23" t="str">
        <f>IF(ROW()&lt;9,"",IF(OR(E202="",E197=""),"",IF(E197=0,"",(E202/E197)-1)))</f>
        <v/>
      </c>
      <c r="R202" s="23" t="str">
        <f>IF(ROW()&lt;7,"",IF(OR(G202="",G199=""),"",IF(G199=0,"",(G202/G199)-1)))</f>
        <v/>
      </c>
      <c r="S202" s="23" t="str">
        <f>IF(ROW()&lt;9,"",IF(OR(G202="",G197=""),"",IF(G197=0,"",(G202/G197)-1)))</f>
        <v/>
      </c>
      <c r="T202" s="23" t="str">
        <f>IF(ROW()&lt;7,"",IF(OR(L202="",L199=""),"",IF(L199=0,"",(L202/L199)-1)))</f>
        <v/>
      </c>
      <c r="U202" s="23" t="str">
        <f>IF(ROW()&lt;9,"",IF(OR(L202="",L197=""),"",IF(L197=0,"",(L202/L197)-1)))</f>
        <v/>
      </c>
      <c r="V202" s="23" t="str">
        <f>IF(ROW()&lt;7,"",IF(OR(N202="",N199=""),"",IF(N199=0,"",(N202/N199)-1)))</f>
        <v/>
      </c>
      <c r="W202" s="23" t="str">
        <f>IF(ROW()&lt;9,"",IF(OR(N202="",N197=""),"",IF(N197=0,"",(N202/N197)-1)))</f>
        <v/>
      </c>
      <c r="X202" s="23" t="str">
        <f>IF(OR(F202="",M202=""),"",F202-M202)</f>
        <v/>
      </c>
      <c r="Y202" s="23" t="str">
        <f>IF(OR(P202="",T202=""),"",P202-T202)</f>
        <v/>
      </c>
      <c r="Z202" s="23" t="str">
        <f>IF(OR(Q202="",U202=""),"",Q202-U202)</f>
        <v/>
      </c>
      <c r="AA202" s="23" t="str">
        <f>IF(OR(H202="",O202=""),"",H202-O202)</f>
        <v/>
      </c>
      <c r="AB202" s="23" t="str">
        <f>IF(OR(R202="",V202=""),"",R202-V202)</f>
        <v/>
      </c>
      <c r="AC202" s="23" t="str">
        <f>IF(OR(S202="",W202=""),"",S202-W202)</f>
        <v/>
      </c>
      <c r="AD202" s="13"/>
      <c r="AE202" s="23" t="str">
        <f>IF(OR(AD202="",AD201=""),"",IF(AD201=0,"",(AD202/AD201)-1))</f>
        <v/>
      </c>
      <c r="AF202" s="23" t="str">
        <f>IF(ROW()&lt;7,"",IF(OR(AD202="",AD199=""),"",IF(AD199=0,"",(AD202/AD199)-1)))</f>
        <v/>
      </c>
      <c r="AG202" s="23" t="str">
        <f>IF(ROW()&lt;9,"",IF(OR(AD202="",AD197=""),"",IF(AD197=0,"",(AD202/AD197)-1)))</f>
        <v/>
      </c>
      <c r="AH202" s="23" t="str">
        <f>IF(OR(AF202="",AG202=""),"",IF(AND(AF202&gt;0,AG202&gt;0),"Bull",IF(AND(AF202&lt;0,AG202&lt;0),"Bear","Mixed")))</f>
        <v/>
      </c>
      <c r="AI202" s="13"/>
      <c r="AJ202" s="13" t="str">
        <f>IF(OR(AI202="",AI201=""),"",IF(AI201=0,"",(AI202/AI201)-1))</f>
        <v/>
      </c>
      <c r="AK202" s="23" t="str">
        <f>IF(OR(AJ202="",AJ201=""),"",IF(AJ201=0,"",(AJ202/AJ201)-1))</f>
        <v/>
      </c>
      <c r="AL202" s="23" t="str">
        <f>IF(ROW()&lt;7,"",IF(OR(AJ202="",AJ199=""),"",IF(AJ199=0,"",(AJ202/AJ199)-1)))</f>
        <v/>
      </c>
      <c r="AM202" s="23" t="str">
        <f>IF(ROW()&lt;9,"",IF(OR(AJ202="",AJ197=""),"",IF(AJ197=0,"",(AJ202/AJ197)-1)))</f>
        <v/>
      </c>
      <c r="AN202" t="str">
        <f>IF(OR(AL202="",AM202=""),"",IF(AND(AL202&gt;0,AM202&gt;0),"Bull",IF(AND(AL202&lt;0,AM202&lt;0),"Bear","Mixed")))</f>
        <v/>
      </c>
      <c r="AO202" t="str">
        <f>IF(OR(AH202="",AN202=""),"",IF(AND(AH202="Bull",AN202="Bull"),"YES","NO"))</f>
        <v/>
      </c>
      <c r="AP202" t="str">
        <f>IF(OR(AH202="",AN202=""),"",IF(AND(AH202="Bear",AN202="Bear"),"YES","NO"))</f>
        <v/>
      </c>
      <c r="AQ202" t="str">
        <f>IF(AO202="YES",IF(SUM(N(X202),N(Y202),N(Z202))&gt;0,"SOXL","TQQQ"),IF(AP202="YES",IF(SUM(N(AA202),N(AB202),N(AC202))&gt;0,"SOXS","SQQQ"),"WAIT"))</f>
        <v>WAIT</v>
      </c>
      <c r="AR202" s="23" t="str">
        <f>IF(AO202="YES",IF(SUM(N(X202),N(Y202),N(Z202))&gt;0,"TQQQ","SOXL"),IF(AP202="YES",IF(SUM(N(AA202),N(AB202),N(AC202))&gt;0,"SQQQ","SOXS"),""))</f>
        <v/>
      </c>
      <c r="AS202" s="23" t="str">
        <f>IF(AQ202="WAIT","",IF(AR202="",1,0.6))</f>
        <v/>
      </c>
      <c r="AT202" s="23">
        <f>IF(AR202="",0,0.4)</f>
        <v>0</v>
      </c>
      <c r="AU202" s="23" t="str">
        <f>IF(AQ202="WAIT","WAIT",IF(AO202="YES","BULL",IF(AP202="YES","BEAR","WAIT")))</f>
        <v>WAIT</v>
      </c>
      <c r="AV202" t="str">
        <f>IF(AQ202="WAIT","Low",IF(OR(AND(AU202="BULL",ABS(SUM(N(X202),N(Y202),N(Z202)))&gt;=0.15),AND(AU202="BEAR",ABS(SUM(N(AA202),N(AB202),N(AC202)))&gt;=0.15)),"Strong",IF(OR(AND(AU202="BULL",ABS(SUM(N(X202),N(Y202),N(Z202)))&gt;=0.05),AND(AU202="BEAR",ABS(SUM(N(AA202),N(AB202),N(AC202)))&gt;=0.05)),"Moderate","Low")))</f>
        <v>Low</v>
      </c>
      <c r="AW202" t="str">
        <f>IF(AQ202="WAIT","QQQ and SMH not aligned",IF(AU202="BULL",IF(AQ202="SOXL","Bull regime; semiconductors leading","Bull regime; tech leading"),IF(AQ202="SOXS","Bear regime; semiconductors weakest","Bear regime; tech weakest")))</f>
        <v>QQQ and SMH not aligned</v>
      </c>
      <c r="AX202" t="str">
        <f>IF(AR202="WAIT","QQQ and SMH not aligned",IF(AV202="BULL",IF(AR202="SOXL","Bull regime; semiconductors leading","Bull regime; tech leading"),IF(AR202="SOXS","Bear regime; semiconductors weakest","Bear regime; tech weakest")))</f>
        <v>Bear regime; tech weakest</v>
      </c>
    </row>
    <row r="203" spans="1:50" x14ac:dyDescent="0.2">
      <c r="A203" s="12"/>
      <c r="B203" s="13"/>
      <c r="C203" s="13"/>
      <c r="D203" s="13"/>
      <c r="E203" s="13"/>
      <c r="F203" s="11" t="str">
        <f>IF(OR(E203="",E202=""),"",IF(E202=0,"",(E203/E202)-1))</f>
        <v/>
      </c>
      <c r="G203" s="13"/>
      <c r="H203" s="11" t="str">
        <f>IF(OR(G203="",G202=""),"",IF(G202=0,"",(G203/G202)-1))</f>
        <v/>
      </c>
      <c r="I203" s="13"/>
      <c r="J203" s="13"/>
      <c r="K203" s="13"/>
      <c r="L203" s="13"/>
      <c r="M203" s="23" t="str">
        <f>IF(OR(L203="",L202=""),"",IF(L202=0,"",(L203/L202)-1))</f>
        <v/>
      </c>
      <c r="N203" s="26" t="str">
        <f>IFERROR((M203/M202)-1,"")</f>
        <v/>
      </c>
      <c r="O203" s="23" t="str">
        <f>IF(OR(N203="",N202=""),"",IF(N202=0,"",(N203/N202)-1))</f>
        <v/>
      </c>
      <c r="P203" s="11" t="str">
        <f>IF(ROW()&lt;7,"",IF(OR(E203="",E200=""),"",IF(E200=0,"",(E203/E200)-1)))</f>
        <v/>
      </c>
      <c r="Q203" s="23" t="str">
        <f>IF(ROW()&lt;9,"",IF(OR(E203="",E198=""),"",IF(E198=0,"",(E203/E198)-1)))</f>
        <v/>
      </c>
      <c r="R203" s="23" t="str">
        <f>IF(ROW()&lt;7,"",IF(OR(G203="",G200=""),"",IF(G200=0,"",(G203/G200)-1)))</f>
        <v/>
      </c>
      <c r="S203" s="23" t="str">
        <f>IF(ROW()&lt;9,"",IF(OR(G203="",G198=""),"",IF(G198=0,"",(G203/G198)-1)))</f>
        <v/>
      </c>
      <c r="T203" s="23" t="str">
        <f>IF(ROW()&lt;7,"",IF(OR(L203="",L200=""),"",IF(L200=0,"",(L203/L200)-1)))</f>
        <v/>
      </c>
      <c r="U203" s="23" t="str">
        <f>IF(ROW()&lt;9,"",IF(OR(L203="",L198=""),"",IF(L198=0,"",(L203/L198)-1)))</f>
        <v/>
      </c>
      <c r="V203" s="23" t="str">
        <f>IF(ROW()&lt;7,"",IF(OR(N203="",N200=""),"",IF(N200=0,"",(N203/N200)-1)))</f>
        <v/>
      </c>
      <c r="W203" s="23" t="str">
        <f>IF(ROW()&lt;9,"",IF(OR(N203="",N198=""),"",IF(N198=0,"",(N203/N198)-1)))</f>
        <v/>
      </c>
      <c r="X203" s="23" t="str">
        <f>IF(OR(F203="",M203=""),"",F203-M203)</f>
        <v/>
      </c>
      <c r="Y203" s="23" t="str">
        <f>IF(OR(P203="",T203=""),"",P203-T203)</f>
        <v/>
      </c>
      <c r="Z203" s="23" t="str">
        <f>IF(OR(Q203="",U203=""),"",Q203-U203)</f>
        <v/>
      </c>
      <c r="AA203" s="23" t="str">
        <f>IF(OR(H203="",O203=""),"",H203-O203)</f>
        <v/>
      </c>
      <c r="AB203" s="23" t="str">
        <f>IF(OR(R203="",V203=""),"",R203-V203)</f>
        <v/>
      </c>
      <c r="AC203" s="23" t="str">
        <f>IF(OR(S203="",W203=""),"",S203-W203)</f>
        <v/>
      </c>
      <c r="AD203" s="13"/>
      <c r="AE203" s="23" t="str">
        <f>IF(OR(AD203="",AD202=""),"",IF(AD202=0,"",(AD203/AD202)-1))</f>
        <v/>
      </c>
      <c r="AF203" s="23" t="str">
        <f>IF(ROW()&lt;7,"",IF(OR(AD203="",AD200=""),"",IF(AD200=0,"",(AD203/AD200)-1)))</f>
        <v/>
      </c>
      <c r="AG203" s="23" t="str">
        <f>IF(ROW()&lt;9,"",IF(OR(AD203="",AD198=""),"",IF(AD198=0,"",(AD203/AD198)-1)))</f>
        <v/>
      </c>
      <c r="AH203" s="23" t="str">
        <f>IF(OR(AF203="",AG203=""),"",IF(AND(AF203&gt;0,AG203&gt;0),"Bull",IF(AND(AF203&lt;0,AG203&lt;0),"Bear","Mixed")))</f>
        <v/>
      </c>
      <c r="AI203" s="13"/>
      <c r="AJ203" s="13" t="str">
        <f>IF(OR(AI203="",AI202=""),"",IF(AI202=0,"",(AI203/AI202)-1))</f>
        <v/>
      </c>
      <c r="AK203" s="23" t="str">
        <f>IF(OR(AJ203="",AJ202=""),"",IF(AJ202=0,"",(AJ203/AJ202)-1))</f>
        <v/>
      </c>
      <c r="AL203" s="23" t="str">
        <f>IF(ROW()&lt;7,"",IF(OR(AJ203="",AJ200=""),"",IF(AJ200=0,"",(AJ203/AJ200)-1)))</f>
        <v/>
      </c>
      <c r="AM203" s="23" t="str">
        <f>IF(ROW()&lt;9,"",IF(OR(AJ203="",AJ198=""),"",IF(AJ198=0,"",(AJ203/AJ198)-1)))</f>
        <v/>
      </c>
      <c r="AN203" t="str">
        <f>IF(OR(AL203="",AM203=""),"",IF(AND(AL203&gt;0,AM203&gt;0),"Bull",IF(AND(AL203&lt;0,AM203&lt;0),"Bear","Mixed")))</f>
        <v/>
      </c>
      <c r="AO203" t="str">
        <f>IF(OR(AH203="",AN203=""),"",IF(AND(AH203="Bull",AN203="Bull"),"YES","NO"))</f>
        <v/>
      </c>
      <c r="AP203" t="str">
        <f>IF(OR(AH203="",AN203=""),"",IF(AND(AH203="Bear",AN203="Bear"),"YES","NO"))</f>
        <v/>
      </c>
      <c r="AQ203" t="str">
        <f>IF(AO203="YES",IF(SUM(N(X203),N(Y203),N(Z203))&gt;0,"SOXL","TQQQ"),IF(AP203="YES",IF(SUM(N(AA203),N(AB203),N(AC203))&gt;0,"SOXS","SQQQ"),"WAIT"))</f>
        <v>WAIT</v>
      </c>
      <c r="AR203" s="23" t="str">
        <f>IF(AO203="YES",IF(SUM(N(X203),N(Y203),N(Z203))&gt;0,"TQQQ","SOXL"),IF(AP203="YES",IF(SUM(N(AA203),N(AB203),N(AC203))&gt;0,"SQQQ","SOXS"),""))</f>
        <v/>
      </c>
      <c r="AS203" s="23" t="str">
        <f>IF(AQ203="WAIT","",IF(AR203="",1,0.6))</f>
        <v/>
      </c>
      <c r="AT203" s="23">
        <f>IF(AR203="",0,0.4)</f>
        <v>0</v>
      </c>
      <c r="AU203" s="23" t="str">
        <f>IF(AQ203="WAIT","WAIT",IF(AO203="YES","BULL",IF(AP203="YES","BEAR","WAIT")))</f>
        <v>WAIT</v>
      </c>
      <c r="AV203" t="str">
        <f>IF(AQ203="WAIT","Low",IF(OR(AND(AU203="BULL",ABS(SUM(N(X203),N(Y203),N(Z203)))&gt;=0.15),AND(AU203="BEAR",ABS(SUM(N(AA203),N(AB203),N(AC203)))&gt;=0.15)),"Strong",IF(OR(AND(AU203="BULL",ABS(SUM(N(X203),N(Y203),N(Z203)))&gt;=0.05),AND(AU203="BEAR",ABS(SUM(N(AA203),N(AB203),N(AC203)))&gt;=0.05)),"Moderate","Low")))</f>
        <v>Low</v>
      </c>
      <c r="AW203" t="str">
        <f>IF(AQ203="WAIT","QQQ and SMH not aligned",IF(AU203="BULL",IF(AQ203="SOXL","Bull regime; semiconductors leading","Bull regime; tech leading"),IF(AQ203="SOXS","Bear regime; semiconductors weakest","Bear regime; tech weakest")))</f>
        <v>QQQ and SMH not aligned</v>
      </c>
      <c r="AX203" t="str">
        <f>IF(AR203="WAIT","QQQ and SMH not aligned",IF(AV203="BULL",IF(AR203="SOXL","Bull regime; semiconductors leading","Bull regime; tech leading"),IF(AR203="SOXS","Bear regime; semiconductors weakest","Bear regime; tech weakest")))</f>
        <v>Bear regime; tech weakest</v>
      </c>
    </row>
    <row r="204" spans="1:50" x14ac:dyDescent="0.2">
      <c r="A204" s="12"/>
      <c r="B204" s="13"/>
      <c r="C204" s="13"/>
      <c r="D204" s="13"/>
      <c r="E204" s="13"/>
      <c r="F204" s="11" t="str">
        <f>IF(OR(E204="",E203=""),"",IF(E203=0,"",(E204/E203)-1))</f>
        <v/>
      </c>
      <c r="G204" s="13"/>
      <c r="H204" s="11" t="str">
        <f>IF(OR(G204="",G203=""),"",IF(G203=0,"",(G204/G203)-1))</f>
        <v/>
      </c>
      <c r="I204" s="13"/>
      <c r="J204" s="13"/>
      <c r="K204" s="13"/>
      <c r="L204" s="13"/>
      <c r="M204" s="23" t="str">
        <f>IF(OR(L204="",L203=""),"",IF(L203=0,"",(L204/L203)-1))</f>
        <v/>
      </c>
      <c r="N204" s="26" t="str">
        <f>IFERROR((M204/M203)-1,"")</f>
        <v/>
      </c>
      <c r="O204" s="23" t="str">
        <f>IF(OR(N204="",N203=""),"",IF(N203=0,"",(N204/N203)-1))</f>
        <v/>
      </c>
      <c r="P204" s="11" t="str">
        <f>IF(ROW()&lt;7,"",IF(OR(E204="",E201=""),"",IF(E201=0,"",(E204/E201)-1)))</f>
        <v/>
      </c>
      <c r="Q204" s="23" t="str">
        <f>IF(ROW()&lt;9,"",IF(OR(E204="",E199=""),"",IF(E199=0,"",(E204/E199)-1)))</f>
        <v/>
      </c>
      <c r="R204" s="23" t="str">
        <f>IF(ROW()&lt;7,"",IF(OR(G204="",G201=""),"",IF(G201=0,"",(G204/G201)-1)))</f>
        <v/>
      </c>
      <c r="S204" s="23" t="str">
        <f>IF(ROW()&lt;9,"",IF(OR(G204="",G199=""),"",IF(G199=0,"",(G204/G199)-1)))</f>
        <v/>
      </c>
      <c r="T204" s="23" t="str">
        <f>IF(ROW()&lt;7,"",IF(OR(L204="",L201=""),"",IF(L201=0,"",(L204/L201)-1)))</f>
        <v/>
      </c>
      <c r="U204" s="23" t="str">
        <f>IF(ROW()&lt;9,"",IF(OR(L204="",L199=""),"",IF(L199=0,"",(L204/L199)-1)))</f>
        <v/>
      </c>
      <c r="V204" s="23" t="str">
        <f>IF(ROW()&lt;7,"",IF(OR(N204="",N201=""),"",IF(N201=0,"",(N204/N201)-1)))</f>
        <v/>
      </c>
      <c r="W204" s="23" t="str">
        <f>IF(ROW()&lt;9,"",IF(OR(N204="",N199=""),"",IF(N199=0,"",(N204/N199)-1)))</f>
        <v/>
      </c>
      <c r="X204" s="23" t="str">
        <f>IF(OR(F204="",M204=""),"",F204-M204)</f>
        <v/>
      </c>
      <c r="Y204" s="23" t="str">
        <f>IF(OR(P204="",T204=""),"",P204-T204)</f>
        <v/>
      </c>
      <c r="Z204" s="23" t="str">
        <f>IF(OR(Q204="",U204=""),"",Q204-U204)</f>
        <v/>
      </c>
      <c r="AA204" s="23" t="str">
        <f>IF(OR(H204="",O204=""),"",H204-O204)</f>
        <v/>
      </c>
      <c r="AB204" s="23" t="str">
        <f>IF(OR(R204="",V204=""),"",R204-V204)</f>
        <v/>
      </c>
      <c r="AC204" s="23" t="str">
        <f>IF(OR(S204="",W204=""),"",S204-W204)</f>
        <v/>
      </c>
      <c r="AD204" s="13"/>
      <c r="AE204" s="23" t="str">
        <f>IF(OR(AD204="",AD203=""),"",IF(AD203=0,"",(AD204/AD203)-1))</f>
        <v/>
      </c>
      <c r="AF204" s="23" t="str">
        <f>IF(ROW()&lt;7,"",IF(OR(AD204="",AD201=""),"",IF(AD201=0,"",(AD204/AD201)-1)))</f>
        <v/>
      </c>
      <c r="AG204" s="23" t="str">
        <f>IF(ROW()&lt;9,"",IF(OR(AD204="",AD199=""),"",IF(AD199=0,"",(AD204/AD199)-1)))</f>
        <v/>
      </c>
      <c r="AH204" s="23" t="str">
        <f>IF(OR(AF204="",AG204=""),"",IF(AND(AF204&gt;0,AG204&gt;0),"Bull",IF(AND(AF204&lt;0,AG204&lt;0),"Bear","Mixed")))</f>
        <v/>
      </c>
      <c r="AI204" s="13"/>
      <c r="AJ204" s="13" t="str">
        <f>IF(OR(AI204="",AI203=""),"",IF(AI203=0,"",(AI204/AI203)-1))</f>
        <v/>
      </c>
      <c r="AK204" s="23" t="str">
        <f>IF(OR(AJ204="",AJ203=""),"",IF(AJ203=0,"",(AJ204/AJ203)-1))</f>
        <v/>
      </c>
      <c r="AL204" s="23" t="str">
        <f>IF(ROW()&lt;7,"",IF(OR(AJ204="",AJ201=""),"",IF(AJ201=0,"",(AJ204/AJ201)-1)))</f>
        <v/>
      </c>
      <c r="AM204" s="23" t="str">
        <f>IF(ROW()&lt;9,"",IF(OR(AJ204="",AJ199=""),"",IF(AJ199=0,"",(AJ204/AJ199)-1)))</f>
        <v/>
      </c>
      <c r="AN204" t="str">
        <f>IF(OR(AL204="",AM204=""),"",IF(AND(AL204&gt;0,AM204&gt;0),"Bull",IF(AND(AL204&lt;0,AM204&lt;0),"Bear","Mixed")))</f>
        <v/>
      </c>
      <c r="AO204" t="str">
        <f>IF(OR(AH204="",AN204=""),"",IF(AND(AH204="Bull",AN204="Bull"),"YES","NO"))</f>
        <v/>
      </c>
      <c r="AP204" t="str">
        <f>IF(OR(AH204="",AN204=""),"",IF(AND(AH204="Bear",AN204="Bear"),"YES","NO"))</f>
        <v/>
      </c>
      <c r="AQ204" t="str">
        <f>IF(AO204="YES",IF(SUM(N(X204),N(Y204),N(Z204))&gt;0,"SOXL","TQQQ"),IF(AP204="YES",IF(SUM(N(AA204),N(AB204),N(AC204))&gt;0,"SOXS","SQQQ"),"WAIT"))</f>
        <v>WAIT</v>
      </c>
      <c r="AR204" s="23" t="str">
        <f>IF(AO204="YES",IF(SUM(N(X204),N(Y204),N(Z204))&gt;0,"TQQQ","SOXL"),IF(AP204="YES",IF(SUM(N(AA204),N(AB204),N(AC204))&gt;0,"SQQQ","SOXS"),""))</f>
        <v/>
      </c>
      <c r="AS204" s="23" t="str">
        <f>IF(AQ204="WAIT","",IF(AR204="",1,0.6))</f>
        <v/>
      </c>
      <c r="AT204" s="23">
        <f>IF(AR204="",0,0.4)</f>
        <v>0</v>
      </c>
      <c r="AU204" s="23" t="str">
        <f>IF(AQ204="WAIT","WAIT",IF(AO204="YES","BULL",IF(AP204="YES","BEAR","WAIT")))</f>
        <v>WAIT</v>
      </c>
      <c r="AV204" t="str">
        <f>IF(AQ204="WAIT","Low",IF(OR(AND(AU204="BULL",ABS(SUM(N(X204),N(Y204),N(Z204)))&gt;=0.15),AND(AU204="BEAR",ABS(SUM(N(AA204),N(AB204),N(AC204)))&gt;=0.15)),"Strong",IF(OR(AND(AU204="BULL",ABS(SUM(N(X204),N(Y204),N(Z204)))&gt;=0.05),AND(AU204="BEAR",ABS(SUM(N(AA204),N(AB204),N(AC204)))&gt;=0.05)),"Moderate","Low")))</f>
        <v>Low</v>
      </c>
      <c r="AW204" t="str">
        <f>IF(AQ204="WAIT","QQQ and SMH not aligned",IF(AU204="BULL",IF(AQ204="SOXL","Bull regime; semiconductors leading","Bull regime; tech leading"),IF(AQ204="SOXS","Bear regime; semiconductors weakest","Bear regime; tech weakest")))</f>
        <v>QQQ and SMH not aligned</v>
      </c>
      <c r="AX204" t="str">
        <f>IF(AR204="WAIT","QQQ and SMH not aligned",IF(AV204="BULL",IF(AR204="SOXL","Bull regime; semiconductors leading","Bull regime; tech leading"),IF(AR204="SOXS","Bear regime; semiconductors weakest","Bear regime; tech weakest")))</f>
        <v>Bear regime; tech weakest</v>
      </c>
    </row>
    <row r="205" spans="1:50" x14ac:dyDescent="0.2">
      <c r="A205" s="12"/>
      <c r="B205" s="13"/>
      <c r="C205" s="13"/>
      <c r="D205" s="13"/>
      <c r="E205" s="13"/>
      <c r="F205" s="11" t="str">
        <f>IF(OR(E205="",E204=""),"",IF(E204=0,"",(E205/E204)-1))</f>
        <v/>
      </c>
      <c r="G205" s="13"/>
      <c r="H205" s="11" t="str">
        <f>IF(OR(G205="",G204=""),"",IF(G204=0,"",(G205/G204)-1))</f>
        <v/>
      </c>
      <c r="I205" s="13"/>
      <c r="J205" s="13"/>
      <c r="K205" s="13"/>
      <c r="L205" s="13"/>
      <c r="M205" s="23" t="str">
        <f>IF(OR(L205="",L204=""),"",IF(L204=0,"",(L205/L204)-1))</f>
        <v/>
      </c>
      <c r="N205" s="26" t="str">
        <f>IFERROR((M205/M204)-1,"")</f>
        <v/>
      </c>
      <c r="O205" s="23" t="str">
        <f>IF(OR(N205="",N204=""),"",IF(N204=0,"",(N205/N204)-1))</f>
        <v/>
      </c>
      <c r="P205" s="11" t="str">
        <f>IF(ROW()&lt;7,"",IF(OR(E205="",E202=""),"",IF(E202=0,"",(E205/E202)-1)))</f>
        <v/>
      </c>
      <c r="Q205" s="23" t="str">
        <f>IF(ROW()&lt;9,"",IF(OR(E205="",E200=""),"",IF(E200=0,"",(E205/E200)-1)))</f>
        <v/>
      </c>
      <c r="R205" s="23" t="str">
        <f>IF(ROW()&lt;7,"",IF(OR(G205="",G202=""),"",IF(G202=0,"",(G205/G202)-1)))</f>
        <v/>
      </c>
      <c r="S205" s="23" t="str">
        <f>IF(ROW()&lt;9,"",IF(OR(G205="",G200=""),"",IF(G200=0,"",(G205/G200)-1)))</f>
        <v/>
      </c>
      <c r="T205" s="23" t="str">
        <f>IF(ROW()&lt;7,"",IF(OR(L205="",L202=""),"",IF(L202=0,"",(L205/L202)-1)))</f>
        <v/>
      </c>
      <c r="U205" s="23" t="str">
        <f>IF(ROW()&lt;9,"",IF(OR(L205="",L200=""),"",IF(L200=0,"",(L205/L200)-1)))</f>
        <v/>
      </c>
      <c r="V205" s="23" t="str">
        <f>IF(ROW()&lt;7,"",IF(OR(N205="",N202=""),"",IF(N202=0,"",(N205/N202)-1)))</f>
        <v/>
      </c>
      <c r="W205" s="23" t="str">
        <f>IF(ROW()&lt;9,"",IF(OR(N205="",N200=""),"",IF(N200=0,"",(N205/N200)-1)))</f>
        <v/>
      </c>
      <c r="X205" s="23" t="str">
        <f>IF(OR(F205="",M205=""),"",F205-M205)</f>
        <v/>
      </c>
      <c r="Y205" s="23" t="str">
        <f>IF(OR(P205="",T205=""),"",P205-T205)</f>
        <v/>
      </c>
      <c r="Z205" s="23" t="str">
        <f>IF(OR(Q205="",U205=""),"",Q205-U205)</f>
        <v/>
      </c>
      <c r="AA205" s="23" t="str">
        <f>IF(OR(H205="",O205=""),"",H205-O205)</f>
        <v/>
      </c>
      <c r="AB205" s="23" t="str">
        <f>IF(OR(R205="",V205=""),"",R205-V205)</f>
        <v/>
      </c>
      <c r="AC205" s="23" t="str">
        <f>IF(OR(S205="",W205=""),"",S205-W205)</f>
        <v/>
      </c>
      <c r="AD205" s="13"/>
      <c r="AE205" s="23" t="str">
        <f>IF(OR(AD205="",AD204=""),"",IF(AD204=0,"",(AD205/AD204)-1))</f>
        <v/>
      </c>
      <c r="AF205" s="23" t="str">
        <f>IF(ROW()&lt;7,"",IF(OR(AD205="",AD202=""),"",IF(AD202=0,"",(AD205/AD202)-1)))</f>
        <v/>
      </c>
      <c r="AG205" s="23" t="str">
        <f>IF(ROW()&lt;9,"",IF(OR(AD205="",AD200=""),"",IF(AD200=0,"",(AD205/AD200)-1)))</f>
        <v/>
      </c>
      <c r="AH205" s="23" t="str">
        <f>IF(OR(AF205="",AG205=""),"",IF(AND(AF205&gt;0,AG205&gt;0),"Bull",IF(AND(AF205&lt;0,AG205&lt;0),"Bear","Mixed")))</f>
        <v/>
      </c>
      <c r="AI205" s="13"/>
      <c r="AJ205" s="13" t="str">
        <f>IF(OR(AI205="",AI204=""),"",IF(AI204=0,"",(AI205/AI204)-1))</f>
        <v/>
      </c>
      <c r="AK205" s="23" t="str">
        <f>IF(OR(AJ205="",AJ204=""),"",IF(AJ204=0,"",(AJ205/AJ204)-1))</f>
        <v/>
      </c>
      <c r="AL205" s="23" t="str">
        <f>IF(ROW()&lt;7,"",IF(OR(AJ205="",AJ202=""),"",IF(AJ202=0,"",(AJ205/AJ202)-1)))</f>
        <v/>
      </c>
      <c r="AM205" s="23" t="str">
        <f>IF(ROW()&lt;9,"",IF(OR(AJ205="",AJ200=""),"",IF(AJ200=0,"",(AJ205/AJ200)-1)))</f>
        <v/>
      </c>
      <c r="AN205" t="str">
        <f>IF(OR(AL205="",AM205=""),"",IF(AND(AL205&gt;0,AM205&gt;0),"Bull",IF(AND(AL205&lt;0,AM205&lt;0),"Bear","Mixed")))</f>
        <v/>
      </c>
      <c r="AO205" t="str">
        <f>IF(OR(AH205="",AN205=""),"",IF(AND(AH205="Bull",AN205="Bull"),"YES","NO"))</f>
        <v/>
      </c>
      <c r="AP205" t="str">
        <f>IF(OR(AH205="",AN205=""),"",IF(AND(AH205="Bear",AN205="Bear"),"YES","NO"))</f>
        <v/>
      </c>
      <c r="AQ205" t="str">
        <f>IF(AO205="YES",IF(SUM(N(X205),N(Y205),N(Z205))&gt;0,"SOXL","TQQQ"),IF(AP205="YES",IF(SUM(N(AA205),N(AB205),N(AC205))&gt;0,"SOXS","SQQQ"),"WAIT"))</f>
        <v>WAIT</v>
      </c>
      <c r="AR205" s="23" t="str">
        <f>IF(AO205="YES",IF(SUM(N(X205),N(Y205),N(Z205))&gt;0,"TQQQ","SOXL"),IF(AP205="YES",IF(SUM(N(AA205),N(AB205),N(AC205))&gt;0,"SQQQ","SOXS"),""))</f>
        <v/>
      </c>
      <c r="AS205" s="23" t="str">
        <f>IF(AQ205="WAIT","",IF(AR205="",1,0.6))</f>
        <v/>
      </c>
      <c r="AT205" s="23">
        <f>IF(AR205="",0,0.4)</f>
        <v>0</v>
      </c>
      <c r="AU205" s="23" t="str">
        <f>IF(AQ205="WAIT","WAIT",IF(AO205="YES","BULL",IF(AP205="YES","BEAR","WAIT")))</f>
        <v>WAIT</v>
      </c>
      <c r="AV205" t="str">
        <f>IF(AQ205="WAIT","Low",IF(OR(AND(AU205="BULL",ABS(SUM(N(X205),N(Y205),N(Z205)))&gt;=0.15),AND(AU205="BEAR",ABS(SUM(N(AA205),N(AB205),N(AC205)))&gt;=0.15)),"Strong",IF(OR(AND(AU205="BULL",ABS(SUM(N(X205),N(Y205),N(Z205)))&gt;=0.05),AND(AU205="BEAR",ABS(SUM(N(AA205),N(AB205),N(AC205)))&gt;=0.05)),"Moderate","Low")))</f>
        <v>Low</v>
      </c>
      <c r="AW205" t="str">
        <f>IF(AQ205="WAIT","QQQ and SMH not aligned",IF(AU205="BULL",IF(AQ205="SOXL","Bull regime; semiconductors leading","Bull regime; tech leading"),IF(AQ205="SOXS","Bear regime; semiconductors weakest","Bear regime; tech weakest")))</f>
        <v>QQQ and SMH not aligned</v>
      </c>
      <c r="AX205" t="str">
        <f>IF(AR205="WAIT","QQQ and SMH not aligned",IF(AV205="BULL",IF(AR205="SOXL","Bull regime; semiconductors leading","Bull regime; tech leading"),IF(AR205="SOXS","Bear regime; semiconductors weakest","Bear regime; tech weakest")))</f>
        <v>Bear regime; tech weakest</v>
      </c>
    </row>
    <row r="206" spans="1:50" x14ac:dyDescent="0.2">
      <c r="A206" s="12"/>
      <c r="B206" s="13"/>
      <c r="C206" s="13"/>
      <c r="D206" s="13"/>
      <c r="E206" s="13"/>
      <c r="F206" s="11" t="str">
        <f>IF(OR(E206="",E205=""),"",IF(E205=0,"",(E206/E205)-1))</f>
        <v/>
      </c>
      <c r="G206" s="13"/>
      <c r="H206" s="11" t="str">
        <f>IF(OR(G206="",G205=""),"",IF(G205=0,"",(G206/G205)-1))</f>
        <v/>
      </c>
      <c r="I206" s="13"/>
      <c r="J206" s="13"/>
      <c r="K206" s="13"/>
      <c r="L206" s="13"/>
      <c r="M206" s="23" t="str">
        <f>IF(OR(L206="",L205=""),"",IF(L205=0,"",(L206/L205)-1))</f>
        <v/>
      </c>
      <c r="N206" s="26" t="str">
        <f>IFERROR((M206/M205)-1,"")</f>
        <v/>
      </c>
      <c r="O206" s="23" t="str">
        <f>IF(OR(N206="",N205=""),"",IF(N205=0,"",(N206/N205)-1))</f>
        <v/>
      </c>
      <c r="P206" s="11" t="str">
        <f>IF(ROW()&lt;7,"",IF(OR(E206="",E203=""),"",IF(E203=0,"",(E206/E203)-1)))</f>
        <v/>
      </c>
      <c r="Q206" s="23" t="str">
        <f>IF(ROW()&lt;9,"",IF(OR(E206="",E201=""),"",IF(E201=0,"",(E206/E201)-1)))</f>
        <v/>
      </c>
      <c r="R206" s="23" t="str">
        <f>IF(ROW()&lt;7,"",IF(OR(G206="",G203=""),"",IF(G203=0,"",(G206/G203)-1)))</f>
        <v/>
      </c>
      <c r="S206" s="23" t="str">
        <f>IF(ROW()&lt;9,"",IF(OR(G206="",G201=""),"",IF(G201=0,"",(G206/G201)-1)))</f>
        <v/>
      </c>
      <c r="T206" s="23" t="str">
        <f>IF(ROW()&lt;7,"",IF(OR(L206="",L203=""),"",IF(L203=0,"",(L206/L203)-1)))</f>
        <v/>
      </c>
      <c r="U206" s="23" t="str">
        <f>IF(ROW()&lt;9,"",IF(OR(L206="",L201=""),"",IF(L201=0,"",(L206/L201)-1)))</f>
        <v/>
      </c>
      <c r="V206" s="23" t="str">
        <f>IF(ROW()&lt;7,"",IF(OR(N206="",N203=""),"",IF(N203=0,"",(N206/N203)-1)))</f>
        <v/>
      </c>
      <c r="W206" s="23" t="str">
        <f>IF(ROW()&lt;9,"",IF(OR(N206="",N201=""),"",IF(N201=0,"",(N206/N201)-1)))</f>
        <v/>
      </c>
      <c r="X206" s="23" t="str">
        <f>IF(OR(F206="",M206=""),"",F206-M206)</f>
        <v/>
      </c>
      <c r="Y206" s="23" t="str">
        <f>IF(OR(P206="",T206=""),"",P206-T206)</f>
        <v/>
      </c>
      <c r="Z206" s="23" t="str">
        <f>IF(OR(Q206="",U206=""),"",Q206-U206)</f>
        <v/>
      </c>
      <c r="AA206" s="23" t="str">
        <f>IF(OR(H206="",O206=""),"",H206-O206)</f>
        <v/>
      </c>
      <c r="AB206" s="23" t="str">
        <f>IF(OR(R206="",V206=""),"",R206-V206)</f>
        <v/>
      </c>
      <c r="AC206" s="23" t="str">
        <f>IF(OR(S206="",W206=""),"",S206-W206)</f>
        <v/>
      </c>
      <c r="AD206" s="13"/>
      <c r="AE206" s="23" t="str">
        <f>IF(OR(AD206="",AD205=""),"",IF(AD205=0,"",(AD206/AD205)-1))</f>
        <v/>
      </c>
      <c r="AF206" s="23" t="str">
        <f>IF(ROW()&lt;7,"",IF(OR(AD206="",AD203=""),"",IF(AD203=0,"",(AD206/AD203)-1)))</f>
        <v/>
      </c>
      <c r="AG206" s="23" t="str">
        <f>IF(ROW()&lt;9,"",IF(OR(AD206="",AD201=""),"",IF(AD201=0,"",(AD206/AD201)-1)))</f>
        <v/>
      </c>
      <c r="AH206" s="23" t="str">
        <f>IF(OR(AF206="",AG206=""),"",IF(AND(AF206&gt;0,AG206&gt;0),"Bull",IF(AND(AF206&lt;0,AG206&lt;0),"Bear","Mixed")))</f>
        <v/>
      </c>
      <c r="AI206" s="13"/>
      <c r="AJ206" s="13" t="str">
        <f>IF(OR(AI206="",AI205=""),"",IF(AI205=0,"",(AI206/AI205)-1))</f>
        <v/>
      </c>
      <c r="AK206" s="23" t="str">
        <f>IF(OR(AJ206="",AJ205=""),"",IF(AJ205=0,"",(AJ206/AJ205)-1))</f>
        <v/>
      </c>
      <c r="AL206" s="23" t="str">
        <f>IF(ROW()&lt;7,"",IF(OR(AJ206="",AJ203=""),"",IF(AJ203=0,"",(AJ206/AJ203)-1)))</f>
        <v/>
      </c>
      <c r="AM206" s="23" t="str">
        <f>IF(ROW()&lt;9,"",IF(OR(AJ206="",AJ201=""),"",IF(AJ201=0,"",(AJ206/AJ201)-1)))</f>
        <v/>
      </c>
      <c r="AN206" t="str">
        <f>IF(OR(AL206="",AM206=""),"",IF(AND(AL206&gt;0,AM206&gt;0),"Bull",IF(AND(AL206&lt;0,AM206&lt;0),"Bear","Mixed")))</f>
        <v/>
      </c>
      <c r="AO206" t="str">
        <f>IF(OR(AH206="",AN206=""),"",IF(AND(AH206="Bull",AN206="Bull"),"YES","NO"))</f>
        <v/>
      </c>
      <c r="AP206" t="str">
        <f>IF(OR(AH206="",AN206=""),"",IF(AND(AH206="Bear",AN206="Bear"),"YES","NO"))</f>
        <v/>
      </c>
      <c r="AQ206" t="str">
        <f>IF(AO206="YES",IF(SUM(N(X206),N(Y206),N(Z206))&gt;0,"SOXL","TQQQ"),IF(AP206="YES",IF(SUM(N(AA206),N(AB206),N(AC206))&gt;0,"SOXS","SQQQ"),"WAIT"))</f>
        <v>WAIT</v>
      </c>
      <c r="AR206" s="23" t="str">
        <f>IF(AO206="YES",IF(SUM(N(X206),N(Y206),N(Z206))&gt;0,"TQQQ","SOXL"),IF(AP206="YES",IF(SUM(N(AA206),N(AB206),N(AC206))&gt;0,"SQQQ","SOXS"),""))</f>
        <v/>
      </c>
      <c r="AS206" s="23" t="str">
        <f>IF(AQ206="WAIT","",IF(AR206="",1,0.6))</f>
        <v/>
      </c>
      <c r="AT206" s="23">
        <f>IF(AR206="",0,0.4)</f>
        <v>0</v>
      </c>
      <c r="AU206" s="23" t="str">
        <f>IF(AQ206="WAIT","WAIT",IF(AO206="YES","BULL",IF(AP206="YES","BEAR","WAIT")))</f>
        <v>WAIT</v>
      </c>
      <c r="AV206" t="str">
        <f>IF(AQ206="WAIT","Low",IF(OR(AND(AU206="BULL",ABS(SUM(N(X206),N(Y206),N(Z206)))&gt;=0.15),AND(AU206="BEAR",ABS(SUM(N(AA206),N(AB206),N(AC206)))&gt;=0.15)),"Strong",IF(OR(AND(AU206="BULL",ABS(SUM(N(X206),N(Y206),N(Z206)))&gt;=0.05),AND(AU206="BEAR",ABS(SUM(N(AA206),N(AB206),N(AC206)))&gt;=0.05)),"Moderate","Low")))</f>
        <v>Low</v>
      </c>
      <c r="AW206" t="str">
        <f>IF(AQ206="WAIT","QQQ and SMH not aligned",IF(AU206="BULL",IF(AQ206="SOXL","Bull regime; semiconductors leading","Bull regime; tech leading"),IF(AQ206="SOXS","Bear regime; semiconductors weakest","Bear regime; tech weakest")))</f>
        <v>QQQ and SMH not aligned</v>
      </c>
      <c r="AX206" t="str">
        <f>IF(AR206="WAIT","QQQ and SMH not aligned",IF(AV206="BULL",IF(AR206="SOXL","Bull regime; semiconductors leading","Bull regime; tech leading"),IF(AR206="SOXS","Bear regime; semiconductors weakest","Bear regime; tech weakest")))</f>
        <v>Bear regime; tech weakest</v>
      </c>
    </row>
    <row r="207" spans="1:50" x14ac:dyDescent="0.2">
      <c r="A207" s="12"/>
      <c r="B207" s="13"/>
      <c r="C207" s="13"/>
      <c r="D207" s="13"/>
      <c r="E207" s="13"/>
      <c r="F207" s="11" t="str">
        <f>IF(OR(E207="",E206=""),"",IF(E206=0,"",(E207/E206)-1))</f>
        <v/>
      </c>
      <c r="G207" s="13"/>
      <c r="H207" s="11" t="str">
        <f>IF(OR(G207="",G206=""),"",IF(G206=0,"",(G207/G206)-1))</f>
        <v/>
      </c>
      <c r="I207" s="13"/>
      <c r="J207" s="13"/>
      <c r="K207" s="13"/>
      <c r="L207" s="13"/>
      <c r="M207" s="23" t="str">
        <f>IF(OR(L207="",L206=""),"",IF(L206=0,"",(L207/L206)-1))</f>
        <v/>
      </c>
      <c r="N207" s="26" t="str">
        <f>IFERROR((M207/M206)-1,"")</f>
        <v/>
      </c>
      <c r="O207" s="23" t="str">
        <f>IF(OR(N207="",N206=""),"",IF(N206=0,"",(N207/N206)-1))</f>
        <v/>
      </c>
      <c r="P207" s="11" t="str">
        <f>IF(ROW()&lt;7,"",IF(OR(E207="",E204=""),"",IF(E204=0,"",(E207/E204)-1)))</f>
        <v/>
      </c>
      <c r="Q207" s="23" t="str">
        <f>IF(ROW()&lt;9,"",IF(OR(E207="",E202=""),"",IF(E202=0,"",(E207/E202)-1)))</f>
        <v/>
      </c>
      <c r="R207" s="23" t="str">
        <f>IF(ROW()&lt;7,"",IF(OR(G207="",G204=""),"",IF(G204=0,"",(G207/G204)-1)))</f>
        <v/>
      </c>
      <c r="S207" s="23" t="str">
        <f>IF(ROW()&lt;9,"",IF(OR(G207="",G202=""),"",IF(G202=0,"",(G207/G202)-1)))</f>
        <v/>
      </c>
      <c r="T207" s="23" t="str">
        <f>IF(ROW()&lt;7,"",IF(OR(L207="",L204=""),"",IF(L204=0,"",(L207/L204)-1)))</f>
        <v/>
      </c>
      <c r="U207" s="23" t="str">
        <f>IF(ROW()&lt;9,"",IF(OR(L207="",L202=""),"",IF(L202=0,"",(L207/L202)-1)))</f>
        <v/>
      </c>
      <c r="V207" s="23" t="str">
        <f>IF(ROW()&lt;7,"",IF(OR(N207="",N204=""),"",IF(N204=0,"",(N207/N204)-1)))</f>
        <v/>
      </c>
      <c r="W207" s="23" t="str">
        <f>IF(ROW()&lt;9,"",IF(OR(N207="",N202=""),"",IF(N202=0,"",(N207/N202)-1)))</f>
        <v/>
      </c>
      <c r="X207" s="23" t="str">
        <f>IF(OR(F207="",M207=""),"",F207-M207)</f>
        <v/>
      </c>
      <c r="Y207" s="23" t="str">
        <f>IF(OR(P207="",T207=""),"",P207-T207)</f>
        <v/>
      </c>
      <c r="Z207" s="23" t="str">
        <f>IF(OR(Q207="",U207=""),"",Q207-U207)</f>
        <v/>
      </c>
      <c r="AA207" s="23" t="str">
        <f>IF(OR(H207="",O207=""),"",H207-O207)</f>
        <v/>
      </c>
      <c r="AB207" s="23" t="str">
        <f>IF(OR(R207="",V207=""),"",R207-V207)</f>
        <v/>
      </c>
      <c r="AC207" s="23" t="str">
        <f>IF(OR(S207="",W207=""),"",S207-W207)</f>
        <v/>
      </c>
      <c r="AD207" s="13"/>
      <c r="AE207" s="23" t="str">
        <f>IF(OR(AD207="",AD206=""),"",IF(AD206=0,"",(AD207/AD206)-1))</f>
        <v/>
      </c>
      <c r="AF207" s="23" t="str">
        <f>IF(ROW()&lt;7,"",IF(OR(AD207="",AD204=""),"",IF(AD204=0,"",(AD207/AD204)-1)))</f>
        <v/>
      </c>
      <c r="AG207" s="23" t="str">
        <f>IF(ROW()&lt;9,"",IF(OR(AD207="",AD202=""),"",IF(AD202=0,"",(AD207/AD202)-1)))</f>
        <v/>
      </c>
      <c r="AH207" s="23" t="str">
        <f>IF(OR(AF207="",AG207=""),"",IF(AND(AF207&gt;0,AG207&gt;0),"Bull",IF(AND(AF207&lt;0,AG207&lt;0),"Bear","Mixed")))</f>
        <v/>
      </c>
      <c r="AI207" s="13"/>
      <c r="AJ207" s="13" t="str">
        <f>IF(OR(AI207="",AI206=""),"",IF(AI206=0,"",(AI207/AI206)-1))</f>
        <v/>
      </c>
      <c r="AK207" s="23" t="str">
        <f>IF(OR(AJ207="",AJ206=""),"",IF(AJ206=0,"",(AJ207/AJ206)-1))</f>
        <v/>
      </c>
      <c r="AL207" s="23" t="str">
        <f>IF(ROW()&lt;7,"",IF(OR(AJ207="",AJ204=""),"",IF(AJ204=0,"",(AJ207/AJ204)-1)))</f>
        <v/>
      </c>
      <c r="AM207" s="23" t="str">
        <f>IF(ROW()&lt;9,"",IF(OR(AJ207="",AJ202=""),"",IF(AJ202=0,"",(AJ207/AJ202)-1)))</f>
        <v/>
      </c>
      <c r="AN207" t="str">
        <f>IF(OR(AL207="",AM207=""),"",IF(AND(AL207&gt;0,AM207&gt;0),"Bull",IF(AND(AL207&lt;0,AM207&lt;0),"Bear","Mixed")))</f>
        <v/>
      </c>
      <c r="AO207" t="str">
        <f>IF(OR(AH207="",AN207=""),"",IF(AND(AH207="Bull",AN207="Bull"),"YES","NO"))</f>
        <v/>
      </c>
      <c r="AP207" t="str">
        <f>IF(OR(AH207="",AN207=""),"",IF(AND(AH207="Bear",AN207="Bear"),"YES","NO"))</f>
        <v/>
      </c>
      <c r="AQ207" t="str">
        <f>IF(AO207="YES",IF(SUM(N(X207),N(Y207),N(Z207))&gt;0,"SOXL","TQQQ"),IF(AP207="YES",IF(SUM(N(AA207),N(AB207),N(AC207))&gt;0,"SOXS","SQQQ"),"WAIT"))</f>
        <v>WAIT</v>
      </c>
      <c r="AR207" s="23" t="str">
        <f>IF(AO207="YES",IF(SUM(N(X207),N(Y207),N(Z207))&gt;0,"TQQQ","SOXL"),IF(AP207="YES",IF(SUM(N(AA207),N(AB207),N(AC207))&gt;0,"SQQQ","SOXS"),""))</f>
        <v/>
      </c>
      <c r="AS207" s="23" t="str">
        <f>IF(AQ207="WAIT","",IF(AR207="",1,0.6))</f>
        <v/>
      </c>
      <c r="AT207" s="23">
        <f>IF(AR207="",0,0.4)</f>
        <v>0</v>
      </c>
      <c r="AU207" s="23" t="str">
        <f>IF(AQ207="WAIT","WAIT",IF(AO207="YES","BULL",IF(AP207="YES","BEAR","WAIT")))</f>
        <v>WAIT</v>
      </c>
      <c r="AV207" t="str">
        <f>IF(AQ207="WAIT","Low",IF(OR(AND(AU207="BULL",ABS(SUM(N(X207),N(Y207),N(Z207)))&gt;=0.15),AND(AU207="BEAR",ABS(SUM(N(AA207),N(AB207),N(AC207)))&gt;=0.15)),"Strong",IF(OR(AND(AU207="BULL",ABS(SUM(N(X207),N(Y207),N(Z207)))&gt;=0.05),AND(AU207="BEAR",ABS(SUM(N(AA207),N(AB207),N(AC207)))&gt;=0.05)),"Moderate","Low")))</f>
        <v>Low</v>
      </c>
      <c r="AW207" t="str">
        <f>IF(AQ207="WAIT","QQQ and SMH not aligned",IF(AU207="BULL",IF(AQ207="SOXL","Bull regime; semiconductors leading","Bull regime; tech leading"),IF(AQ207="SOXS","Bear regime; semiconductors weakest","Bear regime; tech weakest")))</f>
        <v>QQQ and SMH not aligned</v>
      </c>
      <c r="AX207" t="str">
        <f>IF(AR207="WAIT","QQQ and SMH not aligned",IF(AV207="BULL",IF(AR207="SOXL","Bull regime; semiconductors leading","Bull regime; tech leading"),IF(AR207="SOXS","Bear regime; semiconductors weakest","Bear regime; tech weakest")))</f>
        <v>Bear regime; tech weakest</v>
      </c>
    </row>
    <row r="208" spans="1:50" x14ac:dyDescent="0.2">
      <c r="A208" s="12"/>
      <c r="B208" s="13"/>
      <c r="C208" s="13"/>
      <c r="D208" s="13"/>
      <c r="E208" s="13"/>
      <c r="F208" s="11" t="str">
        <f>IF(OR(E208="",E207=""),"",IF(E207=0,"",(E208/E207)-1))</f>
        <v/>
      </c>
      <c r="G208" s="13"/>
      <c r="H208" s="11" t="str">
        <f>IF(OR(G208="",G207=""),"",IF(G207=0,"",(G208/G207)-1))</f>
        <v/>
      </c>
      <c r="I208" s="13"/>
      <c r="J208" s="13"/>
      <c r="K208" s="13"/>
      <c r="L208" s="13"/>
      <c r="M208" s="23" t="str">
        <f>IF(OR(L208="",L207=""),"",IF(L207=0,"",(L208/L207)-1))</f>
        <v/>
      </c>
      <c r="N208" s="26" t="str">
        <f>IFERROR((M208/M207)-1,"")</f>
        <v/>
      </c>
      <c r="O208" s="23" t="str">
        <f>IF(OR(N208="",N207=""),"",IF(N207=0,"",(N208/N207)-1))</f>
        <v/>
      </c>
      <c r="P208" s="11" t="str">
        <f>IF(ROW()&lt;7,"",IF(OR(E208="",E205=""),"",IF(E205=0,"",(E208/E205)-1)))</f>
        <v/>
      </c>
      <c r="Q208" s="23" t="str">
        <f>IF(ROW()&lt;9,"",IF(OR(E208="",E203=""),"",IF(E203=0,"",(E208/E203)-1)))</f>
        <v/>
      </c>
      <c r="R208" s="23" t="str">
        <f>IF(ROW()&lt;7,"",IF(OR(G208="",G205=""),"",IF(G205=0,"",(G208/G205)-1)))</f>
        <v/>
      </c>
      <c r="S208" s="23" t="str">
        <f>IF(ROW()&lt;9,"",IF(OR(G208="",G203=""),"",IF(G203=0,"",(G208/G203)-1)))</f>
        <v/>
      </c>
      <c r="T208" s="23" t="str">
        <f>IF(ROW()&lt;7,"",IF(OR(L208="",L205=""),"",IF(L205=0,"",(L208/L205)-1)))</f>
        <v/>
      </c>
      <c r="U208" s="23" t="str">
        <f>IF(ROW()&lt;9,"",IF(OR(L208="",L203=""),"",IF(L203=0,"",(L208/L203)-1)))</f>
        <v/>
      </c>
      <c r="V208" s="23" t="str">
        <f>IF(ROW()&lt;7,"",IF(OR(N208="",N205=""),"",IF(N205=0,"",(N208/N205)-1)))</f>
        <v/>
      </c>
      <c r="W208" s="23" t="str">
        <f>IF(ROW()&lt;9,"",IF(OR(N208="",N203=""),"",IF(N203=0,"",(N208/N203)-1)))</f>
        <v/>
      </c>
      <c r="X208" s="23" t="str">
        <f>IF(OR(F208="",M208=""),"",F208-M208)</f>
        <v/>
      </c>
      <c r="Y208" s="23" t="str">
        <f>IF(OR(P208="",T208=""),"",P208-T208)</f>
        <v/>
      </c>
      <c r="Z208" s="23" t="str">
        <f>IF(OR(Q208="",U208=""),"",Q208-U208)</f>
        <v/>
      </c>
      <c r="AA208" s="23" t="str">
        <f>IF(OR(H208="",O208=""),"",H208-O208)</f>
        <v/>
      </c>
      <c r="AB208" s="23" t="str">
        <f>IF(OR(R208="",V208=""),"",R208-V208)</f>
        <v/>
      </c>
      <c r="AC208" s="23" t="str">
        <f>IF(OR(S208="",W208=""),"",S208-W208)</f>
        <v/>
      </c>
      <c r="AD208" s="13"/>
      <c r="AE208" s="23" t="str">
        <f>IF(OR(AD208="",AD207=""),"",IF(AD207=0,"",(AD208/AD207)-1))</f>
        <v/>
      </c>
      <c r="AF208" s="23" t="str">
        <f>IF(ROW()&lt;7,"",IF(OR(AD208="",AD205=""),"",IF(AD205=0,"",(AD208/AD205)-1)))</f>
        <v/>
      </c>
      <c r="AG208" s="23" t="str">
        <f>IF(ROW()&lt;9,"",IF(OR(AD208="",AD203=""),"",IF(AD203=0,"",(AD208/AD203)-1)))</f>
        <v/>
      </c>
      <c r="AH208" s="23" t="str">
        <f>IF(OR(AF208="",AG208=""),"",IF(AND(AF208&gt;0,AG208&gt;0),"Bull",IF(AND(AF208&lt;0,AG208&lt;0),"Bear","Mixed")))</f>
        <v/>
      </c>
      <c r="AI208" s="13"/>
      <c r="AJ208" s="13" t="str">
        <f>IF(OR(AI208="",AI207=""),"",IF(AI207=0,"",(AI208/AI207)-1))</f>
        <v/>
      </c>
      <c r="AK208" s="23" t="str">
        <f>IF(OR(AJ208="",AJ207=""),"",IF(AJ207=0,"",(AJ208/AJ207)-1))</f>
        <v/>
      </c>
      <c r="AL208" s="23" t="str">
        <f>IF(ROW()&lt;7,"",IF(OR(AJ208="",AJ205=""),"",IF(AJ205=0,"",(AJ208/AJ205)-1)))</f>
        <v/>
      </c>
      <c r="AM208" s="23" t="str">
        <f>IF(ROW()&lt;9,"",IF(OR(AJ208="",AJ203=""),"",IF(AJ203=0,"",(AJ208/AJ203)-1)))</f>
        <v/>
      </c>
      <c r="AN208" t="str">
        <f>IF(OR(AL208="",AM208=""),"",IF(AND(AL208&gt;0,AM208&gt;0),"Bull",IF(AND(AL208&lt;0,AM208&lt;0),"Bear","Mixed")))</f>
        <v/>
      </c>
      <c r="AO208" t="str">
        <f>IF(OR(AH208="",AN208=""),"",IF(AND(AH208="Bull",AN208="Bull"),"YES","NO"))</f>
        <v/>
      </c>
      <c r="AP208" t="str">
        <f>IF(OR(AH208="",AN208=""),"",IF(AND(AH208="Bear",AN208="Bear"),"YES","NO"))</f>
        <v/>
      </c>
      <c r="AQ208" t="str">
        <f>IF(AO208="YES",IF(SUM(N(X208),N(Y208),N(Z208))&gt;0,"SOXL","TQQQ"),IF(AP208="YES",IF(SUM(N(AA208),N(AB208),N(AC208))&gt;0,"SOXS","SQQQ"),"WAIT"))</f>
        <v>WAIT</v>
      </c>
      <c r="AR208" s="23" t="str">
        <f>IF(AO208="YES",IF(SUM(N(X208),N(Y208),N(Z208))&gt;0,"TQQQ","SOXL"),IF(AP208="YES",IF(SUM(N(AA208),N(AB208),N(AC208))&gt;0,"SQQQ","SOXS"),""))</f>
        <v/>
      </c>
      <c r="AS208" s="23" t="str">
        <f>IF(AQ208="WAIT","",IF(AR208="",1,0.6))</f>
        <v/>
      </c>
      <c r="AT208" s="23">
        <f>IF(AR208="",0,0.4)</f>
        <v>0</v>
      </c>
      <c r="AU208" s="23" t="str">
        <f>IF(AQ208="WAIT","WAIT",IF(AO208="YES","BULL",IF(AP208="YES","BEAR","WAIT")))</f>
        <v>WAIT</v>
      </c>
      <c r="AV208" t="str">
        <f>IF(AQ208="WAIT","Low",IF(OR(AND(AU208="BULL",ABS(SUM(N(X208),N(Y208),N(Z208)))&gt;=0.15),AND(AU208="BEAR",ABS(SUM(N(AA208),N(AB208),N(AC208)))&gt;=0.15)),"Strong",IF(OR(AND(AU208="BULL",ABS(SUM(N(X208),N(Y208),N(Z208)))&gt;=0.05),AND(AU208="BEAR",ABS(SUM(N(AA208),N(AB208),N(AC208)))&gt;=0.05)),"Moderate","Low")))</f>
        <v>Low</v>
      </c>
      <c r="AW208" t="str">
        <f>IF(AQ208="WAIT","QQQ and SMH not aligned",IF(AU208="BULL",IF(AQ208="SOXL","Bull regime; semiconductors leading","Bull regime; tech leading"),IF(AQ208="SOXS","Bear regime; semiconductors weakest","Bear regime; tech weakest")))</f>
        <v>QQQ and SMH not aligned</v>
      </c>
      <c r="AX208" t="str">
        <f>IF(AR208="WAIT","QQQ and SMH not aligned",IF(AV208="BULL",IF(AR208="SOXL","Bull regime; semiconductors leading","Bull regime; tech leading"),IF(AR208="SOXS","Bear regime; semiconductors weakest","Bear regime; tech weakest")))</f>
        <v>Bear regime; tech weakest</v>
      </c>
    </row>
    <row r="209" spans="1:50" x14ac:dyDescent="0.2">
      <c r="A209" s="12"/>
      <c r="B209" s="13"/>
      <c r="C209" s="13"/>
      <c r="D209" s="13"/>
      <c r="E209" s="13"/>
      <c r="F209" s="11" t="str">
        <f>IF(OR(E209="",E208=""),"",IF(E208=0,"",(E209/E208)-1))</f>
        <v/>
      </c>
      <c r="G209" s="13"/>
      <c r="H209" s="11" t="str">
        <f>IF(OR(G209="",G208=""),"",IF(G208=0,"",(G209/G208)-1))</f>
        <v/>
      </c>
      <c r="I209" s="13"/>
      <c r="J209" s="13"/>
      <c r="K209" s="13"/>
      <c r="L209" s="13"/>
      <c r="M209" s="23" t="str">
        <f>IF(OR(L209="",L208=""),"",IF(L208=0,"",(L209/L208)-1))</f>
        <v/>
      </c>
      <c r="N209" s="26" t="str">
        <f>IFERROR((M209/M208)-1,"")</f>
        <v/>
      </c>
      <c r="O209" s="23" t="str">
        <f>IF(OR(N209="",N208=""),"",IF(N208=0,"",(N209/N208)-1))</f>
        <v/>
      </c>
      <c r="P209" s="11" t="str">
        <f>IF(ROW()&lt;7,"",IF(OR(E209="",E206=""),"",IF(E206=0,"",(E209/E206)-1)))</f>
        <v/>
      </c>
      <c r="Q209" s="23" t="str">
        <f>IF(ROW()&lt;9,"",IF(OR(E209="",E204=""),"",IF(E204=0,"",(E209/E204)-1)))</f>
        <v/>
      </c>
      <c r="R209" s="23" t="str">
        <f>IF(ROW()&lt;7,"",IF(OR(G209="",G206=""),"",IF(G206=0,"",(G209/G206)-1)))</f>
        <v/>
      </c>
      <c r="S209" s="23" t="str">
        <f>IF(ROW()&lt;9,"",IF(OR(G209="",G204=""),"",IF(G204=0,"",(G209/G204)-1)))</f>
        <v/>
      </c>
      <c r="T209" s="23" t="str">
        <f>IF(ROW()&lt;7,"",IF(OR(L209="",L206=""),"",IF(L206=0,"",(L209/L206)-1)))</f>
        <v/>
      </c>
      <c r="U209" s="23" t="str">
        <f>IF(ROW()&lt;9,"",IF(OR(L209="",L204=""),"",IF(L204=0,"",(L209/L204)-1)))</f>
        <v/>
      </c>
      <c r="V209" s="23" t="str">
        <f>IF(ROW()&lt;7,"",IF(OR(N209="",N206=""),"",IF(N206=0,"",(N209/N206)-1)))</f>
        <v/>
      </c>
      <c r="W209" s="23" t="str">
        <f>IF(ROW()&lt;9,"",IF(OR(N209="",N204=""),"",IF(N204=0,"",(N209/N204)-1)))</f>
        <v/>
      </c>
      <c r="X209" s="23" t="str">
        <f>IF(OR(F209="",M209=""),"",F209-M209)</f>
        <v/>
      </c>
      <c r="Y209" s="23" t="str">
        <f>IF(OR(P209="",T209=""),"",P209-T209)</f>
        <v/>
      </c>
      <c r="Z209" s="23" t="str">
        <f>IF(OR(Q209="",U209=""),"",Q209-U209)</f>
        <v/>
      </c>
      <c r="AA209" s="23" t="str">
        <f>IF(OR(H209="",O209=""),"",H209-O209)</f>
        <v/>
      </c>
      <c r="AB209" s="23" t="str">
        <f>IF(OR(R209="",V209=""),"",R209-V209)</f>
        <v/>
      </c>
      <c r="AC209" s="23" t="str">
        <f>IF(OR(S209="",W209=""),"",S209-W209)</f>
        <v/>
      </c>
      <c r="AD209" s="13"/>
      <c r="AE209" s="23" t="str">
        <f>IF(OR(AD209="",AD208=""),"",IF(AD208=0,"",(AD209/AD208)-1))</f>
        <v/>
      </c>
      <c r="AF209" s="23" t="str">
        <f>IF(ROW()&lt;7,"",IF(OR(AD209="",AD206=""),"",IF(AD206=0,"",(AD209/AD206)-1)))</f>
        <v/>
      </c>
      <c r="AG209" s="23" t="str">
        <f>IF(ROW()&lt;9,"",IF(OR(AD209="",AD204=""),"",IF(AD204=0,"",(AD209/AD204)-1)))</f>
        <v/>
      </c>
      <c r="AH209" s="23" t="str">
        <f>IF(OR(AF209="",AG209=""),"",IF(AND(AF209&gt;0,AG209&gt;0),"Bull",IF(AND(AF209&lt;0,AG209&lt;0),"Bear","Mixed")))</f>
        <v/>
      </c>
      <c r="AI209" s="13"/>
      <c r="AJ209" s="13" t="str">
        <f>IF(OR(AI209="",AI208=""),"",IF(AI208=0,"",(AI209/AI208)-1))</f>
        <v/>
      </c>
      <c r="AK209" s="23" t="str">
        <f>IF(OR(AJ209="",AJ208=""),"",IF(AJ208=0,"",(AJ209/AJ208)-1))</f>
        <v/>
      </c>
      <c r="AL209" s="23" t="str">
        <f>IF(ROW()&lt;7,"",IF(OR(AJ209="",AJ206=""),"",IF(AJ206=0,"",(AJ209/AJ206)-1)))</f>
        <v/>
      </c>
      <c r="AM209" s="23" t="str">
        <f>IF(ROW()&lt;9,"",IF(OR(AJ209="",AJ204=""),"",IF(AJ204=0,"",(AJ209/AJ204)-1)))</f>
        <v/>
      </c>
      <c r="AN209" t="str">
        <f>IF(OR(AL209="",AM209=""),"",IF(AND(AL209&gt;0,AM209&gt;0),"Bull",IF(AND(AL209&lt;0,AM209&lt;0),"Bear","Mixed")))</f>
        <v/>
      </c>
      <c r="AO209" t="str">
        <f>IF(OR(AH209="",AN209=""),"",IF(AND(AH209="Bull",AN209="Bull"),"YES","NO"))</f>
        <v/>
      </c>
      <c r="AP209" t="str">
        <f>IF(OR(AH209="",AN209=""),"",IF(AND(AH209="Bear",AN209="Bear"),"YES","NO"))</f>
        <v/>
      </c>
      <c r="AQ209" t="str">
        <f>IF(AO209="YES",IF(SUM(N(X209),N(Y209),N(Z209))&gt;0,"SOXL","TQQQ"),IF(AP209="YES",IF(SUM(N(AA209),N(AB209),N(AC209))&gt;0,"SOXS","SQQQ"),"WAIT"))</f>
        <v>WAIT</v>
      </c>
      <c r="AR209" s="23" t="str">
        <f>IF(AO209="YES",IF(SUM(N(X209),N(Y209),N(Z209))&gt;0,"TQQQ","SOXL"),IF(AP209="YES",IF(SUM(N(AA209),N(AB209),N(AC209))&gt;0,"SQQQ","SOXS"),""))</f>
        <v/>
      </c>
      <c r="AS209" s="23" t="str">
        <f>IF(AQ209="WAIT","",IF(AR209="",1,0.6))</f>
        <v/>
      </c>
      <c r="AT209" s="23">
        <f>IF(AR209="",0,0.4)</f>
        <v>0</v>
      </c>
      <c r="AU209" s="23" t="str">
        <f>IF(AQ209="WAIT","WAIT",IF(AO209="YES","BULL",IF(AP209="YES","BEAR","WAIT")))</f>
        <v>WAIT</v>
      </c>
      <c r="AV209" t="str">
        <f>IF(AQ209="WAIT","Low",IF(OR(AND(AU209="BULL",ABS(SUM(N(X209),N(Y209),N(Z209)))&gt;=0.15),AND(AU209="BEAR",ABS(SUM(N(AA209),N(AB209),N(AC209)))&gt;=0.15)),"Strong",IF(OR(AND(AU209="BULL",ABS(SUM(N(X209),N(Y209),N(Z209)))&gt;=0.05),AND(AU209="BEAR",ABS(SUM(N(AA209),N(AB209),N(AC209)))&gt;=0.05)),"Moderate","Low")))</f>
        <v>Low</v>
      </c>
      <c r="AW209" t="str">
        <f>IF(AQ209="WAIT","QQQ and SMH not aligned",IF(AU209="BULL",IF(AQ209="SOXL","Bull regime; semiconductors leading","Bull regime; tech leading"),IF(AQ209="SOXS","Bear regime; semiconductors weakest","Bear regime; tech weakest")))</f>
        <v>QQQ and SMH not aligned</v>
      </c>
      <c r="AX209" t="str">
        <f>IF(AR209="WAIT","QQQ and SMH not aligned",IF(AV209="BULL",IF(AR209="SOXL","Bull regime; semiconductors leading","Bull regime; tech leading"),IF(AR209="SOXS","Bear regime; semiconductors weakest","Bear regime; tech weakest")))</f>
        <v>Bear regime; tech weakest</v>
      </c>
    </row>
    <row r="210" spans="1:50" x14ac:dyDescent="0.2">
      <c r="A210" s="12"/>
      <c r="B210" s="13"/>
      <c r="C210" s="13"/>
      <c r="D210" s="13"/>
      <c r="E210" s="13"/>
      <c r="F210" s="11" t="str">
        <f>IF(OR(E210="",E209=""),"",IF(E209=0,"",(E210/E209)-1))</f>
        <v/>
      </c>
      <c r="G210" s="13"/>
      <c r="H210" s="11" t="str">
        <f>IF(OR(G210="",G209=""),"",IF(G209=0,"",(G210/G209)-1))</f>
        <v/>
      </c>
      <c r="I210" s="13"/>
      <c r="J210" s="13"/>
      <c r="K210" s="13"/>
      <c r="L210" s="13"/>
      <c r="M210" s="23" t="str">
        <f>IF(OR(L210="",L209=""),"",IF(L209=0,"",(L210/L209)-1))</f>
        <v/>
      </c>
      <c r="N210" s="26" t="str">
        <f>IFERROR((M210/M209)-1,"")</f>
        <v/>
      </c>
      <c r="O210" s="23" t="str">
        <f>IF(OR(N210="",N209=""),"",IF(N209=0,"",(N210/N209)-1))</f>
        <v/>
      </c>
      <c r="P210" s="11" t="str">
        <f>IF(ROW()&lt;7,"",IF(OR(E210="",E207=""),"",IF(E207=0,"",(E210/E207)-1)))</f>
        <v/>
      </c>
      <c r="Q210" s="23" t="str">
        <f>IF(ROW()&lt;9,"",IF(OR(E210="",E205=""),"",IF(E205=0,"",(E210/E205)-1)))</f>
        <v/>
      </c>
      <c r="R210" s="23" t="str">
        <f>IF(ROW()&lt;7,"",IF(OR(G210="",G207=""),"",IF(G207=0,"",(G210/G207)-1)))</f>
        <v/>
      </c>
      <c r="S210" s="23" t="str">
        <f>IF(ROW()&lt;9,"",IF(OR(G210="",G205=""),"",IF(G205=0,"",(G210/G205)-1)))</f>
        <v/>
      </c>
      <c r="T210" s="23" t="str">
        <f>IF(ROW()&lt;7,"",IF(OR(L210="",L207=""),"",IF(L207=0,"",(L210/L207)-1)))</f>
        <v/>
      </c>
      <c r="U210" s="23" t="str">
        <f>IF(ROW()&lt;9,"",IF(OR(L210="",L205=""),"",IF(L205=0,"",(L210/L205)-1)))</f>
        <v/>
      </c>
      <c r="V210" s="23" t="str">
        <f>IF(ROW()&lt;7,"",IF(OR(N210="",N207=""),"",IF(N207=0,"",(N210/N207)-1)))</f>
        <v/>
      </c>
      <c r="W210" s="23" t="str">
        <f>IF(ROW()&lt;9,"",IF(OR(N210="",N205=""),"",IF(N205=0,"",(N210/N205)-1)))</f>
        <v/>
      </c>
      <c r="X210" s="23" t="str">
        <f>IF(OR(F210="",M210=""),"",F210-M210)</f>
        <v/>
      </c>
      <c r="Y210" s="23" t="str">
        <f>IF(OR(P210="",T210=""),"",P210-T210)</f>
        <v/>
      </c>
      <c r="Z210" s="23" t="str">
        <f>IF(OR(Q210="",U210=""),"",Q210-U210)</f>
        <v/>
      </c>
      <c r="AA210" s="23" t="str">
        <f>IF(OR(H210="",O210=""),"",H210-O210)</f>
        <v/>
      </c>
      <c r="AB210" s="23" t="str">
        <f>IF(OR(R210="",V210=""),"",R210-V210)</f>
        <v/>
      </c>
      <c r="AC210" s="23" t="str">
        <f>IF(OR(S210="",W210=""),"",S210-W210)</f>
        <v/>
      </c>
      <c r="AD210" s="13"/>
      <c r="AE210" s="23" t="str">
        <f>IF(OR(AD210="",AD209=""),"",IF(AD209=0,"",(AD210/AD209)-1))</f>
        <v/>
      </c>
      <c r="AF210" s="23" t="str">
        <f>IF(ROW()&lt;7,"",IF(OR(AD210="",AD207=""),"",IF(AD207=0,"",(AD210/AD207)-1)))</f>
        <v/>
      </c>
      <c r="AG210" s="23" t="str">
        <f>IF(ROW()&lt;9,"",IF(OR(AD210="",AD205=""),"",IF(AD205=0,"",(AD210/AD205)-1)))</f>
        <v/>
      </c>
      <c r="AH210" s="23" t="str">
        <f>IF(OR(AF210="",AG210=""),"",IF(AND(AF210&gt;0,AG210&gt;0),"Bull",IF(AND(AF210&lt;0,AG210&lt;0),"Bear","Mixed")))</f>
        <v/>
      </c>
      <c r="AI210" s="13"/>
      <c r="AJ210" s="13" t="str">
        <f>IF(OR(AI210="",AI209=""),"",IF(AI209=0,"",(AI210/AI209)-1))</f>
        <v/>
      </c>
      <c r="AK210" s="23" t="str">
        <f>IF(OR(AJ210="",AJ209=""),"",IF(AJ209=0,"",(AJ210/AJ209)-1))</f>
        <v/>
      </c>
      <c r="AL210" s="23" t="str">
        <f>IF(ROW()&lt;7,"",IF(OR(AJ210="",AJ207=""),"",IF(AJ207=0,"",(AJ210/AJ207)-1)))</f>
        <v/>
      </c>
      <c r="AM210" s="23" t="str">
        <f>IF(ROW()&lt;9,"",IF(OR(AJ210="",AJ205=""),"",IF(AJ205=0,"",(AJ210/AJ205)-1)))</f>
        <v/>
      </c>
      <c r="AN210" t="str">
        <f>IF(OR(AL210="",AM210=""),"",IF(AND(AL210&gt;0,AM210&gt;0),"Bull",IF(AND(AL210&lt;0,AM210&lt;0),"Bear","Mixed")))</f>
        <v/>
      </c>
      <c r="AO210" t="str">
        <f>IF(OR(AH210="",AN210=""),"",IF(AND(AH210="Bull",AN210="Bull"),"YES","NO"))</f>
        <v/>
      </c>
      <c r="AP210" t="str">
        <f>IF(OR(AH210="",AN210=""),"",IF(AND(AH210="Bear",AN210="Bear"),"YES","NO"))</f>
        <v/>
      </c>
      <c r="AQ210" t="str">
        <f>IF(AO210="YES",IF(SUM(N(X210),N(Y210),N(Z210))&gt;0,"SOXL","TQQQ"),IF(AP210="YES",IF(SUM(N(AA210),N(AB210),N(AC210))&gt;0,"SOXS","SQQQ"),"WAIT"))</f>
        <v>WAIT</v>
      </c>
      <c r="AR210" s="23" t="str">
        <f>IF(AO210="YES",IF(SUM(N(X210),N(Y210),N(Z210))&gt;0,"TQQQ","SOXL"),IF(AP210="YES",IF(SUM(N(AA210),N(AB210),N(AC210))&gt;0,"SQQQ","SOXS"),""))</f>
        <v/>
      </c>
      <c r="AS210" s="23" t="str">
        <f>IF(AQ210="WAIT","",IF(AR210="",1,0.6))</f>
        <v/>
      </c>
      <c r="AT210" s="23">
        <f>IF(AR210="",0,0.4)</f>
        <v>0</v>
      </c>
      <c r="AU210" s="23" t="str">
        <f>IF(AQ210="WAIT","WAIT",IF(AO210="YES","BULL",IF(AP210="YES","BEAR","WAIT")))</f>
        <v>WAIT</v>
      </c>
      <c r="AV210" t="str">
        <f>IF(AQ210="WAIT","Low",IF(OR(AND(AU210="BULL",ABS(SUM(N(X210),N(Y210),N(Z210)))&gt;=0.15),AND(AU210="BEAR",ABS(SUM(N(AA210),N(AB210),N(AC210)))&gt;=0.15)),"Strong",IF(OR(AND(AU210="BULL",ABS(SUM(N(X210),N(Y210),N(Z210)))&gt;=0.05),AND(AU210="BEAR",ABS(SUM(N(AA210),N(AB210),N(AC210)))&gt;=0.05)),"Moderate","Low")))</f>
        <v>Low</v>
      </c>
      <c r="AW210" t="str">
        <f>IF(AQ210="WAIT","QQQ and SMH not aligned",IF(AU210="BULL",IF(AQ210="SOXL","Bull regime; semiconductors leading","Bull regime; tech leading"),IF(AQ210="SOXS","Bear regime; semiconductors weakest","Bear regime; tech weakest")))</f>
        <v>QQQ and SMH not aligned</v>
      </c>
      <c r="AX210" t="str">
        <f>IF(AR210="WAIT","QQQ and SMH not aligned",IF(AV210="BULL",IF(AR210="SOXL","Bull regime; semiconductors leading","Bull regime; tech leading"),IF(AR210="SOXS","Bear regime; semiconductors weakest","Bear regime; tech weakest")))</f>
        <v>Bear regime; tech weakest</v>
      </c>
    </row>
    <row r="211" spans="1:50" x14ac:dyDescent="0.2">
      <c r="A211" s="12"/>
      <c r="B211" s="13"/>
      <c r="C211" s="13"/>
      <c r="D211" s="13"/>
      <c r="E211" s="13"/>
      <c r="F211" s="11" t="str">
        <f>IF(OR(E211="",E210=""),"",IF(E210=0,"",(E211/E210)-1))</f>
        <v/>
      </c>
      <c r="G211" s="13"/>
      <c r="H211" s="11" t="str">
        <f>IF(OR(G211="",G210=""),"",IF(G210=0,"",(G211/G210)-1))</f>
        <v/>
      </c>
      <c r="I211" s="13"/>
      <c r="J211" s="13"/>
      <c r="K211" s="13"/>
      <c r="L211" s="13"/>
      <c r="M211" s="23" t="str">
        <f>IF(OR(L211="",L210=""),"",IF(L210=0,"",(L211/L210)-1))</f>
        <v/>
      </c>
      <c r="N211" s="26" t="str">
        <f>IFERROR((M211/M210)-1,"")</f>
        <v/>
      </c>
      <c r="O211" s="23" t="str">
        <f>IF(OR(N211="",N210=""),"",IF(N210=0,"",(N211/N210)-1))</f>
        <v/>
      </c>
      <c r="P211" s="11" t="str">
        <f>IF(ROW()&lt;7,"",IF(OR(E211="",E208=""),"",IF(E208=0,"",(E211/E208)-1)))</f>
        <v/>
      </c>
      <c r="Q211" s="23" t="str">
        <f>IF(ROW()&lt;9,"",IF(OR(E211="",E206=""),"",IF(E206=0,"",(E211/E206)-1)))</f>
        <v/>
      </c>
      <c r="R211" s="23" t="str">
        <f>IF(ROW()&lt;7,"",IF(OR(G211="",G208=""),"",IF(G208=0,"",(G211/G208)-1)))</f>
        <v/>
      </c>
      <c r="S211" s="23" t="str">
        <f>IF(ROW()&lt;9,"",IF(OR(G211="",G206=""),"",IF(G206=0,"",(G211/G206)-1)))</f>
        <v/>
      </c>
      <c r="T211" s="23" t="str">
        <f>IF(ROW()&lt;7,"",IF(OR(L211="",L208=""),"",IF(L208=0,"",(L211/L208)-1)))</f>
        <v/>
      </c>
      <c r="U211" s="23" t="str">
        <f>IF(ROW()&lt;9,"",IF(OR(L211="",L206=""),"",IF(L206=0,"",(L211/L206)-1)))</f>
        <v/>
      </c>
      <c r="V211" s="23" t="str">
        <f>IF(ROW()&lt;7,"",IF(OR(N211="",N208=""),"",IF(N208=0,"",(N211/N208)-1)))</f>
        <v/>
      </c>
      <c r="W211" s="23" t="str">
        <f>IF(ROW()&lt;9,"",IF(OR(N211="",N206=""),"",IF(N206=0,"",(N211/N206)-1)))</f>
        <v/>
      </c>
      <c r="X211" s="23" t="str">
        <f>IF(OR(F211="",M211=""),"",F211-M211)</f>
        <v/>
      </c>
      <c r="Y211" s="23" t="str">
        <f>IF(OR(P211="",T211=""),"",P211-T211)</f>
        <v/>
      </c>
      <c r="Z211" s="23" t="str">
        <f>IF(OR(Q211="",U211=""),"",Q211-U211)</f>
        <v/>
      </c>
      <c r="AA211" s="23" t="str">
        <f>IF(OR(H211="",O211=""),"",H211-O211)</f>
        <v/>
      </c>
      <c r="AB211" s="23" t="str">
        <f>IF(OR(R211="",V211=""),"",R211-V211)</f>
        <v/>
      </c>
      <c r="AC211" s="23" t="str">
        <f>IF(OR(S211="",W211=""),"",S211-W211)</f>
        <v/>
      </c>
      <c r="AD211" s="13"/>
      <c r="AE211" s="23" t="str">
        <f>IF(OR(AD211="",AD210=""),"",IF(AD210=0,"",(AD211/AD210)-1))</f>
        <v/>
      </c>
      <c r="AF211" s="23" t="str">
        <f>IF(ROW()&lt;7,"",IF(OR(AD211="",AD208=""),"",IF(AD208=0,"",(AD211/AD208)-1)))</f>
        <v/>
      </c>
      <c r="AG211" s="23" t="str">
        <f>IF(ROW()&lt;9,"",IF(OR(AD211="",AD206=""),"",IF(AD206=0,"",(AD211/AD206)-1)))</f>
        <v/>
      </c>
      <c r="AH211" s="23" t="str">
        <f>IF(OR(AF211="",AG211=""),"",IF(AND(AF211&gt;0,AG211&gt;0),"Bull",IF(AND(AF211&lt;0,AG211&lt;0),"Bear","Mixed")))</f>
        <v/>
      </c>
      <c r="AI211" s="13"/>
      <c r="AJ211" s="13" t="str">
        <f>IF(OR(AI211="",AI210=""),"",IF(AI210=0,"",(AI211/AI210)-1))</f>
        <v/>
      </c>
      <c r="AK211" s="23" t="str">
        <f>IF(OR(AJ211="",AJ210=""),"",IF(AJ210=0,"",(AJ211/AJ210)-1))</f>
        <v/>
      </c>
      <c r="AL211" s="23" t="str">
        <f>IF(ROW()&lt;7,"",IF(OR(AJ211="",AJ208=""),"",IF(AJ208=0,"",(AJ211/AJ208)-1)))</f>
        <v/>
      </c>
      <c r="AM211" s="23" t="str">
        <f>IF(ROW()&lt;9,"",IF(OR(AJ211="",AJ206=""),"",IF(AJ206=0,"",(AJ211/AJ206)-1)))</f>
        <v/>
      </c>
      <c r="AN211" t="str">
        <f>IF(OR(AL211="",AM211=""),"",IF(AND(AL211&gt;0,AM211&gt;0),"Bull",IF(AND(AL211&lt;0,AM211&lt;0),"Bear","Mixed")))</f>
        <v/>
      </c>
      <c r="AO211" t="str">
        <f>IF(OR(AH211="",AN211=""),"",IF(AND(AH211="Bull",AN211="Bull"),"YES","NO"))</f>
        <v/>
      </c>
      <c r="AP211" t="str">
        <f>IF(OR(AH211="",AN211=""),"",IF(AND(AH211="Bear",AN211="Bear"),"YES","NO"))</f>
        <v/>
      </c>
      <c r="AQ211" t="str">
        <f>IF(AO211="YES",IF(SUM(N(X211),N(Y211),N(Z211))&gt;0,"SOXL","TQQQ"),IF(AP211="YES",IF(SUM(N(AA211),N(AB211),N(AC211))&gt;0,"SOXS","SQQQ"),"WAIT"))</f>
        <v>WAIT</v>
      </c>
      <c r="AR211" s="23" t="str">
        <f>IF(AO211="YES",IF(SUM(N(X211),N(Y211),N(Z211))&gt;0,"TQQQ","SOXL"),IF(AP211="YES",IF(SUM(N(AA211),N(AB211),N(AC211))&gt;0,"SQQQ","SOXS"),""))</f>
        <v/>
      </c>
      <c r="AS211" s="23" t="str">
        <f>IF(AQ211="WAIT","",IF(AR211="",1,0.6))</f>
        <v/>
      </c>
      <c r="AT211" s="23">
        <f>IF(AR211="",0,0.4)</f>
        <v>0</v>
      </c>
      <c r="AU211" s="23" t="str">
        <f>IF(AQ211="WAIT","WAIT",IF(AO211="YES","BULL",IF(AP211="YES","BEAR","WAIT")))</f>
        <v>WAIT</v>
      </c>
      <c r="AV211" t="str">
        <f>IF(AQ211="WAIT","Low",IF(OR(AND(AU211="BULL",ABS(SUM(N(X211),N(Y211),N(Z211)))&gt;=0.15),AND(AU211="BEAR",ABS(SUM(N(AA211),N(AB211),N(AC211)))&gt;=0.15)),"Strong",IF(OR(AND(AU211="BULL",ABS(SUM(N(X211),N(Y211),N(Z211)))&gt;=0.05),AND(AU211="BEAR",ABS(SUM(N(AA211),N(AB211),N(AC211)))&gt;=0.05)),"Moderate","Low")))</f>
        <v>Low</v>
      </c>
      <c r="AW211" t="str">
        <f>IF(AQ211="WAIT","QQQ and SMH not aligned",IF(AU211="BULL",IF(AQ211="SOXL","Bull regime; semiconductors leading","Bull regime; tech leading"),IF(AQ211="SOXS","Bear regime; semiconductors weakest","Bear regime; tech weakest")))</f>
        <v>QQQ and SMH not aligned</v>
      </c>
      <c r="AX211" t="str">
        <f>IF(AR211="WAIT","QQQ and SMH not aligned",IF(AV211="BULL",IF(AR211="SOXL","Bull regime; semiconductors leading","Bull regime; tech leading"),IF(AR211="SOXS","Bear regime; semiconductors weakest","Bear regime; tech weakest")))</f>
        <v>Bear regime; tech weakest</v>
      </c>
    </row>
    <row r="212" spans="1:50" x14ac:dyDescent="0.2">
      <c r="A212" s="12"/>
      <c r="B212" s="13"/>
      <c r="C212" s="13"/>
      <c r="D212" s="13"/>
      <c r="E212" s="13"/>
      <c r="F212" s="11" t="str">
        <f>IF(OR(E212="",E211=""),"",IF(E211=0,"",(E212/E211)-1))</f>
        <v/>
      </c>
      <c r="G212" s="13"/>
      <c r="H212" s="11" t="str">
        <f>IF(OR(G212="",G211=""),"",IF(G211=0,"",(G212/G211)-1))</f>
        <v/>
      </c>
      <c r="I212" s="13"/>
      <c r="J212" s="13"/>
      <c r="K212" s="13"/>
      <c r="L212" s="13"/>
      <c r="M212" s="23" t="str">
        <f>IF(OR(L212="",L211=""),"",IF(L211=0,"",(L212/L211)-1))</f>
        <v/>
      </c>
      <c r="N212" s="26" t="str">
        <f>IFERROR((M212/M211)-1,"")</f>
        <v/>
      </c>
      <c r="O212" s="23" t="str">
        <f>IF(OR(N212="",N211=""),"",IF(N211=0,"",(N212/N211)-1))</f>
        <v/>
      </c>
      <c r="P212" s="11" t="str">
        <f>IF(ROW()&lt;7,"",IF(OR(E212="",E209=""),"",IF(E209=0,"",(E212/E209)-1)))</f>
        <v/>
      </c>
      <c r="Q212" s="23" t="str">
        <f>IF(ROW()&lt;9,"",IF(OR(E212="",E207=""),"",IF(E207=0,"",(E212/E207)-1)))</f>
        <v/>
      </c>
      <c r="R212" s="23" t="str">
        <f>IF(ROW()&lt;7,"",IF(OR(G212="",G209=""),"",IF(G209=0,"",(G212/G209)-1)))</f>
        <v/>
      </c>
      <c r="S212" s="23" t="str">
        <f>IF(ROW()&lt;9,"",IF(OR(G212="",G207=""),"",IF(G207=0,"",(G212/G207)-1)))</f>
        <v/>
      </c>
      <c r="T212" s="23" t="str">
        <f>IF(ROW()&lt;7,"",IF(OR(L212="",L209=""),"",IF(L209=0,"",(L212/L209)-1)))</f>
        <v/>
      </c>
      <c r="U212" s="23" t="str">
        <f>IF(ROW()&lt;9,"",IF(OR(L212="",L207=""),"",IF(L207=0,"",(L212/L207)-1)))</f>
        <v/>
      </c>
      <c r="V212" s="23" t="str">
        <f>IF(ROW()&lt;7,"",IF(OR(N212="",N209=""),"",IF(N209=0,"",(N212/N209)-1)))</f>
        <v/>
      </c>
      <c r="W212" s="23" t="str">
        <f>IF(ROW()&lt;9,"",IF(OR(N212="",N207=""),"",IF(N207=0,"",(N212/N207)-1)))</f>
        <v/>
      </c>
      <c r="X212" s="23" t="str">
        <f>IF(OR(F212="",M212=""),"",F212-M212)</f>
        <v/>
      </c>
      <c r="Y212" s="23" t="str">
        <f>IF(OR(P212="",T212=""),"",P212-T212)</f>
        <v/>
      </c>
      <c r="Z212" s="23" t="str">
        <f>IF(OR(Q212="",U212=""),"",Q212-U212)</f>
        <v/>
      </c>
      <c r="AA212" s="23" t="str">
        <f>IF(OR(H212="",O212=""),"",H212-O212)</f>
        <v/>
      </c>
      <c r="AB212" s="23" t="str">
        <f>IF(OR(R212="",V212=""),"",R212-V212)</f>
        <v/>
      </c>
      <c r="AC212" s="23" t="str">
        <f>IF(OR(S212="",W212=""),"",S212-W212)</f>
        <v/>
      </c>
      <c r="AD212" s="13"/>
      <c r="AE212" s="23" t="str">
        <f>IF(OR(AD212="",AD211=""),"",IF(AD211=0,"",(AD212/AD211)-1))</f>
        <v/>
      </c>
      <c r="AF212" s="23" t="str">
        <f>IF(ROW()&lt;7,"",IF(OR(AD212="",AD209=""),"",IF(AD209=0,"",(AD212/AD209)-1)))</f>
        <v/>
      </c>
      <c r="AG212" s="23" t="str">
        <f>IF(ROW()&lt;9,"",IF(OR(AD212="",AD207=""),"",IF(AD207=0,"",(AD212/AD207)-1)))</f>
        <v/>
      </c>
      <c r="AH212" s="23" t="str">
        <f>IF(OR(AF212="",AG212=""),"",IF(AND(AF212&gt;0,AG212&gt;0),"Bull",IF(AND(AF212&lt;0,AG212&lt;0),"Bear","Mixed")))</f>
        <v/>
      </c>
      <c r="AI212" s="13"/>
      <c r="AJ212" s="13" t="str">
        <f>IF(OR(AI212="",AI211=""),"",IF(AI211=0,"",(AI212/AI211)-1))</f>
        <v/>
      </c>
      <c r="AK212" s="23" t="str">
        <f>IF(OR(AJ212="",AJ211=""),"",IF(AJ211=0,"",(AJ212/AJ211)-1))</f>
        <v/>
      </c>
      <c r="AL212" s="23" t="str">
        <f>IF(ROW()&lt;7,"",IF(OR(AJ212="",AJ209=""),"",IF(AJ209=0,"",(AJ212/AJ209)-1)))</f>
        <v/>
      </c>
      <c r="AM212" s="23" t="str">
        <f>IF(ROW()&lt;9,"",IF(OR(AJ212="",AJ207=""),"",IF(AJ207=0,"",(AJ212/AJ207)-1)))</f>
        <v/>
      </c>
      <c r="AN212" t="str">
        <f>IF(OR(AL212="",AM212=""),"",IF(AND(AL212&gt;0,AM212&gt;0),"Bull",IF(AND(AL212&lt;0,AM212&lt;0),"Bear","Mixed")))</f>
        <v/>
      </c>
      <c r="AO212" t="str">
        <f>IF(OR(AH212="",AN212=""),"",IF(AND(AH212="Bull",AN212="Bull"),"YES","NO"))</f>
        <v/>
      </c>
      <c r="AP212" t="str">
        <f>IF(OR(AH212="",AN212=""),"",IF(AND(AH212="Bear",AN212="Bear"),"YES","NO"))</f>
        <v/>
      </c>
      <c r="AQ212" t="str">
        <f>IF(AO212="YES",IF(SUM(N(X212),N(Y212),N(Z212))&gt;0,"SOXL","TQQQ"),IF(AP212="YES",IF(SUM(N(AA212),N(AB212),N(AC212))&gt;0,"SOXS","SQQQ"),"WAIT"))</f>
        <v>WAIT</v>
      </c>
      <c r="AR212" s="23" t="str">
        <f>IF(AO212="YES",IF(SUM(N(X212),N(Y212),N(Z212))&gt;0,"TQQQ","SOXL"),IF(AP212="YES",IF(SUM(N(AA212),N(AB212),N(AC212))&gt;0,"SQQQ","SOXS"),""))</f>
        <v/>
      </c>
      <c r="AS212" s="23" t="str">
        <f>IF(AQ212="WAIT","",IF(AR212="",1,0.6))</f>
        <v/>
      </c>
      <c r="AT212" s="23">
        <f>IF(AR212="",0,0.4)</f>
        <v>0</v>
      </c>
      <c r="AU212" s="23" t="str">
        <f>IF(AQ212="WAIT","WAIT",IF(AO212="YES","BULL",IF(AP212="YES","BEAR","WAIT")))</f>
        <v>WAIT</v>
      </c>
      <c r="AV212" t="str">
        <f>IF(AQ212="WAIT","Low",IF(OR(AND(AU212="BULL",ABS(SUM(N(X212),N(Y212),N(Z212)))&gt;=0.15),AND(AU212="BEAR",ABS(SUM(N(AA212),N(AB212),N(AC212)))&gt;=0.15)),"Strong",IF(OR(AND(AU212="BULL",ABS(SUM(N(X212),N(Y212),N(Z212)))&gt;=0.05),AND(AU212="BEAR",ABS(SUM(N(AA212),N(AB212),N(AC212)))&gt;=0.05)),"Moderate","Low")))</f>
        <v>Low</v>
      </c>
      <c r="AW212" t="str">
        <f>IF(AQ212="WAIT","QQQ and SMH not aligned",IF(AU212="BULL",IF(AQ212="SOXL","Bull regime; semiconductors leading","Bull regime; tech leading"),IF(AQ212="SOXS","Bear regime; semiconductors weakest","Bear regime; tech weakest")))</f>
        <v>QQQ and SMH not aligned</v>
      </c>
      <c r="AX212" t="str">
        <f>IF(AR212="WAIT","QQQ and SMH not aligned",IF(AV212="BULL",IF(AR212="SOXL","Bull regime; semiconductors leading","Bull regime; tech leading"),IF(AR212="SOXS","Bear regime; semiconductors weakest","Bear regime; tech weakest")))</f>
        <v>Bear regime; tech weakest</v>
      </c>
    </row>
    <row r="213" spans="1:50" x14ac:dyDescent="0.2">
      <c r="A213" s="12"/>
      <c r="B213" s="13"/>
      <c r="C213" s="13"/>
      <c r="D213" s="13"/>
      <c r="E213" s="13"/>
      <c r="F213" s="11" t="str">
        <f>IF(OR(E213="",E212=""),"",IF(E212=0,"",(E213/E212)-1))</f>
        <v/>
      </c>
      <c r="G213" s="13"/>
      <c r="H213" s="11" t="str">
        <f>IF(OR(G213="",G212=""),"",IF(G212=0,"",(G213/G212)-1))</f>
        <v/>
      </c>
      <c r="I213" s="13"/>
      <c r="J213" s="13"/>
      <c r="K213" s="13"/>
      <c r="L213" s="13"/>
      <c r="M213" s="23" t="str">
        <f>IF(OR(L213="",L212=""),"",IF(L212=0,"",(L213/L212)-1))</f>
        <v/>
      </c>
      <c r="N213" s="26" t="str">
        <f>IFERROR((M213/M212)-1,"")</f>
        <v/>
      </c>
      <c r="O213" s="23" t="str">
        <f>IF(OR(N213="",N212=""),"",IF(N212=0,"",(N213/N212)-1))</f>
        <v/>
      </c>
      <c r="P213" s="11" t="str">
        <f>IF(ROW()&lt;7,"",IF(OR(E213="",E210=""),"",IF(E210=0,"",(E213/E210)-1)))</f>
        <v/>
      </c>
      <c r="Q213" s="23" t="str">
        <f>IF(ROW()&lt;9,"",IF(OR(E213="",E208=""),"",IF(E208=0,"",(E213/E208)-1)))</f>
        <v/>
      </c>
      <c r="R213" s="23" t="str">
        <f>IF(ROW()&lt;7,"",IF(OR(G213="",G210=""),"",IF(G210=0,"",(G213/G210)-1)))</f>
        <v/>
      </c>
      <c r="S213" s="23" t="str">
        <f>IF(ROW()&lt;9,"",IF(OR(G213="",G208=""),"",IF(G208=0,"",(G213/G208)-1)))</f>
        <v/>
      </c>
      <c r="T213" s="23" t="str">
        <f>IF(ROW()&lt;7,"",IF(OR(L213="",L210=""),"",IF(L210=0,"",(L213/L210)-1)))</f>
        <v/>
      </c>
      <c r="U213" s="23" t="str">
        <f>IF(ROW()&lt;9,"",IF(OR(L213="",L208=""),"",IF(L208=0,"",(L213/L208)-1)))</f>
        <v/>
      </c>
      <c r="V213" s="23" t="str">
        <f>IF(ROW()&lt;7,"",IF(OR(N213="",N210=""),"",IF(N210=0,"",(N213/N210)-1)))</f>
        <v/>
      </c>
      <c r="W213" s="23" t="str">
        <f>IF(ROW()&lt;9,"",IF(OR(N213="",N208=""),"",IF(N208=0,"",(N213/N208)-1)))</f>
        <v/>
      </c>
      <c r="X213" s="23" t="str">
        <f>IF(OR(F213="",M213=""),"",F213-M213)</f>
        <v/>
      </c>
      <c r="Y213" s="23" t="str">
        <f>IF(OR(P213="",T213=""),"",P213-T213)</f>
        <v/>
      </c>
      <c r="Z213" s="23" t="str">
        <f>IF(OR(Q213="",U213=""),"",Q213-U213)</f>
        <v/>
      </c>
      <c r="AA213" s="23" t="str">
        <f>IF(OR(H213="",O213=""),"",H213-O213)</f>
        <v/>
      </c>
      <c r="AB213" s="23" t="str">
        <f>IF(OR(R213="",V213=""),"",R213-V213)</f>
        <v/>
      </c>
      <c r="AC213" s="23" t="str">
        <f>IF(OR(S213="",W213=""),"",S213-W213)</f>
        <v/>
      </c>
      <c r="AD213" s="13"/>
      <c r="AE213" s="23" t="str">
        <f>IF(OR(AD213="",AD212=""),"",IF(AD212=0,"",(AD213/AD212)-1))</f>
        <v/>
      </c>
      <c r="AF213" s="23" t="str">
        <f>IF(ROW()&lt;7,"",IF(OR(AD213="",AD210=""),"",IF(AD210=0,"",(AD213/AD210)-1)))</f>
        <v/>
      </c>
      <c r="AG213" s="23" t="str">
        <f>IF(ROW()&lt;9,"",IF(OR(AD213="",AD208=""),"",IF(AD208=0,"",(AD213/AD208)-1)))</f>
        <v/>
      </c>
      <c r="AH213" s="23" t="str">
        <f>IF(OR(AF213="",AG213=""),"",IF(AND(AF213&gt;0,AG213&gt;0),"Bull",IF(AND(AF213&lt;0,AG213&lt;0),"Bear","Mixed")))</f>
        <v/>
      </c>
      <c r="AI213" s="13"/>
      <c r="AJ213" s="13" t="str">
        <f>IF(OR(AI213="",AI212=""),"",IF(AI212=0,"",(AI213/AI212)-1))</f>
        <v/>
      </c>
      <c r="AK213" s="23" t="str">
        <f>IF(OR(AJ213="",AJ212=""),"",IF(AJ212=0,"",(AJ213/AJ212)-1))</f>
        <v/>
      </c>
      <c r="AL213" s="23" t="str">
        <f>IF(ROW()&lt;7,"",IF(OR(AJ213="",AJ210=""),"",IF(AJ210=0,"",(AJ213/AJ210)-1)))</f>
        <v/>
      </c>
      <c r="AM213" s="23" t="str">
        <f>IF(ROW()&lt;9,"",IF(OR(AJ213="",AJ208=""),"",IF(AJ208=0,"",(AJ213/AJ208)-1)))</f>
        <v/>
      </c>
      <c r="AN213" t="str">
        <f>IF(OR(AL213="",AM213=""),"",IF(AND(AL213&gt;0,AM213&gt;0),"Bull",IF(AND(AL213&lt;0,AM213&lt;0),"Bear","Mixed")))</f>
        <v/>
      </c>
      <c r="AO213" t="str">
        <f>IF(OR(AH213="",AN213=""),"",IF(AND(AH213="Bull",AN213="Bull"),"YES","NO"))</f>
        <v/>
      </c>
      <c r="AP213" t="str">
        <f>IF(OR(AH213="",AN213=""),"",IF(AND(AH213="Bear",AN213="Bear"),"YES","NO"))</f>
        <v/>
      </c>
      <c r="AQ213" t="str">
        <f>IF(AO213="YES",IF(SUM(N(X213),N(Y213),N(Z213))&gt;0,"SOXL","TQQQ"),IF(AP213="YES",IF(SUM(N(AA213),N(AB213),N(AC213))&gt;0,"SOXS","SQQQ"),"WAIT"))</f>
        <v>WAIT</v>
      </c>
      <c r="AR213" s="23" t="str">
        <f>IF(AO213="YES",IF(SUM(N(X213),N(Y213),N(Z213))&gt;0,"TQQQ","SOXL"),IF(AP213="YES",IF(SUM(N(AA213),N(AB213),N(AC213))&gt;0,"SQQQ","SOXS"),""))</f>
        <v/>
      </c>
      <c r="AS213" s="23" t="str">
        <f>IF(AQ213="WAIT","",IF(AR213="",1,0.6))</f>
        <v/>
      </c>
      <c r="AT213" s="23">
        <f>IF(AR213="",0,0.4)</f>
        <v>0</v>
      </c>
      <c r="AU213" s="23" t="str">
        <f>IF(AQ213="WAIT","WAIT",IF(AO213="YES","BULL",IF(AP213="YES","BEAR","WAIT")))</f>
        <v>WAIT</v>
      </c>
      <c r="AV213" t="str">
        <f>IF(AQ213="WAIT","Low",IF(OR(AND(AU213="BULL",ABS(SUM(N(X213),N(Y213),N(Z213)))&gt;=0.15),AND(AU213="BEAR",ABS(SUM(N(AA213),N(AB213),N(AC213)))&gt;=0.15)),"Strong",IF(OR(AND(AU213="BULL",ABS(SUM(N(X213),N(Y213),N(Z213)))&gt;=0.05),AND(AU213="BEAR",ABS(SUM(N(AA213),N(AB213),N(AC213)))&gt;=0.05)),"Moderate","Low")))</f>
        <v>Low</v>
      </c>
      <c r="AW213" t="str">
        <f>IF(AQ213="WAIT","QQQ and SMH not aligned",IF(AU213="BULL",IF(AQ213="SOXL","Bull regime; semiconductors leading","Bull regime; tech leading"),IF(AQ213="SOXS","Bear regime; semiconductors weakest","Bear regime; tech weakest")))</f>
        <v>QQQ and SMH not aligned</v>
      </c>
      <c r="AX213" t="str">
        <f>IF(AR213="WAIT","QQQ and SMH not aligned",IF(AV213="BULL",IF(AR213="SOXL","Bull regime; semiconductors leading","Bull regime; tech leading"),IF(AR213="SOXS","Bear regime; semiconductors weakest","Bear regime; tech weakest")))</f>
        <v>Bear regime; tech weakest</v>
      </c>
    </row>
    <row r="214" spans="1:50" x14ac:dyDescent="0.2">
      <c r="A214" s="12"/>
      <c r="B214" s="13"/>
      <c r="C214" s="13"/>
      <c r="D214" s="13"/>
      <c r="E214" s="13"/>
      <c r="F214" s="11" t="str">
        <f>IF(OR(E214="",E213=""),"",IF(E213=0,"",(E214/E213)-1))</f>
        <v/>
      </c>
      <c r="G214" s="13"/>
      <c r="H214" s="11" t="str">
        <f>IF(OR(G214="",G213=""),"",IF(G213=0,"",(G214/G213)-1))</f>
        <v/>
      </c>
      <c r="I214" s="13"/>
      <c r="J214" s="13"/>
      <c r="K214" s="13"/>
      <c r="L214" s="13"/>
      <c r="M214" s="23" t="str">
        <f>IF(OR(L214="",L213=""),"",IF(L213=0,"",(L214/L213)-1))</f>
        <v/>
      </c>
      <c r="N214" s="26" t="str">
        <f>IFERROR((M214/M213)-1,"")</f>
        <v/>
      </c>
      <c r="O214" s="23" t="str">
        <f>IF(OR(N214="",N213=""),"",IF(N213=0,"",(N214/N213)-1))</f>
        <v/>
      </c>
      <c r="P214" s="11" t="str">
        <f>IF(ROW()&lt;7,"",IF(OR(E214="",E211=""),"",IF(E211=0,"",(E214/E211)-1)))</f>
        <v/>
      </c>
      <c r="Q214" s="23" t="str">
        <f>IF(ROW()&lt;9,"",IF(OR(E214="",E209=""),"",IF(E209=0,"",(E214/E209)-1)))</f>
        <v/>
      </c>
      <c r="R214" s="23" t="str">
        <f>IF(ROW()&lt;7,"",IF(OR(G214="",G211=""),"",IF(G211=0,"",(G214/G211)-1)))</f>
        <v/>
      </c>
      <c r="S214" s="23" t="str">
        <f>IF(ROW()&lt;9,"",IF(OR(G214="",G209=""),"",IF(G209=0,"",(G214/G209)-1)))</f>
        <v/>
      </c>
      <c r="T214" s="23" t="str">
        <f>IF(ROW()&lt;7,"",IF(OR(L214="",L211=""),"",IF(L211=0,"",(L214/L211)-1)))</f>
        <v/>
      </c>
      <c r="U214" s="23" t="str">
        <f>IF(ROW()&lt;9,"",IF(OR(L214="",L209=""),"",IF(L209=0,"",(L214/L209)-1)))</f>
        <v/>
      </c>
      <c r="V214" s="23" t="str">
        <f>IF(ROW()&lt;7,"",IF(OR(N214="",N211=""),"",IF(N211=0,"",(N214/N211)-1)))</f>
        <v/>
      </c>
      <c r="W214" s="23" t="str">
        <f>IF(ROW()&lt;9,"",IF(OR(N214="",N209=""),"",IF(N209=0,"",(N214/N209)-1)))</f>
        <v/>
      </c>
      <c r="X214" s="23" t="str">
        <f>IF(OR(F214="",M214=""),"",F214-M214)</f>
        <v/>
      </c>
      <c r="Y214" s="23" t="str">
        <f>IF(OR(P214="",T214=""),"",P214-T214)</f>
        <v/>
      </c>
      <c r="Z214" s="23" t="str">
        <f>IF(OR(Q214="",U214=""),"",Q214-U214)</f>
        <v/>
      </c>
      <c r="AA214" s="23" t="str">
        <f>IF(OR(H214="",O214=""),"",H214-O214)</f>
        <v/>
      </c>
      <c r="AB214" s="23" t="str">
        <f>IF(OR(R214="",V214=""),"",R214-V214)</f>
        <v/>
      </c>
      <c r="AC214" s="23" t="str">
        <f>IF(OR(S214="",W214=""),"",S214-W214)</f>
        <v/>
      </c>
      <c r="AD214" s="13"/>
      <c r="AE214" s="23" t="str">
        <f>IF(OR(AD214="",AD213=""),"",IF(AD213=0,"",(AD214/AD213)-1))</f>
        <v/>
      </c>
      <c r="AF214" s="23" t="str">
        <f>IF(ROW()&lt;7,"",IF(OR(AD214="",AD211=""),"",IF(AD211=0,"",(AD214/AD211)-1)))</f>
        <v/>
      </c>
      <c r="AG214" s="23" t="str">
        <f>IF(ROW()&lt;9,"",IF(OR(AD214="",AD209=""),"",IF(AD209=0,"",(AD214/AD209)-1)))</f>
        <v/>
      </c>
      <c r="AH214" s="23" t="str">
        <f>IF(OR(AF214="",AG214=""),"",IF(AND(AF214&gt;0,AG214&gt;0),"Bull",IF(AND(AF214&lt;0,AG214&lt;0),"Bear","Mixed")))</f>
        <v/>
      </c>
      <c r="AI214" s="13"/>
      <c r="AJ214" s="13" t="str">
        <f>IF(OR(AI214="",AI213=""),"",IF(AI213=0,"",(AI214/AI213)-1))</f>
        <v/>
      </c>
      <c r="AK214" s="23" t="str">
        <f>IF(OR(AJ214="",AJ213=""),"",IF(AJ213=0,"",(AJ214/AJ213)-1))</f>
        <v/>
      </c>
      <c r="AL214" s="23" t="str">
        <f>IF(ROW()&lt;7,"",IF(OR(AJ214="",AJ211=""),"",IF(AJ211=0,"",(AJ214/AJ211)-1)))</f>
        <v/>
      </c>
      <c r="AM214" s="23" t="str">
        <f>IF(ROW()&lt;9,"",IF(OR(AJ214="",AJ209=""),"",IF(AJ209=0,"",(AJ214/AJ209)-1)))</f>
        <v/>
      </c>
      <c r="AN214" t="str">
        <f>IF(OR(AL214="",AM214=""),"",IF(AND(AL214&gt;0,AM214&gt;0),"Bull",IF(AND(AL214&lt;0,AM214&lt;0),"Bear","Mixed")))</f>
        <v/>
      </c>
      <c r="AO214" t="str">
        <f>IF(OR(AH214="",AN214=""),"",IF(AND(AH214="Bull",AN214="Bull"),"YES","NO"))</f>
        <v/>
      </c>
      <c r="AP214" t="str">
        <f>IF(OR(AH214="",AN214=""),"",IF(AND(AH214="Bear",AN214="Bear"),"YES","NO"))</f>
        <v/>
      </c>
      <c r="AQ214" t="str">
        <f>IF(AO214="YES",IF(SUM(N(X214),N(Y214),N(Z214))&gt;0,"SOXL","TQQQ"),IF(AP214="YES",IF(SUM(N(AA214),N(AB214),N(AC214))&gt;0,"SOXS","SQQQ"),"WAIT"))</f>
        <v>WAIT</v>
      </c>
      <c r="AR214" s="23" t="str">
        <f>IF(AO214="YES",IF(SUM(N(X214),N(Y214),N(Z214))&gt;0,"TQQQ","SOXL"),IF(AP214="YES",IF(SUM(N(AA214),N(AB214),N(AC214))&gt;0,"SQQQ","SOXS"),""))</f>
        <v/>
      </c>
      <c r="AS214" s="23" t="str">
        <f>IF(AQ214="WAIT","",IF(AR214="",1,0.6))</f>
        <v/>
      </c>
      <c r="AT214" s="23">
        <f>IF(AR214="",0,0.4)</f>
        <v>0</v>
      </c>
      <c r="AU214" s="23" t="str">
        <f>IF(AQ214="WAIT","WAIT",IF(AO214="YES","BULL",IF(AP214="YES","BEAR","WAIT")))</f>
        <v>WAIT</v>
      </c>
      <c r="AV214" t="str">
        <f>IF(AQ214="WAIT","Low",IF(OR(AND(AU214="BULL",ABS(SUM(N(X214),N(Y214),N(Z214)))&gt;=0.15),AND(AU214="BEAR",ABS(SUM(N(AA214),N(AB214),N(AC214)))&gt;=0.15)),"Strong",IF(OR(AND(AU214="BULL",ABS(SUM(N(X214),N(Y214),N(Z214)))&gt;=0.05),AND(AU214="BEAR",ABS(SUM(N(AA214),N(AB214),N(AC214)))&gt;=0.05)),"Moderate","Low")))</f>
        <v>Low</v>
      </c>
      <c r="AW214" t="str">
        <f>IF(AQ214="WAIT","QQQ and SMH not aligned",IF(AU214="BULL",IF(AQ214="SOXL","Bull regime; semiconductors leading","Bull regime; tech leading"),IF(AQ214="SOXS","Bear regime; semiconductors weakest","Bear regime; tech weakest")))</f>
        <v>QQQ and SMH not aligned</v>
      </c>
      <c r="AX214" t="str">
        <f>IF(AR214="WAIT","QQQ and SMH not aligned",IF(AV214="BULL",IF(AR214="SOXL","Bull regime; semiconductors leading","Bull regime; tech leading"),IF(AR214="SOXS","Bear regime; semiconductors weakest","Bear regime; tech weakest")))</f>
        <v>Bear regime; tech weakest</v>
      </c>
    </row>
    <row r="215" spans="1:50" x14ac:dyDescent="0.2">
      <c r="A215" s="12"/>
      <c r="B215" s="13"/>
      <c r="C215" s="13"/>
      <c r="D215" s="13"/>
      <c r="E215" s="13"/>
      <c r="F215" s="11" t="str">
        <f>IF(OR(E215="",E214=""),"",IF(E214=0,"",(E215/E214)-1))</f>
        <v/>
      </c>
      <c r="G215" s="13"/>
      <c r="H215" s="11" t="str">
        <f>IF(OR(G215="",G214=""),"",IF(G214=0,"",(G215/G214)-1))</f>
        <v/>
      </c>
      <c r="I215" s="13"/>
      <c r="J215" s="13"/>
      <c r="K215" s="13"/>
      <c r="L215" s="13"/>
      <c r="M215" s="23" t="str">
        <f>IF(OR(L215="",L214=""),"",IF(L214=0,"",(L215/L214)-1))</f>
        <v/>
      </c>
      <c r="N215" s="26" t="str">
        <f>IFERROR((M215/M214)-1,"")</f>
        <v/>
      </c>
      <c r="O215" s="23" t="str">
        <f>IF(OR(N215="",N214=""),"",IF(N214=0,"",(N215/N214)-1))</f>
        <v/>
      </c>
      <c r="P215" s="11" t="str">
        <f>IF(ROW()&lt;7,"",IF(OR(E215="",E212=""),"",IF(E212=0,"",(E215/E212)-1)))</f>
        <v/>
      </c>
      <c r="Q215" s="23" t="str">
        <f>IF(ROW()&lt;9,"",IF(OR(E215="",E210=""),"",IF(E210=0,"",(E215/E210)-1)))</f>
        <v/>
      </c>
      <c r="R215" s="23" t="str">
        <f>IF(ROW()&lt;7,"",IF(OR(G215="",G212=""),"",IF(G212=0,"",(G215/G212)-1)))</f>
        <v/>
      </c>
      <c r="S215" s="23" t="str">
        <f>IF(ROW()&lt;9,"",IF(OR(G215="",G210=""),"",IF(G210=0,"",(G215/G210)-1)))</f>
        <v/>
      </c>
      <c r="T215" s="23" t="str">
        <f>IF(ROW()&lt;7,"",IF(OR(L215="",L212=""),"",IF(L212=0,"",(L215/L212)-1)))</f>
        <v/>
      </c>
      <c r="U215" s="23" t="str">
        <f>IF(ROW()&lt;9,"",IF(OR(L215="",L210=""),"",IF(L210=0,"",(L215/L210)-1)))</f>
        <v/>
      </c>
      <c r="V215" s="23" t="str">
        <f>IF(ROW()&lt;7,"",IF(OR(N215="",N212=""),"",IF(N212=0,"",(N215/N212)-1)))</f>
        <v/>
      </c>
      <c r="W215" s="23" t="str">
        <f>IF(ROW()&lt;9,"",IF(OR(N215="",N210=""),"",IF(N210=0,"",(N215/N210)-1)))</f>
        <v/>
      </c>
      <c r="X215" s="23" t="str">
        <f>IF(OR(F215="",M215=""),"",F215-M215)</f>
        <v/>
      </c>
      <c r="Y215" s="23" t="str">
        <f>IF(OR(P215="",T215=""),"",P215-T215)</f>
        <v/>
      </c>
      <c r="Z215" s="23" t="str">
        <f>IF(OR(Q215="",U215=""),"",Q215-U215)</f>
        <v/>
      </c>
      <c r="AA215" s="23" t="str">
        <f>IF(OR(H215="",O215=""),"",H215-O215)</f>
        <v/>
      </c>
      <c r="AB215" s="23" t="str">
        <f>IF(OR(R215="",V215=""),"",R215-V215)</f>
        <v/>
      </c>
      <c r="AC215" s="23" t="str">
        <f>IF(OR(S215="",W215=""),"",S215-W215)</f>
        <v/>
      </c>
      <c r="AD215" s="13"/>
      <c r="AE215" s="23" t="str">
        <f>IF(OR(AD215="",AD214=""),"",IF(AD214=0,"",(AD215/AD214)-1))</f>
        <v/>
      </c>
      <c r="AF215" s="23" t="str">
        <f>IF(ROW()&lt;7,"",IF(OR(AD215="",AD212=""),"",IF(AD212=0,"",(AD215/AD212)-1)))</f>
        <v/>
      </c>
      <c r="AG215" s="23" t="str">
        <f>IF(ROW()&lt;9,"",IF(OR(AD215="",AD210=""),"",IF(AD210=0,"",(AD215/AD210)-1)))</f>
        <v/>
      </c>
      <c r="AH215" s="23" t="str">
        <f>IF(OR(AF215="",AG215=""),"",IF(AND(AF215&gt;0,AG215&gt;0),"Bull",IF(AND(AF215&lt;0,AG215&lt;0),"Bear","Mixed")))</f>
        <v/>
      </c>
      <c r="AI215" s="13"/>
      <c r="AJ215" s="13" t="str">
        <f>IF(OR(AI215="",AI214=""),"",IF(AI214=0,"",(AI215/AI214)-1))</f>
        <v/>
      </c>
      <c r="AK215" s="23" t="str">
        <f>IF(OR(AJ215="",AJ214=""),"",IF(AJ214=0,"",(AJ215/AJ214)-1))</f>
        <v/>
      </c>
      <c r="AL215" s="23" t="str">
        <f>IF(ROW()&lt;7,"",IF(OR(AJ215="",AJ212=""),"",IF(AJ212=0,"",(AJ215/AJ212)-1)))</f>
        <v/>
      </c>
      <c r="AM215" s="23" t="str">
        <f>IF(ROW()&lt;9,"",IF(OR(AJ215="",AJ210=""),"",IF(AJ210=0,"",(AJ215/AJ210)-1)))</f>
        <v/>
      </c>
      <c r="AN215" t="str">
        <f>IF(OR(AL215="",AM215=""),"",IF(AND(AL215&gt;0,AM215&gt;0),"Bull",IF(AND(AL215&lt;0,AM215&lt;0),"Bear","Mixed")))</f>
        <v/>
      </c>
      <c r="AO215" t="str">
        <f>IF(OR(AH215="",AN215=""),"",IF(AND(AH215="Bull",AN215="Bull"),"YES","NO"))</f>
        <v/>
      </c>
      <c r="AP215" t="str">
        <f>IF(OR(AH215="",AN215=""),"",IF(AND(AH215="Bear",AN215="Bear"),"YES","NO"))</f>
        <v/>
      </c>
      <c r="AQ215" t="str">
        <f>IF(AO215="YES",IF(SUM(N(X215),N(Y215),N(Z215))&gt;0,"SOXL","TQQQ"),IF(AP215="YES",IF(SUM(N(AA215),N(AB215),N(AC215))&gt;0,"SOXS","SQQQ"),"WAIT"))</f>
        <v>WAIT</v>
      </c>
      <c r="AR215" s="23" t="str">
        <f>IF(AO215="YES",IF(SUM(N(X215),N(Y215),N(Z215))&gt;0,"TQQQ","SOXL"),IF(AP215="YES",IF(SUM(N(AA215),N(AB215),N(AC215))&gt;0,"SQQQ","SOXS"),""))</f>
        <v/>
      </c>
      <c r="AS215" s="23" t="str">
        <f>IF(AQ215="WAIT","",IF(AR215="",1,0.6))</f>
        <v/>
      </c>
      <c r="AT215" s="23">
        <f>IF(AR215="",0,0.4)</f>
        <v>0</v>
      </c>
      <c r="AU215" s="23" t="str">
        <f>IF(AQ215="WAIT","WAIT",IF(AO215="YES","BULL",IF(AP215="YES","BEAR","WAIT")))</f>
        <v>WAIT</v>
      </c>
      <c r="AV215" t="str">
        <f>IF(AQ215="WAIT","Low",IF(OR(AND(AU215="BULL",ABS(SUM(N(X215),N(Y215),N(Z215)))&gt;=0.15),AND(AU215="BEAR",ABS(SUM(N(AA215),N(AB215),N(AC215)))&gt;=0.15)),"Strong",IF(OR(AND(AU215="BULL",ABS(SUM(N(X215),N(Y215),N(Z215)))&gt;=0.05),AND(AU215="BEAR",ABS(SUM(N(AA215),N(AB215),N(AC215)))&gt;=0.05)),"Moderate","Low")))</f>
        <v>Low</v>
      </c>
      <c r="AW215" t="str">
        <f>IF(AQ215="WAIT","QQQ and SMH not aligned",IF(AU215="BULL",IF(AQ215="SOXL","Bull regime; semiconductors leading","Bull regime; tech leading"),IF(AQ215="SOXS","Bear regime; semiconductors weakest","Bear regime; tech weakest")))</f>
        <v>QQQ and SMH not aligned</v>
      </c>
      <c r="AX215" t="str">
        <f>IF(AR215="WAIT","QQQ and SMH not aligned",IF(AV215="BULL",IF(AR215="SOXL","Bull regime; semiconductors leading","Bull regime; tech leading"),IF(AR215="SOXS","Bear regime; semiconductors weakest","Bear regime; tech weakest")))</f>
        <v>Bear regime; tech weakest</v>
      </c>
    </row>
    <row r="216" spans="1:50" x14ac:dyDescent="0.2">
      <c r="A216" s="12"/>
      <c r="B216" s="13"/>
      <c r="C216" s="13"/>
      <c r="D216" s="13"/>
      <c r="E216" s="13"/>
      <c r="F216" s="11" t="str">
        <f>IF(OR(E216="",E215=""),"",IF(E215=0,"",(E216/E215)-1))</f>
        <v/>
      </c>
      <c r="G216" s="13"/>
      <c r="H216" s="11" t="str">
        <f>IF(OR(G216="",G215=""),"",IF(G215=0,"",(G216/G215)-1))</f>
        <v/>
      </c>
      <c r="I216" s="13"/>
      <c r="J216" s="13"/>
      <c r="K216" s="13"/>
      <c r="L216" s="13"/>
      <c r="M216" s="23" t="str">
        <f>IF(OR(L216="",L215=""),"",IF(L215=0,"",(L216/L215)-1))</f>
        <v/>
      </c>
      <c r="N216" s="26" t="str">
        <f>IFERROR((M216/M215)-1,"")</f>
        <v/>
      </c>
      <c r="O216" s="23" t="str">
        <f>IF(OR(N216="",N215=""),"",IF(N215=0,"",(N216/N215)-1))</f>
        <v/>
      </c>
      <c r="P216" s="11" t="str">
        <f>IF(ROW()&lt;7,"",IF(OR(E216="",E213=""),"",IF(E213=0,"",(E216/E213)-1)))</f>
        <v/>
      </c>
      <c r="Q216" s="23" t="str">
        <f>IF(ROW()&lt;9,"",IF(OR(E216="",E211=""),"",IF(E211=0,"",(E216/E211)-1)))</f>
        <v/>
      </c>
      <c r="R216" s="23" t="str">
        <f>IF(ROW()&lt;7,"",IF(OR(G216="",G213=""),"",IF(G213=0,"",(G216/G213)-1)))</f>
        <v/>
      </c>
      <c r="S216" s="23" t="str">
        <f>IF(ROW()&lt;9,"",IF(OR(G216="",G211=""),"",IF(G211=0,"",(G216/G211)-1)))</f>
        <v/>
      </c>
      <c r="T216" s="23" t="str">
        <f>IF(ROW()&lt;7,"",IF(OR(L216="",L213=""),"",IF(L213=0,"",(L216/L213)-1)))</f>
        <v/>
      </c>
      <c r="U216" s="23" t="str">
        <f>IF(ROW()&lt;9,"",IF(OR(L216="",L211=""),"",IF(L211=0,"",(L216/L211)-1)))</f>
        <v/>
      </c>
      <c r="V216" s="23" t="str">
        <f>IF(ROW()&lt;7,"",IF(OR(N216="",N213=""),"",IF(N213=0,"",(N216/N213)-1)))</f>
        <v/>
      </c>
      <c r="W216" s="23" t="str">
        <f>IF(ROW()&lt;9,"",IF(OR(N216="",N211=""),"",IF(N211=0,"",(N216/N211)-1)))</f>
        <v/>
      </c>
      <c r="X216" s="23" t="str">
        <f>IF(OR(F216="",M216=""),"",F216-M216)</f>
        <v/>
      </c>
      <c r="Y216" s="23" t="str">
        <f>IF(OR(P216="",T216=""),"",P216-T216)</f>
        <v/>
      </c>
      <c r="Z216" s="23" t="str">
        <f>IF(OR(Q216="",U216=""),"",Q216-U216)</f>
        <v/>
      </c>
      <c r="AA216" s="23" t="str">
        <f>IF(OR(H216="",O216=""),"",H216-O216)</f>
        <v/>
      </c>
      <c r="AB216" s="23" t="str">
        <f>IF(OR(R216="",V216=""),"",R216-V216)</f>
        <v/>
      </c>
      <c r="AC216" s="23" t="str">
        <f>IF(OR(S216="",W216=""),"",S216-W216)</f>
        <v/>
      </c>
      <c r="AD216" s="13"/>
      <c r="AE216" s="23" t="str">
        <f>IF(OR(AD216="",AD215=""),"",IF(AD215=0,"",(AD216/AD215)-1))</f>
        <v/>
      </c>
      <c r="AF216" s="23" t="str">
        <f>IF(ROW()&lt;7,"",IF(OR(AD216="",AD213=""),"",IF(AD213=0,"",(AD216/AD213)-1)))</f>
        <v/>
      </c>
      <c r="AG216" s="23" t="str">
        <f>IF(ROW()&lt;9,"",IF(OR(AD216="",AD211=""),"",IF(AD211=0,"",(AD216/AD211)-1)))</f>
        <v/>
      </c>
      <c r="AH216" s="23" t="str">
        <f>IF(OR(AF216="",AG216=""),"",IF(AND(AF216&gt;0,AG216&gt;0),"Bull",IF(AND(AF216&lt;0,AG216&lt;0),"Bear","Mixed")))</f>
        <v/>
      </c>
      <c r="AI216" s="13"/>
      <c r="AJ216" s="13" t="str">
        <f>IF(OR(AI216="",AI215=""),"",IF(AI215=0,"",(AI216/AI215)-1))</f>
        <v/>
      </c>
      <c r="AK216" s="23" t="str">
        <f>IF(OR(AJ216="",AJ215=""),"",IF(AJ215=0,"",(AJ216/AJ215)-1))</f>
        <v/>
      </c>
      <c r="AL216" s="23" t="str">
        <f>IF(ROW()&lt;7,"",IF(OR(AJ216="",AJ213=""),"",IF(AJ213=0,"",(AJ216/AJ213)-1)))</f>
        <v/>
      </c>
      <c r="AM216" s="23" t="str">
        <f>IF(ROW()&lt;9,"",IF(OR(AJ216="",AJ211=""),"",IF(AJ211=0,"",(AJ216/AJ211)-1)))</f>
        <v/>
      </c>
      <c r="AN216" t="str">
        <f>IF(OR(AL216="",AM216=""),"",IF(AND(AL216&gt;0,AM216&gt;0),"Bull",IF(AND(AL216&lt;0,AM216&lt;0),"Bear","Mixed")))</f>
        <v/>
      </c>
      <c r="AO216" t="str">
        <f>IF(OR(AH216="",AN216=""),"",IF(AND(AH216="Bull",AN216="Bull"),"YES","NO"))</f>
        <v/>
      </c>
      <c r="AP216" t="str">
        <f>IF(OR(AH216="",AN216=""),"",IF(AND(AH216="Bear",AN216="Bear"),"YES","NO"))</f>
        <v/>
      </c>
      <c r="AQ216" t="str">
        <f>IF(AO216="YES",IF(SUM(N(X216),N(Y216),N(Z216))&gt;0,"SOXL","TQQQ"),IF(AP216="YES",IF(SUM(N(AA216),N(AB216),N(AC216))&gt;0,"SOXS","SQQQ"),"WAIT"))</f>
        <v>WAIT</v>
      </c>
      <c r="AR216" s="23" t="str">
        <f>IF(AO216="YES",IF(SUM(N(X216),N(Y216),N(Z216))&gt;0,"TQQQ","SOXL"),IF(AP216="YES",IF(SUM(N(AA216),N(AB216),N(AC216))&gt;0,"SQQQ","SOXS"),""))</f>
        <v/>
      </c>
      <c r="AS216" s="23" t="str">
        <f>IF(AQ216="WAIT","",IF(AR216="",1,0.6))</f>
        <v/>
      </c>
      <c r="AT216" s="23">
        <f>IF(AR216="",0,0.4)</f>
        <v>0</v>
      </c>
      <c r="AU216" s="23" t="str">
        <f>IF(AQ216="WAIT","WAIT",IF(AO216="YES","BULL",IF(AP216="YES","BEAR","WAIT")))</f>
        <v>WAIT</v>
      </c>
      <c r="AV216" t="str">
        <f>IF(AQ216="WAIT","Low",IF(OR(AND(AU216="BULL",ABS(SUM(N(X216),N(Y216),N(Z216)))&gt;=0.15),AND(AU216="BEAR",ABS(SUM(N(AA216),N(AB216),N(AC216)))&gt;=0.15)),"Strong",IF(OR(AND(AU216="BULL",ABS(SUM(N(X216),N(Y216),N(Z216)))&gt;=0.05),AND(AU216="BEAR",ABS(SUM(N(AA216),N(AB216),N(AC216)))&gt;=0.05)),"Moderate","Low")))</f>
        <v>Low</v>
      </c>
      <c r="AW216" t="str">
        <f>IF(AQ216="WAIT","QQQ and SMH not aligned",IF(AU216="BULL",IF(AQ216="SOXL","Bull regime; semiconductors leading","Bull regime; tech leading"),IF(AQ216="SOXS","Bear regime; semiconductors weakest","Bear regime; tech weakest")))</f>
        <v>QQQ and SMH not aligned</v>
      </c>
      <c r="AX216" t="str">
        <f>IF(AR216="WAIT","QQQ and SMH not aligned",IF(AV216="BULL",IF(AR216="SOXL","Bull regime; semiconductors leading","Bull regime; tech leading"),IF(AR216="SOXS","Bear regime; semiconductors weakest","Bear regime; tech weakest")))</f>
        <v>Bear regime; tech weakest</v>
      </c>
    </row>
    <row r="217" spans="1:50" x14ac:dyDescent="0.2">
      <c r="A217" s="12"/>
      <c r="B217" s="13"/>
      <c r="C217" s="13"/>
      <c r="D217" s="13"/>
      <c r="E217" s="13"/>
      <c r="F217" s="11" t="str">
        <f>IF(OR(E217="",E216=""),"",IF(E216=0,"",(E217/E216)-1))</f>
        <v/>
      </c>
      <c r="G217" s="13"/>
      <c r="H217" s="11" t="str">
        <f>IF(OR(G217="",G216=""),"",IF(G216=0,"",(G217/G216)-1))</f>
        <v/>
      </c>
      <c r="I217" s="13"/>
      <c r="J217" s="13"/>
      <c r="K217" s="13"/>
      <c r="L217" s="13"/>
      <c r="M217" s="23" t="str">
        <f>IF(OR(L217="",L216=""),"",IF(L216=0,"",(L217/L216)-1))</f>
        <v/>
      </c>
      <c r="N217" s="26" t="str">
        <f>IFERROR((M217/M216)-1,"")</f>
        <v/>
      </c>
      <c r="O217" s="23" t="str">
        <f>IF(OR(N217="",N216=""),"",IF(N216=0,"",(N217/N216)-1))</f>
        <v/>
      </c>
      <c r="P217" s="11" t="str">
        <f>IF(ROW()&lt;7,"",IF(OR(E217="",E214=""),"",IF(E214=0,"",(E217/E214)-1)))</f>
        <v/>
      </c>
      <c r="Q217" s="23" t="str">
        <f>IF(ROW()&lt;9,"",IF(OR(E217="",E212=""),"",IF(E212=0,"",(E217/E212)-1)))</f>
        <v/>
      </c>
      <c r="R217" s="23" t="str">
        <f>IF(ROW()&lt;7,"",IF(OR(G217="",G214=""),"",IF(G214=0,"",(G217/G214)-1)))</f>
        <v/>
      </c>
      <c r="S217" s="23" t="str">
        <f>IF(ROW()&lt;9,"",IF(OR(G217="",G212=""),"",IF(G212=0,"",(G217/G212)-1)))</f>
        <v/>
      </c>
      <c r="T217" s="23" t="str">
        <f>IF(ROW()&lt;7,"",IF(OR(L217="",L214=""),"",IF(L214=0,"",(L217/L214)-1)))</f>
        <v/>
      </c>
      <c r="U217" s="23" t="str">
        <f>IF(ROW()&lt;9,"",IF(OR(L217="",L212=""),"",IF(L212=0,"",(L217/L212)-1)))</f>
        <v/>
      </c>
      <c r="V217" s="23" t="str">
        <f>IF(ROW()&lt;7,"",IF(OR(N217="",N214=""),"",IF(N214=0,"",(N217/N214)-1)))</f>
        <v/>
      </c>
      <c r="W217" s="23" t="str">
        <f>IF(ROW()&lt;9,"",IF(OR(N217="",N212=""),"",IF(N212=0,"",(N217/N212)-1)))</f>
        <v/>
      </c>
      <c r="X217" s="23" t="str">
        <f>IF(OR(F217="",M217=""),"",F217-M217)</f>
        <v/>
      </c>
      <c r="Y217" s="23" t="str">
        <f>IF(OR(P217="",T217=""),"",P217-T217)</f>
        <v/>
      </c>
      <c r="Z217" s="23" t="str">
        <f>IF(OR(Q217="",U217=""),"",Q217-U217)</f>
        <v/>
      </c>
      <c r="AA217" s="23" t="str">
        <f>IF(OR(H217="",O217=""),"",H217-O217)</f>
        <v/>
      </c>
      <c r="AB217" s="23" t="str">
        <f>IF(OR(R217="",V217=""),"",R217-V217)</f>
        <v/>
      </c>
      <c r="AC217" s="23" t="str">
        <f>IF(OR(S217="",W217=""),"",S217-W217)</f>
        <v/>
      </c>
      <c r="AD217" s="13"/>
      <c r="AE217" s="23" t="str">
        <f>IF(OR(AD217="",AD216=""),"",IF(AD216=0,"",(AD217/AD216)-1))</f>
        <v/>
      </c>
      <c r="AF217" s="23" t="str">
        <f>IF(ROW()&lt;7,"",IF(OR(AD217="",AD214=""),"",IF(AD214=0,"",(AD217/AD214)-1)))</f>
        <v/>
      </c>
      <c r="AG217" s="23" t="str">
        <f>IF(ROW()&lt;9,"",IF(OR(AD217="",AD212=""),"",IF(AD212=0,"",(AD217/AD212)-1)))</f>
        <v/>
      </c>
      <c r="AH217" s="23" t="str">
        <f>IF(OR(AF217="",AG217=""),"",IF(AND(AF217&gt;0,AG217&gt;0),"Bull",IF(AND(AF217&lt;0,AG217&lt;0),"Bear","Mixed")))</f>
        <v/>
      </c>
      <c r="AI217" s="13"/>
      <c r="AJ217" s="13" t="str">
        <f>IF(OR(AI217="",AI216=""),"",IF(AI216=0,"",(AI217/AI216)-1))</f>
        <v/>
      </c>
      <c r="AK217" s="23" t="str">
        <f>IF(OR(AJ217="",AJ216=""),"",IF(AJ216=0,"",(AJ217/AJ216)-1))</f>
        <v/>
      </c>
      <c r="AL217" s="23" t="str">
        <f>IF(ROW()&lt;7,"",IF(OR(AJ217="",AJ214=""),"",IF(AJ214=0,"",(AJ217/AJ214)-1)))</f>
        <v/>
      </c>
      <c r="AM217" s="23" t="str">
        <f>IF(ROW()&lt;9,"",IF(OR(AJ217="",AJ212=""),"",IF(AJ212=0,"",(AJ217/AJ212)-1)))</f>
        <v/>
      </c>
      <c r="AN217" t="str">
        <f>IF(OR(AL217="",AM217=""),"",IF(AND(AL217&gt;0,AM217&gt;0),"Bull",IF(AND(AL217&lt;0,AM217&lt;0),"Bear","Mixed")))</f>
        <v/>
      </c>
      <c r="AO217" t="str">
        <f>IF(OR(AH217="",AN217=""),"",IF(AND(AH217="Bull",AN217="Bull"),"YES","NO"))</f>
        <v/>
      </c>
      <c r="AP217" t="str">
        <f>IF(OR(AH217="",AN217=""),"",IF(AND(AH217="Bear",AN217="Bear"),"YES","NO"))</f>
        <v/>
      </c>
      <c r="AQ217" t="str">
        <f>IF(AO217="YES",IF(SUM(N(X217),N(Y217),N(Z217))&gt;0,"SOXL","TQQQ"),IF(AP217="YES",IF(SUM(N(AA217),N(AB217),N(AC217))&gt;0,"SOXS","SQQQ"),"WAIT"))</f>
        <v>WAIT</v>
      </c>
      <c r="AR217" s="23" t="str">
        <f>IF(AO217="YES",IF(SUM(N(X217),N(Y217),N(Z217))&gt;0,"TQQQ","SOXL"),IF(AP217="YES",IF(SUM(N(AA217),N(AB217),N(AC217))&gt;0,"SQQQ","SOXS"),""))</f>
        <v/>
      </c>
      <c r="AS217" s="23" t="str">
        <f>IF(AQ217="WAIT","",IF(AR217="",1,0.6))</f>
        <v/>
      </c>
      <c r="AT217" s="23">
        <f>IF(AR217="",0,0.4)</f>
        <v>0</v>
      </c>
      <c r="AU217" s="23" t="str">
        <f>IF(AQ217="WAIT","WAIT",IF(AO217="YES","BULL",IF(AP217="YES","BEAR","WAIT")))</f>
        <v>WAIT</v>
      </c>
      <c r="AV217" t="str">
        <f>IF(AQ217="WAIT","Low",IF(OR(AND(AU217="BULL",ABS(SUM(N(X217),N(Y217),N(Z217)))&gt;=0.15),AND(AU217="BEAR",ABS(SUM(N(AA217),N(AB217),N(AC217)))&gt;=0.15)),"Strong",IF(OR(AND(AU217="BULL",ABS(SUM(N(X217),N(Y217),N(Z217)))&gt;=0.05),AND(AU217="BEAR",ABS(SUM(N(AA217),N(AB217),N(AC217)))&gt;=0.05)),"Moderate","Low")))</f>
        <v>Low</v>
      </c>
      <c r="AW217" t="str">
        <f>IF(AQ217="WAIT","QQQ and SMH not aligned",IF(AU217="BULL",IF(AQ217="SOXL","Bull regime; semiconductors leading","Bull regime; tech leading"),IF(AQ217="SOXS","Bear regime; semiconductors weakest","Bear regime; tech weakest")))</f>
        <v>QQQ and SMH not aligned</v>
      </c>
      <c r="AX217" t="str">
        <f>IF(AR217="WAIT","QQQ and SMH not aligned",IF(AV217="BULL",IF(AR217="SOXL","Bull regime; semiconductors leading","Bull regime; tech leading"),IF(AR217="SOXS","Bear regime; semiconductors weakest","Bear regime; tech weakest")))</f>
        <v>Bear regime; tech weakest</v>
      </c>
    </row>
    <row r="218" spans="1:50" x14ac:dyDescent="0.2">
      <c r="A218" s="12"/>
      <c r="B218" s="13"/>
      <c r="C218" s="13"/>
      <c r="D218" s="13"/>
      <c r="E218" s="13"/>
      <c r="F218" s="11" t="str">
        <f>IF(OR(E218="",E217=""),"",IF(E217=0,"",(E218/E217)-1))</f>
        <v/>
      </c>
      <c r="G218" s="13"/>
      <c r="H218" s="11" t="str">
        <f>IF(OR(G218="",G217=""),"",IF(G217=0,"",(G218/G217)-1))</f>
        <v/>
      </c>
      <c r="I218" s="13"/>
      <c r="J218" s="13"/>
      <c r="K218" s="13"/>
      <c r="L218" s="13"/>
      <c r="M218" s="23" t="str">
        <f>IF(OR(L218="",L217=""),"",IF(L217=0,"",(L218/L217)-1))</f>
        <v/>
      </c>
      <c r="N218" s="26" t="str">
        <f>IFERROR((M218/M217)-1,"")</f>
        <v/>
      </c>
      <c r="O218" s="23" t="str">
        <f>IF(OR(N218="",N217=""),"",IF(N217=0,"",(N218/N217)-1))</f>
        <v/>
      </c>
      <c r="P218" s="11" t="str">
        <f>IF(ROW()&lt;7,"",IF(OR(E218="",E215=""),"",IF(E215=0,"",(E218/E215)-1)))</f>
        <v/>
      </c>
      <c r="Q218" s="23" t="str">
        <f>IF(ROW()&lt;9,"",IF(OR(E218="",E213=""),"",IF(E213=0,"",(E218/E213)-1)))</f>
        <v/>
      </c>
      <c r="R218" s="23" t="str">
        <f>IF(ROW()&lt;7,"",IF(OR(G218="",G215=""),"",IF(G215=0,"",(G218/G215)-1)))</f>
        <v/>
      </c>
      <c r="S218" s="23" t="str">
        <f>IF(ROW()&lt;9,"",IF(OR(G218="",G213=""),"",IF(G213=0,"",(G218/G213)-1)))</f>
        <v/>
      </c>
      <c r="T218" s="23" t="str">
        <f>IF(ROW()&lt;7,"",IF(OR(L218="",L215=""),"",IF(L215=0,"",(L218/L215)-1)))</f>
        <v/>
      </c>
      <c r="U218" s="23" t="str">
        <f>IF(ROW()&lt;9,"",IF(OR(L218="",L213=""),"",IF(L213=0,"",(L218/L213)-1)))</f>
        <v/>
      </c>
      <c r="V218" s="23" t="str">
        <f>IF(ROW()&lt;7,"",IF(OR(N218="",N215=""),"",IF(N215=0,"",(N218/N215)-1)))</f>
        <v/>
      </c>
      <c r="W218" s="23" t="str">
        <f>IF(ROW()&lt;9,"",IF(OR(N218="",N213=""),"",IF(N213=0,"",(N218/N213)-1)))</f>
        <v/>
      </c>
      <c r="X218" s="23" t="str">
        <f>IF(OR(F218="",M218=""),"",F218-M218)</f>
        <v/>
      </c>
      <c r="Y218" s="23" t="str">
        <f>IF(OR(P218="",T218=""),"",P218-T218)</f>
        <v/>
      </c>
      <c r="Z218" s="23" t="str">
        <f>IF(OR(Q218="",U218=""),"",Q218-U218)</f>
        <v/>
      </c>
      <c r="AA218" s="23" t="str">
        <f>IF(OR(H218="",O218=""),"",H218-O218)</f>
        <v/>
      </c>
      <c r="AB218" s="23" t="str">
        <f>IF(OR(R218="",V218=""),"",R218-V218)</f>
        <v/>
      </c>
      <c r="AC218" s="23" t="str">
        <f>IF(OR(S218="",W218=""),"",S218-W218)</f>
        <v/>
      </c>
      <c r="AD218" s="13"/>
      <c r="AE218" s="23" t="str">
        <f>IF(OR(AD218="",AD217=""),"",IF(AD217=0,"",(AD218/AD217)-1))</f>
        <v/>
      </c>
      <c r="AF218" s="23" t="str">
        <f>IF(ROW()&lt;7,"",IF(OR(AD218="",AD215=""),"",IF(AD215=0,"",(AD218/AD215)-1)))</f>
        <v/>
      </c>
      <c r="AG218" s="23" t="str">
        <f>IF(ROW()&lt;9,"",IF(OR(AD218="",AD213=""),"",IF(AD213=0,"",(AD218/AD213)-1)))</f>
        <v/>
      </c>
      <c r="AH218" s="23" t="str">
        <f>IF(OR(AF218="",AG218=""),"",IF(AND(AF218&gt;0,AG218&gt;0),"Bull",IF(AND(AF218&lt;0,AG218&lt;0),"Bear","Mixed")))</f>
        <v/>
      </c>
      <c r="AI218" s="13"/>
      <c r="AJ218" s="13" t="str">
        <f>IF(OR(AI218="",AI217=""),"",IF(AI217=0,"",(AI218/AI217)-1))</f>
        <v/>
      </c>
      <c r="AK218" s="23" t="str">
        <f>IF(OR(AJ218="",AJ217=""),"",IF(AJ217=0,"",(AJ218/AJ217)-1))</f>
        <v/>
      </c>
      <c r="AL218" s="23" t="str">
        <f>IF(ROW()&lt;7,"",IF(OR(AJ218="",AJ215=""),"",IF(AJ215=0,"",(AJ218/AJ215)-1)))</f>
        <v/>
      </c>
      <c r="AM218" s="23" t="str">
        <f>IF(ROW()&lt;9,"",IF(OR(AJ218="",AJ213=""),"",IF(AJ213=0,"",(AJ218/AJ213)-1)))</f>
        <v/>
      </c>
      <c r="AN218" t="str">
        <f>IF(OR(AL218="",AM218=""),"",IF(AND(AL218&gt;0,AM218&gt;0),"Bull",IF(AND(AL218&lt;0,AM218&lt;0),"Bear","Mixed")))</f>
        <v/>
      </c>
      <c r="AO218" t="str">
        <f>IF(OR(AH218="",AN218=""),"",IF(AND(AH218="Bull",AN218="Bull"),"YES","NO"))</f>
        <v/>
      </c>
      <c r="AP218" t="str">
        <f>IF(OR(AH218="",AN218=""),"",IF(AND(AH218="Bear",AN218="Bear"),"YES","NO"))</f>
        <v/>
      </c>
      <c r="AQ218" t="str">
        <f>IF(AO218="YES",IF(SUM(N(X218),N(Y218),N(Z218))&gt;0,"SOXL","TQQQ"),IF(AP218="YES",IF(SUM(N(AA218),N(AB218),N(AC218))&gt;0,"SOXS","SQQQ"),"WAIT"))</f>
        <v>WAIT</v>
      </c>
      <c r="AR218" s="23" t="str">
        <f>IF(AO218="YES",IF(SUM(N(X218),N(Y218),N(Z218))&gt;0,"TQQQ","SOXL"),IF(AP218="YES",IF(SUM(N(AA218),N(AB218),N(AC218))&gt;0,"SQQQ","SOXS"),""))</f>
        <v/>
      </c>
      <c r="AS218" s="23" t="str">
        <f>IF(AQ218="WAIT","",IF(AR218="",1,0.6))</f>
        <v/>
      </c>
      <c r="AT218" s="23">
        <f>IF(AR218="",0,0.4)</f>
        <v>0</v>
      </c>
      <c r="AU218" s="23" t="str">
        <f>IF(AQ218="WAIT","WAIT",IF(AO218="YES","BULL",IF(AP218="YES","BEAR","WAIT")))</f>
        <v>WAIT</v>
      </c>
      <c r="AV218" t="str">
        <f>IF(AQ218="WAIT","Low",IF(OR(AND(AU218="BULL",ABS(SUM(N(X218),N(Y218),N(Z218)))&gt;=0.15),AND(AU218="BEAR",ABS(SUM(N(AA218),N(AB218),N(AC218)))&gt;=0.15)),"Strong",IF(OR(AND(AU218="BULL",ABS(SUM(N(X218),N(Y218),N(Z218)))&gt;=0.05),AND(AU218="BEAR",ABS(SUM(N(AA218),N(AB218),N(AC218)))&gt;=0.05)),"Moderate","Low")))</f>
        <v>Low</v>
      </c>
      <c r="AW218" t="str">
        <f>IF(AQ218="WAIT","QQQ and SMH not aligned",IF(AU218="BULL",IF(AQ218="SOXL","Bull regime; semiconductors leading","Bull regime; tech leading"),IF(AQ218="SOXS","Bear regime; semiconductors weakest","Bear regime; tech weakest")))</f>
        <v>QQQ and SMH not aligned</v>
      </c>
      <c r="AX218" t="str">
        <f>IF(AR218="WAIT","QQQ and SMH not aligned",IF(AV218="BULL",IF(AR218="SOXL","Bull regime; semiconductors leading","Bull regime; tech leading"),IF(AR218="SOXS","Bear regime; semiconductors weakest","Bear regime; tech weakest")))</f>
        <v>Bear regime; tech weakest</v>
      </c>
    </row>
    <row r="219" spans="1:50" x14ac:dyDescent="0.2">
      <c r="A219" s="12"/>
      <c r="B219" s="13"/>
      <c r="C219" s="13"/>
      <c r="D219" s="13"/>
      <c r="E219" s="13"/>
      <c r="F219" s="11" t="str">
        <f>IF(OR(E219="",E218=""),"",IF(E218=0,"",(E219/E218)-1))</f>
        <v/>
      </c>
      <c r="G219" s="13"/>
      <c r="H219" s="11" t="str">
        <f>IF(OR(G219="",G218=""),"",IF(G218=0,"",(G219/G218)-1))</f>
        <v/>
      </c>
      <c r="I219" s="13"/>
      <c r="J219" s="13"/>
      <c r="K219" s="13"/>
      <c r="L219" s="13"/>
      <c r="M219" s="23" t="str">
        <f>IF(OR(L219="",L218=""),"",IF(L218=0,"",(L219/L218)-1))</f>
        <v/>
      </c>
      <c r="N219" s="26" t="str">
        <f>IFERROR((M219/M218)-1,"")</f>
        <v/>
      </c>
      <c r="O219" s="23" t="str">
        <f>IF(OR(N219="",N218=""),"",IF(N218=0,"",(N219/N218)-1))</f>
        <v/>
      </c>
      <c r="P219" s="11" t="str">
        <f>IF(ROW()&lt;7,"",IF(OR(E219="",E216=""),"",IF(E216=0,"",(E219/E216)-1)))</f>
        <v/>
      </c>
      <c r="Q219" s="23" t="str">
        <f>IF(ROW()&lt;9,"",IF(OR(E219="",E214=""),"",IF(E214=0,"",(E219/E214)-1)))</f>
        <v/>
      </c>
      <c r="R219" s="23" t="str">
        <f>IF(ROW()&lt;7,"",IF(OR(G219="",G216=""),"",IF(G216=0,"",(G219/G216)-1)))</f>
        <v/>
      </c>
      <c r="S219" s="23" t="str">
        <f>IF(ROW()&lt;9,"",IF(OR(G219="",G214=""),"",IF(G214=0,"",(G219/G214)-1)))</f>
        <v/>
      </c>
      <c r="T219" s="23" t="str">
        <f>IF(ROW()&lt;7,"",IF(OR(L219="",L216=""),"",IF(L216=0,"",(L219/L216)-1)))</f>
        <v/>
      </c>
      <c r="U219" s="23" t="str">
        <f>IF(ROW()&lt;9,"",IF(OR(L219="",L214=""),"",IF(L214=0,"",(L219/L214)-1)))</f>
        <v/>
      </c>
      <c r="V219" s="23" t="str">
        <f>IF(ROW()&lt;7,"",IF(OR(N219="",N216=""),"",IF(N216=0,"",(N219/N216)-1)))</f>
        <v/>
      </c>
      <c r="W219" s="23" t="str">
        <f>IF(ROW()&lt;9,"",IF(OR(N219="",N214=""),"",IF(N214=0,"",(N219/N214)-1)))</f>
        <v/>
      </c>
      <c r="X219" s="23" t="str">
        <f>IF(OR(F219="",M219=""),"",F219-M219)</f>
        <v/>
      </c>
      <c r="Y219" s="23" t="str">
        <f>IF(OR(P219="",T219=""),"",P219-T219)</f>
        <v/>
      </c>
      <c r="Z219" s="23" t="str">
        <f>IF(OR(Q219="",U219=""),"",Q219-U219)</f>
        <v/>
      </c>
      <c r="AA219" s="23" t="str">
        <f>IF(OR(H219="",O219=""),"",H219-O219)</f>
        <v/>
      </c>
      <c r="AB219" s="23" t="str">
        <f>IF(OR(R219="",V219=""),"",R219-V219)</f>
        <v/>
      </c>
      <c r="AC219" s="23" t="str">
        <f>IF(OR(S219="",W219=""),"",S219-W219)</f>
        <v/>
      </c>
      <c r="AD219" s="13"/>
      <c r="AE219" s="23" t="str">
        <f>IF(OR(AD219="",AD218=""),"",IF(AD218=0,"",(AD219/AD218)-1))</f>
        <v/>
      </c>
      <c r="AF219" s="23" t="str">
        <f>IF(ROW()&lt;7,"",IF(OR(AD219="",AD216=""),"",IF(AD216=0,"",(AD219/AD216)-1)))</f>
        <v/>
      </c>
      <c r="AG219" s="23" t="str">
        <f>IF(ROW()&lt;9,"",IF(OR(AD219="",AD214=""),"",IF(AD214=0,"",(AD219/AD214)-1)))</f>
        <v/>
      </c>
      <c r="AH219" s="23" t="str">
        <f>IF(OR(AF219="",AG219=""),"",IF(AND(AF219&gt;0,AG219&gt;0),"Bull",IF(AND(AF219&lt;0,AG219&lt;0),"Bear","Mixed")))</f>
        <v/>
      </c>
      <c r="AI219" s="13"/>
      <c r="AJ219" s="13" t="str">
        <f>IF(OR(AI219="",AI218=""),"",IF(AI218=0,"",(AI219/AI218)-1))</f>
        <v/>
      </c>
      <c r="AK219" s="23" t="str">
        <f>IF(OR(AJ219="",AJ218=""),"",IF(AJ218=0,"",(AJ219/AJ218)-1))</f>
        <v/>
      </c>
      <c r="AL219" s="23" t="str">
        <f>IF(ROW()&lt;7,"",IF(OR(AJ219="",AJ216=""),"",IF(AJ216=0,"",(AJ219/AJ216)-1)))</f>
        <v/>
      </c>
      <c r="AM219" s="23" t="str">
        <f>IF(ROW()&lt;9,"",IF(OR(AJ219="",AJ214=""),"",IF(AJ214=0,"",(AJ219/AJ214)-1)))</f>
        <v/>
      </c>
      <c r="AN219" t="str">
        <f>IF(OR(AL219="",AM219=""),"",IF(AND(AL219&gt;0,AM219&gt;0),"Bull",IF(AND(AL219&lt;0,AM219&lt;0),"Bear","Mixed")))</f>
        <v/>
      </c>
      <c r="AO219" t="str">
        <f>IF(OR(AH219="",AN219=""),"",IF(AND(AH219="Bull",AN219="Bull"),"YES","NO"))</f>
        <v/>
      </c>
      <c r="AP219" t="str">
        <f>IF(OR(AH219="",AN219=""),"",IF(AND(AH219="Bear",AN219="Bear"),"YES","NO"))</f>
        <v/>
      </c>
      <c r="AQ219" t="str">
        <f>IF(AO219="YES",IF(SUM(N(X219),N(Y219),N(Z219))&gt;0,"SOXL","TQQQ"),IF(AP219="YES",IF(SUM(N(AA219),N(AB219),N(AC219))&gt;0,"SOXS","SQQQ"),"WAIT"))</f>
        <v>WAIT</v>
      </c>
      <c r="AR219" s="23" t="str">
        <f>IF(AO219="YES",IF(SUM(N(X219),N(Y219),N(Z219))&gt;0,"TQQQ","SOXL"),IF(AP219="YES",IF(SUM(N(AA219),N(AB219),N(AC219))&gt;0,"SQQQ","SOXS"),""))</f>
        <v/>
      </c>
      <c r="AS219" s="23" t="str">
        <f>IF(AQ219="WAIT","",IF(AR219="",1,0.6))</f>
        <v/>
      </c>
      <c r="AT219" s="23">
        <f>IF(AR219="",0,0.4)</f>
        <v>0</v>
      </c>
      <c r="AU219" s="23" t="str">
        <f>IF(AQ219="WAIT","WAIT",IF(AO219="YES","BULL",IF(AP219="YES","BEAR","WAIT")))</f>
        <v>WAIT</v>
      </c>
      <c r="AV219" t="str">
        <f>IF(AQ219="WAIT","Low",IF(OR(AND(AU219="BULL",ABS(SUM(N(X219),N(Y219),N(Z219)))&gt;=0.15),AND(AU219="BEAR",ABS(SUM(N(AA219),N(AB219),N(AC219)))&gt;=0.15)),"Strong",IF(OR(AND(AU219="BULL",ABS(SUM(N(X219),N(Y219),N(Z219)))&gt;=0.05),AND(AU219="BEAR",ABS(SUM(N(AA219),N(AB219),N(AC219)))&gt;=0.05)),"Moderate","Low")))</f>
        <v>Low</v>
      </c>
      <c r="AW219" t="str">
        <f>IF(AQ219="WAIT","QQQ and SMH not aligned",IF(AU219="BULL",IF(AQ219="SOXL","Bull regime; semiconductors leading","Bull regime; tech leading"),IF(AQ219="SOXS","Bear regime; semiconductors weakest","Bear regime; tech weakest")))</f>
        <v>QQQ and SMH not aligned</v>
      </c>
      <c r="AX219" t="str">
        <f>IF(AR219="WAIT","QQQ and SMH not aligned",IF(AV219="BULL",IF(AR219="SOXL","Bull regime; semiconductors leading","Bull regime; tech leading"),IF(AR219="SOXS","Bear regime; semiconductors weakest","Bear regime; tech weakest")))</f>
        <v>Bear regime; tech weakest</v>
      </c>
    </row>
    <row r="220" spans="1:50" x14ac:dyDescent="0.2">
      <c r="A220" s="12"/>
      <c r="B220" s="13"/>
      <c r="C220" s="13"/>
      <c r="D220" s="13"/>
      <c r="E220" s="13"/>
      <c r="F220" s="11" t="str">
        <f>IF(OR(E220="",E219=""),"",IF(E219=0,"",(E220/E219)-1))</f>
        <v/>
      </c>
      <c r="G220" s="13"/>
      <c r="H220" s="11" t="str">
        <f>IF(OR(G220="",G219=""),"",IF(G219=0,"",(G220/G219)-1))</f>
        <v/>
      </c>
      <c r="I220" s="13"/>
      <c r="J220" s="13"/>
      <c r="K220" s="13"/>
      <c r="L220" s="13"/>
      <c r="M220" s="23" t="str">
        <f>IF(OR(L220="",L219=""),"",IF(L219=0,"",(L220/L219)-1))</f>
        <v/>
      </c>
      <c r="N220" s="26" t="str">
        <f>IFERROR((M220/M219)-1,"")</f>
        <v/>
      </c>
      <c r="O220" s="23" t="str">
        <f>IF(OR(N220="",N219=""),"",IF(N219=0,"",(N220/N219)-1))</f>
        <v/>
      </c>
      <c r="P220" s="11" t="str">
        <f>IF(ROW()&lt;7,"",IF(OR(E220="",E217=""),"",IF(E217=0,"",(E220/E217)-1)))</f>
        <v/>
      </c>
      <c r="Q220" s="23" t="str">
        <f>IF(ROW()&lt;9,"",IF(OR(E220="",E215=""),"",IF(E215=0,"",(E220/E215)-1)))</f>
        <v/>
      </c>
      <c r="R220" s="23" t="str">
        <f>IF(ROW()&lt;7,"",IF(OR(G220="",G217=""),"",IF(G217=0,"",(G220/G217)-1)))</f>
        <v/>
      </c>
      <c r="S220" s="23" t="str">
        <f>IF(ROW()&lt;9,"",IF(OR(G220="",G215=""),"",IF(G215=0,"",(G220/G215)-1)))</f>
        <v/>
      </c>
      <c r="T220" s="23" t="str">
        <f>IF(ROW()&lt;7,"",IF(OR(L220="",L217=""),"",IF(L217=0,"",(L220/L217)-1)))</f>
        <v/>
      </c>
      <c r="U220" s="23" t="str">
        <f>IF(ROW()&lt;9,"",IF(OR(L220="",L215=""),"",IF(L215=0,"",(L220/L215)-1)))</f>
        <v/>
      </c>
      <c r="V220" s="23" t="str">
        <f>IF(ROW()&lt;7,"",IF(OR(N220="",N217=""),"",IF(N217=0,"",(N220/N217)-1)))</f>
        <v/>
      </c>
      <c r="W220" s="23" t="str">
        <f>IF(ROW()&lt;9,"",IF(OR(N220="",N215=""),"",IF(N215=0,"",(N220/N215)-1)))</f>
        <v/>
      </c>
      <c r="X220" s="23" t="str">
        <f>IF(OR(F220="",M220=""),"",F220-M220)</f>
        <v/>
      </c>
      <c r="Y220" s="23" t="str">
        <f>IF(OR(P220="",T220=""),"",P220-T220)</f>
        <v/>
      </c>
      <c r="Z220" s="23" t="str">
        <f>IF(OR(Q220="",U220=""),"",Q220-U220)</f>
        <v/>
      </c>
      <c r="AA220" s="23" t="str">
        <f>IF(OR(H220="",O220=""),"",H220-O220)</f>
        <v/>
      </c>
      <c r="AB220" s="23" t="str">
        <f>IF(OR(R220="",V220=""),"",R220-V220)</f>
        <v/>
      </c>
      <c r="AC220" s="23" t="str">
        <f>IF(OR(S220="",W220=""),"",S220-W220)</f>
        <v/>
      </c>
      <c r="AD220" s="13"/>
      <c r="AE220" s="23" t="str">
        <f>IF(OR(AD220="",AD219=""),"",IF(AD219=0,"",(AD220/AD219)-1))</f>
        <v/>
      </c>
      <c r="AF220" s="23" t="str">
        <f>IF(ROW()&lt;7,"",IF(OR(AD220="",AD217=""),"",IF(AD217=0,"",(AD220/AD217)-1)))</f>
        <v/>
      </c>
      <c r="AG220" s="23" t="str">
        <f>IF(ROW()&lt;9,"",IF(OR(AD220="",AD215=""),"",IF(AD215=0,"",(AD220/AD215)-1)))</f>
        <v/>
      </c>
      <c r="AH220" s="23" t="str">
        <f>IF(OR(AF220="",AG220=""),"",IF(AND(AF220&gt;0,AG220&gt;0),"Bull",IF(AND(AF220&lt;0,AG220&lt;0),"Bear","Mixed")))</f>
        <v/>
      </c>
      <c r="AI220" s="13"/>
      <c r="AJ220" s="13" t="str">
        <f>IF(OR(AI220="",AI219=""),"",IF(AI219=0,"",(AI220/AI219)-1))</f>
        <v/>
      </c>
      <c r="AK220" s="23" t="str">
        <f>IF(OR(AJ220="",AJ219=""),"",IF(AJ219=0,"",(AJ220/AJ219)-1))</f>
        <v/>
      </c>
      <c r="AL220" s="23" t="str">
        <f>IF(ROW()&lt;7,"",IF(OR(AJ220="",AJ217=""),"",IF(AJ217=0,"",(AJ220/AJ217)-1)))</f>
        <v/>
      </c>
      <c r="AM220" s="23" t="str">
        <f>IF(ROW()&lt;9,"",IF(OR(AJ220="",AJ215=""),"",IF(AJ215=0,"",(AJ220/AJ215)-1)))</f>
        <v/>
      </c>
      <c r="AN220" t="str">
        <f>IF(OR(AL220="",AM220=""),"",IF(AND(AL220&gt;0,AM220&gt;0),"Bull",IF(AND(AL220&lt;0,AM220&lt;0),"Bear","Mixed")))</f>
        <v/>
      </c>
      <c r="AO220" t="str">
        <f>IF(OR(AH220="",AN220=""),"",IF(AND(AH220="Bull",AN220="Bull"),"YES","NO"))</f>
        <v/>
      </c>
      <c r="AP220" t="str">
        <f>IF(OR(AH220="",AN220=""),"",IF(AND(AH220="Bear",AN220="Bear"),"YES","NO"))</f>
        <v/>
      </c>
      <c r="AQ220" t="str">
        <f>IF(AO220="YES",IF(SUM(N(X220),N(Y220),N(Z220))&gt;0,"SOXL","TQQQ"),IF(AP220="YES",IF(SUM(N(AA220),N(AB220),N(AC220))&gt;0,"SOXS","SQQQ"),"WAIT"))</f>
        <v>WAIT</v>
      </c>
      <c r="AR220" s="23" t="str">
        <f>IF(AO220="YES",IF(SUM(N(X220),N(Y220),N(Z220))&gt;0,"TQQQ","SOXL"),IF(AP220="YES",IF(SUM(N(AA220),N(AB220),N(AC220))&gt;0,"SQQQ","SOXS"),""))</f>
        <v/>
      </c>
      <c r="AS220" s="23" t="str">
        <f>IF(AQ220="WAIT","",IF(AR220="",1,0.6))</f>
        <v/>
      </c>
      <c r="AT220" s="23">
        <f>IF(AR220="",0,0.4)</f>
        <v>0</v>
      </c>
      <c r="AU220" s="23" t="str">
        <f>IF(AQ220="WAIT","WAIT",IF(AO220="YES","BULL",IF(AP220="YES","BEAR","WAIT")))</f>
        <v>WAIT</v>
      </c>
      <c r="AV220" t="str">
        <f>IF(AQ220="WAIT","Low",IF(OR(AND(AU220="BULL",ABS(SUM(N(X220),N(Y220),N(Z220)))&gt;=0.15),AND(AU220="BEAR",ABS(SUM(N(AA220),N(AB220),N(AC220)))&gt;=0.15)),"Strong",IF(OR(AND(AU220="BULL",ABS(SUM(N(X220),N(Y220),N(Z220)))&gt;=0.05),AND(AU220="BEAR",ABS(SUM(N(AA220),N(AB220),N(AC220)))&gt;=0.05)),"Moderate","Low")))</f>
        <v>Low</v>
      </c>
      <c r="AW220" t="str">
        <f>IF(AQ220="WAIT","QQQ and SMH not aligned",IF(AU220="BULL",IF(AQ220="SOXL","Bull regime; semiconductors leading","Bull regime; tech leading"),IF(AQ220="SOXS","Bear regime; semiconductors weakest","Bear regime; tech weakest")))</f>
        <v>QQQ and SMH not aligned</v>
      </c>
      <c r="AX220" t="str">
        <f>IF(AR220="WAIT","QQQ and SMH not aligned",IF(AV220="BULL",IF(AR220="SOXL","Bull regime; semiconductors leading","Bull regime; tech leading"),IF(AR220="SOXS","Bear regime; semiconductors weakest","Bear regime; tech weakest")))</f>
        <v>Bear regime; tech weakest</v>
      </c>
    </row>
    <row r="221" spans="1:50" x14ac:dyDescent="0.2">
      <c r="A221" s="12"/>
      <c r="B221" s="13"/>
      <c r="C221" s="13"/>
      <c r="D221" s="13"/>
      <c r="E221" s="13"/>
      <c r="F221" s="11" t="str">
        <f>IF(OR(E221="",E220=""),"",IF(E220=0,"",(E221/E220)-1))</f>
        <v/>
      </c>
      <c r="G221" s="13"/>
      <c r="H221" s="11" t="str">
        <f>IF(OR(G221="",G220=""),"",IF(G220=0,"",(G221/G220)-1))</f>
        <v/>
      </c>
      <c r="I221" s="13"/>
      <c r="J221" s="13"/>
      <c r="K221" s="13"/>
      <c r="L221" s="13"/>
      <c r="M221" s="23" t="str">
        <f>IF(OR(L221="",L220=""),"",IF(L220=0,"",(L221/L220)-1))</f>
        <v/>
      </c>
      <c r="N221" s="26" t="str">
        <f>IFERROR((M221/M220)-1,"")</f>
        <v/>
      </c>
      <c r="O221" s="23" t="str">
        <f>IF(OR(N221="",N220=""),"",IF(N220=0,"",(N221/N220)-1))</f>
        <v/>
      </c>
      <c r="P221" s="11" t="str">
        <f>IF(ROW()&lt;7,"",IF(OR(E221="",E218=""),"",IF(E218=0,"",(E221/E218)-1)))</f>
        <v/>
      </c>
      <c r="Q221" s="23" t="str">
        <f>IF(ROW()&lt;9,"",IF(OR(E221="",E216=""),"",IF(E216=0,"",(E221/E216)-1)))</f>
        <v/>
      </c>
      <c r="R221" s="23" t="str">
        <f>IF(ROW()&lt;7,"",IF(OR(G221="",G218=""),"",IF(G218=0,"",(G221/G218)-1)))</f>
        <v/>
      </c>
      <c r="S221" s="23" t="str">
        <f>IF(ROW()&lt;9,"",IF(OR(G221="",G216=""),"",IF(G216=0,"",(G221/G216)-1)))</f>
        <v/>
      </c>
      <c r="T221" s="23" t="str">
        <f>IF(ROW()&lt;7,"",IF(OR(L221="",L218=""),"",IF(L218=0,"",(L221/L218)-1)))</f>
        <v/>
      </c>
      <c r="U221" s="23" t="str">
        <f>IF(ROW()&lt;9,"",IF(OR(L221="",L216=""),"",IF(L216=0,"",(L221/L216)-1)))</f>
        <v/>
      </c>
      <c r="V221" s="23" t="str">
        <f>IF(ROW()&lt;7,"",IF(OR(N221="",N218=""),"",IF(N218=0,"",(N221/N218)-1)))</f>
        <v/>
      </c>
      <c r="W221" s="23" t="str">
        <f>IF(ROW()&lt;9,"",IF(OR(N221="",N216=""),"",IF(N216=0,"",(N221/N216)-1)))</f>
        <v/>
      </c>
      <c r="X221" s="23" t="str">
        <f>IF(OR(F221="",M221=""),"",F221-M221)</f>
        <v/>
      </c>
      <c r="Y221" s="23" t="str">
        <f>IF(OR(P221="",T221=""),"",P221-T221)</f>
        <v/>
      </c>
      <c r="Z221" s="23" t="str">
        <f>IF(OR(Q221="",U221=""),"",Q221-U221)</f>
        <v/>
      </c>
      <c r="AA221" s="23" t="str">
        <f>IF(OR(H221="",O221=""),"",H221-O221)</f>
        <v/>
      </c>
      <c r="AB221" s="23" t="str">
        <f>IF(OR(R221="",V221=""),"",R221-V221)</f>
        <v/>
      </c>
      <c r="AC221" s="23" t="str">
        <f>IF(OR(S221="",W221=""),"",S221-W221)</f>
        <v/>
      </c>
      <c r="AD221" s="13"/>
      <c r="AE221" s="23" t="str">
        <f>IF(OR(AD221="",AD220=""),"",IF(AD220=0,"",(AD221/AD220)-1))</f>
        <v/>
      </c>
      <c r="AF221" s="23" t="str">
        <f>IF(ROW()&lt;7,"",IF(OR(AD221="",AD218=""),"",IF(AD218=0,"",(AD221/AD218)-1)))</f>
        <v/>
      </c>
      <c r="AG221" s="23" t="str">
        <f>IF(ROW()&lt;9,"",IF(OR(AD221="",AD216=""),"",IF(AD216=0,"",(AD221/AD216)-1)))</f>
        <v/>
      </c>
      <c r="AH221" s="23" t="str">
        <f>IF(OR(AF221="",AG221=""),"",IF(AND(AF221&gt;0,AG221&gt;0),"Bull",IF(AND(AF221&lt;0,AG221&lt;0),"Bear","Mixed")))</f>
        <v/>
      </c>
      <c r="AI221" s="13"/>
      <c r="AJ221" s="13" t="str">
        <f>IF(OR(AI221="",AI220=""),"",IF(AI220=0,"",(AI221/AI220)-1))</f>
        <v/>
      </c>
      <c r="AK221" s="23" t="str">
        <f>IF(OR(AJ221="",AJ220=""),"",IF(AJ220=0,"",(AJ221/AJ220)-1))</f>
        <v/>
      </c>
      <c r="AL221" s="23" t="str">
        <f>IF(ROW()&lt;7,"",IF(OR(AJ221="",AJ218=""),"",IF(AJ218=0,"",(AJ221/AJ218)-1)))</f>
        <v/>
      </c>
      <c r="AM221" s="23" t="str">
        <f>IF(ROW()&lt;9,"",IF(OR(AJ221="",AJ216=""),"",IF(AJ216=0,"",(AJ221/AJ216)-1)))</f>
        <v/>
      </c>
      <c r="AN221" t="str">
        <f>IF(OR(AL221="",AM221=""),"",IF(AND(AL221&gt;0,AM221&gt;0),"Bull",IF(AND(AL221&lt;0,AM221&lt;0),"Bear","Mixed")))</f>
        <v/>
      </c>
      <c r="AO221" t="str">
        <f>IF(OR(AH221="",AN221=""),"",IF(AND(AH221="Bull",AN221="Bull"),"YES","NO"))</f>
        <v/>
      </c>
      <c r="AP221" t="str">
        <f>IF(OR(AH221="",AN221=""),"",IF(AND(AH221="Bear",AN221="Bear"),"YES","NO"))</f>
        <v/>
      </c>
      <c r="AQ221" t="str">
        <f>IF(AO221="YES",IF(SUM(N(X221),N(Y221),N(Z221))&gt;0,"SOXL","TQQQ"),IF(AP221="YES",IF(SUM(N(AA221),N(AB221),N(AC221))&gt;0,"SOXS","SQQQ"),"WAIT"))</f>
        <v>WAIT</v>
      </c>
      <c r="AR221" s="23" t="str">
        <f>IF(AO221="YES",IF(SUM(N(X221),N(Y221),N(Z221))&gt;0,"TQQQ","SOXL"),IF(AP221="YES",IF(SUM(N(AA221),N(AB221),N(AC221))&gt;0,"SQQQ","SOXS"),""))</f>
        <v/>
      </c>
      <c r="AS221" s="23" t="str">
        <f>IF(AQ221="WAIT","",IF(AR221="",1,0.6))</f>
        <v/>
      </c>
      <c r="AT221" s="23">
        <f>IF(AR221="",0,0.4)</f>
        <v>0</v>
      </c>
      <c r="AU221" s="23" t="str">
        <f>IF(AQ221="WAIT","WAIT",IF(AO221="YES","BULL",IF(AP221="YES","BEAR","WAIT")))</f>
        <v>WAIT</v>
      </c>
      <c r="AV221" t="str">
        <f>IF(AQ221="WAIT","Low",IF(OR(AND(AU221="BULL",ABS(SUM(N(X221),N(Y221),N(Z221)))&gt;=0.15),AND(AU221="BEAR",ABS(SUM(N(AA221),N(AB221),N(AC221)))&gt;=0.15)),"Strong",IF(OR(AND(AU221="BULL",ABS(SUM(N(X221),N(Y221),N(Z221)))&gt;=0.05),AND(AU221="BEAR",ABS(SUM(N(AA221),N(AB221),N(AC221)))&gt;=0.05)),"Moderate","Low")))</f>
        <v>Low</v>
      </c>
      <c r="AW221" t="str">
        <f>IF(AQ221="WAIT","QQQ and SMH not aligned",IF(AU221="BULL",IF(AQ221="SOXL","Bull regime; semiconductors leading","Bull regime; tech leading"),IF(AQ221="SOXS","Bear regime; semiconductors weakest","Bear regime; tech weakest")))</f>
        <v>QQQ and SMH not aligned</v>
      </c>
      <c r="AX221" t="str">
        <f>IF(AR221="WAIT","QQQ and SMH not aligned",IF(AV221="BULL",IF(AR221="SOXL","Bull regime; semiconductors leading","Bull regime; tech leading"),IF(AR221="SOXS","Bear regime; semiconductors weakest","Bear regime; tech weakest")))</f>
        <v>Bear regime; tech weakest</v>
      </c>
    </row>
    <row r="222" spans="1:50" x14ac:dyDescent="0.2">
      <c r="A222" s="12"/>
      <c r="B222" s="13"/>
      <c r="C222" s="13"/>
      <c r="D222" s="13"/>
      <c r="E222" s="13"/>
      <c r="F222" s="11" t="str">
        <f>IF(OR(E222="",E221=""),"",IF(E221=0,"",(E222/E221)-1))</f>
        <v/>
      </c>
      <c r="G222" s="13"/>
      <c r="H222" s="11" t="str">
        <f>IF(OR(G222="",G221=""),"",IF(G221=0,"",(G222/G221)-1))</f>
        <v/>
      </c>
      <c r="I222" s="13"/>
      <c r="J222" s="13"/>
      <c r="K222" s="13"/>
      <c r="L222" s="13"/>
      <c r="M222" s="23" t="str">
        <f>IF(OR(L222="",L221=""),"",IF(L221=0,"",(L222/L221)-1))</f>
        <v/>
      </c>
      <c r="N222" s="26" t="str">
        <f>IFERROR((M222/M221)-1,"")</f>
        <v/>
      </c>
      <c r="O222" s="23" t="str">
        <f>IF(OR(N222="",N221=""),"",IF(N221=0,"",(N222/N221)-1))</f>
        <v/>
      </c>
      <c r="P222" s="11" t="str">
        <f>IF(ROW()&lt;7,"",IF(OR(E222="",E219=""),"",IF(E219=0,"",(E222/E219)-1)))</f>
        <v/>
      </c>
      <c r="Q222" s="23" t="str">
        <f>IF(ROW()&lt;9,"",IF(OR(E222="",E217=""),"",IF(E217=0,"",(E222/E217)-1)))</f>
        <v/>
      </c>
      <c r="R222" s="23" t="str">
        <f>IF(ROW()&lt;7,"",IF(OR(G222="",G219=""),"",IF(G219=0,"",(G222/G219)-1)))</f>
        <v/>
      </c>
      <c r="S222" s="23" t="str">
        <f>IF(ROW()&lt;9,"",IF(OR(G222="",G217=""),"",IF(G217=0,"",(G222/G217)-1)))</f>
        <v/>
      </c>
      <c r="T222" s="23" t="str">
        <f>IF(ROW()&lt;7,"",IF(OR(L222="",L219=""),"",IF(L219=0,"",(L222/L219)-1)))</f>
        <v/>
      </c>
      <c r="U222" s="23" t="str">
        <f>IF(ROW()&lt;9,"",IF(OR(L222="",L217=""),"",IF(L217=0,"",(L222/L217)-1)))</f>
        <v/>
      </c>
      <c r="V222" s="23" t="str">
        <f>IF(ROW()&lt;7,"",IF(OR(N222="",N219=""),"",IF(N219=0,"",(N222/N219)-1)))</f>
        <v/>
      </c>
      <c r="W222" s="23" t="str">
        <f>IF(ROW()&lt;9,"",IF(OR(N222="",N217=""),"",IF(N217=0,"",(N222/N217)-1)))</f>
        <v/>
      </c>
      <c r="X222" s="23" t="str">
        <f>IF(OR(F222="",M222=""),"",F222-M222)</f>
        <v/>
      </c>
      <c r="Y222" s="23" t="str">
        <f>IF(OR(P222="",T222=""),"",P222-T222)</f>
        <v/>
      </c>
      <c r="Z222" s="23" t="str">
        <f>IF(OR(Q222="",U222=""),"",Q222-U222)</f>
        <v/>
      </c>
      <c r="AA222" s="23" t="str">
        <f>IF(OR(H222="",O222=""),"",H222-O222)</f>
        <v/>
      </c>
      <c r="AB222" s="23" t="str">
        <f>IF(OR(R222="",V222=""),"",R222-V222)</f>
        <v/>
      </c>
      <c r="AC222" s="23" t="str">
        <f>IF(OR(S222="",W222=""),"",S222-W222)</f>
        <v/>
      </c>
      <c r="AD222" s="13"/>
      <c r="AE222" s="23" t="str">
        <f>IF(OR(AD222="",AD221=""),"",IF(AD221=0,"",(AD222/AD221)-1))</f>
        <v/>
      </c>
      <c r="AF222" s="23" t="str">
        <f>IF(ROW()&lt;7,"",IF(OR(AD222="",AD219=""),"",IF(AD219=0,"",(AD222/AD219)-1)))</f>
        <v/>
      </c>
      <c r="AG222" s="23" t="str">
        <f>IF(ROW()&lt;9,"",IF(OR(AD222="",AD217=""),"",IF(AD217=0,"",(AD222/AD217)-1)))</f>
        <v/>
      </c>
      <c r="AH222" s="23" t="str">
        <f>IF(OR(AF222="",AG222=""),"",IF(AND(AF222&gt;0,AG222&gt;0),"Bull",IF(AND(AF222&lt;0,AG222&lt;0),"Bear","Mixed")))</f>
        <v/>
      </c>
      <c r="AI222" s="13"/>
      <c r="AJ222" s="13" t="str">
        <f>IF(OR(AI222="",AI221=""),"",IF(AI221=0,"",(AI222/AI221)-1))</f>
        <v/>
      </c>
      <c r="AK222" s="23" t="str">
        <f>IF(OR(AJ222="",AJ221=""),"",IF(AJ221=0,"",(AJ222/AJ221)-1))</f>
        <v/>
      </c>
      <c r="AL222" s="23" t="str">
        <f>IF(ROW()&lt;7,"",IF(OR(AJ222="",AJ219=""),"",IF(AJ219=0,"",(AJ222/AJ219)-1)))</f>
        <v/>
      </c>
      <c r="AM222" s="23" t="str">
        <f>IF(ROW()&lt;9,"",IF(OR(AJ222="",AJ217=""),"",IF(AJ217=0,"",(AJ222/AJ217)-1)))</f>
        <v/>
      </c>
      <c r="AN222" t="str">
        <f>IF(OR(AL222="",AM222=""),"",IF(AND(AL222&gt;0,AM222&gt;0),"Bull",IF(AND(AL222&lt;0,AM222&lt;0),"Bear","Mixed")))</f>
        <v/>
      </c>
      <c r="AO222" t="str">
        <f>IF(OR(AH222="",AN222=""),"",IF(AND(AH222="Bull",AN222="Bull"),"YES","NO"))</f>
        <v/>
      </c>
      <c r="AP222" t="str">
        <f>IF(OR(AH222="",AN222=""),"",IF(AND(AH222="Bear",AN222="Bear"),"YES","NO"))</f>
        <v/>
      </c>
      <c r="AQ222" t="str">
        <f>IF(AO222="YES",IF(SUM(N(X222),N(Y222),N(Z222))&gt;0,"SOXL","TQQQ"),IF(AP222="YES",IF(SUM(N(AA222),N(AB222),N(AC222))&gt;0,"SOXS","SQQQ"),"WAIT"))</f>
        <v>WAIT</v>
      </c>
      <c r="AR222" s="23" t="str">
        <f>IF(AO222="YES",IF(SUM(N(X222),N(Y222),N(Z222))&gt;0,"TQQQ","SOXL"),IF(AP222="YES",IF(SUM(N(AA222),N(AB222),N(AC222))&gt;0,"SQQQ","SOXS"),""))</f>
        <v/>
      </c>
      <c r="AS222" s="23" t="str">
        <f>IF(AQ222="WAIT","",IF(AR222="",1,0.6))</f>
        <v/>
      </c>
      <c r="AT222" s="23">
        <f>IF(AR222="",0,0.4)</f>
        <v>0</v>
      </c>
      <c r="AU222" s="23" t="str">
        <f>IF(AQ222="WAIT","WAIT",IF(AO222="YES","BULL",IF(AP222="YES","BEAR","WAIT")))</f>
        <v>WAIT</v>
      </c>
      <c r="AV222" t="str">
        <f>IF(AQ222="WAIT","Low",IF(OR(AND(AU222="BULL",ABS(SUM(N(X222),N(Y222),N(Z222)))&gt;=0.15),AND(AU222="BEAR",ABS(SUM(N(AA222),N(AB222),N(AC222)))&gt;=0.15)),"Strong",IF(OR(AND(AU222="BULL",ABS(SUM(N(X222),N(Y222),N(Z222)))&gt;=0.05),AND(AU222="BEAR",ABS(SUM(N(AA222),N(AB222),N(AC222)))&gt;=0.05)),"Moderate","Low")))</f>
        <v>Low</v>
      </c>
      <c r="AW222" t="str">
        <f>IF(AQ222="WAIT","QQQ and SMH not aligned",IF(AU222="BULL",IF(AQ222="SOXL","Bull regime; semiconductors leading","Bull regime; tech leading"),IF(AQ222="SOXS","Bear regime; semiconductors weakest","Bear regime; tech weakest")))</f>
        <v>QQQ and SMH not aligned</v>
      </c>
      <c r="AX222" t="str">
        <f>IF(AR222="WAIT","QQQ and SMH not aligned",IF(AV222="BULL",IF(AR222="SOXL","Bull regime; semiconductors leading","Bull regime; tech leading"),IF(AR222="SOXS","Bear regime; semiconductors weakest","Bear regime; tech weakest")))</f>
        <v>Bear regime; tech weakest</v>
      </c>
    </row>
    <row r="223" spans="1:50" x14ac:dyDescent="0.2">
      <c r="A223" s="12"/>
      <c r="B223" s="13"/>
      <c r="C223" s="13"/>
      <c r="D223" s="13"/>
      <c r="E223" s="13"/>
      <c r="F223" s="11" t="str">
        <f>IF(OR(E223="",E222=""),"",IF(E222=0,"",(E223/E222)-1))</f>
        <v/>
      </c>
      <c r="G223" s="13"/>
      <c r="H223" s="11" t="str">
        <f>IF(OR(G223="",G222=""),"",IF(G222=0,"",(G223/G222)-1))</f>
        <v/>
      </c>
      <c r="I223" s="13"/>
      <c r="J223" s="13"/>
      <c r="K223" s="13"/>
      <c r="L223" s="13"/>
      <c r="M223" s="23" t="str">
        <f>IF(OR(L223="",L222=""),"",IF(L222=0,"",(L223/L222)-1))</f>
        <v/>
      </c>
      <c r="N223" s="26" t="str">
        <f>IFERROR((M223/M222)-1,"")</f>
        <v/>
      </c>
      <c r="O223" s="23" t="str">
        <f>IF(OR(N223="",N222=""),"",IF(N222=0,"",(N223/N222)-1))</f>
        <v/>
      </c>
      <c r="P223" s="11" t="str">
        <f>IF(ROW()&lt;7,"",IF(OR(E223="",E220=""),"",IF(E220=0,"",(E223/E220)-1)))</f>
        <v/>
      </c>
      <c r="Q223" s="23" t="str">
        <f>IF(ROW()&lt;9,"",IF(OR(E223="",E218=""),"",IF(E218=0,"",(E223/E218)-1)))</f>
        <v/>
      </c>
      <c r="R223" s="23" t="str">
        <f>IF(ROW()&lt;7,"",IF(OR(G223="",G220=""),"",IF(G220=0,"",(G223/G220)-1)))</f>
        <v/>
      </c>
      <c r="S223" s="23" t="str">
        <f>IF(ROW()&lt;9,"",IF(OR(G223="",G218=""),"",IF(G218=0,"",(G223/G218)-1)))</f>
        <v/>
      </c>
      <c r="T223" s="23" t="str">
        <f>IF(ROW()&lt;7,"",IF(OR(L223="",L220=""),"",IF(L220=0,"",(L223/L220)-1)))</f>
        <v/>
      </c>
      <c r="U223" s="23" t="str">
        <f>IF(ROW()&lt;9,"",IF(OR(L223="",L218=""),"",IF(L218=0,"",(L223/L218)-1)))</f>
        <v/>
      </c>
      <c r="V223" s="23" t="str">
        <f>IF(ROW()&lt;7,"",IF(OR(N223="",N220=""),"",IF(N220=0,"",(N223/N220)-1)))</f>
        <v/>
      </c>
      <c r="W223" s="23" t="str">
        <f>IF(ROW()&lt;9,"",IF(OR(N223="",N218=""),"",IF(N218=0,"",(N223/N218)-1)))</f>
        <v/>
      </c>
      <c r="X223" s="23" t="str">
        <f>IF(OR(F223="",M223=""),"",F223-M223)</f>
        <v/>
      </c>
      <c r="Y223" s="23" t="str">
        <f>IF(OR(P223="",T223=""),"",P223-T223)</f>
        <v/>
      </c>
      <c r="Z223" s="23" t="str">
        <f>IF(OR(Q223="",U223=""),"",Q223-U223)</f>
        <v/>
      </c>
      <c r="AA223" s="23" t="str">
        <f>IF(OR(H223="",O223=""),"",H223-O223)</f>
        <v/>
      </c>
      <c r="AB223" s="23" t="str">
        <f>IF(OR(R223="",V223=""),"",R223-V223)</f>
        <v/>
      </c>
      <c r="AC223" s="23" t="str">
        <f>IF(OR(S223="",W223=""),"",S223-W223)</f>
        <v/>
      </c>
      <c r="AD223" s="13"/>
      <c r="AE223" s="23" t="str">
        <f>IF(OR(AD223="",AD222=""),"",IF(AD222=0,"",(AD223/AD222)-1))</f>
        <v/>
      </c>
      <c r="AF223" s="23" t="str">
        <f>IF(ROW()&lt;7,"",IF(OR(AD223="",AD220=""),"",IF(AD220=0,"",(AD223/AD220)-1)))</f>
        <v/>
      </c>
      <c r="AG223" s="23" t="str">
        <f>IF(ROW()&lt;9,"",IF(OR(AD223="",AD218=""),"",IF(AD218=0,"",(AD223/AD218)-1)))</f>
        <v/>
      </c>
      <c r="AH223" s="23" t="str">
        <f>IF(OR(AF223="",AG223=""),"",IF(AND(AF223&gt;0,AG223&gt;0),"Bull",IF(AND(AF223&lt;0,AG223&lt;0),"Bear","Mixed")))</f>
        <v/>
      </c>
      <c r="AI223" s="13"/>
      <c r="AJ223" s="13" t="str">
        <f>IF(OR(AI223="",AI222=""),"",IF(AI222=0,"",(AI223/AI222)-1))</f>
        <v/>
      </c>
      <c r="AK223" s="23" t="str">
        <f>IF(OR(AJ223="",AJ222=""),"",IF(AJ222=0,"",(AJ223/AJ222)-1))</f>
        <v/>
      </c>
      <c r="AL223" s="23" t="str">
        <f>IF(ROW()&lt;7,"",IF(OR(AJ223="",AJ220=""),"",IF(AJ220=0,"",(AJ223/AJ220)-1)))</f>
        <v/>
      </c>
      <c r="AM223" s="23" t="str">
        <f>IF(ROW()&lt;9,"",IF(OR(AJ223="",AJ218=""),"",IF(AJ218=0,"",(AJ223/AJ218)-1)))</f>
        <v/>
      </c>
      <c r="AN223" t="str">
        <f>IF(OR(AL223="",AM223=""),"",IF(AND(AL223&gt;0,AM223&gt;0),"Bull",IF(AND(AL223&lt;0,AM223&lt;0),"Bear","Mixed")))</f>
        <v/>
      </c>
      <c r="AO223" t="str">
        <f>IF(OR(AH223="",AN223=""),"",IF(AND(AH223="Bull",AN223="Bull"),"YES","NO"))</f>
        <v/>
      </c>
      <c r="AP223" t="str">
        <f>IF(OR(AH223="",AN223=""),"",IF(AND(AH223="Bear",AN223="Bear"),"YES","NO"))</f>
        <v/>
      </c>
      <c r="AQ223" t="str">
        <f>IF(AO223="YES",IF(SUM(N(X223),N(Y223),N(Z223))&gt;0,"SOXL","TQQQ"),IF(AP223="YES",IF(SUM(N(AA223),N(AB223),N(AC223))&gt;0,"SOXS","SQQQ"),"WAIT"))</f>
        <v>WAIT</v>
      </c>
      <c r="AR223" s="23" t="str">
        <f>IF(AO223="YES",IF(SUM(N(X223),N(Y223),N(Z223))&gt;0,"TQQQ","SOXL"),IF(AP223="YES",IF(SUM(N(AA223),N(AB223),N(AC223))&gt;0,"SQQQ","SOXS"),""))</f>
        <v/>
      </c>
      <c r="AS223" s="23" t="str">
        <f>IF(AQ223="WAIT","",IF(AR223="",1,0.6))</f>
        <v/>
      </c>
      <c r="AT223" s="23">
        <f>IF(AR223="",0,0.4)</f>
        <v>0</v>
      </c>
      <c r="AU223" s="23" t="str">
        <f>IF(AQ223="WAIT","WAIT",IF(AO223="YES","BULL",IF(AP223="YES","BEAR","WAIT")))</f>
        <v>WAIT</v>
      </c>
      <c r="AV223" t="str">
        <f>IF(AQ223="WAIT","Low",IF(OR(AND(AU223="BULL",ABS(SUM(N(X223),N(Y223),N(Z223)))&gt;=0.15),AND(AU223="BEAR",ABS(SUM(N(AA223),N(AB223),N(AC223)))&gt;=0.15)),"Strong",IF(OR(AND(AU223="BULL",ABS(SUM(N(X223),N(Y223),N(Z223)))&gt;=0.05),AND(AU223="BEAR",ABS(SUM(N(AA223),N(AB223),N(AC223)))&gt;=0.05)),"Moderate","Low")))</f>
        <v>Low</v>
      </c>
      <c r="AW223" t="str">
        <f>IF(AQ223="WAIT","QQQ and SMH not aligned",IF(AU223="BULL",IF(AQ223="SOXL","Bull regime; semiconductors leading","Bull regime; tech leading"),IF(AQ223="SOXS","Bear regime; semiconductors weakest","Bear regime; tech weakest")))</f>
        <v>QQQ and SMH not aligned</v>
      </c>
      <c r="AX223" t="str">
        <f>IF(AR223="WAIT","QQQ and SMH not aligned",IF(AV223="BULL",IF(AR223="SOXL","Bull regime; semiconductors leading","Bull regime; tech leading"),IF(AR223="SOXS","Bear regime; semiconductors weakest","Bear regime; tech weakest")))</f>
        <v>Bear regime; tech weakest</v>
      </c>
    </row>
    <row r="224" spans="1:50" x14ac:dyDescent="0.2">
      <c r="A224" s="12"/>
      <c r="B224" s="13"/>
      <c r="C224" s="13"/>
      <c r="D224" s="13"/>
      <c r="E224" s="13"/>
      <c r="F224" s="11" t="str">
        <f>IF(OR(E224="",E223=""),"",IF(E223=0,"",(E224/E223)-1))</f>
        <v/>
      </c>
      <c r="G224" s="13"/>
      <c r="H224" s="11" t="str">
        <f>IF(OR(G224="",G223=""),"",IF(G223=0,"",(G224/G223)-1))</f>
        <v/>
      </c>
      <c r="I224" s="13"/>
      <c r="J224" s="13"/>
      <c r="K224" s="13"/>
      <c r="L224" s="13"/>
      <c r="M224" s="23" t="str">
        <f>IF(OR(L224="",L223=""),"",IF(L223=0,"",(L224/L223)-1))</f>
        <v/>
      </c>
      <c r="N224" s="26" t="str">
        <f>IFERROR((M224/M223)-1,"")</f>
        <v/>
      </c>
      <c r="O224" s="23" t="str">
        <f>IF(OR(N224="",N223=""),"",IF(N223=0,"",(N224/N223)-1))</f>
        <v/>
      </c>
      <c r="P224" s="11" t="str">
        <f>IF(ROW()&lt;7,"",IF(OR(E224="",E221=""),"",IF(E221=0,"",(E224/E221)-1)))</f>
        <v/>
      </c>
      <c r="Q224" s="23" t="str">
        <f>IF(ROW()&lt;9,"",IF(OR(E224="",E219=""),"",IF(E219=0,"",(E224/E219)-1)))</f>
        <v/>
      </c>
      <c r="R224" s="23" t="str">
        <f>IF(ROW()&lt;7,"",IF(OR(G224="",G221=""),"",IF(G221=0,"",(G224/G221)-1)))</f>
        <v/>
      </c>
      <c r="S224" s="23" t="str">
        <f>IF(ROW()&lt;9,"",IF(OR(G224="",G219=""),"",IF(G219=0,"",(G224/G219)-1)))</f>
        <v/>
      </c>
      <c r="T224" s="23" t="str">
        <f>IF(ROW()&lt;7,"",IF(OR(L224="",L221=""),"",IF(L221=0,"",(L224/L221)-1)))</f>
        <v/>
      </c>
      <c r="U224" s="23" t="str">
        <f>IF(ROW()&lt;9,"",IF(OR(L224="",L219=""),"",IF(L219=0,"",(L224/L219)-1)))</f>
        <v/>
      </c>
      <c r="V224" s="23" t="str">
        <f>IF(ROW()&lt;7,"",IF(OR(N224="",N221=""),"",IF(N221=0,"",(N224/N221)-1)))</f>
        <v/>
      </c>
      <c r="W224" s="23" t="str">
        <f>IF(ROW()&lt;9,"",IF(OR(N224="",N219=""),"",IF(N219=0,"",(N224/N219)-1)))</f>
        <v/>
      </c>
      <c r="X224" s="23" t="str">
        <f>IF(OR(F224="",M224=""),"",F224-M224)</f>
        <v/>
      </c>
      <c r="Y224" s="23" t="str">
        <f>IF(OR(P224="",T224=""),"",P224-T224)</f>
        <v/>
      </c>
      <c r="Z224" s="23" t="str">
        <f>IF(OR(Q224="",U224=""),"",Q224-U224)</f>
        <v/>
      </c>
      <c r="AA224" s="23" t="str">
        <f>IF(OR(H224="",O224=""),"",H224-O224)</f>
        <v/>
      </c>
      <c r="AB224" s="23" t="str">
        <f>IF(OR(R224="",V224=""),"",R224-V224)</f>
        <v/>
      </c>
      <c r="AC224" s="23" t="str">
        <f>IF(OR(S224="",W224=""),"",S224-W224)</f>
        <v/>
      </c>
      <c r="AD224" s="13"/>
      <c r="AE224" s="23" t="str">
        <f>IF(OR(AD224="",AD223=""),"",IF(AD223=0,"",(AD224/AD223)-1))</f>
        <v/>
      </c>
      <c r="AF224" s="23" t="str">
        <f>IF(ROW()&lt;7,"",IF(OR(AD224="",AD221=""),"",IF(AD221=0,"",(AD224/AD221)-1)))</f>
        <v/>
      </c>
      <c r="AG224" s="23" t="str">
        <f>IF(ROW()&lt;9,"",IF(OR(AD224="",AD219=""),"",IF(AD219=0,"",(AD224/AD219)-1)))</f>
        <v/>
      </c>
      <c r="AH224" s="23" t="str">
        <f>IF(OR(AF224="",AG224=""),"",IF(AND(AF224&gt;0,AG224&gt;0),"Bull",IF(AND(AF224&lt;0,AG224&lt;0),"Bear","Mixed")))</f>
        <v/>
      </c>
      <c r="AI224" s="13"/>
      <c r="AJ224" s="13" t="str">
        <f>IF(OR(AI224="",AI223=""),"",IF(AI223=0,"",(AI224/AI223)-1))</f>
        <v/>
      </c>
      <c r="AK224" s="23" t="str">
        <f>IF(OR(AJ224="",AJ223=""),"",IF(AJ223=0,"",(AJ224/AJ223)-1))</f>
        <v/>
      </c>
      <c r="AL224" s="23" t="str">
        <f>IF(ROW()&lt;7,"",IF(OR(AJ224="",AJ221=""),"",IF(AJ221=0,"",(AJ224/AJ221)-1)))</f>
        <v/>
      </c>
      <c r="AM224" s="23" t="str">
        <f>IF(ROW()&lt;9,"",IF(OR(AJ224="",AJ219=""),"",IF(AJ219=0,"",(AJ224/AJ219)-1)))</f>
        <v/>
      </c>
      <c r="AN224" t="str">
        <f>IF(OR(AL224="",AM224=""),"",IF(AND(AL224&gt;0,AM224&gt;0),"Bull",IF(AND(AL224&lt;0,AM224&lt;0),"Bear","Mixed")))</f>
        <v/>
      </c>
      <c r="AO224" t="str">
        <f>IF(OR(AH224="",AN224=""),"",IF(AND(AH224="Bull",AN224="Bull"),"YES","NO"))</f>
        <v/>
      </c>
      <c r="AP224" t="str">
        <f>IF(OR(AH224="",AN224=""),"",IF(AND(AH224="Bear",AN224="Bear"),"YES","NO"))</f>
        <v/>
      </c>
      <c r="AQ224" t="str">
        <f>IF(AO224="YES",IF(SUM(N(X224),N(Y224),N(Z224))&gt;0,"SOXL","TQQQ"),IF(AP224="YES",IF(SUM(N(AA224),N(AB224),N(AC224))&gt;0,"SOXS","SQQQ"),"WAIT"))</f>
        <v>WAIT</v>
      </c>
      <c r="AR224" s="23" t="str">
        <f>IF(AO224="YES",IF(SUM(N(X224),N(Y224),N(Z224))&gt;0,"TQQQ","SOXL"),IF(AP224="YES",IF(SUM(N(AA224),N(AB224),N(AC224))&gt;0,"SQQQ","SOXS"),""))</f>
        <v/>
      </c>
      <c r="AS224" s="23" t="str">
        <f>IF(AQ224="WAIT","",IF(AR224="",1,0.6))</f>
        <v/>
      </c>
      <c r="AT224" s="23">
        <f>IF(AR224="",0,0.4)</f>
        <v>0</v>
      </c>
      <c r="AU224" s="23" t="str">
        <f>IF(AQ224="WAIT","WAIT",IF(AO224="YES","BULL",IF(AP224="YES","BEAR","WAIT")))</f>
        <v>WAIT</v>
      </c>
      <c r="AV224" t="str">
        <f>IF(AQ224="WAIT","Low",IF(OR(AND(AU224="BULL",ABS(SUM(N(X224),N(Y224),N(Z224)))&gt;=0.15),AND(AU224="BEAR",ABS(SUM(N(AA224),N(AB224),N(AC224)))&gt;=0.15)),"Strong",IF(OR(AND(AU224="BULL",ABS(SUM(N(X224),N(Y224),N(Z224)))&gt;=0.05),AND(AU224="BEAR",ABS(SUM(N(AA224),N(AB224),N(AC224)))&gt;=0.05)),"Moderate","Low")))</f>
        <v>Low</v>
      </c>
      <c r="AW224" t="str">
        <f>IF(AQ224="WAIT","QQQ and SMH not aligned",IF(AU224="BULL",IF(AQ224="SOXL","Bull regime; semiconductors leading","Bull regime; tech leading"),IF(AQ224="SOXS","Bear regime; semiconductors weakest","Bear regime; tech weakest")))</f>
        <v>QQQ and SMH not aligned</v>
      </c>
      <c r="AX224" t="str">
        <f>IF(AR224="WAIT","QQQ and SMH not aligned",IF(AV224="BULL",IF(AR224="SOXL","Bull regime; semiconductors leading","Bull regime; tech leading"),IF(AR224="SOXS","Bear regime; semiconductors weakest","Bear regime; tech weakest")))</f>
        <v>Bear regime; tech weakest</v>
      </c>
    </row>
    <row r="225" spans="1:50" x14ac:dyDescent="0.2">
      <c r="A225" s="12"/>
      <c r="B225" s="13"/>
      <c r="C225" s="13"/>
      <c r="D225" s="13"/>
      <c r="E225" s="13"/>
      <c r="F225" s="11" t="str">
        <f>IF(OR(E225="",E224=""),"",IF(E224=0,"",(E225/E224)-1))</f>
        <v/>
      </c>
      <c r="G225" s="13"/>
      <c r="H225" s="11" t="str">
        <f>IF(OR(G225="",G224=""),"",IF(G224=0,"",(G225/G224)-1))</f>
        <v/>
      </c>
      <c r="I225" s="13"/>
      <c r="J225" s="13"/>
      <c r="K225" s="13"/>
      <c r="L225" s="13"/>
      <c r="M225" s="23" t="str">
        <f>IF(OR(L225="",L224=""),"",IF(L224=0,"",(L225/L224)-1))</f>
        <v/>
      </c>
      <c r="N225" s="26" t="str">
        <f>IFERROR((M225/M224)-1,"")</f>
        <v/>
      </c>
      <c r="O225" s="23" t="str">
        <f>IF(OR(N225="",N224=""),"",IF(N224=0,"",(N225/N224)-1))</f>
        <v/>
      </c>
      <c r="P225" s="11" t="str">
        <f>IF(ROW()&lt;7,"",IF(OR(E225="",E222=""),"",IF(E222=0,"",(E225/E222)-1)))</f>
        <v/>
      </c>
      <c r="Q225" s="23" t="str">
        <f>IF(ROW()&lt;9,"",IF(OR(E225="",E220=""),"",IF(E220=0,"",(E225/E220)-1)))</f>
        <v/>
      </c>
      <c r="R225" s="23" t="str">
        <f>IF(ROW()&lt;7,"",IF(OR(G225="",G222=""),"",IF(G222=0,"",(G225/G222)-1)))</f>
        <v/>
      </c>
      <c r="S225" s="23" t="str">
        <f>IF(ROW()&lt;9,"",IF(OR(G225="",G220=""),"",IF(G220=0,"",(G225/G220)-1)))</f>
        <v/>
      </c>
      <c r="T225" s="23" t="str">
        <f>IF(ROW()&lt;7,"",IF(OR(L225="",L222=""),"",IF(L222=0,"",(L225/L222)-1)))</f>
        <v/>
      </c>
      <c r="U225" s="23" t="str">
        <f>IF(ROW()&lt;9,"",IF(OR(L225="",L220=""),"",IF(L220=0,"",(L225/L220)-1)))</f>
        <v/>
      </c>
      <c r="V225" s="23" t="str">
        <f>IF(ROW()&lt;7,"",IF(OR(N225="",N222=""),"",IF(N222=0,"",(N225/N222)-1)))</f>
        <v/>
      </c>
      <c r="W225" s="23" t="str">
        <f>IF(ROW()&lt;9,"",IF(OR(N225="",N220=""),"",IF(N220=0,"",(N225/N220)-1)))</f>
        <v/>
      </c>
      <c r="X225" s="23" t="str">
        <f>IF(OR(F225="",M225=""),"",F225-M225)</f>
        <v/>
      </c>
      <c r="Y225" s="23" t="str">
        <f>IF(OR(P225="",T225=""),"",P225-T225)</f>
        <v/>
      </c>
      <c r="Z225" s="23" t="str">
        <f>IF(OR(Q225="",U225=""),"",Q225-U225)</f>
        <v/>
      </c>
      <c r="AA225" s="23" t="str">
        <f>IF(OR(H225="",O225=""),"",H225-O225)</f>
        <v/>
      </c>
      <c r="AB225" s="23" t="str">
        <f>IF(OR(R225="",V225=""),"",R225-V225)</f>
        <v/>
      </c>
      <c r="AC225" s="23" t="str">
        <f>IF(OR(S225="",W225=""),"",S225-W225)</f>
        <v/>
      </c>
      <c r="AD225" s="13"/>
      <c r="AE225" s="23" t="str">
        <f>IF(OR(AD225="",AD224=""),"",IF(AD224=0,"",(AD225/AD224)-1))</f>
        <v/>
      </c>
      <c r="AF225" s="23" t="str">
        <f>IF(ROW()&lt;7,"",IF(OR(AD225="",AD222=""),"",IF(AD222=0,"",(AD225/AD222)-1)))</f>
        <v/>
      </c>
      <c r="AG225" s="23" t="str">
        <f>IF(ROW()&lt;9,"",IF(OR(AD225="",AD220=""),"",IF(AD220=0,"",(AD225/AD220)-1)))</f>
        <v/>
      </c>
      <c r="AH225" s="23" t="str">
        <f>IF(OR(AF225="",AG225=""),"",IF(AND(AF225&gt;0,AG225&gt;0),"Bull",IF(AND(AF225&lt;0,AG225&lt;0),"Bear","Mixed")))</f>
        <v/>
      </c>
      <c r="AI225" s="13"/>
      <c r="AJ225" s="13" t="str">
        <f>IF(OR(AI225="",AI224=""),"",IF(AI224=0,"",(AI225/AI224)-1))</f>
        <v/>
      </c>
      <c r="AK225" s="23" t="str">
        <f>IF(OR(AJ225="",AJ224=""),"",IF(AJ224=0,"",(AJ225/AJ224)-1))</f>
        <v/>
      </c>
      <c r="AL225" s="23" t="str">
        <f>IF(ROW()&lt;7,"",IF(OR(AJ225="",AJ222=""),"",IF(AJ222=0,"",(AJ225/AJ222)-1)))</f>
        <v/>
      </c>
      <c r="AM225" s="23" t="str">
        <f>IF(ROW()&lt;9,"",IF(OR(AJ225="",AJ220=""),"",IF(AJ220=0,"",(AJ225/AJ220)-1)))</f>
        <v/>
      </c>
      <c r="AN225" t="str">
        <f>IF(OR(AL225="",AM225=""),"",IF(AND(AL225&gt;0,AM225&gt;0),"Bull",IF(AND(AL225&lt;0,AM225&lt;0),"Bear","Mixed")))</f>
        <v/>
      </c>
      <c r="AO225" t="str">
        <f>IF(OR(AH225="",AN225=""),"",IF(AND(AH225="Bull",AN225="Bull"),"YES","NO"))</f>
        <v/>
      </c>
      <c r="AP225" t="str">
        <f>IF(OR(AH225="",AN225=""),"",IF(AND(AH225="Bear",AN225="Bear"),"YES","NO"))</f>
        <v/>
      </c>
      <c r="AQ225" t="str">
        <f>IF(AO225="YES",IF(SUM(N(X225),N(Y225),N(Z225))&gt;0,"SOXL","TQQQ"),IF(AP225="YES",IF(SUM(N(AA225),N(AB225),N(AC225))&gt;0,"SOXS","SQQQ"),"WAIT"))</f>
        <v>WAIT</v>
      </c>
      <c r="AR225" s="23" t="str">
        <f>IF(AO225="YES",IF(SUM(N(X225),N(Y225),N(Z225))&gt;0,"TQQQ","SOXL"),IF(AP225="YES",IF(SUM(N(AA225),N(AB225),N(AC225))&gt;0,"SQQQ","SOXS"),""))</f>
        <v/>
      </c>
      <c r="AS225" s="23" t="str">
        <f>IF(AQ225="WAIT","",IF(AR225="",1,0.6))</f>
        <v/>
      </c>
      <c r="AT225" s="23">
        <f>IF(AR225="",0,0.4)</f>
        <v>0</v>
      </c>
      <c r="AU225" s="23" t="str">
        <f>IF(AQ225="WAIT","WAIT",IF(AO225="YES","BULL",IF(AP225="YES","BEAR","WAIT")))</f>
        <v>WAIT</v>
      </c>
      <c r="AV225" t="str">
        <f>IF(AQ225="WAIT","Low",IF(OR(AND(AU225="BULL",ABS(SUM(N(X225),N(Y225),N(Z225)))&gt;=0.15),AND(AU225="BEAR",ABS(SUM(N(AA225),N(AB225),N(AC225)))&gt;=0.15)),"Strong",IF(OR(AND(AU225="BULL",ABS(SUM(N(X225),N(Y225),N(Z225)))&gt;=0.05),AND(AU225="BEAR",ABS(SUM(N(AA225),N(AB225),N(AC225)))&gt;=0.05)),"Moderate","Low")))</f>
        <v>Low</v>
      </c>
      <c r="AW225" t="str">
        <f>IF(AQ225="WAIT","QQQ and SMH not aligned",IF(AU225="BULL",IF(AQ225="SOXL","Bull regime; semiconductors leading","Bull regime; tech leading"),IF(AQ225="SOXS","Bear regime; semiconductors weakest","Bear regime; tech weakest")))</f>
        <v>QQQ and SMH not aligned</v>
      </c>
      <c r="AX225" t="str">
        <f>IF(AR225="WAIT","QQQ and SMH not aligned",IF(AV225="BULL",IF(AR225="SOXL","Bull regime; semiconductors leading","Bull regime; tech leading"),IF(AR225="SOXS","Bear regime; semiconductors weakest","Bear regime; tech weakest")))</f>
        <v>Bear regime; tech weakest</v>
      </c>
    </row>
    <row r="226" spans="1:50" x14ac:dyDescent="0.2">
      <c r="A226" s="12"/>
      <c r="B226" s="13"/>
      <c r="C226" s="13"/>
      <c r="D226" s="13"/>
      <c r="E226" s="13"/>
      <c r="F226" s="11" t="str">
        <f>IF(OR(E226="",E225=""),"",IF(E225=0,"",(E226/E225)-1))</f>
        <v/>
      </c>
      <c r="G226" s="13"/>
      <c r="H226" s="11" t="str">
        <f>IF(OR(G226="",G225=""),"",IF(G225=0,"",(G226/G225)-1))</f>
        <v/>
      </c>
      <c r="I226" s="13"/>
      <c r="J226" s="13"/>
      <c r="K226" s="13"/>
      <c r="L226" s="13"/>
      <c r="M226" s="23" t="str">
        <f>IF(OR(L226="",L225=""),"",IF(L225=0,"",(L226/L225)-1))</f>
        <v/>
      </c>
      <c r="N226" s="26" t="str">
        <f>IFERROR((M226/M225)-1,"")</f>
        <v/>
      </c>
      <c r="O226" s="23" t="str">
        <f>IF(OR(N226="",N225=""),"",IF(N225=0,"",(N226/N225)-1))</f>
        <v/>
      </c>
      <c r="P226" s="11" t="str">
        <f>IF(ROW()&lt;7,"",IF(OR(E226="",E223=""),"",IF(E223=0,"",(E226/E223)-1)))</f>
        <v/>
      </c>
      <c r="Q226" s="23" t="str">
        <f>IF(ROW()&lt;9,"",IF(OR(E226="",E221=""),"",IF(E221=0,"",(E226/E221)-1)))</f>
        <v/>
      </c>
      <c r="R226" s="23" t="str">
        <f>IF(ROW()&lt;7,"",IF(OR(G226="",G223=""),"",IF(G223=0,"",(G226/G223)-1)))</f>
        <v/>
      </c>
      <c r="S226" s="23" t="str">
        <f>IF(ROW()&lt;9,"",IF(OR(G226="",G221=""),"",IF(G221=0,"",(G226/G221)-1)))</f>
        <v/>
      </c>
      <c r="T226" s="23" t="str">
        <f>IF(ROW()&lt;7,"",IF(OR(L226="",L223=""),"",IF(L223=0,"",(L226/L223)-1)))</f>
        <v/>
      </c>
      <c r="U226" s="23" t="str">
        <f>IF(ROW()&lt;9,"",IF(OR(L226="",L221=""),"",IF(L221=0,"",(L226/L221)-1)))</f>
        <v/>
      </c>
      <c r="V226" s="23" t="str">
        <f>IF(ROW()&lt;7,"",IF(OR(N226="",N223=""),"",IF(N223=0,"",(N226/N223)-1)))</f>
        <v/>
      </c>
      <c r="W226" s="23" t="str">
        <f>IF(ROW()&lt;9,"",IF(OR(N226="",N221=""),"",IF(N221=0,"",(N226/N221)-1)))</f>
        <v/>
      </c>
      <c r="X226" s="23" t="str">
        <f>IF(OR(F226="",M226=""),"",F226-M226)</f>
        <v/>
      </c>
      <c r="Y226" s="23" t="str">
        <f>IF(OR(P226="",T226=""),"",P226-T226)</f>
        <v/>
      </c>
      <c r="Z226" s="23" t="str">
        <f>IF(OR(Q226="",U226=""),"",Q226-U226)</f>
        <v/>
      </c>
      <c r="AA226" s="23" t="str">
        <f>IF(OR(H226="",O226=""),"",H226-O226)</f>
        <v/>
      </c>
      <c r="AB226" s="23" t="str">
        <f>IF(OR(R226="",V226=""),"",R226-V226)</f>
        <v/>
      </c>
      <c r="AC226" s="23" t="str">
        <f>IF(OR(S226="",W226=""),"",S226-W226)</f>
        <v/>
      </c>
      <c r="AD226" s="13"/>
      <c r="AE226" s="23" t="str">
        <f>IF(OR(AD226="",AD225=""),"",IF(AD225=0,"",(AD226/AD225)-1))</f>
        <v/>
      </c>
      <c r="AF226" s="23" t="str">
        <f>IF(ROW()&lt;7,"",IF(OR(AD226="",AD223=""),"",IF(AD223=0,"",(AD226/AD223)-1)))</f>
        <v/>
      </c>
      <c r="AG226" s="23" t="str">
        <f>IF(ROW()&lt;9,"",IF(OR(AD226="",AD221=""),"",IF(AD221=0,"",(AD226/AD221)-1)))</f>
        <v/>
      </c>
      <c r="AH226" s="23" t="str">
        <f>IF(OR(AF226="",AG226=""),"",IF(AND(AF226&gt;0,AG226&gt;0),"Bull",IF(AND(AF226&lt;0,AG226&lt;0),"Bear","Mixed")))</f>
        <v/>
      </c>
      <c r="AI226" s="13"/>
      <c r="AJ226" s="13" t="str">
        <f>IF(OR(AI226="",AI225=""),"",IF(AI225=0,"",(AI226/AI225)-1))</f>
        <v/>
      </c>
      <c r="AK226" s="23" t="str">
        <f>IF(OR(AJ226="",AJ225=""),"",IF(AJ225=0,"",(AJ226/AJ225)-1))</f>
        <v/>
      </c>
      <c r="AL226" s="23" t="str">
        <f>IF(ROW()&lt;7,"",IF(OR(AJ226="",AJ223=""),"",IF(AJ223=0,"",(AJ226/AJ223)-1)))</f>
        <v/>
      </c>
      <c r="AM226" s="23" t="str">
        <f>IF(ROW()&lt;9,"",IF(OR(AJ226="",AJ221=""),"",IF(AJ221=0,"",(AJ226/AJ221)-1)))</f>
        <v/>
      </c>
      <c r="AN226" t="str">
        <f>IF(OR(AL226="",AM226=""),"",IF(AND(AL226&gt;0,AM226&gt;0),"Bull",IF(AND(AL226&lt;0,AM226&lt;0),"Bear","Mixed")))</f>
        <v/>
      </c>
      <c r="AO226" t="str">
        <f>IF(OR(AH226="",AN226=""),"",IF(AND(AH226="Bull",AN226="Bull"),"YES","NO"))</f>
        <v/>
      </c>
      <c r="AP226" t="str">
        <f>IF(OR(AH226="",AN226=""),"",IF(AND(AH226="Bear",AN226="Bear"),"YES","NO"))</f>
        <v/>
      </c>
      <c r="AQ226" t="str">
        <f>IF(AO226="YES",IF(SUM(N(X226),N(Y226),N(Z226))&gt;0,"SOXL","TQQQ"),IF(AP226="YES",IF(SUM(N(AA226),N(AB226),N(AC226))&gt;0,"SOXS","SQQQ"),"WAIT"))</f>
        <v>WAIT</v>
      </c>
      <c r="AR226" s="23" t="str">
        <f>IF(AO226="YES",IF(SUM(N(X226),N(Y226),N(Z226))&gt;0,"TQQQ","SOXL"),IF(AP226="YES",IF(SUM(N(AA226),N(AB226),N(AC226))&gt;0,"SQQQ","SOXS"),""))</f>
        <v/>
      </c>
      <c r="AS226" s="23" t="str">
        <f>IF(AQ226="WAIT","",IF(AR226="",1,0.6))</f>
        <v/>
      </c>
      <c r="AT226" s="23">
        <f>IF(AR226="",0,0.4)</f>
        <v>0</v>
      </c>
      <c r="AU226" s="23" t="str">
        <f>IF(AQ226="WAIT","WAIT",IF(AO226="YES","BULL",IF(AP226="YES","BEAR","WAIT")))</f>
        <v>WAIT</v>
      </c>
      <c r="AV226" t="str">
        <f>IF(AQ226="WAIT","Low",IF(OR(AND(AU226="BULL",ABS(SUM(N(X226),N(Y226),N(Z226)))&gt;=0.15),AND(AU226="BEAR",ABS(SUM(N(AA226),N(AB226),N(AC226)))&gt;=0.15)),"Strong",IF(OR(AND(AU226="BULL",ABS(SUM(N(X226),N(Y226),N(Z226)))&gt;=0.05),AND(AU226="BEAR",ABS(SUM(N(AA226),N(AB226),N(AC226)))&gt;=0.05)),"Moderate","Low")))</f>
        <v>Low</v>
      </c>
      <c r="AW226" t="str">
        <f>IF(AQ226="WAIT","QQQ and SMH not aligned",IF(AU226="BULL",IF(AQ226="SOXL","Bull regime; semiconductors leading","Bull regime; tech leading"),IF(AQ226="SOXS","Bear regime; semiconductors weakest","Bear regime; tech weakest")))</f>
        <v>QQQ and SMH not aligned</v>
      </c>
      <c r="AX226" t="str">
        <f>IF(AR226="WAIT","QQQ and SMH not aligned",IF(AV226="BULL",IF(AR226="SOXL","Bull regime; semiconductors leading","Bull regime; tech leading"),IF(AR226="SOXS","Bear regime; semiconductors weakest","Bear regime; tech weakest")))</f>
        <v>Bear regime; tech weakest</v>
      </c>
    </row>
    <row r="227" spans="1:50" x14ac:dyDescent="0.2">
      <c r="A227" s="12"/>
      <c r="B227" s="13"/>
      <c r="C227" s="13"/>
      <c r="D227" s="13"/>
      <c r="E227" s="13"/>
      <c r="F227" s="11" t="str">
        <f>IF(OR(E227="",E226=""),"",IF(E226=0,"",(E227/E226)-1))</f>
        <v/>
      </c>
      <c r="G227" s="13"/>
      <c r="H227" s="11" t="str">
        <f>IF(OR(G227="",G226=""),"",IF(G226=0,"",(G227/G226)-1))</f>
        <v/>
      </c>
      <c r="I227" s="13"/>
      <c r="J227" s="13"/>
      <c r="K227" s="13"/>
      <c r="L227" s="13"/>
      <c r="M227" s="23" t="str">
        <f>IF(OR(L227="",L226=""),"",IF(L226=0,"",(L227/L226)-1))</f>
        <v/>
      </c>
      <c r="N227" s="26" t="str">
        <f>IFERROR((M227/M226)-1,"")</f>
        <v/>
      </c>
      <c r="O227" s="23" t="str">
        <f>IF(OR(N227="",N226=""),"",IF(N226=0,"",(N227/N226)-1))</f>
        <v/>
      </c>
      <c r="P227" s="11" t="str">
        <f>IF(ROW()&lt;7,"",IF(OR(E227="",E224=""),"",IF(E224=0,"",(E227/E224)-1)))</f>
        <v/>
      </c>
      <c r="Q227" s="23" t="str">
        <f>IF(ROW()&lt;9,"",IF(OR(E227="",E222=""),"",IF(E222=0,"",(E227/E222)-1)))</f>
        <v/>
      </c>
      <c r="R227" s="23" t="str">
        <f>IF(ROW()&lt;7,"",IF(OR(G227="",G224=""),"",IF(G224=0,"",(G227/G224)-1)))</f>
        <v/>
      </c>
      <c r="S227" s="23" t="str">
        <f>IF(ROW()&lt;9,"",IF(OR(G227="",G222=""),"",IF(G222=0,"",(G227/G222)-1)))</f>
        <v/>
      </c>
      <c r="T227" s="23" t="str">
        <f>IF(ROW()&lt;7,"",IF(OR(L227="",L224=""),"",IF(L224=0,"",(L227/L224)-1)))</f>
        <v/>
      </c>
      <c r="U227" s="23" t="str">
        <f>IF(ROW()&lt;9,"",IF(OR(L227="",L222=""),"",IF(L222=0,"",(L227/L222)-1)))</f>
        <v/>
      </c>
      <c r="V227" s="23" t="str">
        <f>IF(ROW()&lt;7,"",IF(OR(N227="",N224=""),"",IF(N224=0,"",(N227/N224)-1)))</f>
        <v/>
      </c>
      <c r="W227" s="23" t="str">
        <f>IF(ROW()&lt;9,"",IF(OR(N227="",N222=""),"",IF(N222=0,"",(N227/N222)-1)))</f>
        <v/>
      </c>
      <c r="X227" s="23" t="str">
        <f>IF(OR(F227="",M227=""),"",F227-M227)</f>
        <v/>
      </c>
      <c r="Y227" s="23" t="str">
        <f>IF(OR(P227="",T227=""),"",P227-T227)</f>
        <v/>
      </c>
      <c r="Z227" s="23" t="str">
        <f>IF(OR(Q227="",U227=""),"",Q227-U227)</f>
        <v/>
      </c>
      <c r="AA227" s="23" t="str">
        <f>IF(OR(H227="",O227=""),"",H227-O227)</f>
        <v/>
      </c>
      <c r="AB227" s="23" t="str">
        <f>IF(OR(R227="",V227=""),"",R227-V227)</f>
        <v/>
      </c>
      <c r="AC227" s="23" t="str">
        <f>IF(OR(S227="",W227=""),"",S227-W227)</f>
        <v/>
      </c>
      <c r="AD227" s="13"/>
      <c r="AE227" s="23" t="str">
        <f>IF(OR(AD227="",AD226=""),"",IF(AD226=0,"",(AD227/AD226)-1))</f>
        <v/>
      </c>
      <c r="AF227" s="23" t="str">
        <f>IF(ROW()&lt;7,"",IF(OR(AD227="",AD224=""),"",IF(AD224=0,"",(AD227/AD224)-1)))</f>
        <v/>
      </c>
      <c r="AG227" s="23" t="str">
        <f>IF(ROW()&lt;9,"",IF(OR(AD227="",AD222=""),"",IF(AD222=0,"",(AD227/AD222)-1)))</f>
        <v/>
      </c>
      <c r="AH227" s="23" t="str">
        <f>IF(OR(AF227="",AG227=""),"",IF(AND(AF227&gt;0,AG227&gt;0),"Bull",IF(AND(AF227&lt;0,AG227&lt;0),"Bear","Mixed")))</f>
        <v/>
      </c>
      <c r="AI227" s="13"/>
      <c r="AJ227" s="13" t="str">
        <f>IF(OR(AI227="",AI226=""),"",IF(AI226=0,"",(AI227/AI226)-1))</f>
        <v/>
      </c>
      <c r="AK227" s="23" t="str">
        <f>IF(OR(AJ227="",AJ226=""),"",IF(AJ226=0,"",(AJ227/AJ226)-1))</f>
        <v/>
      </c>
      <c r="AL227" s="23" t="str">
        <f>IF(ROW()&lt;7,"",IF(OR(AJ227="",AJ224=""),"",IF(AJ224=0,"",(AJ227/AJ224)-1)))</f>
        <v/>
      </c>
      <c r="AM227" s="23" t="str">
        <f>IF(ROW()&lt;9,"",IF(OR(AJ227="",AJ222=""),"",IF(AJ222=0,"",(AJ227/AJ222)-1)))</f>
        <v/>
      </c>
      <c r="AN227" t="str">
        <f>IF(OR(AL227="",AM227=""),"",IF(AND(AL227&gt;0,AM227&gt;0),"Bull",IF(AND(AL227&lt;0,AM227&lt;0),"Bear","Mixed")))</f>
        <v/>
      </c>
      <c r="AO227" t="str">
        <f>IF(OR(AH227="",AN227=""),"",IF(AND(AH227="Bull",AN227="Bull"),"YES","NO"))</f>
        <v/>
      </c>
      <c r="AP227" t="str">
        <f>IF(OR(AH227="",AN227=""),"",IF(AND(AH227="Bear",AN227="Bear"),"YES","NO"))</f>
        <v/>
      </c>
      <c r="AQ227" t="str">
        <f>IF(AO227="YES",IF(SUM(N(X227),N(Y227),N(Z227))&gt;0,"SOXL","TQQQ"),IF(AP227="YES",IF(SUM(N(AA227),N(AB227),N(AC227))&gt;0,"SOXS","SQQQ"),"WAIT"))</f>
        <v>WAIT</v>
      </c>
      <c r="AR227" s="23" t="str">
        <f>IF(AO227="YES",IF(SUM(N(X227),N(Y227),N(Z227))&gt;0,"TQQQ","SOXL"),IF(AP227="YES",IF(SUM(N(AA227),N(AB227),N(AC227))&gt;0,"SQQQ","SOXS"),""))</f>
        <v/>
      </c>
      <c r="AS227" s="23" t="str">
        <f>IF(AQ227="WAIT","",IF(AR227="",1,0.6))</f>
        <v/>
      </c>
      <c r="AT227" s="23">
        <f>IF(AR227="",0,0.4)</f>
        <v>0</v>
      </c>
      <c r="AU227" s="23" t="str">
        <f>IF(AQ227="WAIT","WAIT",IF(AO227="YES","BULL",IF(AP227="YES","BEAR","WAIT")))</f>
        <v>WAIT</v>
      </c>
      <c r="AV227" t="str">
        <f>IF(AQ227="WAIT","Low",IF(OR(AND(AU227="BULL",ABS(SUM(N(X227),N(Y227),N(Z227)))&gt;=0.15),AND(AU227="BEAR",ABS(SUM(N(AA227),N(AB227),N(AC227)))&gt;=0.15)),"Strong",IF(OR(AND(AU227="BULL",ABS(SUM(N(X227),N(Y227),N(Z227)))&gt;=0.05),AND(AU227="BEAR",ABS(SUM(N(AA227),N(AB227),N(AC227)))&gt;=0.05)),"Moderate","Low")))</f>
        <v>Low</v>
      </c>
      <c r="AW227" t="str">
        <f>IF(AQ227="WAIT","QQQ and SMH not aligned",IF(AU227="BULL",IF(AQ227="SOXL","Bull regime; semiconductors leading","Bull regime; tech leading"),IF(AQ227="SOXS","Bear regime; semiconductors weakest","Bear regime; tech weakest")))</f>
        <v>QQQ and SMH not aligned</v>
      </c>
      <c r="AX227" t="str">
        <f>IF(AR227="WAIT","QQQ and SMH not aligned",IF(AV227="BULL",IF(AR227="SOXL","Bull regime; semiconductors leading","Bull regime; tech leading"),IF(AR227="SOXS","Bear regime; semiconductors weakest","Bear regime; tech weakest")))</f>
        <v>Bear regime; tech weakest</v>
      </c>
    </row>
    <row r="228" spans="1:50" x14ac:dyDescent="0.2">
      <c r="A228" s="12"/>
      <c r="B228" s="13"/>
      <c r="C228" s="13"/>
      <c r="D228" s="13"/>
      <c r="E228" s="13"/>
      <c r="F228" s="11" t="str">
        <f>IF(OR(E228="",E227=""),"",IF(E227=0,"",(E228/E227)-1))</f>
        <v/>
      </c>
      <c r="G228" s="13"/>
      <c r="H228" s="11" t="str">
        <f>IF(OR(G228="",G227=""),"",IF(G227=0,"",(G228/G227)-1))</f>
        <v/>
      </c>
      <c r="I228" s="13"/>
      <c r="J228" s="13"/>
      <c r="K228" s="13"/>
      <c r="L228" s="13"/>
      <c r="M228" s="23" t="str">
        <f>IF(OR(L228="",L227=""),"",IF(L227=0,"",(L228/L227)-1))</f>
        <v/>
      </c>
      <c r="N228" s="26" t="str">
        <f>IFERROR((M228/M227)-1,"")</f>
        <v/>
      </c>
      <c r="O228" s="23" t="str">
        <f>IF(OR(N228="",N227=""),"",IF(N227=0,"",(N228/N227)-1))</f>
        <v/>
      </c>
      <c r="P228" s="11" t="str">
        <f>IF(ROW()&lt;7,"",IF(OR(E228="",E225=""),"",IF(E225=0,"",(E228/E225)-1)))</f>
        <v/>
      </c>
      <c r="Q228" s="23" t="str">
        <f>IF(ROW()&lt;9,"",IF(OR(E228="",E223=""),"",IF(E223=0,"",(E228/E223)-1)))</f>
        <v/>
      </c>
      <c r="R228" s="23" t="str">
        <f>IF(ROW()&lt;7,"",IF(OR(G228="",G225=""),"",IF(G225=0,"",(G228/G225)-1)))</f>
        <v/>
      </c>
      <c r="S228" s="23" t="str">
        <f>IF(ROW()&lt;9,"",IF(OR(G228="",G223=""),"",IF(G223=0,"",(G228/G223)-1)))</f>
        <v/>
      </c>
      <c r="T228" s="23" t="str">
        <f>IF(ROW()&lt;7,"",IF(OR(L228="",L225=""),"",IF(L225=0,"",(L228/L225)-1)))</f>
        <v/>
      </c>
      <c r="U228" s="23" t="str">
        <f>IF(ROW()&lt;9,"",IF(OR(L228="",L223=""),"",IF(L223=0,"",(L228/L223)-1)))</f>
        <v/>
      </c>
      <c r="V228" s="23" t="str">
        <f>IF(ROW()&lt;7,"",IF(OR(N228="",N225=""),"",IF(N225=0,"",(N228/N225)-1)))</f>
        <v/>
      </c>
      <c r="W228" s="23" t="str">
        <f>IF(ROW()&lt;9,"",IF(OR(N228="",N223=""),"",IF(N223=0,"",(N228/N223)-1)))</f>
        <v/>
      </c>
      <c r="X228" s="23" t="str">
        <f>IF(OR(F228="",M228=""),"",F228-M228)</f>
        <v/>
      </c>
      <c r="Y228" s="23" t="str">
        <f>IF(OR(P228="",T228=""),"",P228-T228)</f>
        <v/>
      </c>
      <c r="Z228" s="23" t="str">
        <f>IF(OR(Q228="",U228=""),"",Q228-U228)</f>
        <v/>
      </c>
      <c r="AA228" s="23" t="str">
        <f>IF(OR(H228="",O228=""),"",H228-O228)</f>
        <v/>
      </c>
      <c r="AB228" s="23" t="str">
        <f>IF(OR(R228="",V228=""),"",R228-V228)</f>
        <v/>
      </c>
      <c r="AC228" s="23" t="str">
        <f>IF(OR(S228="",W228=""),"",S228-W228)</f>
        <v/>
      </c>
      <c r="AD228" s="13"/>
      <c r="AE228" s="23" t="str">
        <f>IF(OR(AD228="",AD227=""),"",IF(AD227=0,"",(AD228/AD227)-1))</f>
        <v/>
      </c>
      <c r="AF228" s="23" t="str">
        <f>IF(ROW()&lt;7,"",IF(OR(AD228="",AD225=""),"",IF(AD225=0,"",(AD228/AD225)-1)))</f>
        <v/>
      </c>
      <c r="AG228" s="23" t="str">
        <f>IF(ROW()&lt;9,"",IF(OR(AD228="",AD223=""),"",IF(AD223=0,"",(AD228/AD223)-1)))</f>
        <v/>
      </c>
      <c r="AH228" s="23" t="str">
        <f>IF(OR(AF228="",AG228=""),"",IF(AND(AF228&gt;0,AG228&gt;0),"Bull",IF(AND(AF228&lt;0,AG228&lt;0),"Bear","Mixed")))</f>
        <v/>
      </c>
      <c r="AI228" s="13"/>
      <c r="AJ228" s="13" t="str">
        <f>IF(OR(AI228="",AI227=""),"",IF(AI227=0,"",(AI228/AI227)-1))</f>
        <v/>
      </c>
      <c r="AK228" s="23" t="str">
        <f>IF(OR(AJ228="",AJ227=""),"",IF(AJ227=0,"",(AJ228/AJ227)-1))</f>
        <v/>
      </c>
      <c r="AL228" s="23" t="str">
        <f>IF(ROW()&lt;7,"",IF(OR(AJ228="",AJ225=""),"",IF(AJ225=0,"",(AJ228/AJ225)-1)))</f>
        <v/>
      </c>
      <c r="AM228" s="23" t="str">
        <f>IF(ROW()&lt;9,"",IF(OR(AJ228="",AJ223=""),"",IF(AJ223=0,"",(AJ228/AJ223)-1)))</f>
        <v/>
      </c>
      <c r="AN228" t="str">
        <f>IF(OR(AL228="",AM228=""),"",IF(AND(AL228&gt;0,AM228&gt;0),"Bull",IF(AND(AL228&lt;0,AM228&lt;0),"Bear","Mixed")))</f>
        <v/>
      </c>
      <c r="AO228" t="str">
        <f>IF(OR(AH228="",AN228=""),"",IF(AND(AH228="Bull",AN228="Bull"),"YES","NO"))</f>
        <v/>
      </c>
      <c r="AP228" t="str">
        <f>IF(OR(AH228="",AN228=""),"",IF(AND(AH228="Bear",AN228="Bear"),"YES","NO"))</f>
        <v/>
      </c>
      <c r="AQ228" t="str">
        <f>IF(AO228="YES",IF(SUM(N(X228),N(Y228),N(Z228))&gt;0,"SOXL","TQQQ"),IF(AP228="YES",IF(SUM(N(AA228),N(AB228),N(AC228))&gt;0,"SOXS","SQQQ"),"WAIT"))</f>
        <v>WAIT</v>
      </c>
      <c r="AR228" s="23" t="str">
        <f>IF(AO228="YES",IF(SUM(N(X228),N(Y228),N(Z228))&gt;0,"TQQQ","SOXL"),IF(AP228="YES",IF(SUM(N(AA228),N(AB228),N(AC228))&gt;0,"SQQQ","SOXS"),""))</f>
        <v/>
      </c>
      <c r="AS228" s="23" t="str">
        <f>IF(AQ228="WAIT","",IF(AR228="",1,0.6))</f>
        <v/>
      </c>
      <c r="AT228" s="23">
        <f>IF(AR228="",0,0.4)</f>
        <v>0</v>
      </c>
      <c r="AU228" s="23" t="str">
        <f>IF(AQ228="WAIT","WAIT",IF(AO228="YES","BULL",IF(AP228="YES","BEAR","WAIT")))</f>
        <v>WAIT</v>
      </c>
      <c r="AV228" t="str">
        <f>IF(AQ228="WAIT","Low",IF(OR(AND(AU228="BULL",ABS(SUM(N(X228),N(Y228),N(Z228)))&gt;=0.15),AND(AU228="BEAR",ABS(SUM(N(AA228),N(AB228),N(AC228)))&gt;=0.15)),"Strong",IF(OR(AND(AU228="BULL",ABS(SUM(N(X228),N(Y228),N(Z228)))&gt;=0.05),AND(AU228="BEAR",ABS(SUM(N(AA228),N(AB228),N(AC228)))&gt;=0.05)),"Moderate","Low")))</f>
        <v>Low</v>
      </c>
      <c r="AW228" t="str">
        <f>IF(AQ228="WAIT","QQQ and SMH not aligned",IF(AU228="BULL",IF(AQ228="SOXL","Bull regime; semiconductors leading","Bull regime; tech leading"),IF(AQ228="SOXS","Bear regime; semiconductors weakest","Bear regime; tech weakest")))</f>
        <v>QQQ and SMH not aligned</v>
      </c>
      <c r="AX228" t="str">
        <f>IF(AR228="WAIT","QQQ and SMH not aligned",IF(AV228="BULL",IF(AR228="SOXL","Bull regime; semiconductors leading","Bull regime; tech leading"),IF(AR228="SOXS","Bear regime; semiconductors weakest","Bear regime; tech weakest")))</f>
        <v>Bear regime; tech weakest</v>
      </c>
    </row>
    <row r="229" spans="1:50" x14ac:dyDescent="0.2">
      <c r="A229" s="12"/>
      <c r="B229" s="13"/>
      <c r="C229" s="13"/>
      <c r="D229" s="13"/>
      <c r="E229" s="13"/>
      <c r="F229" s="11" t="str">
        <f>IF(OR(E229="",E228=""),"",IF(E228=0,"",(E229/E228)-1))</f>
        <v/>
      </c>
      <c r="G229" s="13"/>
      <c r="H229" s="11" t="str">
        <f>IF(OR(G229="",G228=""),"",IF(G228=0,"",(G229/G228)-1))</f>
        <v/>
      </c>
      <c r="I229" s="13"/>
      <c r="J229" s="13"/>
      <c r="K229" s="13"/>
      <c r="L229" s="13"/>
      <c r="M229" s="23" t="str">
        <f>IF(OR(L229="",L228=""),"",IF(L228=0,"",(L229/L228)-1))</f>
        <v/>
      </c>
      <c r="N229" s="26" t="str">
        <f>IFERROR((M229/M228)-1,"")</f>
        <v/>
      </c>
      <c r="O229" s="23" t="str">
        <f>IF(OR(N229="",N228=""),"",IF(N228=0,"",(N229/N228)-1))</f>
        <v/>
      </c>
      <c r="P229" s="11" t="str">
        <f>IF(ROW()&lt;7,"",IF(OR(E229="",E226=""),"",IF(E226=0,"",(E229/E226)-1)))</f>
        <v/>
      </c>
      <c r="Q229" s="23" t="str">
        <f>IF(ROW()&lt;9,"",IF(OR(E229="",E224=""),"",IF(E224=0,"",(E229/E224)-1)))</f>
        <v/>
      </c>
      <c r="R229" s="23" t="str">
        <f>IF(ROW()&lt;7,"",IF(OR(G229="",G226=""),"",IF(G226=0,"",(G229/G226)-1)))</f>
        <v/>
      </c>
      <c r="S229" s="23" t="str">
        <f>IF(ROW()&lt;9,"",IF(OR(G229="",G224=""),"",IF(G224=0,"",(G229/G224)-1)))</f>
        <v/>
      </c>
      <c r="T229" s="23" t="str">
        <f>IF(ROW()&lt;7,"",IF(OR(L229="",L226=""),"",IF(L226=0,"",(L229/L226)-1)))</f>
        <v/>
      </c>
      <c r="U229" s="23" t="str">
        <f>IF(ROW()&lt;9,"",IF(OR(L229="",L224=""),"",IF(L224=0,"",(L229/L224)-1)))</f>
        <v/>
      </c>
      <c r="V229" s="23" t="str">
        <f>IF(ROW()&lt;7,"",IF(OR(N229="",N226=""),"",IF(N226=0,"",(N229/N226)-1)))</f>
        <v/>
      </c>
      <c r="W229" s="23" t="str">
        <f>IF(ROW()&lt;9,"",IF(OR(N229="",N224=""),"",IF(N224=0,"",(N229/N224)-1)))</f>
        <v/>
      </c>
      <c r="X229" s="23" t="str">
        <f>IF(OR(F229="",M229=""),"",F229-M229)</f>
        <v/>
      </c>
      <c r="Y229" s="23" t="str">
        <f>IF(OR(P229="",T229=""),"",P229-T229)</f>
        <v/>
      </c>
      <c r="Z229" s="23" t="str">
        <f>IF(OR(Q229="",U229=""),"",Q229-U229)</f>
        <v/>
      </c>
      <c r="AA229" s="23" t="str">
        <f>IF(OR(H229="",O229=""),"",H229-O229)</f>
        <v/>
      </c>
      <c r="AB229" s="23" t="str">
        <f>IF(OR(R229="",V229=""),"",R229-V229)</f>
        <v/>
      </c>
      <c r="AC229" s="23" t="str">
        <f>IF(OR(S229="",W229=""),"",S229-W229)</f>
        <v/>
      </c>
      <c r="AD229" s="13"/>
      <c r="AE229" s="23" t="str">
        <f>IF(OR(AD229="",AD228=""),"",IF(AD228=0,"",(AD229/AD228)-1))</f>
        <v/>
      </c>
      <c r="AF229" s="23" t="str">
        <f>IF(ROW()&lt;7,"",IF(OR(AD229="",AD226=""),"",IF(AD226=0,"",(AD229/AD226)-1)))</f>
        <v/>
      </c>
      <c r="AG229" s="23" t="str">
        <f>IF(ROW()&lt;9,"",IF(OR(AD229="",AD224=""),"",IF(AD224=0,"",(AD229/AD224)-1)))</f>
        <v/>
      </c>
      <c r="AH229" s="23" t="str">
        <f>IF(OR(AF229="",AG229=""),"",IF(AND(AF229&gt;0,AG229&gt;0),"Bull",IF(AND(AF229&lt;0,AG229&lt;0),"Bear","Mixed")))</f>
        <v/>
      </c>
      <c r="AI229" s="13"/>
      <c r="AJ229" s="13" t="str">
        <f>IF(OR(AI229="",AI228=""),"",IF(AI228=0,"",(AI229/AI228)-1))</f>
        <v/>
      </c>
      <c r="AK229" s="23" t="str">
        <f>IF(OR(AJ229="",AJ228=""),"",IF(AJ228=0,"",(AJ229/AJ228)-1))</f>
        <v/>
      </c>
      <c r="AL229" s="23" t="str">
        <f>IF(ROW()&lt;7,"",IF(OR(AJ229="",AJ226=""),"",IF(AJ226=0,"",(AJ229/AJ226)-1)))</f>
        <v/>
      </c>
      <c r="AM229" s="23" t="str">
        <f>IF(ROW()&lt;9,"",IF(OR(AJ229="",AJ224=""),"",IF(AJ224=0,"",(AJ229/AJ224)-1)))</f>
        <v/>
      </c>
      <c r="AN229" t="str">
        <f>IF(OR(AL229="",AM229=""),"",IF(AND(AL229&gt;0,AM229&gt;0),"Bull",IF(AND(AL229&lt;0,AM229&lt;0),"Bear","Mixed")))</f>
        <v/>
      </c>
      <c r="AO229" t="str">
        <f>IF(OR(AH229="",AN229=""),"",IF(AND(AH229="Bull",AN229="Bull"),"YES","NO"))</f>
        <v/>
      </c>
      <c r="AP229" t="str">
        <f>IF(OR(AH229="",AN229=""),"",IF(AND(AH229="Bear",AN229="Bear"),"YES","NO"))</f>
        <v/>
      </c>
      <c r="AQ229" t="str">
        <f>IF(AO229="YES",IF(SUM(N(X229),N(Y229),N(Z229))&gt;0,"SOXL","TQQQ"),IF(AP229="YES",IF(SUM(N(AA229),N(AB229),N(AC229))&gt;0,"SOXS","SQQQ"),"WAIT"))</f>
        <v>WAIT</v>
      </c>
      <c r="AR229" s="23" t="str">
        <f>IF(AO229="YES",IF(SUM(N(X229),N(Y229),N(Z229))&gt;0,"TQQQ","SOXL"),IF(AP229="YES",IF(SUM(N(AA229),N(AB229),N(AC229))&gt;0,"SQQQ","SOXS"),""))</f>
        <v/>
      </c>
      <c r="AS229" s="23" t="str">
        <f>IF(AQ229="WAIT","",IF(AR229="",1,0.6))</f>
        <v/>
      </c>
      <c r="AT229" s="23">
        <f>IF(AR229="",0,0.4)</f>
        <v>0</v>
      </c>
      <c r="AU229" s="23" t="str">
        <f>IF(AQ229="WAIT","WAIT",IF(AO229="YES","BULL",IF(AP229="YES","BEAR","WAIT")))</f>
        <v>WAIT</v>
      </c>
      <c r="AV229" t="str">
        <f>IF(AQ229="WAIT","Low",IF(OR(AND(AU229="BULL",ABS(SUM(N(X229),N(Y229),N(Z229)))&gt;=0.15),AND(AU229="BEAR",ABS(SUM(N(AA229),N(AB229),N(AC229)))&gt;=0.15)),"Strong",IF(OR(AND(AU229="BULL",ABS(SUM(N(X229),N(Y229),N(Z229)))&gt;=0.05),AND(AU229="BEAR",ABS(SUM(N(AA229),N(AB229),N(AC229)))&gt;=0.05)),"Moderate","Low")))</f>
        <v>Low</v>
      </c>
      <c r="AW229" t="str">
        <f>IF(AQ229="WAIT","QQQ and SMH not aligned",IF(AU229="BULL",IF(AQ229="SOXL","Bull regime; semiconductors leading","Bull regime; tech leading"),IF(AQ229="SOXS","Bear regime; semiconductors weakest","Bear regime; tech weakest")))</f>
        <v>QQQ and SMH not aligned</v>
      </c>
      <c r="AX229" t="str">
        <f>IF(AR229="WAIT","QQQ and SMH not aligned",IF(AV229="BULL",IF(AR229="SOXL","Bull regime; semiconductors leading","Bull regime; tech leading"),IF(AR229="SOXS","Bear regime; semiconductors weakest","Bear regime; tech weakest")))</f>
        <v>Bear regime; tech weakest</v>
      </c>
    </row>
    <row r="230" spans="1:50" x14ac:dyDescent="0.2">
      <c r="A230" s="12"/>
      <c r="B230" s="13"/>
      <c r="C230" s="13"/>
      <c r="D230" s="13"/>
      <c r="E230" s="13"/>
      <c r="F230" s="11" t="str">
        <f>IF(OR(E230="",E229=""),"",IF(E229=0,"",(E230/E229)-1))</f>
        <v/>
      </c>
      <c r="G230" s="13"/>
      <c r="H230" s="11" t="str">
        <f>IF(OR(G230="",G229=""),"",IF(G229=0,"",(G230/G229)-1))</f>
        <v/>
      </c>
      <c r="I230" s="13"/>
      <c r="J230" s="13"/>
      <c r="K230" s="13"/>
      <c r="L230" s="13"/>
      <c r="M230" s="23" t="str">
        <f>IF(OR(L230="",L229=""),"",IF(L229=0,"",(L230/L229)-1))</f>
        <v/>
      </c>
      <c r="N230" s="26" t="str">
        <f>IFERROR((M230/M229)-1,"")</f>
        <v/>
      </c>
      <c r="O230" s="23" t="str">
        <f>IF(OR(N230="",N229=""),"",IF(N229=0,"",(N230/N229)-1))</f>
        <v/>
      </c>
      <c r="P230" s="11" t="str">
        <f>IF(ROW()&lt;7,"",IF(OR(E230="",E227=""),"",IF(E227=0,"",(E230/E227)-1)))</f>
        <v/>
      </c>
      <c r="Q230" s="23" t="str">
        <f>IF(ROW()&lt;9,"",IF(OR(E230="",E225=""),"",IF(E225=0,"",(E230/E225)-1)))</f>
        <v/>
      </c>
      <c r="R230" s="23" t="str">
        <f>IF(ROW()&lt;7,"",IF(OR(G230="",G227=""),"",IF(G227=0,"",(G230/G227)-1)))</f>
        <v/>
      </c>
      <c r="S230" s="23" t="str">
        <f>IF(ROW()&lt;9,"",IF(OR(G230="",G225=""),"",IF(G225=0,"",(G230/G225)-1)))</f>
        <v/>
      </c>
      <c r="T230" s="23" t="str">
        <f>IF(ROW()&lt;7,"",IF(OR(L230="",L227=""),"",IF(L227=0,"",(L230/L227)-1)))</f>
        <v/>
      </c>
      <c r="U230" s="23" t="str">
        <f>IF(ROW()&lt;9,"",IF(OR(L230="",L225=""),"",IF(L225=0,"",(L230/L225)-1)))</f>
        <v/>
      </c>
      <c r="V230" s="23" t="str">
        <f>IF(ROW()&lt;7,"",IF(OR(N230="",N227=""),"",IF(N227=0,"",(N230/N227)-1)))</f>
        <v/>
      </c>
      <c r="W230" s="23" t="str">
        <f>IF(ROW()&lt;9,"",IF(OR(N230="",N225=""),"",IF(N225=0,"",(N230/N225)-1)))</f>
        <v/>
      </c>
      <c r="X230" s="23" t="str">
        <f>IF(OR(F230="",M230=""),"",F230-M230)</f>
        <v/>
      </c>
      <c r="Y230" s="23" t="str">
        <f>IF(OR(P230="",T230=""),"",P230-T230)</f>
        <v/>
      </c>
      <c r="Z230" s="23" t="str">
        <f>IF(OR(Q230="",U230=""),"",Q230-U230)</f>
        <v/>
      </c>
      <c r="AA230" s="23" t="str">
        <f>IF(OR(H230="",O230=""),"",H230-O230)</f>
        <v/>
      </c>
      <c r="AB230" s="23" t="str">
        <f>IF(OR(R230="",V230=""),"",R230-V230)</f>
        <v/>
      </c>
      <c r="AC230" s="23" t="str">
        <f>IF(OR(S230="",W230=""),"",S230-W230)</f>
        <v/>
      </c>
      <c r="AD230" s="13"/>
      <c r="AE230" s="23" t="str">
        <f>IF(OR(AD230="",AD229=""),"",IF(AD229=0,"",(AD230/AD229)-1))</f>
        <v/>
      </c>
      <c r="AF230" s="23" t="str">
        <f>IF(ROW()&lt;7,"",IF(OR(AD230="",AD227=""),"",IF(AD227=0,"",(AD230/AD227)-1)))</f>
        <v/>
      </c>
      <c r="AG230" s="23" t="str">
        <f>IF(ROW()&lt;9,"",IF(OR(AD230="",AD225=""),"",IF(AD225=0,"",(AD230/AD225)-1)))</f>
        <v/>
      </c>
      <c r="AH230" s="23" t="str">
        <f>IF(OR(AF230="",AG230=""),"",IF(AND(AF230&gt;0,AG230&gt;0),"Bull",IF(AND(AF230&lt;0,AG230&lt;0),"Bear","Mixed")))</f>
        <v/>
      </c>
      <c r="AI230" s="13"/>
      <c r="AJ230" s="13" t="str">
        <f>IF(OR(AI230="",AI229=""),"",IF(AI229=0,"",(AI230/AI229)-1))</f>
        <v/>
      </c>
      <c r="AK230" s="23" t="str">
        <f>IF(OR(AJ230="",AJ229=""),"",IF(AJ229=0,"",(AJ230/AJ229)-1))</f>
        <v/>
      </c>
      <c r="AL230" s="23" t="str">
        <f>IF(ROW()&lt;7,"",IF(OR(AJ230="",AJ227=""),"",IF(AJ227=0,"",(AJ230/AJ227)-1)))</f>
        <v/>
      </c>
      <c r="AM230" s="23" t="str">
        <f>IF(ROW()&lt;9,"",IF(OR(AJ230="",AJ225=""),"",IF(AJ225=0,"",(AJ230/AJ225)-1)))</f>
        <v/>
      </c>
      <c r="AN230" t="str">
        <f>IF(OR(AL230="",AM230=""),"",IF(AND(AL230&gt;0,AM230&gt;0),"Bull",IF(AND(AL230&lt;0,AM230&lt;0),"Bear","Mixed")))</f>
        <v/>
      </c>
      <c r="AO230" t="str">
        <f>IF(OR(AH230="",AN230=""),"",IF(AND(AH230="Bull",AN230="Bull"),"YES","NO"))</f>
        <v/>
      </c>
      <c r="AP230" t="str">
        <f>IF(OR(AH230="",AN230=""),"",IF(AND(AH230="Bear",AN230="Bear"),"YES","NO"))</f>
        <v/>
      </c>
      <c r="AQ230" t="str">
        <f>IF(AO230="YES",IF(SUM(N(X230),N(Y230),N(Z230))&gt;0,"SOXL","TQQQ"),IF(AP230="YES",IF(SUM(N(AA230),N(AB230),N(AC230))&gt;0,"SOXS","SQQQ"),"WAIT"))</f>
        <v>WAIT</v>
      </c>
      <c r="AR230" s="23" t="str">
        <f>IF(AO230="YES",IF(SUM(N(X230),N(Y230),N(Z230))&gt;0,"TQQQ","SOXL"),IF(AP230="YES",IF(SUM(N(AA230),N(AB230),N(AC230))&gt;0,"SQQQ","SOXS"),""))</f>
        <v/>
      </c>
      <c r="AS230" s="23" t="str">
        <f>IF(AQ230="WAIT","",IF(AR230="",1,0.6))</f>
        <v/>
      </c>
      <c r="AT230" s="23">
        <f>IF(AR230="",0,0.4)</f>
        <v>0</v>
      </c>
      <c r="AU230" s="23" t="str">
        <f>IF(AQ230="WAIT","WAIT",IF(AO230="YES","BULL",IF(AP230="YES","BEAR","WAIT")))</f>
        <v>WAIT</v>
      </c>
      <c r="AV230" t="str">
        <f>IF(AQ230="WAIT","Low",IF(OR(AND(AU230="BULL",ABS(SUM(N(X230),N(Y230),N(Z230)))&gt;=0.15),AND(AU230="BEAR",ABS(SUM(N(AA230),N(AB230),N(AC230)))&gt;=0.15)),"Strong",IF(OR(AND(AU230="BULL",ABS(SUM(N(X230),N(Y230),N(Z230)))&gt;=0.05),AND(AU230="BEAR",ABS(SUM(N(AA230),N(AB230),N(AC230)))&gt;=0.05)),"Moderate","Low")))</f>
        <v>Low</v>
      </c>
      <c r="AW230" t="str">
        <f>IF(AQ230="WAIT","QQQ and SMH not aligned",IF(AU230="BULL",IF(AQ230="SOXL","Bull regime; semiconductors leading","Bull regime; tech leading"),IF(AQ230="SOXS","Bear regime; semiconductors weakest","Bear regime; tech weakest")))</f>
        <v>QQQ and SMH not aligned</v>
      </c>
      <c r="AX230" t="str">
        <f>IF(AR230="WAIT","QQQ and SMH not aligned",IF(AV230="BULL",IF(AR230="SOXL","Bull regime; semiconductors leading","Bull regime; tech leading"),IF(AR230="SOXS","Bear regime; semiconductors weakest","Bear regime; tech weakest")))</f>
        <v>Bear regime; tech weakest</v>
      </c>
    </row>
    <row r="231" spans="1:50" x14ac:dyDescent="0.2">
      <c r="A231" s="12"/>
      <c r="B231" s="13"/>
      <c r="C231" s="13"/>
      <c r="D231" s="13"/>
      <c r="E231" s="13"/>
      <c r="F231" s="11" t="str">
        <f>IF(OR(E231="",E230=""),"",IF(E230=0,"",(E231/E230)-1))</f>
        <v/>
      </c>
      <c r="G231" s="13"/>
      <c r="H231" s="11" t="str">
        <f>IF(OR(G231="",G230=""),"",IF(G230=0,"",(G231/G230)-1))</f>
        <v/>
      </c>
      <c r="I231" s="13"/>
      <c r="J231" s="13"/>
      <c r="K231" s="13"/>
      <c r="L231" s="13"/>
      <c r="M231" s="23" t="str">
        <f>IF(OR(L231="",L230=""),"",IF(L230=0,"",(L231/L230)-1))</f>
        <v/>
      </c>
      <c r="N231" s="26" t="str">
        <f>IFERROR((M231/M230)-1,"")</f>
        <v/>
      </c>
      <c r="O231" s="23" t="str">
        <f>IF(OR(N231="",N230=""),"",IF(N230=0,"",(N231/N230)-1))</f>
        <v/>
      </c>
      <c r="P231" s="11" t="str">
        <f>IF(ROW()&lt;7,"",IF(OR(E231="",E228=""),"",IF(E228=0,"",(E231/E228)-1)))</f>
        <v/>
      </c>
      <c r="Q231" s="23" t="str">
        <f>IF(ROW()&lt;9,"",IF(OR(E231="",E226=""),"",IF(E226=0,"",(E231/E226)-1)))</f>
        <v/>
      </c>
      <c r="R231" s="23" t="str">
        <f>IF(ROW()&lt;7,"",IF(OR(G231="",G228=""),"",IF(G228=0,"",(G231/G228)-1)))</f>
        <v/>
      </c>
      <c r="S231" s="23" t="str">
        <f>IF(ROW()&lt;9,"",IF(OR(G231="",G226=""),"",IF(G226=0,"",(G231/G226)-1)))</f>
        <v/>
      </c>
      <c r="T231" s="23" t="str">
        <f>IF(ROW()&lt;7,"",IF(OR(L231="",L228=""),"",IF(L228=0,"",(L231/L228)-1)))</f>
        <v/>
      </c>
      <c r="U231" s="23" t="str">
        <f>IF(ROW()&lt;9,"",IF(OR(L231="",L226=""),"",IF(L226=0,"",(L231/L226)-1)))</f>
        <v/>
      </c>
      <c r="V231" s="23" t="str">
        <f>IF(ROW()&lt;7,"",IF(OR(N231="",N228=""),"",IF(N228=0,"",(N231/N228)-1)))</f>
        <v/>
      </c>
      <c r="W231" s="23" t="str">
        <f>IF(ROW()&lt;9,"",IF(OR(N231="",N226=""),"",IF(N226=0,"",(N231/N226)-1)))</f>
        <v/>
      </c>
      <c r="X231" s="23" t="str">
        <f>IF(OR(F231="",M231=""),"",F231-M231)</f>
        <v/>
      </c>
      <c r="Y231" s="23" t="str">
        <f>IF(OR(P231="",T231=""),"",P231-T231)</f>
        <v/>
      </c>
      <c r="Z231" s="23" t="str">
        <f>IF(OR(Q231="",U231=""),"",Q231-U231)</f>
        <v/>
      </c>
      <c r="AA231" s="23" t="str">
        <f>IF(OR(H231="",O231=""),"",H231-O231)</f>
        <v/>
      </c>
      <c r="AB231" s="23" t="str">
        <f>IF(OR(R231="",V231=""),"",R231-V231)</f>
        <v/>
      </c>
      <c r="AC231" s="23" t="str">
        <f>IF(OR(S231="",W231=""),"",S231-W231)</f>
        <v/>
      </c>
      <c r="AD231" s="13"/>
      <c r="AE231" s="23" t="str">
        <f>IF(OR(AD231="",AD230=""),"",IF(AD230=0,"",(AD231/AD230)-1))</f>
        <v/>
      </c>
      <c r="AF231" s="23" t="str">
        <f>IF(ROW()&lt;7,"",IF(OR(AD231="",AD228=""),"",IF(AD228=0,"",(AD231/AD228)-1)))</f>
        <v/>
      </c>
      <c r="AG231" s="23" t="str">
        <f>IF(ROW()&lt;9,"",IF(OR(AD231="",AD226=""),"",IF(AD226=0,"",(AD231/AD226)-1)))</f>
        <v/>
      </c>
      <c r="AH231" s="23" t="str">
        <f>IF(OR(AF231="",AG231=""),"",IF(AND(AF231&gt;0,AG231&gt;0),"Bull",IF(AND(AF231&lt;0,AG231&lt;0),"Bear","Mixed")))</f>
        <v/>
      </c>
      <c r="AI231" s="13"/>
      <c r="AJ231" s="13" t="str">
        <f>IF(OR(AI231="",AI230=""),"",IF(AI230=0,"",(AI231/AI230)-1))</f>
        <v/>
      </c>
      <c r="AK231" s="23" t="str">
        <f>IF(OR(AJ231="",AJ230=""),"",IF(AJ230=0,"",(AJ231/AJ230)-1))</f>
        <v/>
      </c>
      <c r="AL231" s="23" t="str">
        <f>IF(ROW()&lt;7,"",IF(OR(AJ231="",AJ228=""),"",IF(AJ228=0,"",(AJ231/AJ228)-1)))</f>
        <v/>
      </c>
      <c r="AM231" s="23" t="str">
        <f>IF(ROW()&lt;9,"",IF(OR(AJ231="",AJ226=""),"",IF(AJ226=0,"",(AJ231/AJ226)-1)))</f>
        <v/>
      </c>
      <c r="AN231" t="str">
        <f>IF(OR(AL231="",AM231=""),"",IF(AND(AL231&gt;0,AM231&gt;0),"Bull",IF(AND(AL231&lt;0,AM231&lt;0),"Bear","Mixed")))</f>
        <v/>
      </c>
      <c r="AO231" t="str">
        <f>IF(OR(AH231="",AN231=""),"",IF(AND(AH231="Bull",AN231="Bull"),"YES","NO"))</f>
        <v/>
      </c>
      <c r="AP231" t="str">
        <f>IF(OR(AH231="",AN231=""),"",IF(AND(AH231="Bear",AN231="Bear"),"YES","NO"))</f>
        <v/>
      </c>
      <c r="AQ231" t="str">
        <f>IF(AO231="YES",IF(SUM(N(X231),N(Y231),N(Z231))&gt;0,"SOXL","TQQQ"),IF(AP231="YES",IF(SUM(N(AA231),N(AB231),N(AC231))&gt;0,"SOXS","SQQQ"),"WAIT"))</f>
        <v>WAIT</v>
      </c>
      <c r="AR231" s="23" t="str">
        <f>IF(AO231="YES",IF(SUM(N(X231),N(Y231),N(Z231))&gt;0,"TQQQ","SOXL"),IF(AP231="YES",IF(SUM(N(AA231),N(AB231),N(AC231))&gt;0,"SQQQ","SOXS"),""))</f>
        <v/>
      </c>
      <c r="AS231" s="23" t="str">
        <f>IF(AQ231="WAIT","",IF(AR231="",1,0.6))</f>
        <v/>
      </c>
      <c r="AT231" s="23">
        <f>IF(AR231="",0,0.4)</f>
        <v>0</v>
      </c>
      <c r="AU231" s="23" t="str">
        <f>IF(AQ231="WAIT","WAIT",IF(AO231="YES","BULL",IF(AP231="YES","BEAR","WAIT")))</f>
        <v>WAIT</v>
      </c>
      <c r="AV231" t="str">
        <f>IF(AQ231="WAIT","Low",IF(OR(AND(AU231="BULL",ABS(SUM(N(X231),N(Y231),N(Z231)))&gt;=0.15),AND(AU231="BEAR",ABS(SUM(N(AA231),N(AB231),N(AC231)))&gt;=0.15)),"Strong",IF(OR(AND(AU231="BULL",ABS(SUM(N(X231),N(Y231),N(Z231)))&gt;=0.05),AND(AU231="BEAR",ABS(SUM(N(AA231),N(AB231),N(AC231)))&gt;=0.05)),"Moderate","Low")))</f>
        <v>Low</v>
      </c>
      <c r="AW231" t="str">
        <f>IF(AQ231="WAIT","QQQ and SMH not aligned",IF(AU231="BULL",IF(AQ231="SOXL","Bull regime; semiconductors leading","Bull regime; tech leading"),IF(AQ231="SOXS","Bear regime; semiconductors weakest","Bear regime; tech weakest")))</f>
        <v>QQQ and SMH not aligned</v>
      </c>
      <c r="AX231" t="str">
        <f>IF(AR231="WAIT","QQQ and SMH not aligned",IF(AV231="BULL",IF(AR231="SOXL","Bull regime; semiconductors leading","Bull regime; tech leading"),IF(AR231="SOXS","Bear regime; semiconductors weakest","Bear regime; tech weakest")))</f>
        <v>Bear regime; tech weakest</v>
      </c>
    </row>
    <row r="232" spans="1:50" x14ac:dyDescent="0.2">
      <c r="A232" s="12"/>
      <c r="B232" s="13"/>
      <c r="C232" s="13"/>
      <c r="D232" s="13"/>
      <c r="E232" s="13"/>
      <c r="F232" s="11" t="str">
        <f>IF(OR(E232="",E231=""),"",IF(E231=0,"",(E232/E231)-1))</f>
        <v/>
      </c>
      <c r="G232" s="13"/>
      <c r="H232" s="11" t="str">
        <f>IF(OR(G232="",G231=""),"",IF(G231=0,"",(G232/G231)-1))</f>
        <v/>
      </c>
      <c r="I232" s="13"/>
      <c r="J232" s="13"/>
      <c r="K232" s="13"/>
      <c r="L232" s="13"/>
      <c r="M232" s="23" t="str">
        <f>IF(OR(L232="",L231=""),"",IF(L231=0,"",(L232/L231)-1))</f>
        <v/>
      </c>
      <c r="N232" s="26" t="str">
        <f>IFERROR((M232/M231)-1,"")</f>
        <v/>
      </c>
      <c r="O232" s="23" t="str">
        <f>IF(OR(N232="",N231=""),"",IF(N231=0,"",(N232/N231)-1))</f>
        <v/>
      </c>
      <c r="P232" s="11" t="str">
        <f>IF(ROW()&lt;7,"",IF(OR(E232="",E229=""),"",IF(E229=0,"",(E232/E229)-1)))</f>
        <v/>
      </c>
      <c r="Q232" s="23" t="str">
        <f>IF(ROW()&lt;9,"",IF(OR(E232="",E227=""),"",IF(E227=0,"",(E232/E227)-1)))</f>
        <v/>
      </c>
      <c r="R232" s="23" t="str">
        <f>IF(ROW()&lt;7,"",IF(OR(G232="",G229=""),"",IF(G229=0,"",(G232/G229)-1)))</f>
        <v/>
      </c>
      <c r="S232" s="23" t="str">
        <f>IF(ROW()&lt;9,"",IF(OR(G232="",G227=""),"",IF(G227=0,"",(G232/G227)-1)))</f>
        <v/>
      </c>
      <c r="T232" s="23" t="str">
        <f>IF(ROW()&lt;7,"",IF(OR(L232="",L229=""),"",IF(L229=0,"",(L232/L229)-1)))</f>
        <v/>
      </c>
      <c r="U232" s="23" t="str">
        <f>IF(ROW()&lt;9,"",IF(OR(L232="",L227=""),"",IF(L227=0,"",(L232/L227)-1)))</f>
        <v/>
      </c>
      <c r="V232" s="23" t="str">
        <f>IF(ROW()&lt;7,"",IF(OR(N232="",N229=""),"",IF(N229=0,"",(N232/N229)-1)))</f>
        <v/>
      </c>
      <c r="W232" s="23" t="str">
        <f>IF(ROW()&lt;9,"",IF(OR(N232="",N227=""),"",IF(N227=0,"",(N232/N227)-1)))</f>
        <v/>
      </c>
      <c r="X232" s="23" t="str">
        <f>IF(OR(F232="",M232=""),"",F232-M232)</f>
        <v/>
      </c>
      <c r="Y232" s="23" t="str">
        <f>IF(OR(P232="",T232=""),"",P232-T232)</f>
        <v/>
      </c>
      <c r="Z232" s="23" t="str">
        <f>IF(OR(Q232="",U232=""),"",Q232-U232)</f>
        <v/>
      </c>
      <c r="AA232" s="23" t="str">
        <f>IF(OR(H232="",O232=""),"",H232-O232)</f>
        <v/>
      </c>
      <c r="AB232" s="23" t="str">
        <f>IF(OR(R232="",V232=""),"",R232-V232)</f>
        <v/>
      </c>
      <c r="AC232" s="23" t="str">
        <f>IF(OR(S232="",W232=""),"",S232-W232)</f>
        <v/>
      </c>
      <c r="AD232" s="13"/>
      <c r="AE232" s="23" t="str">
        <f>IF(OR(AD232="",AD231=""),"",IF(AD231=0,"",(AD232/AD231)-1))</f>
        <v/>
      </c>
      <c r="AF232" s="23" t="str">
        <f>IF(ROW()&lt;7,"",IF(OR(AD232="",AD229=""),"",IF(AD229=0,"",(AD232/AD229)-1)))</f>
        <v/>
      </c>
      <c r="AG232" s="23" t="str">
        <f>IF(ROW()&lt;9,"",IF(OR(AD232="",AD227=""),"",IF(AD227=0,"",(AD232/AD227)-1)))</f>
        <v/>
      </c>
      <c r="AH232" s="23" t="str">
        <f>IF(OR(AF232="",AG232=""),"",IF(AND(AF232&gt;0,AG232&gt;0),"Bull",IF(AND(AF232&lt;0,AG232&lt;0),"Bear","Mixed")))</f>
        <v/>
      </c>
      <c r="AI232" s="13"/>
      <c r="AJ232" s="13" t="str">
        <f>IF(OR(AI232="",AI231=""),"",IF(AI231=0,"",(AI232/AI231)-1))</f>
        <v/>
      </c>
      <c r="AK232" s="23" t="str">
        <f>IF(OR(AJ232="",AJ231=""),"",IF(AJ231=0,"",(AJ232/AJ231)-1))</f>
        <v/>
      </c>
      <c r="AL232" s="23" t="str">
        <f>IF(ROW()&lt;7,"",IF(OR(AJ232="",AJ229=""),"",IF(AJ229=0,"",(AJ232/AJ229)-1)))</f>
        <v/>
      </c>
      <c r="AM232" s="23" t="str">
        <f>IF(ROW()&lt;9,"",IF(OR(AJ232="",AJ227=""),"",IF(AJ227=0,"",(AJ232/AJ227)-1)))</f>
        <v/>
      </c>
      <c r="AN232" t="str">
        <f>IF(OR(AL232="",AM232=""),"",IF(AND(AL232&gt;0,AM232&gt;0),"Bull",IF(AND(AL232&lt;0,AM232&lt;0),"Bear","Mixed")))</f>
        <v/>
      </c>
      <c r="AO232" t="str">
        <f>IF(OR(AH232="",AN232=""),"",IF(AND(AH232="Bull",AN232="Bull"),"YES","NO"))</f>
        <v/>
      </c>
      <c r="AP232" t="str">
        <f>IF(OR(AH232="",AN232=""),"",IF(AND(AH232="Bear",AN232="Bear"),"YES","NO"))</f>
        <v/>
      </c>
      <c r="AQ232" t="str">
        <f>IF(AO232="YES",IF(SUM(N(X232),N(Y232),N(Z232))&gt;0,"SOXL","TQQQ"),IF(AP232="YES",IF(SUM(N(AA232),N(AB232),N(AC232))&gt;0,"SOXS","SQQQ"),"WAIT"))</f>
        <v>WAIT</v>
      </c>
      <c r="AR232" s="23" t="str">
        <f>IF(AO232="YES",IF(SUM(N(X232),N(Y232),N(Z232))&gt;0,"TQQQ","SOXL"),IF(AP232="YES",IF(SUM(N(AA232),N(AB232),N(AC232))&gt;0,"SQQQ","SOXS"),""))</f>
        <v/>
      </c>
      <c r="AS232" s="23" t="str">
        <f>IF(AQ232="WAIT","",IF(AR232="",1,0.6))</f>
        <v/>
      </c>
      <c r="AT232" s="23">
        <f>IF(AR232="",0,0.4)</f>
        <v>0</v>
      </c>
      <c r="AU232" s="23" t="str">
        <f>IF(AQ232="WAIT","WAIT",IF(AO232="YES","BULL",IF(AP232="YES","BEAR","WAIT")))</f>
        <v>WAIT</v>
      </c>
      <c r="AV232" t="str">
        <f>IF(AQ232="WAIT","Low",IF(OR(AND(AU232="BULL",ABS(SUM(N(X232),N(Y232),N(Z232)))&gt;=0.15),AND(AU232="BEAR",ABS(SUM(N(AA232),N(AB232),N(AC232)))&gt;=0.15)),"Strong",IF(OR(AND(AU232="BULL",ABS(SUM(N(X232),N(Y232),N(Z232)))&gt;=0.05),AND(AU232="BEAR",ABS(SUM(N(AA232),N(AB232),N(AC232)))&gt;=0.05)),"Moderate","Low")))</f>
        <v>Low</v>
      </c>
      <c r="AW232" t="str">
        <f>IF(AQ232="WAIT","QQQ and SMH not aligned",IF(AU232="BULL",IF(AQ232="SOXL","Bull regime; semiconductors leading","Bull regime; tech leading"),IF(AQ232="SOXS","Bear regime; semiconductors weakest","Bear regime; tech weakest")))</f>
        <v>QQQ and SMH not aligned</v>
      </c>
      <c r="AX232" t="str">
        <f>IF(AR232="WAIT","QQQ and SMH not aligned",IF(AV232="BULL",IF(AR232="SOXL","Bull regime; semiconductors leading","Bull regime; tech leading"),IF(AR232="SOXS","Bear regime; semiconductors weakest","Bear regime; tech weakest")))</f>
        <v>Bear regime; tech weakest</v>
      </c>
    </row>
    <row r="233" spans="1:50" x14ac:dyDescent="0.2">
      <c r="A233" s="12"/>
      <c r="B233" s="13"/>
      <c r="C233" s="13"/>
      <c r="D233" s="13"/>
      <c r="E233" s="13"/>
      <c r="F233" s="11" t="str">
        <f>IF(OR(E233="",E232=""),"",IF(E232=0,"",(E233/E232)-1))</f>
        <v/>
      </c>
      <c r="G233" s="13"/>
      <c r="H233" s="11" t="str">
        <f>IF(OR(G233="",G232=""),"",IF(G232=0,"",(G233/G232)-1))</f>
        <v/>
      </c>
      <c r="I233" s="13"/>
      <c r="J233" s="13"/>
      <c r="K233" s="13"/>
      <c r="L233" s="13"/>
      <c r="M233" s="23" t="str">
        <f>IF(OR(L233="",L232=""),"",IF(L232=0,"",(L233/L232)-1))</f>
        <v/>
      </c>
      <c r="N233" s="26" t="str">
        <f>IFERROR((M233/M232)-1,"")</f>
        <v/>
      </c>
      <c r="O233" s="23" t="str">
        <f>IF(OR(N233="",N232=""),"",IF(N232=0,"",(N233/N232)-1))</f>
        <v/>
      </c>
      <c r="P233" s="11" t="str">
        <f>IF(ROW()&lt;7,"",IF(OR(E233="",E230=""),"",IF(E230=0,"",(E233/E230)-1)))</f>
        <v/>
      </c>
      <c r="Q233" s="23" t="str">
        <f>IF(ROW()&lt;9,"",IF(OR(E233="",E228=""),"",IF(E228=0,"",(E233/E228)-1)))</f>
        <v/>
      </c>
      <c r="R233" s="23" t="str">
        <f>IF(ROW()&lt;7,"",IF(OR(G233="",G230=""),"",IF(G230=0,"",(G233/G230)-1)))</f>
        <v/>
      </c>
      <c r="S233" s="23" t="str">
        <f>IF(ROW()&lt;9,"",IF(OR(G233="",G228=""),"",IF(G228=0,"",(G233/G228)-1)))</f>
        <v/>
      </c>
      <c r="T233" s="23" t="str">
        <f>IF(ROW()&lt;7,"",IF(OR(L233="",L230=""),"",IF(L230=0,"",(L233/L230)-1)))</f>
        <v/>
      </c>
      <c r="U233" s="23" t="str">
        <f>IF(ROW()&lt;9,"",IF(OR(L233="",L228=""),"",IF(L228=0,"",(L233/L228)-1)))</f>
        <v/>
      </c>
      <c r="V233" s="23" t="str">
        <f>IF(ROW()&lt;7,"",IF(OR(N233="",N230=""),"",IF(N230=0,"",(N233/N230)-1)))</f>
        <v/>
      </c>
      <c r="W233" s="23" t="str">
        <f>IF(ROW()&lt;9,"",IF(OR(N233="",N228=""),"",IF(N228=0,"",(N233/N228)-1)))</f>
        <v/>
      </c>
      <c r="X233" s="23" t="str">
        <f>IF(OR(F233="",M233=""),"",F233-M233)</f>
        <v/>
      </c>
      <c r="Y233" s="23" t="str">
        <f>IF(OR(P233="",T233=""),"",P233-T233)</f>
        <v/>
      </c>
      <c r="Z233" s="23" t="str">
        <f>IF(OR(Q233="",U233=""),"",Q233-U233)</f>
        <v/>
      </c>
      <c r="AA233" s="23" t="str">
        <f>IF(OR(H233="",O233=""),"",H233-O233)</f>
        <v/>
      </c>
      <c r="AB233" s="23" t="str">
        <f>IF(OR(R233="",V233=""),"",R233-V233)</f>
        <v/>
      </c>
      <c r="AC233" s="23" t="str">
        <f>IF(OR(S233="",W233=""),"",S233-W233)</f>
        <v/>
      </c>
      <c r="AD233" s="13"/>
      <c r="AE233" s="23" t="str">
        <f>IF(OR(AD233="",AD232=""),"",IF(AD232=0,"",(AD233/AD232)-1))</f>
        <v/>
      </c>
      <c r="AF233" s="23" t="str">
        <f>IF(ROW()&lt;7,"",IF(OR(AD233="",AD230=""),"",IF(AD230=0,"",(AD233/AD230)-1)))</f>
        <v/>
      </c>
      <c r="AG233" s="23" t="str">
        <f>IF(ROW()&lt;9,"",IF(OR(AD233="",AD228=""),"",IF(AD228=0,"",(AD233/AD228)-1)))</f>
        <v/>
      </c>
      <c r="AH233" s="23" t="str">
        <f>IF(OR(AF233="",AG233=""),"",IF(AND(AF233&gt;0,AG233&gt;0),"Bull",IF(AND(AF233&lt;0,AG233&lt;0),"Bear","Mixed")))</f>
        <v/>
      </c>
      <c r="AI233" s="13"/>
      <c r="AJ233" s="13" t="str">
        <f>IF(OR(AI233="",AI232=""),"",IF(AI232=0,"",(AI233/AI232)-1))</f>
        <v/>
      </c>
      <c r="AK233" s="23" t="str">
        <f>IF(OR(AJ233="",AJ232=""),"",IF(AJ232=0,"",(AJ233/AJ232)-1))</f>
        <v/>
      </c>
      <c r="AL233" s="23" t="str">
        <f>IF(ROW()&lt;7,"",IF(OR(AJ233="",AJ230=""),"",IF(AJ230=0,"",(AJ233/AJ230)-1)))</f>
        <v/>
      </c>
      <c r="AM233" s="23" t="str">
        <f>IF(ROW()&lt;9,"",IF(OR(AJ233="",AJ228=""),"",IF(AJ228=0,"",(AJ233/AJ228)-1)))</f>
        <v/>
      </c>
      <c r="AN233" t="str">
        <f>IF(OR(AL233="",AM233=""),"",IF(AND(AL233&gt;0,AM233&gt;0),"Bull",IF(AND(AL233&lt;0,AM233&lt;0),"Bear","Mixed")))</f>
        <v/>
      </c>
      <c r="AO233" t="str">
        <f>IF(OR(AH233="",AN233=""),"",IF(AND(AH233="Bull",AN233="Bull"),"YES","NO"))</f>
        <v/>
      </c>
      <c r="AP233" t="str">
        <f>IF(OR(AH233="",AN233=""),"",IF(AND(AH233="Bear",AN233="Bear"),"YES","NO"))</f>
        <v/>
      </c>
      <c r="AQ233" t="str">
        <f>IF(AO233="YES",IF(SUM(N(X233),N(Y233),N(Z233))&gt;0,"SOXL","TQQQ"),IF(AP233="YES",IF(SUM(N(AA233),N(AB233),N(AC233))&gt;0,"SOXS","SQQQ"),"WAIT"))</f>
        <v>WAIT</v>
      </c>
      <c r="AR233" s="23" t="str">
        <f>IF(AO233="YES",IF(SUM(N(X233),N(Y233),N(Z233))&gt;0,"TQQQ","SOXL"),IF(AP233="YES",IF(SUM(N(AA233),N(AB233),N(AC233))&gt;0,"SQQQ","SOXS"),""))</f>
        <v/>
      </c>
      <c r="AS233" s="23" t="str">
        <f>IF(AQ233="WAIT","",IF(AR233="",1,0.6))</f>
        <v/>
      </c>
      <c r="AT233" s="23">
        <f>IF(AR233="",0,0.4)</f>
        <v>0</v>
      </c>
      <c r="AU233" s="23" t="str">
        <f>IF(AQ233="WAIT","WAIT",IF(AO233="YES","BULL",IF(AP233="YES","BEAR","WAIT")))</f>
        <v>WAIT</v>
      </c>
      <c r="AV233" t="str">
        <f>IF(AQ233="WAIT","Low",IF(OR(AND(AU233="BULL",ABS(SUM(N(X233),N(Y233),N(Z233)))&gt;=0.15),AND(AU233="BEAR",ABS(SUM(N(AA233),N(AB233),N(AC233)))&gt;=0.15)),"Strong",IF(OR(AND(AU233="BULL",ABS(SUM(N(X233),N(Y233),N(Z233)))&gt;=0.05),AND(AU233="BEAR",ABS(SUM(N(AA233),N(AB233),N(AC233)))&gt;=0.05)),"Moderate","Low")))</f>
        <v>Low</v>
      </c>
      <c r="AW233" t="str">
        <f>IF(AQ233="WAIT","QQQ and SMH not aligned",IF(AU233="BULL",IF(AQ233="SOXL","Bull regime; semiconductors leading","Bull regime; tech leading"),IF(AQ233="SOXS","Bear regime; semiconductors weakest","Bear regime; tech weakest")))</f>
        <v>QQQ and SMH not aligned</v>
      </c>
      <c r="AX233" t="str">
        <f>IF(AR233="WAIT","QQQ and SMH not aligned",IF(AV233="BULL",IF(AR233="SOXL","Bull regime; semiconductors leading","Bull regime; tech leading"),IF(AR233="SOXS","Bear regime; semiconductors weakest","Bear regime; tech weakest")))</f>
        <v>Bear regime; tech weakest</v>
      </c>
    </row>
    <row r="234" spans="1:50" x14ac:dyDescent="0.2">
      <c r="A234" s="12"/>
      <c r="B234" s="13"/>
      <c r="C234" s="13"/>
      <c r="D234" s="13"/>
      <c r="E234" s="13"/>
      <c r="F234" s="11" t="str">
        <f>IF(OR(E234="",E233=""),"",IF(E233=0,"",(E234/E233)-1))</f>
        <v/>
      </c>
      <c r="G234" s="13"/>
      <c r="H234" s="11" t="str">
        <f>IF(OR(G234="",G233=""),"",IF(G233=0,"",(G234/G233)-1))</f>
        <v/>
      </c>
      <c r="I234" s="13"/>
      <c r="J234" s="13"/>
      <c r="K234" s="13"/>
      <c r="L234" s="13"/>
      <c r="M234" s="23" t="str">
        <f>IF(OR(L234="",L233=""),"",IF(L233=0,"",(L234/L233)-1))</f>
        <v/>
      </c>
      <c r="N234" s="26" t="str">
        <f>IFERROR((M234/M233)-1,"")</f>
        <v/>
      </c>
      <c r="O234" s="23" t="str">
        <f>IF(OR(N234="",N233=""),"",IF(N233=0,"",(N234/N233)-1))</f>
        <v/>
      </c>
      <c r="P234" s="11" t="str">
        <f>IF(ROW()&lt;7,"",IF(OR(E234="",E231=""),"",IF(E231=0,"",(E234/E231)-1)))</f>
        <v/>
      </c>
      <c r="Q234" s="23" t="str">
        <f>IF(ROW()&lt;9,"",IF(OR(E234="",E229=""),"",IF(E229=0,"",(E234/E229)-1)))</f>
        <v/>
      </c>
      <c r="R234" s="23" t="str">
        <f>IF(ROW()&lt;7,"",IF(OR(G234="",G231=""),"",IF(G231=0,"",(G234/G231)-1)))</f>
        <v/>
      </c>
      <c r="S234" s="23" t="str">
        <f>IF(ROW()&lt;9,"",IF(OR(G234="",G229=""),"",IF(G229=0,"",(G234/G229)-1)))</f>
        <v/>
      </c>
      <c r="T234" s="23" t="str">
        <f>IF(ROW()&lt;7,"",IF(OR(L234="",L231=""),"",IF(L231=0,"",(L234/L231)-1)))</f>
        <v/>
      </c>
      <c r="U234" s="23" t="str">
        <f>IF(ROW()&lt;9,"",IF(OR(L234="",L229=""),"",IF(L229=0,"",(L234/L229)-1)))</f>
        <v/>
      </c>
      <c r="V234" s="23" t="str">
        <f>IF(ROW()&lt;7,"",IF(OR(N234="",N231=""),"",IF(N231=0,"",(N234/N231)-1)))</f>
        <v/>
      </c>
      <c r="W234" s="23" t="str">
        <f>IF(ROW()&lt;9,"",IF(OR(N234="",N229=""),"",IF(N229=0,"",(N234/N229)-1)))</f>
        <v/>
      </c>
      <c r="X234" s="23" t="str">
        <f>IF(OR(F234="",M234=""),"",F234-M234)</f>
        <v/>
      </c>
      <c r="Y234" s="23" t="str">
        <f>IF(OR(P234="",T234=""),"",P234-T234)</f>
        <v/>
      </c>
      <c r="Z234" s="23" t="str">
        <f>IF(OR(Q234="",U234=""),"",Q234-U234)</f>
        <v/>
      </c>
      <c r="AA234" s="23" t="str">
        <f>IF(OR(H234="",O234=""),"",H234-O234)</f>
        <v/>
      </c>
      <c r="AB234" s="23" t="str">
        <f>IF(OR(R234="",V234=""),"",R234-V234)</f>
        <v/>
      </c>
      <c r="AC234" s="23" t="str">
        <f>IF(OR(S234="",W234=""),"",S234-W234)</f>
        <v/>
      </c>
      <c r="AD234" s="13"/>
      <c r="AE234" s="23" t="str">
        <f>IF(OR(AD234="",AD233=""),"",IF(AD233=0,"",(AD234/AD233)-1))</f>
        <v/>
      </c>
      <c r="AF234" s="23" t="str">
        <f>IF(ROW()&lt;7,"",IF(OR(AD234="",AD231=""),"",IF(AD231=0,"",(AD234/AD231)-1)))</f>
        <v/>
      </c>
      <c r="AG234" s="23" t="str">
        <f>IF(ROW()&lt;9,"",IF(OR(AD234="",AD229=""),"",IF(AD229=0,"",(AD234/AD229)-1)))</f>
        <v/>
      </c>
      <c r="AH234" s="23" t="str">
        <f>IF(OR(AF234="",AG234=""),"",IF(AND(AF234&gt;0,AG234&gt;0),"Bull",IF(AND(AF234&lt;0,AG234&lt;0),"Bear","Mixed")))</f>
        <v/>
      </c>
      <c r="AI234" s="13"/>
      <c r="AJ234" s="13" t="str">
        <f>IF(OR(AI234="",AI233=""),"",IF(AI233=0,"",(AI234/AI233)-1))</f>
        <v/>
      </c>
      <c r="AK234" s="23" t="str">
        <f>IF(OR(AJ234="",AJ233=""),"",IF(AJ233=0,"",(AJ234/AJ233)-1))</f>
        <v/>
      </c>
      <c r="AL234" s="23" t="str">
        <f>IF(ROW()&lt;7,"",IF(OR(AJ234="",AJ231=""),"",IF(AJ231=0,"",(AJ234/AJ231)-1)))</f>
        <v/>
      </c>
      <c r="AM234" s="23" t="str">
        <f>IF(ROW()&lt;9,"",IF(OR(AJ234="",AJ229=""),"",IF(AJ229=0,"",(AJ234/AJ229)-1)))</f>
        <v/>
      </c>
      <c r="AN234" t="str">
        <f>IF(OR(AL234="",AM234=""),"",IF(AND(AL234&gt;0,AM234&gt;0),"Bull",IF(AND(AL234&lt;0,AM234&lt;0),"Bear","Mixed")))</f>
        <v/>
      </c>
      <c r="AO234" t="str">
        <f>IF(OR(AH234="",AN234=""),"",IF(AND(AH234="Bull",AN234="Bull"),"YES","NO"))</f>
        <v/>
      </c>
      <c r="AP234" t="str">
        <f>IF(OR(AH234="",AN234=""),"",IF(AND(AH234="Bear",AN234="Bear"),"YES","NO"))</f>
        <v/>
      </c>
      <c r="AQ234" t="str">
        <f>IF(AO234="YES",IF(SUM(N(X234),N(Y234),N(Z234))&gt;0,"SOXL","TQQQ"),IF(AP234="YES",IF(SUM(N(AA234),N(AB234),N(AC234))&gt;0,"SOXS","SQQQ"),"WAIT"))</f>
        <v>WAIT</v>
      </c>
      <c r="AR234" s="23" t="str">
        <f>IF(AO234="YES",IF(SUM(N(X234),N(Y234),N(Z234))&gt;0,"TQQQ","SOXL"),IF(AP234="YES",IF(SUM(N(AA234),N(AB234),N(AC234))&gt;0,"SQQQ","SOXS"),""))</f>
        <v/>
      </c>
      <c r="AS234" s="23" t="str">
        <f>IF(AQ234="WAIT","",IF(AR234="",1,0.6))</f>
        <v/>
      </c>
      <c r="AT234" s="23">
        <f>IF(AR234="",0,0.4)</f>
        <v>0</v>
      </c>
      <c r="AU234" s="23" t="str">
        <f>IF(AQ234="WAIT","WAIT",IF(AO234="YES","BULL",IF(AP234="YES","BEAR","WAIT")))</f>
        <v>WAIT</v>
      </c>
      <c r="AV234" t="str">
        <f>IF(AQ234="WAIT","Low",IF(OR(AND(AU234="BULL",ABS(SUM(N(X234),N(Y234),N(Z234)))&gt;=0.15),AND(AU234="BEAR",ABS(SUM(N(AA234),N(AB234),N(AC234)))&gt;=0.15)),"Strong",IF(OR(AND(AU234="BULL",ABS(SUM(N(X234),N(Y234),N(Z234)))&gt;=0.05),AND(AU234="BEAR",ABS(SUM(N(AA234),N(AB234),N(AC234)))&gt;=0.05)),"Moderate","Low")))</f>
        <v>Low</v>
      </c>
      <c r="AW234" t="str">
        <f>IF(AQ234="WAIT","QQQ and SMH not aligned",IF(AU234="BULL",IF(AQ234="SOXL","Bull regime; semiconductors leading","Bull regime; tech leading"),IF(AQ234="SOXS","Bear regime; semiconductors weakest","Bear regime; tech weakest")))</f>
        <v>QQQ and SMH not aligned</v>
      </c>
      <c r="AX234" t="str">
        <f>IF(AR234="WAIT","QQQ and SMH not aligned",IF(AV234="BULL",IF(AR234="SOXL","Bull regime; semiconductors leading","Bull regime; tech leading"),IF(AR234="SOXS","Bear regime; semiconductors weakest","Bear regime; tech weakest")))</f>
        <v>Bear regime; tech weakest</v>
      </c>
    </row>
    <row r="235" spans="1:50" x14ac:dyDescent="0.2">
      <c r="A235" s="12"/>
      <c r="B235" s="13"/>
      <c r="C235" s="13"/>
      <c r="D235" s="13"/>
      <c r="E235" s="13"/>
      <c r="F235" s="11" t="str">
        <f>IF(OR(E235="",E234=""),"",IF(E234=0,"",(E235/E234)-1))</f>
        <v/>
      </c>
      <c r="G235" s="13"/>
      <c r="H235" s="11" t="str">
        <f>IF(OR(G235="",G234=""),"",IF(G234=0,"",(G235/G234)-1))</f>
        <v/>
      </c>
      <c r="I235" s="13"/>
      <c r="J235" s="13"/>
      <c r="K235" s="13"/>
      <c r="L235" s="13"/>
      <c r="M235" s="23" t="str">
        <f>IF(OR(L235="",L234=""),"",IF(L234=0,"",(L235/L234)-1))</f>
        <v/>
      </c>
      <c r="N235" s="26" t="str">
        <f>IFERROR((M235/M234)-1,"")</f>
        <v/>
      </c>
      <c r="O235" s="23" t="str">
        <f>IF(OR(N235="",N234=""),"",IF(N234=0,"",(N235/N234)-1))</f>
        <v/>
      </c>
      <c r="P235" s="11" t="str">
        <f>IF(ROW()&lt;7,"",IF(OR(E235="",E232=""),"",IF(E232=0,"",(E235/E232)-1)))</f>
        <v/>
      </c>
      <c r="Q235" s="23" t="str">
        <f>IF(ROW()&lt;9,"",IF(OR(E235="",E230=""),"",IF(E230=0,"",(E235/E230)-1)))</f>
        <v/>
      </c>
      <c r="R235" s="23" t="str">
        <f>IF(ROW()&lt;7,"",IF(OR(G235="",G232=""),"",IF(G232=0,"",(G235/G232)-1)))</f>
        <v/>
      </c>
      <c r="S235" s="23" t="str">
        <f>IF(ROW()&lt;9,"",IF(OR(G235="",G230=""),"",IF(G230=0,"",(G235/G230)-1)))</f>
        <v/>
      </c>
      <c r="T235" s="23" t="str">
        <f>IF(ROW()&lt;7,"",IF(OR(L235="",L232=""),"",IF(L232=0,"",(L235/L232)-1)))</f>
        <v/>
      </c>
      <c r="U235" s="23" t="str">
        <f>IF(ROW()&lt;9,"",IF(OR(L235="",L230=""),"",IF(L230=0,"",(L235/L230)-1)))</f>
        <v/>
      </c>
      <c r="V235" s="23" t="str">
        <f>IF(ROW()&lt;7,"",IF(OR(N235="",N232=""),"",IF(N232=0,"",(N235/N232)-1)))</f>
        <v/>
      </c>
      <c r="W235" s="23" t="str">
        <f>IF(ROW()&lt;9,"",IF(OR(N235="",N230=""),"",IF(N230=0,"",(N235/N230)-1)))</f>
        <v/>
      </c>
      <c r="X235" s="23" t="str">
        <f>IF(OR(F235="",M235=""),"",F235-M235)</f>
        <v/>
      </c>
      <c r="Y235" s="23" t="str">
        <f>IF(OR(P235="",T235=""),"",P235-T235)</f>
        <v/>
      </c>
      <c r="Z235" s="23" t="str">
        <f>IF(OR(Q235="",U235=""),"",Q235-U235)</f>
        <v/>
      </c>
      <c r="AA235" s="23" t="str">
        <f>IF(OR(H235="",O235=""),"",H235-O235)</f>
        <v/>
      </c>
      <c r="AB235" s="23" t="str">
        <f>IF(OR(R235="",V235=""),"",R235-V235)</f>
        <v/>
      </c>
      <c r="AC235" s="23" t="str">
        <f>IF(OR(S235="",W235=""),"",S235-W235)</f>
        <v/>
      </c>
      <c r="AD235" s="13"/>
      <c r="AE235" s="23" t="str">
        <f>IF(OR(AD235="",AD234=""),"",IF(AD234=0,"",(AD235/AD234)-1))</f>
        <v/>
      </c>
      <c r="AF235" s="23" t="str">
        <f>IF(ROW()&lt;7,"",IF(OR(AD235="",AD232=""),"",IF(AD232=0,"",(AD235/AD232)-1)))</f>
        <v/>
      </c>
      <c r="AG235" s="23" t="str">
        <f>IF(ROW()&lt;9,"",IF(OR(AD235="",AD230=""),"",IF(AD230=0,"",(AD235/AD230)-1)))</f>
        <v/>
      </c>
      <c r="AH235" s="23" t="str">
        <f>IF(OR(AF235="",AG235=""),"",IF(AND(AF235&gt;0,AG235&gt;0),"Bull",IF(AND(AF235&lt;0,AG235&lt;0),"Bear","Mixed")))</f>
        <v/>
      </c>
      <c r="AI235" s="13"/>
      <c r="AJ235" s="13" t="str">
        <f>IF(OR(AI235="",AI234=""),"",IF(AI234=0,"",(AI235/AI234)-1))</f>
        <v/>
      </c>
      <c r="AK235" s="23" t="str">
        <f>IF(OR(AJ235="",AJ234=""),"",IF(AJ234=0,"",(AJ235/AJ234)-1))</f>
        <v/>
      </c>
      <c r="AL235" s="23" t="str">
        <f>IF(ROW()&lt;7,"",IF(OR(AJ235="",AJ232=""),"",IF(AJ232=0,"",(AJ235/AJ232)-1)))</f>
        <v/>
      </c>
      <c r="AM235" s="23" t="str">
        <f>IF(ROW()&lt;9,"",IF(OR(AJ235="",AJ230=""),"",IF(AJ230=0,"",(AJ235/AJ230)-1)))</f>
        <v/>
      </c>
      <c r="AN235" t="str">
        <f>IF(OR(AL235="",AM235=""),"",IF(AND(AL235&gt;0,AM235&gt;0),"Bull",IF(AND(AL235&lt;0,AM235&lt;0),"Bear","Mixed")))</f>
        <v/>
      </c>
      <c r="AO235" t="str">
        <f>IF(OR(AH235="",AN235=""),"",IF(AND(AH235="Bull",AN235="Bull"),"YES","NO"))</f>
        <v/>
      </c>
      <c r="AP235" t="str">
        <f>IF(OR(AH235="",AN235=""),"",IF(AND(AH235="Bear",AN235="Bear"),"YES","NO"))</f>
        <v/>
      </c>
      <c r="AQ235" t="str">
        <f>IF(AO235="YES",IF(SUM(N(X235),N(Y235),N(Z235))&gt;0,"SOXL","TQQQ"),IF(AP235="YES",IF(SUM(N(AA235),N(AB235),N(AC235))&gt;0,"SOXS","SQQQ"),"WAIT"))</f>
        <v>WAIT</v>
      </c>
      <c r="AR235" s="23" t="str">
        <f>IF(AO235="YES",IF(SUM(N(X235),N(Y235),N(Z235))&gt;0,"TQQQ","SOXL"),IF(AP235="YES",IF(SUM(N(AA235),N(AB235),N(AC235))&gt;0,"SQQQ","SOXS"),""))</f>
        <v/>
      </c>
      <c r="AS235" s="23" t="str">
        <f>IF(AQ235="WAIT","",IF(AR235="",1,0.6))</f>
        <v/>
      </c>
      <c r="AT235" s="23">
        <f>IF(AR235="",0,0.4)</f>
        <v>0</v>
      </c>
      <c r="AU235" s="23" t="str">
        <f>IF(AQ235="WAIT","WAIT",IF(AO235="YES","BULL",IF(AP235="YES","BEAR","WAIT")))</f>
        <v>WAIT</v>
      </c>
      <c r="AV235" t="str">
        <f>IF(AQ235="WAIT","Low",IF(OR(AND(AU235="BULL",ABS(SUM(N(X235),N(Y235),N(Z235)))&gt;=0.15),AND(AU235="BEAR",ABS(SUM(N(AA235),N(AB235),N(AC235)))&gt;=0.15)),"Strong",IF(OR(AND(AU235="BULL",ABS(SUM(N(X235),N(Y235),N(Z235)))&gt;=0.05),AND(AU235="BEAR",ABS(SUM(N(AA235),N(AB235),N(AC235)))&gt;=0.05)),"Moderate","Low")))</f>
        <v>Low</v>
      </c>
      <c r="AW235" t="str">
        <f>IF(AQ235="WAIT","QQQ and SMH not aligned",IF(AU235="BULL",IF(AQ235="SOXL","Bull regime; semiconductors leading","Bull regime; tech leading"),IF(AQ235="SOXS","Bear regime; semiconductors weakest","Bear regime; tech weakest")))</f>
        <v>QQQ and SMH not aligned</v>
      </c>
      <c r="AX235" t="str">
        <f>IF(AR235="WAIT","QQQ and SMH not aligned",IF(AV235="BULL",IF(AR235="SOXL","Bull regime; semiconductors leading","Bull regime; tech leading"),IF(AR235="SOXS","Bear regime; semiconductors weakest","Bear regime; tech weakest")))</f>
        <v>Bear regime; tech weakest</v>
      </c>
    </row>
    <row r="236" spans="1:50" x14ac:dyDescent="0.2">
      <c r="A236" s="12"/>
      <c r="B236" s="13"/>
      <c r="C236" s="13"/>
      <c r="D236" s="13"/>
      <c r="E236" s="13"/>
      <c r="F236" s="11" t="str">
        <f>IF(OR(E236="",E235=""),"",IF(E235=0,"",(E236/E235)-1))</f>
        <v/>
      </c>
      <c r="G236" s="13"/>
      <c r="H236" s="11" t="str">
        <f>IF(OR(G236="",G235=""),"",IF(G235=0,"",(G236/G235)-1))</f>
        <v/>
      </c>
      <c r="I236" s="13"/>
      <c r="J236" s="13"/>
      <c r="K236" s="13"/>
      <c r="L236" s="13"/>
      <c r="M236" s="23" t="str">
        <f>IF(OR(L236="",L235=""),"",IF(L235=0,"",(L236/L235)-1))</f>
        <v/>
      </c>
      <c r="N236" s="26" t="str">
        <f>IFERROR((M236/M235)-1,"")</f>
        <v/>
      </c>
      <c r="O236" s="23" t="str">
        <f>IF(OR(N236="",N235=""),"",IF(N235=0,"",(N236/N235)-1))</f>
        <v/>
      </c>
      <c r="P236" s="11" t="str">
        <f>IF(ROW()&lt;7,"",IF(OR(E236="",E233=""),"",IF(E233=0,"",(E236/E233)-1)))</f>
        <v/>
      </c>
      <c r="Q236" s="23" t="str">
        <f>IF(ROW()&lt;9,"",IF(OR(E236="",E231=""),"",IF(E231=0,"",(E236/E231)-1)))</f>
        <v/>
      </c>
      <c r="R236" s="23" t="str">
        <f>IF(ROW()&lt;7,"",IF(OR(G236="",G233=""),"",IF(G233=0,"",(G236/G233)-1)))</f>
        <v/>
      </c>
      <c r="S236" s="23" t="str">
        <f>IF(ROW()&lt;9,"",IF(OR(G236="",G231=""),"",IF(G231=0,"",(G236/G231)-1)))</f>
        <v/>
      </c>
      <c r="T236" s="23" t="str">
        <f>IF(ROW()&lt;7,"",IF(OR(L236="",L233=""),"",IF(L233=0,"",(L236/L233)-1)))</f>
        <v/>
      </c>
      <c r="U236" s="23" t="str">
        <f>IF(ROW()&lt;9,"",IF(OR(L236="",L231=""),"",IF(L231=0,"",(L236/L231)-1)))</f>
        <v/>
      </c>
      <c r="V236" s="23" t="str">
        <f>IF(ROW()&lt;7,"",IF(OR(N236="",N233=""),"",IF(N233=0,"",(N236/N233)-1)))</f>
        <v/>
      </c>
      <c r="W236" s="23" t="str">
        <f>IF(ROW()&lt;9,"",IF(OR(N236="",N231=""),"",IF(N231=0,"",(N236/N231)-1)))</f>
        <v/>
      </c>
      <c r="X236" s="23" t="str">
        <f>IF(OR(F236="",M236=""),"",F236-M236)</f>
        <v/>
      </c>
      <c r="Y236" s="23" t="str">
        <f>IF(OR(P236="",T236=""),"",P236-T236)</f>
        <v/>
      </c>
      <c r="Z236" s="23" t="str">
        <f>IF(OR(Q236="",U236=""),"",Q236-U236)</f>
        <v/>
      </c>
      <c r="AA236" s="23" t="str">
        <f>IF(OR(H236="",O236=""),"",H236-O236)</f>
        <v/>
      </c>
      <c r="AB236" s="23" t="str">
        <f>IF(OR(R236="",V236=""),"",R236-V236)</f>
        <v/>
      </c>
      <c r="AC236" s="23" t="str">
        <f>IF(OR(S236="",W236=""),"",S236-W236)</f>
        <v/>
      </c>
      <c r="AD236" s="13"/>
      <c r="AE236" s="23" t="str">
        <f>IF(OR(AD236="",AD235=""),"",IF(AD235=0,"",(AD236/AD235)-1))</f>
        <v/>
      </c>
      <c r="AF236" s="23" t="str">
        <f>IF(ROW()&lt;7,"",IF(OR(AD236="",AD233=""),"",IF(AD233=0,"",(AD236/AD233)-1)))</f>
        <v/>
      </c>
      <c r="AG236" s="23" t="str">
        <f>IF(ROW()&lt;9,"",IF(OR(AD236="",AD231=""),"",IF(AD231=0,"",(AD236/AD231)-1)))</f>
        <v/>
      </c>
      <c r="AH236" s="23" t="str">
        <f>IF(OR(AF236="",AG236=""),"",IF(AND(AF236&gt;0,AG236&gt;0),"Bull",IF(AND(AF236&lt;0,AG236&lt;0),"Bear","Mixed")))</f>
        <v/>
      </c>
      <c r="AI236" s="13"/>
      <c r="AJ236" s="13" t="str">
        <f>IF(OR(AI236="",AI235=""),"",IF(AI235=0,"",(AI236/AI235)-1))</f>
        <v/>
      </c>
      <c r="AK236" s="23" t="str">
        <f>IF(OR(AJ236="",AJ235=""),"",IF(AJ235=0,"",(AJ236/AJ235)-1))</f>
        <v/>
      </c>
      <c r="AL236" s="23" t="str">
        <f>IF(ROW()&lt;7,"",IF(OR(AJ236="",AJ233=""),"",IF(AJ233=0,"",(AJ236/AJ233)-1)))</f>
        <v/>
      </c>
      <c r="AM236" s="23" t="str">
        <f>IF(ROW()&lt;9,"",IF(OR(AJ236="",AJ231=""),"",IF(AJ231=0,"",(AJ236/AJ231)-1)))</f>
        <v/>
      </c>
      <c r="AN236" t="str">
        <f>IF(OR(AL236="",AM236=""),"",IF(AND(AL236&gt;0,AM236&gt;0),"Bull",IF(AND(AL236&lt;0,AM236&lt;0),"Bear","Mixed")))</f>
        <v/>
      </c>
      <c r="AO236" t="str">
        <f>IF(OR(AH236="",AN236=""),"",IF(AND(AH236="Bull",AN236="Bull"),"YES","NO"))</f>
        <v/>
      </c>
      <c r="AP236" t="str">
        <f>IF(OR(AH236="",AN236=""),"",IF(AND(AH236="Bear",AN236="Bear"),"YES","NO"))</f>
        <v/>
      </c>
      <c r="AQ236" t="str">
        <f>IF(AO236="YES",IF(SUM(N(X236),N(Y236),N(Z236))&gt;0,"SOXL","TQQQ"),IF(AP236="YES",IF(SUM(N(AA236),N(AB236),N(AC236))&gt;0,"SOXS","SQQQ"),"WAIT"))</f>
        <v>WAIT</v>
      </c>
      <c r="AR236" s="23" t="str">
        <f>IF(AO236="YES",IF(SUM(N(X236),N(Y236),N(Z236))&gt;0,"TQQQ","SOXL"),IF(AP236="YES",IF(SUM(N(AA236),N(AB236),N(AC236))&gt;0,"SQQQ","SOXS"),""))</f>
        <v/>
      </c>
      <c r="AS236" s="23" t="str">
        <f>IF(AQ236="WAIT","",IF(AR236="",1,0.6))</f>
        <v/>
      </c>
      <c r="AT236" s="23">
        <f>IF(AR236="",0,0.4)</f>
        <v>0</v>
      </c>
      <c r="AU236" s="23" t="str">
        <f>IF(AQ236="WAIT","WAIT",IF(AO236="YES","BULL",IF(AP236="YES","BEAR","WAIT")))</f>
        <v>WAIT</v>
      </c>
      <c r="AV236" t="str">
        <f>IF(AQ236="WAIT","Low",IF(OR(AND(AU236="BULL",ABS(SUM(N(X236),N(Y236),N(Z236)))&gt;=0.15),AND(AU236="BEAR",ABS(SUM(N(AA236),N(AB236),N(AC236)))&gt;=0.15)),"Strong",IF(OR(AND(AU236="BULL",ABS(SUM(N(X236),N(Y236),N(Z236)))&gt;=0.05),AND(AU236="BEAR",ABS(SUM(N(AA236),N(AB236),N(AC236)))&gt;=0.05)),"Moderate","Low")))</f>
        <v>Low</v>
      </c>
      <c r="AW236" t="str">
        <f>IF(AQ236="WAIT","QQQ and SMH not aligned",IF(AU236="BULL",IF(AQ236="SOXL","Bull regime; semiconductors leading","Bull regime; tech leading"),IF(AQ236="SOXS","Bear regime; semiconductors weakest","Bear regime; tech weakest")))</f>
        <v>QQQ and SMH not aligned</v>
      </c>
      <c r="AX236" t="str">
        <f>IF(AR236="WAIT","QQQ and SMH not aligned",IF(AV236="BULL",IF(AR236="SOXL","Bull regime; semiconductors leading","Bull regime; tech leading"),IF(AR236="SOXS","Bear regime; semiconductors weakest","Bear regime; tech weakest")))</f>
        <v>Bear regime; tech weakest</v>
      </c>
    </row>
    <row r="237" spans="1:50" x14ac:dyDescent="0.2">
      <c r="A237" s="12"/>
      <c r="B237" s="13"/>
      <c r="C237" s="13"/>
      <c r="D237" s="13"/>
      <c r="E237" s="13"/>
      <c r="F237" s="11" t="str">
        <f>IF(OR(E237="",E236=""),"",IF(E236=0,"",(E237/E236)-1))</f>
        <v/>
      </c>
      <c r="G237" s="13"/>
      <c r="H237" s="11" t="str">
        <f>IF(OR(G237="",G236=""),"",IF(G236=0,"",(G237/G236)-1))</f>
        <v/>
      </c>
      <c r="I237" s="13"/>
      <c r="J237" s="13"/>
      <c r="K237" s="13"/>
      <c r="L237" s="13"/>
      <c r="M237" s="23" t="str">
        <f>IF(OR(L237="",L236=""),"",IF(L236=0,"",(L237/L236)-1))</f>
        <v/>
      </c>
      <c r="N237" s="26" t="str">
        <f>IFERROR((M237/M236)-1,"")</f>
        <v/>
      </c>
      <c r="O237" s="23" t="str">
        <f>IF(OR(N237="",N236=""),"",IF(N236=0,"",(N237/N236)-1))</f>
        <v/>
      </c>
      <c r="P237" s="11" t="str">
        <f>IF(ROW()&lt;7,"",IF(OR(E237="",E234=""),"",IF(E234=0,"",(E237/E234)-1)))</f>
        <v/>
      </c>
      <c r="Q237" s="23" t="str">
        <f>IF(ROW()&lt;9,"",IF(OR(E237="",E232=""),"",IF(E232=0,"",(E237/E232)-1)))</f>
        <v/>
      </c>
      <c r="R237" s="23" t="str">
        <f>IF(ROW()&lt;7,"",IF(OR(G237="",G234=""),"",IF(G234=0,"",(G237/G234)-1)))</f>
        <v/>
      </c>
      <c r="S237" s="23" t="str">
        <f>IF(ROW()&lt;9,"",IF(OR(G237="",G232=""),"",IF(G232=0,"",(G237/G232)-1)))</f>
        <v/>
      </c>
      <c r="T237" s="23" t="str">
        <f>IF(ROW()&lt;7,"",IF(OR(L237="",L234=""),"",IF(L234=0,"",(L237/L234)-1)))</f>
        <v/>
      </c>
      <c r="U237" s="23" t="str">
        <f>IF(ROW()&lt;9,"",IF(OR(L237="",L232=""),"",IF(L232=0,"",(L237/L232)-1)))</f>
        <v/>
      </c>
      <c r="V237" s="23" t="str">
        <f>IF(ROW()&lt;7,"",IF(OR(N237="",N234=""),"",IF(N234=0,"",(N237/N234)-1)))</f>
        <v/>
      </c>
      <c r="W237" s="23" t="str">
        <f>IF(ROW()&lt;9,"",IF(OR(N237="",N232=""),"",IF(N232=0,"",(N237/N232)-1)))</f>
        <v/>
      </c>
      <c r="X237" s="23" t="str">
        <f>IF(OR(F237="",M237=""),"",F237-M237)</f>
        <v/>
      </c>
      <c r="Y237" s="23" t="str">
        <f>IF(OR(P237="",T237=""),"",P237-T237)</f>
        <v/>
      </c>
      <c r="Z237" s="23" t="str">
        <f>IF(OR(Q237="",U237=""),"",Q237-U237)</f>
        <v/>
      </c>
      <c r="AA237" s="23" t="str">
        <f>IF(OR(H237="",O237=""),"",H237-O237)</f>
        <v/>
      </c>
      <c r="AB237" s="23" t="str">
        <f>IF(OR(R237="",V237=""),"",R237-V237)</f>
        <v/>
      </c>
      <c r="AC237" s="23" t="str">
        <f>IF(OR(S237="",W237=""),"",S237-W237)</f>
        <v/>
      </c>
      <c r="AD237" s="13"/>
      <c r="AE237" s="23" t="str">
        <f>IF(OR(AD237="",AD236=""),"",IF(AD236=0,"",(AD237/AD236)-1))</f>
        <v/>
      </c>
      <c r="AF237" s="23" t="str">
        <f>IF(ROW()&lt;7,"",IF(OR(AD237="",AD234=""),"",IF(AD234=0,"",(AD237/AD234)-1)))</f>
        <v/>
      </c>
      <c r="AG237" s="23" t="str">
        <f>IF(ROW()&lt;9,"",IF(OR(AD237="",AD232=""),"",IF(AD232=0,"",(AD237/AD232)-1)))</f>
        <v/>
      </c>
      <c r="AH237" s="23" t="str">
        <f>IF(OR(AF237="",AG237=""),"",IF(AND(AF237&gt;0,AG237&gt;0),"Bull",IF(AND(AF237&lt;0,AG237&lt;0),"Bear","Mixed")))</f>
        <v/>
      </c>
      <c r="AI237" s="13"/>
      <c r="AJ237" s="13" t="str">
        <f>IF(OR(AI237="",AI236=""),"",IF(AI236=0,"",(AI237/AI236)-1))</f>
        <v/>
      </c>
      <c r="AK237" s="23" t="str">
        <f>IF(OR(AJ237="",AJ236=""),"",IF(AJ236=0,"",(AJ237/AJ236)-1))</f>
        <v/>
      </c>
      <c r="AL237" s="23" t="str">
        <f>IF(ROW()&lt;7,"",IF(OR(AJ237="",AJ234=""),"",IF(AJ234=0,"",(AJ237/AJ234)-1)))</f>
        <v/>
      </c>
      <c r="AM237" s="23" t="str">
        <f>IF(ROW()&lt;9,"",IF(OR(AJ237="",AJ232=""),"",IF(AJ232=0,"",(AJ237/AJ232)-1)))</f>
        <v/>
      </c>
      <c r="AN237" t="str">
        <f>IF(OR(AL237="",AM237=""),"",IF(AND(AL237&gt;0,AM237&gt;0),"Bull",IF(AND(AL237&lt;0,AM237&lt;0),"Bear","Mixed")))</f>
        <v/>
      </c>
      <c r="AO237" t="str">
        <f>IF(OR(AH237="",AN237=""),"",IF(AND(AH237="Bull",AN237="Bull"),"YES","NO"))</f>
        <v/>
      </c>
      <c r="AP237" t="str">
        <f>IF(OR(AH237="",AN237=""),"",IF(AND(AH237="Bear",AN237="Bear"),"YES","NO"))</f>
        <v/>
      </c>
      <c r="AQ237" t="str">
        <f>IF(AO237="YES",IF(SUM(N(X237),N(Y237),N(Z237))&gt;0,"SOXL","TQQQ"),IF(AP237="YES",IF(SUM(N(AA237),N(AB237),N(AC237))&gt;0,"SOXS","SQQQ"),"WAIT"))</f>
        <v>WAIT</v>
      </c>
      <c r="AR237" s="23" t="str">
        <f>IF(AO237="YES",IF(SUM(N(X237),N(Y237),N(Z237))&gt;0,"TQQQ","SOXL"),IF(AP237="YES",IF(SUM(N(AA237),N(AB237),N(AC237))&gt;0,"SQQQ","SOXS"),""))</f>
        <v/>
      </c>
      <c r="AS237" s="23" t="str">
        <f>IF(AQ237="WAIT","",IF(AR237="",1,0.6))</f>
        <v/>
      </c>
      <c r="AT237" s="23">
        <f>IF(AR237="",0,0.4)</f>
        <v>0</v>
      </c>
      <c r="AU237" s="23" t="str">
        <f>IF(AQ237="WAIT","WAIT",IF(AO237="YES","BULL",IF(AP237="YES","BEAR","WAIT")))</f>
        <v>WAIT</v>
      </c>
      <c r="AV237" t="str">
        <f>IF(AQ237="WAIT","Low",IF(OR(AND(AU237="BULL",ABS(SUM(N(X237),N(Y237),N(Z237)))&gt;=0.15),AND(AU237="BEAR",ABS(SUM(N(AA237),N(AB237),N(AC237)))&gt;=0.15)),"Strong",IF(OR(AND(AU237="BULL",ABS(SUM(N(X237),N(Y237),N(Z237)))&gt;=0.05),AND(AU237="BEAR",ABS(SUM(N(AA237),N(AB237),N(AC237)))&gt;=0.05)),"Moderate","Low")))</f>
        <v>Low</v>
      </c>
      <c r="AW237" t="str">
        <f>IF(AQ237="WAIT","QQQ and SMH not aligned",IF(AU237="BULL",IF(AQ237="SOXL","Bull regime; semiconductors leading","Bull regime; tech leading"),IF(AQ237="SOXS","Bear regime; semiconductors weakest","Bear regime; tech weakest")))</f>
        <v>QQQ and SMH not aligned</v>
      </c>
      <c r="AX237" t="str">
        <f>IF(AR237="WAIT","QQQ and SMH not aligned",IF(AV237="BULL",IF(AR237="SOXL","Bull regime; semiconductors leading","Bull regime; tech leading"),IF(AR237="SOXS","Bear regime; semiconductors weakest","Bear regime; tech weakest")))</f>
        <v>Bear regime; tech weakest</v>
      </c>
    </row>
    <row r="238" spans="1:50" x14ac:dyDescent="0.2">
      <c r="A238" s="12"/>
      <c r="B238" s="13"/>
      <c r="C238" s="13"/>
      <c r="D238" s="13"/>
      <c r="E238" s="13"/>
      <c r="F238" s="11" t="str">
        <f>IF(OR(E238="",E237=""),"",IF(E237=0,"",(E238/E237)-1))</f>
        <v/>
      </c>
      <c r="G238" s="13"/>
      <c r="H238" s="11" t="str">
        <f>IF(OR(G238="",G237=""),"",IF(G237=0,"",(G238/G237)-1))</f>
        <v/>
      </c>
      <c r="I238" s="13"/>
      <c r="J238" s="13"/>
      <c r="K238" s="13"/>
      <c r="L238" s="13"/>
      <c r="M238" s="23" t="str">
        <f>IF(OR(L238="",L237=""),"",IF(L237=0,"",(L238/L237)-1))</f>
        <v/>
      </c>
      <c r="N238" s="26" t="str">
        <f>IFERROR((M238/M237)-1,"")</f>
        <v/>
      </c>
      <c r="O238" s="23" t="str">
        <f>IF(OR(N238="",N237=""),"",IF(N237=0,"",(N238/N237)-1))</f>
        <v/>
      </c>
      <c r="P238" s="11" t="str">
        <f>IF(ROW()&lt;7,"",IF(OR(E238="",E235=""),"",IF(E235=0,"",(E238/E235)-1)))</f>
        <v/>
      </c>
      <c r="Q238" s="23" t="str">
        <f>IF(ROW()&lt;9,"",IF(OR(E238="",E233=""),"",IF(E233=0,"",(E238/E233)-1)))</f>
        <v/>
      </c>
      <c r="R238" s="23" t="str">
        <f>IF(ROW()&lt;7,"",IF(OR(G238="",G235=""),"",IF(G235=0,"",(G238/G235)-1)))</f>
        <v/>
      </c>
      <c r="S238" s="23" t="str">
        <f>IF(ROW()&lt;9,"",IF(OR(G238="",G233=""),"",IF(G233=0,"",(G238/G233)-1)))</f>
        <v/>
      </c>
      <c r="T238" s="23" t="str">
        <f>IF(ROW()&lt;7,"",IF(OR(L238="",L235=""),"",IF(L235=0,"",(L238/L235)-1)))</f>
        <v/>
      </c>
      <c r="U238" s="23" t="str">
        <f>IF(ROW()&lt;9,"",IF(OR(L238="",L233=""),"",IF(L233=0,"",(L238/L233)-1)))</f>
        <v/>
      </c>
      <c r="V238" s="23" t="str">
        <f>IF(ROW()&lt;7,"",IF(OR(N238="",N235=""),"",IF(N235=0,"",(N238/N235)-1)))</f>
        <v/>
      </c>
      <c r="W238" s="23" t="str">
        <f>IF(ROW()&lt;9,"",IF(OR(N238="",N233=""),"",IF(N233=0,"",(N238/N233)-1)))</f>
        <v/>
      </c>
      <c r="X238" s="23" t="str">
        <f>IF(OR(F238="",M238=""),"",F238-M238)</f>
        <v/>
      </c>
      <c r="Y238" s="23" t="str">
        <f>IF(OR(P238="",T238=""),"",P238-T238)</f>
        <v/>
      </c>
      <c r="Z238" s="23" t="str">
        <f>IF(OR(Q238="",U238=""),"",Q238-U238)</f>
        <v/>
      </c>
      <c r="AA238" s="23" t="str">
        <f>IF(OR(H238="",O238=""),"",H238-O238)</f>
        <v/>
      </c>
      <c r="AB238" s="23" t="str">
        <f>IF(OR(R238="",V238=""),"",R238-V238)</f>
        <v/>
      </c>
      <c r="AC238" s="23" t="str">
        <f>IF(OR(S238="",W238=""),"",S238-W238)</f>
        <v/>
      </c>
      <c r="AD238" s="13"/>
      <c r="AE238" s="23" t="str">
        <f>IF(OR(AD238="",AD237=""),"",IF(AD237=0,"",(AD238/AD237)-1))</f>
        <v/>
      </c>
      <c r="AF238" s="23" t="str">
        <f>IF(ROW()&lt;7,"",IF(OR(AD238="",AD235=""),"",IF(AD235=0,"",(AD238/AD235)-1)))</f>
        <v/>
      </c>
      <c r="AG238" s="23" t="str">
        <f>IF(ROW()&lt;9,"",IF(OR(AD238="",AD233=""),"",IF(AD233=0,"",(AD238/AD233)-1)))</f>
        <v/>
      </c>
      <c r="AH238" s="23" t="str">
        <f>IF(OR(AF238="",AG238=""),"",IF(AND(AF238&gt;0,AG238&gt;0),"Bull",IF(AND(AF238&lt;0,AG238&lt;0),"Bear","Mixed")))</f>
        <v/>
      </c>
      <c r="AI238" s="13"/>
      <c r="AJ238" s="13" t="str">
        <f>IF(OR(AI238="",AI237=""),"",IF(AI237=0,"",(AI238/AI237)-1))</f>
        <v/>
      </c>
      <c r="AK238" s="23" t="str">
        <f>IF(OR(AJ238="",AJ237=""),"",IF(AJ237=0,"",(AJ238/AJ237)-1))</f>
        <v/>
      </c>
      <c r="AL238" s="23" t="str">
        <f>IF(ROW()&lt;7,"",IF(OR(AJ238="",AJ235=""),"",IF(AJ235=0,"",(AJ238/AJ235)-1)))</f>
        <v/>
      </c>
      <c r="AM238" s="23" t="str">
        <f>IF(ROW()&lt;9,"",IF(OR(AJ238="",AJ233=""),"",IF(AJ233=0,"",(AJ238/AJ233)-1)))</f>
        <v/>
      </c>
      <c r="AN238" t="str">
        <f>IF(OR(AL238="",AM238=""),"",IF(AND(AL238&gt;0,AM238&gt;0),"Bull",IF(AND(AL238&lt;0,AM238&lt;0),"Bear","Mixed")))</f>
        <v/>
      </c>
      <c r="AO238" t="str">
        <f>IF(OR(AH238="",AN238=""),"",IF(AND(AH238="Bull",AN238="Bull"),"YES","NO"))</f>
        <v/>
      </c>
      <c r="AP238" t="str">
        <f>IF(OR(AH238="",AN238=""),"",IF(AND(AH238="Bear",AN238="Bear"),"YES","NO"))</f>
        <v/>
      </c>
      <c r="AQ238" t="str">
        <f>IF(AO238="YES",IF(SUM(N(X238),N(Y238),N(Z238))&gt;0,"SOXL","TQQQ"),IF(AP238="YES",IF(SUM(N(AA238),N(AB238),N(AC238))&gt;0,"SOXS","SQQQ"),"WAIT"))</f>
        <v>WAIT</v>
      </c>
      <c r="AR238" s="23" t="str">
        <f>IF(AO238="YES",IF(SUM(N(X238),N(Y238),N(Z238))&gt;0,"TQQQ","SOXL"),IF(AP238="YES",IF(SUM(N(AA238),N(AB238),N(AC238))&gt;0,"SQQQ","SOXS"),""))</f>
        <v/>
      </c>
      <c r="AS238" s="23" t="str">
        <f>IF(AQ238="WAIT","",IF(AR238="",1,0.6))</f>
        <v/>
      </c>
      <c r="AT238" s="23">
        <f>IF(AR238="",0,0.4)</f>
        <v>0</v>
      </c>
      <c r="AU238" s="23" t="str">
        <f>IF(AQ238="WAIT","WAIT",IF(AO238="YES","BULL",IF(AP238="YES","BEAR","WAIT")))</f>
        <v>WAIT</v>
      </c>
      <c r="AV238" t="str">
        <f>IF(AQ238="WAIT","Low",IF(OR(AND(AU238="BULL",ABS(SUM(N(X238),N(Y238),N(Z238)))&gt;=0.15),AND(AU238="BEAR",ABS(SUM(N(AA238),N(AB238),N(AC238)))&gt;=0.15)),"Strong",IF(OR(AND(AU238="BULL",ABS(SUM(N(X238),N(Y238),N(Z238)))&gt;=0.05),AND(AU238="BEAR",ABS(SUM(N(AA238),N(AB238),N(AC238)))&gt;=0.05)),"Moderate","Low")))</f>
        <v>Low</v>
      </c>
      <c r="AW238" t="str">
        <f>IF(AQ238="WAIT","QQQ and SMH not aligned",IF(AU238="BULL",IF(AQ238="SOXL","Bull regime; semiconductors leading","Bull regime; tech leading"),IF(AQ238="SOXS","Bear regime; semiconductors weakest","Bear regime; tech weakest")))</f>
        <v>QQQ and SMH not aligned</v>
      </c>
      <c r="AX238" t="str">
        <f>IF(AR238="WAIT","QQQ and SMH not aligned",IF(AV238="BULL",IF(AR238="SOXL","Bull regime; semiconductors leading","Bull regime; tech leading"),IF(AR238="SOXS","Bear regime; semiconductors weakest","Bear regime; tech weakest")))</f>
        <v>Bear regime; tech weakest</v>
      </c>
    </row>
    <row r="239" spans="1:50" x14ac:dyDescent="0.2">
      <c r="A239" s="12"/>
      <c r="B239" s="13"/>
      <c r="C239" s="13"/>
      <c r="D239" s="13"/>
      <c r="E239" s="13"/>
      <c r="F239" s="11" t="str">
        <f>IF(OR(E239="",E238=""),"",IF(E238=0,"",(E239/E238)-1))</f>
        <v/>
      </c>
      <c r="G239" s="13"/>
      <c r="H239" s="11" t="str">
        <f>IF(OR(G239="",G238=""),"",IF(G238=0,"",(G239/G238)-1))</f>
        <v/>
      </c>
      <c r="I239" s="13"/>
      <c r="J239" s="13"/>
      <c r="K239" s="13"/>
      <c r="L239" s="13"/>
      <c r="M239" s="23" t="str">
        <f>IF(OR(L239="",L238=""),"",IF(L238=0,"",(L239/L238)-1))</f>
        <v/>
      </c>
      <c r="N239" s="26" t="str">
        <f>IFERROR((M239/M238)-1,"")</f>
        <v/>
      </c>
      <c r="O239" s="23" t="str">
        <f>IF(OR(N239="",N238=""),"",IF(N238=0,"",(N239/N238)-1))</f>
        <v/>
      </c>
      <c r="P239" s="11" t="str">
        <f>IF(ROW()&lt;7,"",IF(OR(E239="",E236=""),"",IF(E236=0,"",(E239/E236)-1)))</f>
        <v/>
      </c>
      <c r="Q239" s="23" t="str">
        <f>IF(ROW()&lt;9,"",IF(OR(E239="",E234=""),"",IF(E234=0,"",(E239/E234)-1)))</f>
        <v/>
      </c>
      <c r="R239" s="23" t="str">
        <f>IF(ROW()&lt;7,"",IF(OR(G239="",G236=""),"",IF(G236=0,"",(G239/G236)-1)))</f>
        <v/>
      </c>
      <c r="S239" s="23" t="str">
        <f>IF(ROW()&lt;9,"",IF(OR(G239="",G234=""),"",IF(G234=0,"",(G239/G234)-1)))</f>
        <v/>
      </c>
      <c r="T239" s="23" t="str">
        <f>IF(ROW()&lt;7,"",IF(OR(L239="",L236=""),"",IF(L236=0,"",(L239/L236)-1)))</f>
        <v/>
      </c>
      <c r="U239" s="23" t="str">
        <f>IF(ROW()&lt;9,"",IF(OR(L239="",L234=""),"",IF(L234=0,"",(L239/L234)-1)))</f>
        <v/>
      </c>
      <c r="V239" s="23" t="str">
        <f>IF(ROW()&lt;7,"",IF(OR(N239="",N236=""),"",IF(N236=0,"",(N239/N236)-1)))</f>
        <v/>
      </c>
      <c r="W239" s="23" t="str">
        <f>IF(ROW()&lt;9,"",IF(OR(N239="",N234=""),"",IF(N234=0,"",(N239/N234)-1)))</f>
        <v/>
      </c>
      <c r="X239" s="23" t="str">
        <f>IF(OR(F239="",M239=""),"",F239-M239)</f>
        <v/>
      </c>
      <c r="Y239" s="23" t="str">
        <f>IF(OR(P239="",T239=""),"",P239-T239)</f>
        <v/>
      </c>
      <c r="Z239" s="23" t="str">
        <f>IF(OR(Q239="",U239=""),"",Q239-U239)</f>
        <v/>
      </c>
      <c r="AA239" s="23" t="str">
        <f>IF(OR(H239="",O239=""),"",H239-O239)</f>
        <v/>
      </c>
      <c r="AB239" s="23" t="str">
        <f>IF(OR(R239="",V239=""),"",R239-V239)</f>
        <v/>
      </c>
      <c r="AC239" s="23" t="str">
        <f>IF(OR(S239="",W239=""),"",S239-W239)</f>
        <v/>
      </c>
      <c r="AD239" s="13"/>
      <c r="AE239" s="23" t="str">
        <f>IF(OR(AD239="",AD238=""),"",IF(AD238=0,"",(AD239/AD238)-1))</f>
        <v/>
      </c>
      <c r="AF239" s="23" t="str">
        <f>IF(ROW()&lt;7,"",IF(OR(AD239="",AD236=""),"",IF(AD236=0,"",(AD239/AD236)-1)))</f>
        <v/>
      </c>
      <c r="AG239" s="23" t="str">
        <f>IF(ROW()&lt;9,"",IF(OR(AD239="",AD234=""),"",IF(AD234=0,"",(AD239/AD234)-1)))</f>
        <v/>
      </c>
      <c r="AH239" s="23" t="str">
        <f>IF(OR(AF239="",AG239=""),"",IF(AND(AF239&gt;0,AG239&gt;0),"Bull",IF(AND(AF239&lt;0,AG239&lt;0),"Bear","Mixed")))</f>
        <v/>
      </c>
      <c r="AI239" s="13"/>
      <c r="AJ239" s="13" t="str">
        <f>IF(OR(AI239="",AI238=""),"",IF(AI238=0,"",(AI239/AI238)-1))</f>
        <v/>
      </c>
      <c r="AK239" s="23" t="str">
        <f>IF(OR(AJ239="",AJ238=""),"",IF(AJ238=0,"",(AJ239/AJ238)-1))</f>
        <v/>
      </c>
      <c r="AL239" s="23" t="str">
        <f>IF(ROW()&lt;7,"",IF(OR(AJ239="",AJ236=""),"",IF(AJ236=0,"",(AJ239/AJ236)-1)))</f>
        <v/>
      </c>
      <c r="AM239" s="23" t="str">
        <f>IF(ROW()&lt;9,"",IF(OR(AJ239="",AJ234=""),"",IF(AJ234=0,"",(AJ239/AJ234)-1)))</f>
        <v/>
      </c>
      <c r="AN239" t="str">
        <f>IF(OR(AL239="",AM239=""),"",IF(AND(AL239&gt;0,AM239&gt;0),"Bull",IF(AND(AL239&lt;0,AM239&lt;0),"Bear","Mixed")))</f>
        <v/>
      </c>
      <c r="AO239" t="str">
        <f>IF(OR(AH239="",AN239=""),"",IF(AND(AH239="Bull",AN239="Bull"),"YES","NO"))</f>
        <v/>
      </c>
      <c r="AP239" t="str">
        <f>IF(OR(AH239="",AN239=""),"",IF(AND(AH239="Bear",AN239="Bear"),"YES","NO"))</f>
        <v/>
      </c>
      <c r="AQ239" t="str">
        <f>IF(AO239="YES",IF(SUM(N(X239),N(Y239),N(Z239))&gt;0,"SOXL","TQQQ"),IF(AP239="YES",IF(SUM(N(AA239),N(AB239),N(AC239))&gt;0,"SOXS","SQQQ"),"WAIT"))</f>
        <v>WAIT</v>
      </c>
      <c r="AR239" s="23" t="str">
        <f>IF(AO239="YES",IF(SUM(N(X239),N(Y239),N(Z239))&gt;0,"TQQQ","SOXL"),IF(AP239="YES",IF(SUM(N(AA239),N(AB239),N(AC239))&gt;0,"SQQQ","SOXS"),""))</f>
        <v/>
      </c>
      <c r="AS239" s="23" t="str">
        <f>IF(AQ239="WAIT","",IF(AR239="",1,0.6))</f>
        <v/>
      </c>
      <c r="AT239" s="23">
        <f>IF(AR239="",0,0.4)</f>
        <v>0</v>
      </c>
      <c r="AU239" s="23" t="str">
        <f>IF(AQ239="WAIT","WAIT",IF(AO239="YES","BULL",IF(AP239="YES","BEAR","WAIT")))</f>
        <v>WAIT</v>
      </c>
      <c r="AV239" t="str">
        <f>IF(AQ239="WAIT","Low",IF(OR(AND(AU239="BULL",ABS(SUM(N(X239),N(Y239),N(Z239)))&gt;=0.15),AND(AU239="BEAR",ABS(SUM(N(AA239),N(AB239),N(AC239)))&gt;=0.15)),"Strong",IF(OR(AND(AU239="BULL",ABS(SUM(N(X239),N(Y239),N(Z239)))&gt;=0.05),AND(AU239="BEAR",ABS(SUM(N(AA239),N(AB239),N(AC239)))&gt;=0.05)),"Moderate","Low")))</f>
        <v>Low</v>
      </c>
      <c r="AW239" t="str">
        <f>IF(AQ239="WAIT","QQQ and SMH not aligned",IF(AU239="BULL",IF(AQ239="SOXL","Bull regime; semiconductors leading","Bull regime; tech leading"),IF(AQ239="SOXS","Bear regime; semiconductors weakest","Bear regime; tech weakest")))</f>
        <v>QQQ and SMH not aligned</v>
      </c>
      <c r="AX239" t="str">
        <f>IF(AR239="WAIT","QQQ and SMH not aligned",IF(AV239="BULL",IF(AR239="SOXL","Bull regime; semiconductors leading","Bull regime; tech leading"),IF(AR239="SOXS","Bear regime; semiconductors weakest","Bear regime; tech weakest")))</f>
        <v>Bear regime; tech weakest</v>
      </c>
    </row>
    <row r="240" spans="1:50" x14ac:dyDescent="0.2">
      <c r="A240" s="12"/>
      <c r="B240" s="13"/>
      <c r="C240" s="13"/>
      <c r="D240" s="13"/>
      <c r="E240" s="13"/>
      <c r="F240" s="11" t="str">
        <f>IF(OR(E240="",E239=""),"",IF(E239=0,"",(E240/E239)-1))</f>
        <v/>
      </c>
      <c r="G240" s="13"/>
      <c r="H240" s="11" t="str">
        <f>IF(OR(G240="",G239=""),"",IF(G239=0,"",(G240/G239)-1))</f>
        <v/>
      </c>
      <c r="I240" s="13"/>
      <c r="J240" s="13"/>
      <c r="K240" s="13"/>
      <c r="L240" s="13"/>
      <c r="M240" s="23" t="str">
        <f>IF(OR(L240="",L239=""),"",IF(L239=0,"",(L240/L239)-1))</f>
        <v/>
      </c>
      <c r="N240" s="26" t="str">
        <f>IFERROR((M240/M239)-1,"")</f>
        <v/>
      </c>
      <c r="O240" s="23" t="str">
        <f>IF(OR(N240="",N239=""),"",IF(N239=0,"",(N240/N239)-1))</f>
        <v/>
      </c>
      <c r="P240" s="11" t="str">
        <f>IF(ROW()&lt;7,"",IF(OR(E240="",E237=""),"",IF(E237=0,"",(E240/E237)-1)))</f>
        <v/>
      </c>
      <c r="Q240" s="23" t="str">
        <f>IF(ROW()&lt;9,"",IF(OR(E240="",E235=""),"",IF(E235=0,"",(E240/E235)-1)))</f>
        <v/>
      </c>
      <c r="R240" s="23" t="str">
        <f>IF(ROW()&lt;7,"",IF(OR(G240="",G237=""),"",IF(G237=0,"",(G240/G237)-1)))</f>
        <v/>
      </c>
      <c r="S240" s="23" t="str">
        <f>IF(ROW()&lt;9,"",IF(OR(G240="",G235=""),"",IF(G235=0,"",(G240/G235)-1)))</f>
        <v/>
      </c>
      <c r="T240" s="23" t="str">
        <f>IF(ROW()&lt;7,"",IF(OR(L240="",L237=""),"",IF(L237=0,"",(L240/L237)-1)))</f>
        <v/>
      </c>
      <c r="U240" s="23" t="str">
        <f>IF(ROW()&lt;9,"",IF(OR(L240="",L235=""),"",IF(L235=0,"",(L240/L235)-1)))</f>
        <v/>
      </c>
      <c r="V240" s="23" t="str">
        <f>IF(ROW()&lt;7,"",IF(OR(N240="",N237=""),"",IF(N237=0,"",(N240/N237)-1)))</f>
        <v/>
      </c>
      <c r="W240" s="23" t="str">
        <f>IF(ROW()&lt;9,"",IF(OR(N240="",N235=""),"",IF(N235=0,"",(N240/N235)-1)))</f>
        <v/>
      </c>
      <c r="X240" s="23" t="str">
        <f>IF(OR(F240="",M240=""),"",F240-M240)</f>
        <v/>
      </c>
      <c r="Y240" s="23" t="str">
        <f>IF(OR(P240="",T240=""),"",P240-T240)</f>
        <v/>
      </c>
      <c r="Z240" s="23" t="str">
        <f>IF(OR(Q240="",U240=""),"",Q240-U240)</f>
        <v/>
      </c>
      <c r="AA240" s="23" t="str">
        <f>IF(OR(H240="",O240=""),"",H240-O240)</f>
        <v/>
      </c>
      <c r="AB240" s="23" t="str">
        <f>IF(OR(R240="",V240=""),"",R240-V240)</f>
        <v/>
      </c>
      <c r="AC240" s="23" t="str">
        <f>IF(OR(S240="",W240=""),"",S240-W240)</f>
        <v/>
      </c>
      <c r="AD240" s="13"/>
      <c r="AE240" s="23" t="str">
        <f>IF(OR(AD240="",AD239=""),"",IF(AD239=0,"",(AD240/AD239)-1))</f>
        <v/>
      </c>
      <c r="AF240" s="23" t="str">
        <f>IF(ROW()&lt;7,"",IF(OR(AD240="",AD237=""),"",IF(AD237=0,"",(AD240/AD237)-1)))</f>
        <v/>
      </c>
      <c r="AG240" s="23" t="str">
        <f>IF(ROW()&lt;9,"",IF(OR(AD240="",AD235=""),"",IF(AD235=0,"",(AD240/AD235)-1)))</f>
        <v/>
      </c>
      <c r="AH240" s="23" t="str">
        <f>IF(OR(AF240="",AG240=""),"",IF(AND(AF240&gt;0,AG240&gt;0),"Bull",IF(AND(AF240&lt;0,AG240&lt;0),"Bear","Mixed")))</f>
        <v/>
      </c>
      <c r="AI240" s="13"/>
      <c r="AJ240" s="13" t="str">
        <f>IF(OR(AI240="",AI239=""),"",IF(AI239=0,"",(AI240/AI239)-1))</f>
        <v/>
      </c>
      <c r="AK240" s="23" t="str">
        <f>IF(OR(AJ240="",AJ239=""),"",IF(AJ239=0,"",(AJ240/AJ239)-1))</f>
        <v/>
      </c>
      <c r="AL240" s="23" t="str">
        <f>IF(ROW()&lt;7,"",IF(OR(AJ240="",AJ237=""),"",IF(AJ237=0,"",(AJ240/AJ237)-1)))</f>
        <v/>
      </c>
      <c r="AM240" s="23" t="str">
        <f>IF(ROW()&lt;9,"",IF(OR(AJ240="",AJ235=""),"",IF(AJ235=0,"",(AJ240/AJ235)-1)))</f>
        <v/>
      </c>
      <c r="AN240" t="str">
        <f>IF(OR(AL240="",AM240=""),"",IF(AND(AL240&gt;0,AM240&gt;0),"Bull",IF(AND(AL240&lt;0,AM240&lt;0),"Bear","Mixed")))</f>
        <v/>
      </c>
      <c r="AO240" t="str">
        <f>IF(OR(AH240="",AN240=""),"",IF(AND(AH240="Bull",AN240="Bull"),"YES","NO"))</f>
        <v/>
      </c>
      <c r="AP240" t="str">
        <f>IF(OR(AH240="",AN240=""),"",IF(AND(AH240="Bear",AN240="Bear"),"YES","NO"))</f>
        <v/>
      </c>
      <c r="AQ240" t="str">
        <f>IF(AO240="YES",IF(SUM(N(X240),N(Y240),N(Z240))&gt;0,"SOXL","TQQQ"),IF(AP240="YES",IF(SUM(N(AA240),N(AB240),N(AC240))&gt;0,"SOXS","SQQQ"),"WAIT"))</f>
        <v>WAIT</v>
      </c>
      <c r="AR240" s="23" t="str">
        <f>IF(AO240="YES",IF(SUM(N(X240),N(Y240),N(Z240))&gt;0,"TQQQ","SOXL"),IF(AP240="YES",IF(SUM(N(AA240),N(AB240),N(AC240))&gt;0,"SQQQ","SOXS"),""))</f>
        <v/>
      </c>
      <c r="AS240" s="23" t="str">
        <f>IF(AQ240="WAIT","",IF(AR240="",1,0.6))</f>
        <v/>
      </c>
      <c r="AT240" s="23">
        <f>IF(AR240="",0,0.4)</f>
        <v>0</v>
      </c>
      <c r="AU240" s="23" t="str">
        <f>IF(AQ240="WAIT","WAIT",IF(AO240="YES","BULL",IF(AP240="YES","BEAR","WAIT")))</f>
        <v>WAIT</v>
      </c>
      <c r="AV240" t="str">
        <f>IF(AQ240="WAIT","Low",IF(OR(AND(AU240="BULL",ABS(SUM(N(X240),N(Y240),N(Z240)))&gt;=0.15),AND(AU240="BEAR",ABS(SUM(N(AA240),N(AB240),N(AC240)))&gt;=0.15)),"Strong",IF(OR(AND(AU240="BULL",ABS(SUM(N(X240),N(Y240),N(Z240)))&gt;=0.05),AND(AU240="BEAR",ABS(SUM(N(AA240),N(AB240),N(AC240)))&gt;=0.05)),"Moderate","Low")))</f>
        <v>Low</v>
      </c>
      <c r="AW240" t="str">
        <f>IF(AQ240="WAIT","QQQ and SMH not aligned",IF(AU240="BULL",IF(AQ240="SOXL","Bull regime; semiconductors leading","Bull regime; tech leading"),IF(AQ240="SOXS","Bear regime; semiconductors weakest","Bear regime; tech weakest")))</f>
        <v>QQQ and SMH not aligned</v>
      </c>
      <c r="AX240" t="str">
        <f>IF(AR240="WAIT","QQQ and SMH not aligned",IF(AV240="BULL",IF(AR240="SOXL","Bull regime; semiconductors leading","Bull regime; tech leading"),IF(AR240="SOXS","Bear regime; semiconductors weakest","Bear regime; tech weakest")))</f>
        <v>Bear regime; tech weakest</v>
      </c>
    </row>
    <row r="241" spans="1:50" x14ac:dyDescent="0.2">
      <c r="A241" s="12"/>
      <c r="B241" s="13"/>
      <c r="C241" s="13"/>
      <c r="D241" s="13"/>
      <c r="E241" s="13"/>
      <c r="F241" s="11" t="str">
        <f>IF(OR(E241="",E240=""),"",IF(E240=0,"",(E241/E240)-1))</f>
        <v/>
      </c>
      <c r="G241" s="13"/>
      <c r="H241" s="11" t="str">
        <f>IF(OR(G241="",G240=""),"",IF(G240=0,"",(G241/G240)-1))</f>
        <v/>
      </c>
      <c r="I241" s="13"/>
      <c r="J241" s="13"/>
      <c r="K241" s="13"/>
      <c r="L241" s="13"/>
      <c r="M241" s="23" t="str">
        <f>IF(OR(L241="",L240=""),"",IF(L240=0,"",(L241/L240)-1))</f>
        <v/>
      </c>
      <c r="N241" s="26" t="str">
        <f>IFERROR((M241/M240)-1,"")</f>
        <v/>
      </c>
      <c r="O241" s="23" t="str">
        <f>IF(OR(N241="",N240=""),"",IF(N240=0,"",(N241/N240)-1))</f>
        <v/>
      </c>
      <c r="P241" s="11" t="str">
        <f>IF(ROW()&lt;7,"",IF(OR(E241="",E238=""),"",IF(E238=0,"",(E241/E238)-1)))</f>
        <v/>
      </c>
      <c r="Q241" s="23" t="str">
        <f>IF(ROW()&lt;9,"",IF(OR(E241="",E236=""),"",IF(E236=0,"",(E241/E236)-1)))</f>
        <v/>
      </c>
      <c r="R241" s="23" t="str">
        <f>IF(ROW()&lt;7,"",IF(OR(G241="",G238=""),"",IF(G238=0,"",(G241/G238)-1)))</f>
        <v/>
      </c>
      <c r="S241" s="23" t="str">
        <f>IF(ROW()&lt;9,"",IF(OR(G241="",G236=""),"",IF(G236=0,"",(G241/G236)-1)))</f>
        <v/>
      </c>
      <c r="T241" s="23" t="str">
        <f>IF(ROW()&lt;7,"",IF(OR(L241="",L238=""),"",IF(L238=0,"",(L241/L238)-1)))</f>
        <v/>
      </c>
      <c r="U241" s="23" t="str">
        <f>IF(ROW()&lt;9,"",IF(OR(L241="",L236=""),"",IF(L236=0,"",(L241/L236)-1)))</f>
        <v/>
      </c>
      <c r="V241" s="23" t="str">
        <f>IF(ROW()&lt;7,"",IF(OR(N241="",N238=""),"",IF(N238=0,"",(N241/N238)-1)))</f>
        <v/>
      </c>
      <c r="W241" s="23" t="str">
        <f>IF(ROW()&lt;9,"",IF(OR(N241="",N236=""),"",IF(N236=0,"",(N241/N236)-1)))</f>
        <v/>
      </c>
      <c r="X241" s="23" t="str">
        <f>IF(OR(F241="",M241=""),"",F241-M241)</f>
        <v/>
      </c>
      <c r="Y241" s="23" t="str">
        <f>IF(OR(P241="",T241=""),"",P241-T241)</f>
        <v/>
      </c>
      <c r="Z241" s="23" t="str">
        <f>IF(OR(Q241="",U241=""),"",Q241-U241)</f>
        <v/>
      </c>
      <c r="AA241" s="23" t="str">
        <f>IF(OR(H241="",O241=""),"",H241-O241)</f>
        <v/>
      </c>
      <c r="AB241" s="23" t="str">
        <f>IF(OR(R241="",V241=""),"",R241-V241)</f>
        <v/>
      </c>
      <c r="AC241" s="23" t="str">
        <f>IF(OR(S241="",W241=""),"",S241-W241)</f>
        <v/>
      </c>
      <c r="AD241" s="13"/>
      <c r="AE241" s="23" t="str">
        <f>IF(OR(AD241="",AD240=""),"",IF(AD240=0,"",(AD241/AD240)-1))</f>
        <v/>
      </c>
      <c r="AF241" s="23" t="str">
        <f>IF(ROW()&lt;7,"",IF(OR(AD241="",AD238=""),"",IF(AD238=0,"",(AD241/AD238)-1)))</f>
        <v/>
      </c>
      <c r="AG241" s="23" t="str">
        <f>IF(ROW()&lt;9,"",IF(OR(AD241="",AD236=""),"",IF(AD236=0,"",(AD241/AD236)-1)))</f>
        <v/>
      </c>
      <c r="AH241" s="23" t="str">
        <f>IF(OR(AF241="",AG241=""),"",IF(AND(AF241&gt;0,AG241&gt;0),"Bull",IF(AND(AF241&lt;0,AG241&lt;0),"Bear","Mixed")))</f>
        <v/>
      </c>
      <c r="AI241" s="13"/>
      <c r="AJ241" s="13" t="str">
        <f>IF(OR(AI241="",AI240=""),"",IF(AI240=0,"",(AI241/AI240)-1))</f>
        <v/>
      </c>
      <c r="AK241" s="23" t="str">
        <f>IF(OR(AJ241="",AJ240=""),"",IF(AJ240=0,"",(AJ241/AJ240)-1))</f>
        <v/>
      </c>
      <c r="AL241" s="23" t="str">
        <f>IF(ROW()&lt;7,"",IF(OR(AJ241="",AJ238=""),"",IF(AJ238=0,"",(AJ241/AJ238)-1)))</f>
        <v/>
      </c>
      <c r="AM241" s="23" t="str">
        <f>IF(ROW()&lt;9,"",IF(OR(AJ241="",AJ236=""),"",IF(AJ236=0,"",(AJ241/AJ236)-1)))</f>
        <v/>
      </c>
      <c r="AN241" t="str">
        <f>IF(OR(AL241="",AM241=""),"",IF(AND(AL241&gt;0,AM241&gt;0),"Bull",IF(AND(AL241&lt;0,AM241&lt;0),"Bear","Mixed")))</f>
        <v/>
      </c>
      <c r="AO241" t="str">
        <f>IF(OR(AH241="",AN241=""),"",IF(AND(AH241="Bull",AN241="Bull"),"YES","NO"))</f>
        <v/>
      </c>
      <c r="AP241" t="str">
        <f>IF(OR(AH241="",AN241=""),"",IF(AND(AH241="Bear",AN241="Bear"),"YES","NO"))</f>
        <v/>
      </c>
      <c r="AQ241" t="str">
        <f>IF(AO241="YES",IF(SUM(N(X241),N(Y241),N(Z241))&gt;0,"SOXL","TQQQ"),IF(AP241="YES",IF(SUM(N(AA241),N(AB241),N(AC241))&gt;0,"SOXS","SQQQ"),"WAIT"))</f>
        <v>WAIT</v>
      </c>
      <c r="AR241" s="23" t="str">
        <f>IF(AO241="YES",IF(SUM(N(X241),N(Y241),N(Z241))&gt;0,"TQQQ","SOXL"),IF(AP241="YES",IF(SUM(N(AA241),N(AB241),N(AC241))&gt;0,"SQQQ","SOXS"),""))</f>
        <v/>
      </c>
      <c r="AS241" s="23" t="str">
        <f>IF(AQ241="WAIT","",IF(AR241="",1,0.6))</f>
        <v/>
      </c>
      <c r="AT241" s="23">
        <f>IF(AR241="",0,0.4)</f>
        <v>0</v>
      </c>
      <c r="AU241" s="23" t="str">
        <f>IF(AQ241="WAIT","WAIT",IF(AO241="YES","BULL",IF(AP241="YES","BEAR","WAIT")))</f>
        <v>WAIT</v>
      </c>
      <c r="AV241" t="str">
        <f>IF(AQ241="WAIT","Low",IF(OR(AND(AU241="BULL",ABS(SUM(N(X241),N(Y241),N(Z241)))&gt;=0.15),AND(AU241="BEAR",ABS(SUM(N(AA241),N(AB241),N(AC241)))&gt;=0.15)),"Strong",IF(OR(AND(AU241="BULL",ABS(SUM(N(X241),N(Y241),N(Z241)))&gt;=0.05),AND(AU241="BEAR",ABS(SUM(N(AA241),N(AB241),N(AC241)))&gt;=0.05)),"Moderate","Low")))</f>
        <v>Low</v>
      </c>
      <c r="AW241" t="str">
        <f>IF(AQ241="WAIT","QQQ and SMH not aligned",IF(AU241="BULL",IF(AQ241="SOXL","Bull regime; semiconductors leading","Bull regime; tech leading"),IF(AQ241="SOXS","Bear regime; semiconductors weakest","Bear regime; tech weakest")))</f>
        <v>QQQ and SMH not aligned</v>
      </c>
      <c r="AX241" t="str">
        <f>IF(AR241="WAIT","QQQ and SMH not aligned",IF(AV241="BULL",IF(AR241="SOXL","Bull regime; semiconductors leading","Bull regime; tech leading"),IF(AR241="SOXS","Bear regime; semiconductors weakest","Bear regime; tech weakest")))</f>
        <v>Bear regime; tech weakest</v>
      </c>
    </row>
    <row r="242" spans="1:50" x14ac:dyDescent="0.2">
      <c r="A242" s="12"/>
      <c r="B242" s="13"/>
      <c r="C242" s="13"/>
      <c r="D242" s="13"/>
      <c r="E242" s="13"/>
      <c r="F242" s="11" t="str">
        <f>IF(OR(E242="",E241=""),"",IF(E241=0,"",(E242/E241)-1))</f>
        <v/>
      </c>
      <c r="G242" s="13"/>
      <c r="H242" s="11" t="str">
        <f>IF(OR(G242="",G241=""),"",IF(G241=0,"",(G242/G241)-1))</f>
        <v/>
      </c>
      <c r="I242" s="13"/>
      <c r="J242" s="13"/>
      <c r="K242" s="13"/>
      <c r="L242" s="13"/>
      <c r="M242" s="23" t="str">
        <f>IF(OR(L242="",L241=""),"",IF(L241=0,"",(L242/L241)-1))</f>
        <v/>
      </c>
      <c r="N242" s="26" t="str">
        <f>IFERROR((M242/M241)-1,"")</f>
        <v/>
      </c>
      <c r="O242" s="23" t="str">
        <f>IF(OR(N242="",N241=""),"",IF(N241=0,"",(N242/N241)-1))</f>
        <v/>
      </c>
      <c r="P242" s="11" t="str">
        <f>IF(ROW()&lt;7,"",IF(OR(E242="",E239=""),"",IF(E239=0,"",(E242/E239)-1)))</f>
        <v/>
      </c>
      <c r="Q242" s="23" t="str">
        <f>IF(ROW()&lt;9,"",IF(OR(E242="",E237=""),"",IF(E237=0,"",(E242/E237)-1)))</f>
        <v/>
      </c>
      <c r="R242" s="23" t="str">
        <f>IF(ROW()&lt;7,"",IF(OR(G242="",G239=""),"",IF(G239=0,"",(G242/G239)-1)))</f>
        <v/>
      </c>
      <c r="S242" s="23" t="str">
        <f>IF(ROW()&lt;9,"",IF(OR(G242="",G237=""),"",IF(G237=0,"",(G242/G237)-1)))</f>
        <v/>
      </c>
      <c r="T242" s="23" t="str">
        <f>IF(ROW()&lt;7,"",IF(OR(L242="",L239=""),"",IF(L239=0,"",(L242/L239)-1)))</f>
        <v/>
      </c>
      <c r="U242" s="23" t="str">
        <f>IF(ROW()&lt;9,"",IF(OR(L242="",L237=""),"",IF(L237=0,"",(L242/L237)-1)))</f>
        <v/>
      </c>
      <c r="V242" s="23" t="str">
        <f>IF(ROW()&lt;7,"",IF(OR(N242="",N239=""),"",IF(N239=0,"",(N242/N239)-1)))</f>
        <v/>
      </c>
      <c r="W242" s="23" t="str">
        <f>IF(ROW()&lt;9,"",IF(OR(N242="",N237=""),"",IF(N237=0,"",(N242/N237)-1)))</f>
        <v/>
      </c>
      <c r="X242" s="23" t="str">
        <f>IF(OR(F242="",M242=""),"",F242-M242)</f>
        <v/>
      </c>
      <c r="Y242" s="23" t="str">
        <f>IF(OR(P242="",T242=""),"",P242-T242)</f>
        <v/>
      </c>
      <c r="Z242" s="23" t="str">
        <f>IF(OR(Q242="",U242=""),"",Q242-U242)</f>
        <v/>
      </c>
      <c r="AA242" s="23" t="str">
        <f>IF(OR(H242="",O242=""),"",H242-O242)</f>
        <v/>
      </c>
      <c r="AB242" s="23" t="str">
        <f>IF(OR(R242="",V242=""),"",R242-V242)</f>
        <v/>
      </c>
      <c r="AC242" s="23" t="str">
        <f>IF(OR(S242="",W242=""),"",S242-W242)</f>
        <v/>
      </c>
      <c r="AD242" s="13"/>
      <c r="AE242" s="23" t="str">
        <f>IF(OR(AD242="",AD241=""),"",IF(AD241=0,"",(AD242/AD241)-1))</f>
        <v/>
      </c>
      <c r="AF242" s="23" t="str">
        <f>IF(ROW()&lt;7,"",IF(OR(AD242="",AD239=""),"",IF(AD239=0,"",(AD242/AD239)-1)))</f>
        <v/>
      </c>
      <c r="AG242" s="23" t="str">
        <f>IF(ROW()&lt;9,"",IF(OR(AD242="",AD237=""),"",IF(AD237=0,"",(AD242/AD237)-1)))</f>
        <v/>
      </c>
      <c r="AH242" s="23" t="str">
        <f>IF(OR(AF242="",AG242=""),"",IF(AND(AF242&gt;0,AG242&gt;0),"Bull",IF(AND(AF242&lt;0,AG242&lt;0),"Bear","Mixed")))</f>
        <v/>
      </c>
      <c r="AI242" s="13"/>
      <c r="AJ242" s="13" t="str">
        <f>IF(OR(AI242="",AI241=""),"",IF(AI241=0,"",(AI242/AI241)-1))</f>
        <v/>
      </c>
      <c r="AK242" s="23" t="str">
        <f>IF(OR(AJ242="",AJ241=""),"",IF(AJ241=0,"",(AJ242/AJ241)-1))</f>
        <v/>
      </c>
      <c r="AL242" s="23" t="str">
        <f>IF(ROW()&lt;7,"",IF(OR(AJ242="",AJ239=""),"",IF(AJ239=0,"",(AJ242/AJ239)-1)))</f>
        <v/>
      </c>
      <c r="AM242" s="23" t="str">
        <f>IF(ROW()&lt;9,"",IF(OR(AJ242="",AJ237=""),"",IF(AJ237=0,"",(AJ242/AJ237)-1)))</f>
        <v/>
      </c>
      <c r="AN242" t="str">
        <f>IF(OR(AL242="",AM242=""),"",IF(AND(AL242&gt;0,AM242&gt;0),"Bull",IF(AND(AL242&lt;0,AM242&lt;0),"Bear","Mixed")))</f>
        <v/>
      </c>
      <c r="AO242" t="str">
        <f>IF(OR(AH242="",AN242=""),"",IF(AND(AH242="Bull",AN242="Bull"),"YES","NO"))</f>
        <v/>
      </c>
      <c r="AP242" t="str">
        <f>IF(OR(AH242="",AN242=""),"",IF(AND(AH242="Bear",AN242="Bear"),"YES","NO"))</f>
        <v/>
      </c>
      <c r="AQ242" t="str">
        <f>IF(AO242="YES",IF(SUM(N(X242),N(Y242),N(Z242))&gt;0,"SOXL","TQQQ"),IF(AP242="YES",IF(SUM(N(AA242),N(AB242),N(AC242))&gt;0,"SOXS","SQQQ"),"WAIT"))</f>
        <v>WAIT</v>
      </c>
      <c r="AR242" s="23" t="str">
        <f>IF(AO242="YES",IF(SUM(N(X242),N(Y242),N(Z242))&gt;0,"TQQQ","SOXL"),IF(AP242="YES",IF(SUM(N(AA242),N(AB242),N(AC242))&gt;0,"SQQQ","SOXS"),""))</f>
        <v/>
      </c>
      <c r="AS242" s="23" t="str">
        <f>IF(AQ242="WAIT","",IF(AR242="",1,0.6))</f>
        <v/>
      </c>
      <c r="AT242" s="23">
        <f>IF(AR242="",0,0.4)</f>
        <v>0</v>
      </c>
      <c r="AU242" s="23" t="str">
        <f>IF(AQ242="WAIT","WAIT",IF(AO242="YES","BULL",IF(AP242="YES","BEAR","WAIT")))</f>
        <v>WAIT</v>
      </c>
      <c r="AV242" t="str">
        <f>IF(AQ242="WAIT","Low",IF(OR(AND(AU242="BULL",ABS(SUM(N(X242),N(Y242),N(Z242)))&gt;=0.15),AND(AU242="BEAR",ABS(SUM(N(AA242),N(AB242),N(AC242)))&gt;=0.15)),"Strong",IF(OR(AND(AU242="BULL",ABS(SUM(N(X242),N(Y242),N(Z242)))&gt;=0.05),AND(AU242="BEAR",ABS(SUM(N(AA242),N(AB242),N(AC242)))&gt;=0.05)),"Moderate","Low")))</f>
        <v>Low</v>
      </c>
      <c r="AW242" t="str">
        <f>IF(AQ242="WAIT","QQQ and SMH not aligned",IF(AU242="BULL",IF(AQ242="SOXL","Bull regime; semiconductors leading","Bull regime; tech leading"),IF(AQ242="SOXS","Bear regime; semiconductors weakest","Bear regime; tech weakest")))</f>
        <v>QQQ and SMH not aligned</v>
      </c>
      <c r="AX242" t="str">
        <f>IF(AR242="WAIT","QQQ and SMH not aligned",IF(AV242="BULL",IF(AR242="SOXL","Bull regime; semiconductors leading","Bull regime; tech leading"),IF(AR242="SOXS","Bear regime; semiconductors weakest","Bear regime; tech weakest")))</f>
        <v>Bear regime; tech weakest</v>
      </c>
    </row>
    <row r="243" spans="1:50" x14ac:dyDescent="0.2">
      <c r="A243" s="12"/>
      <c r="B243" s="13"/>
      <c r="C243" s="13"/>
      <c r="D243" s="13"/>
      <c r="E243" s="13"/>
      <c r="F243" s="11" t="str">
        <f>IF(OR(E243="",E242=""),"",IF(E242=0,"",(E243/E242)-1))</f>
        <v/>
      </c>
      <c r="G243" s="13"/>
      <c r="H243" s="11" t="str">
        <f>IF(OR(G243="",G242=""),"",IF(G242=0,"",(G243/G242)-1))</f>
        <v/>
      </c>
      <c r="I243" s="13"/>
      <c r="J243" s="13"/>
      <c r="K243" s="13"/>
      <c r="L243" s="13"/>
      <c r="M243" s="23" t="str">
        <f>IF(OR(L243="",L242=""),"",IF(L242=0,"",(L243/L242)-1))</f>
        <v/>
      </c>
      <c r="N243" s="26" t="str">
        <f>IFERROR((M243/M242)-1,"")</f>
        <v/>
      </c>
      <c r="O243" s="23" t="str">
        <f>IF(OR(N243="",N242=""),"",IF(N242=0,"",(N243/N242)-1))</f>
        <v/>
      </c>
      <c r="P243" s="11" t="str">
        <f>IF(ROW()&lt;7,"",IF(OR(E243="",E240=""),"",IF(E240=0,"",(E243/E240)-1)))</f>
        <v/>
      </c>
      <c r="Q243" s="23" t="str">
        <f>IF(ROW()&lt;9,"",IF(OR(E243="",E238=""),"",IF(E238=0,"",(E243/E238)-1)))</f>
        <v/>
      </c>
      <c r="R243" s="23" t="str">
        <f>IF(ROW()&lt;7,"",IF(OR(G243="",G240=""),"",IF(G240=0,"",(G243/G240)-1)))</f>
        <v/>
      </c>
      <c r="S243" s="23" t="str">
        <f>IF(ROW()&lt;9,"",IF(OR(G243="",G238=""),"",IF(G238=0,"",(G243/G238)-1)))</f>
        <v/>
      </c>
      <c r="T243" s="23" t="str">
        <f>IF(ROW()&lt;7,"",IF(OR(L243="",L240=""),"",IF(L240=0,"",(L243/L240)-1)))</f>
        <v/>
      </c>
      <c r="U243" s="23" t="str">
        <f>IF(ROW()&lt;9,"",IF(OR(L243="",L238=""),"",IF(L238=0,"",(L243/L238)-1)))</f>
        <v/>
      </c>
      <c r="V243" s="23" t="str">
        <f>IF(ROW()&lt;7,"",IF(OR(N243="",N240=""),"",IF(N240=0,"",(N243/N240)-1)))</f>
        <v/>
      </c>
      <c r="W243" s="23" t="str">
        <f>IF(ROW()&lt;9,"",IF(OR(N243="",N238=""),"",IF(N238=0,"",(N243/N238)-1)))</f>
        <v/>
      </c>
      <c r="X243" s="23" t="str">
        <f>IF(OR(F243="",M243=""),"",F243-M243)</f>
        <v/>
      </c>
      <c r="Y243" s="23" t="str">
        <f>IF(OR(P243="",T243=""),"",P243-T243)</f>
        <v/>
      </c>
      <c r="Z243" s="23" t="str">
        <f>IF(OR(Q243="",U243=""),"",Q243-U243)</f>
        <v/>
      </c>
      <c r="AA243" s="23" t="str">
        <f>IF(OR(H243="",O243=""),"",H243-O243)</f>
        <v/>
      </c>
      <c r="AB243" s="23" t="str">
        <f>IF(OR(R243="",V243=""),"",R243-V243)</f>
        <v/>
      </c>
      <c r="AC243" s="23" t="str">
        <f>IF(OR(S243="",W243=""),"",S243-W243)</f>
        <v/>
      </c>
      <c r="AD243" s="13"/>
      <c r="AE243" s="23" t="str">
        <f>IF(OR(AD243="",AD242=""),"",IF(AD242=0,"",(AD243/AD242)-1))</f>
        <v/>
      </c>
      <c r="AF243" s="23" t="str">
        <f>IF(ROW()&lt;7,"",IF(OR(AD243="",AD240=""),"",IF(AD240=0,"",(AD243/AD240)-1)))</f>
        <v/>
      </c>
      <c r="AG243" s="23" t="str">
        <f>IF(ROW()&lt;9,"",IF(OR(AD243="",AD238=""),"",IF(AD238=0,"",(AD243/AD238)-1)))</f>
        <v/>
      </c>
      <c r="AH243" s="23" t="str">
        <f>IF(OR(AF243="",AG243=""),"",IF(AND(AF243&gt;0,AG243&gt;0),"Bull",IF(AND(AF243&lt;0,AG243&lt;0),"Bear","Mixed")))</f>
        <v/>
      </c>
      <c r="AI243" s="13"/>
      <c r="AJ243" s="13" t="str">
        <f>IF(OR(AI243="",AI242=""),"",IF(AI242=0,"",(AI243/AI242)-1))</f>
        <v/>
      </c>
      <c r="AK243" s="23" t="str">
        <f>IF(OR(AJ243="",AJ242=""),"",IF(AJ242=0,"",(AJ243/AJ242)-1))</f>
        <v/>
      </c>
      <c r="AL243" s="23" t="str">
        <f>IF(ROW()&lt;7,"",IF(OR(AJ243="",AJ240=""),"",IF(AJ240=0,"",(AJ243/AJ240)-1)))</f>
        <v/>
      </c>
      <c r="AM243" s="23" t="str">
        <f>IF(ROW()&lt;9,"",IF(OR(AJ243="",AJ238=""),"",IF(AJ238=0,"",(AJ243/AJ238)-1)))</f>
        <v/>
      </c>
      <c r="AN243" t="str">
        <f>IF(OR(AL243="",AM243=""),"",IF(AND(AL243&gt;0,AM243&gt;0),"Bull",IF(AND(AL243&lt;0,AM243&lt;0),"Bear","Mixed")))</f>
        <v/>
      </c>
      <c r="AO243" t="str">
        <f>IF(OR(AH243="",AN243=""),"",IF(AND(AH243="Bull",AN243="Bull"),"YES","NO"))</f>
        <v/>
      </c>
      <c r="AP243" t="str">
        <f>IF(OR(AH243="",AN243=""),"",IF(AND(AH243="Bear",AN243="Bear"),"YES","NO"))</f>
        <v/>
      </c>
      <c r="AQ243" t="str">
        <f>IF(AO243="YES",IF(SUM(N(X243),N(Y243),N(Z243))&gt;0,"SOXL","TQQQ"),IF(AP243="YES",IF(SUM(N(AA243),N(AB243),N(AC243))&gt;0,"SOXS","SQQQ"),"WAIT"))</f>
        <v>WAIT</v>
      </c>
      <c r="AR243" s="23" t="str">
        <f>IF(AO243="YES",IF(SUM(N(X243),N(Y243),N(Z243))&gt;0,"TQQQ","SOXL"),IF(AP243="YES",IF(SUM(N(AA243),N(AB243),N(AC243))&gt;0,"SQQQ","SOXS"),""))</f>
        <v/>
      </c>
      <c r="AS243" s="23" t="str">
        <f>IF(AQ243="WAIT","",IF(AR243="",1,0.6))</f>
        <v/>
      </c>
      <c r="AT243" s="23">
        <f>IF(AR243="",0,0.4)</f>
        <v>0</v>
      </c>
      <c r="AU243" s="23" t="str">
        <f>IF(AQ243="WAIT","WAIT",IF(AO243="YES","BULL",IF(AP243="YES","BEAR","WAIT")))</f>
        <v>WAIT</v>
      </c>
      <c r="AV243" t="str">
        <f>IF(AQ243="WAIT","Low",IF(OR(AND(AU243="BULL",ABS(SUM(N(X243),N(Y243),N(Z243)))&gt;=0.15),AND(AU243="BEAR",ABS(SUM(N(AA243),N(AB243),N(AC243)))&gt;=0.15)),"Strong",IF(OR(AND(AU243="BULL",ABS(SUM(N(X243),N(Y243),N(Z243)))&gt;=0.05),AND(AU243="BEAR",ABS(SUM(N(AA243),N(AB243),N(AC243)))&gt;=0.05)),"Moderate","Low")))</f>
        <v>Low</v>
      </c>
      <c r="AW243" t="str">
        <f>IF(AQ243="WAIT","QQQ and SMH not aligned",IF(AU243="BULL",IF(AQ243="SOXL","Bull regime; semiconductors leading","Bull regime; tech leading"),IF(AQ243="SOXS","Bear regime; semiconductors weakest","Bear regime; tech weakest")))</f>
        <v>QQQ and SMH not aligned</v>
      </c>
      <c r="AX243" t="str">
        <f>IF(AR243="WAIT","QQQ and SMH not aligned",IF(AV243="BULL",IF(AR243="SOXL","Bull regime; semiconductors leading","Bull regime; tech leading"),IF(AR243="SOXS","Bear regime; semiconductors weakest","Bear regime; tech weakest")))</f>
        <v>Bear regime; tech weakest</v>
      </c>
    </row>
    <row r="244" spans="1:50" x14ac:dyDescent="0.2">
      <c r="A244" s="12"/>
      <c r="B244" s="13"/>
      <c r="C244" s="13"/>
      <c r="D244" s="13"/>
      <c r="E244" s="13"/>
      <c r="F244" s="11" t="str">
        <f>IF(OR(E244="",E243=""),"",IF(E243=0,"",(E244/E243)-1))</f>
        <v/>
      </c>
      <c r="G244" s="13"/>
      <c r="H244" s="11" t="str">
        <f>IF(OR(G244="",G243=""),"",IF(G243=0,"",(G244/G243)-1))</f>
        <v/>
      </c>
      <c r="I244" s="13"/>
      <c r="J244" s="13"/>
      <c r="K244" s="13"/>
      <c r="L244" s="13"/>
      <c r="M244" s="23" t="str">
        <f>IF(OR(L244="",L243=""),"",IF(L243=0,"",(L244/L243)-1))</f>
        <v/>
      </c>
      <c r="N244" s="26" t="str">
        <f>IFERROR((M244/M243)-1,"")</f>
        <v/>
      </c>
      <c r="O244" s="23" t="str">
        <f>IF(OR(N244="",N243=""),"",IF(N243=0,"",(N244/N243)-1))</f>
        <v/>
      </c>
      <c r="P244" s="11" t="str">
        <f>IF(ROW()&lt;7,"",IF(OR(E244="",E241=""),"",IF(E241=0,"",(E244/E241)-1)))</f>
        <v/>
      </c>
      <c r="Q244" s="23" t="str">
        <f>IF(ROW()&lt;9,"",IF(OR(E244="",E239=""),"",IF(E239=0,"",(E244/E239)-1)))</f>
        <v/>
      </c>
      <c r="R244" s="23" t="str">
        <f>IF(ROW()&lt;7,"",IF(OR(G244="",G241=""),"",IF(G241=0,"",(G244/G241)-1)))</f>
        <v/>
      </c>
      <c r="S244" s="23" t="str">
        <f>IF(ROW()&lt;9,"",IF(OR(G244="",G239=""),"",IF(G239=0,"",(G244/G239)-1)))</f>
        <v/>
      </c>
      <c r="T244" s="23" t="str">
        <f>IF(ROW()&lt;7,"",IF(OR(L244="",L241=""),"",IF(L241=0,"",(L244/L241)-1)))</f>
        <v/>
      </c>
      <c r="U244" s="23" t="str">
        <f>IF(ROW()&lt;9,"",IF(OR(L244="",L239=""),"",IF(L239=0,"",(L244/L239)-1)))</f>
        <v/>
      </c>
      <c r="V244" s="23" t="str">
        <f>IF(ROW()&lt;7,"",IF(OR(N244="",N241=""),"",IF(N241=0,"",(N244/N241)-1)))</f>
        <v/>
      </c>
      <c r="W244" s="23" t="str">
        <f>IF(ROW()&lt;9,"",IF(OR(N244="",N239=""),"",IF(N239=0,"",(N244/N239)-1)))</f>
        <v/>
      </c>
      <c r="X244" s="23" t="str">
        <f>IF(OR(F244="",M244=""),"",F244-M244)</f>
        <v/>
      </c>
      <c r="Y244" s="23" t="str">
        <f>IF(OR(P244="",T244=""),"",P244-T244)</f>
        <v/>
      </c>
      <c r="Z244" s="23" t="str">
        <f>IF(OR(Q244="",U244=""),"",Q244-U244)</f>
        <v/>
      </c>
      <c r="AA244" s="23" t="str">
        <f>IF(OR(H244="",O244=""),"",H244-O244)</f>
        <v/>
      </c>
      <c r="AB244" s="23" t="str">
        <f>IF(OR(R244="",V244=""),"",R244-V244)</f>
        <v/>
      </c>
      <c r="AC244" s="23" t="str">
        <f>IF(OR(S244="",W244=""),"",S244-W244)</f>
        <v/>
      </c>
      <c r="AD244" s="13"/>
      <c r="AE244" s="23" t="str">
        <f>IF(OR(AD244="",AD243=""),"",IF(AD243=0,"",(AD244/AD243)-1))</f>
        <v/>
      </c>
      <c r="AF244" s="23" t="str">
        <f>IF(ROW()&lt;7,"",IF(OR(AD244="",AD241=""),"",IF(AD241=0,"",(AD244/AD241)-1)))</f>
        <v/>
      </c>
      <c r="AG244" s="23" t="str">
        <f>IF(ROW()&lt;9,"",IF(OR(AD244="",AD239=""),"",IF(AD239=0,"",(AD244/AD239)-1)))</f>
        <v/>
      </c>
      <c r="AH244" s="23" t="str">
        <f>IF(OR(AF244="",AG244=""),"",IF(AND(AF244&gt;0,AG244&gt;0),"Bull",IF(AND(AF244&lt;0,AG244&lt;0),"Bear","Mixed")))</f>
        <v/>
      </c>
      <c r="AI244" s="13"/>
      <c r="AJ244" s="13" t="str">
        <f>IF(OR(AI244="",AI243=""),"",IF(AI243=0,"",(AI244/AI243)-1))</f>
        <v/>
      </c>
      <c r="AK244" s="23" t="str">
        <f>IF(OR(AJ244="",AJ243=""),"",IF(AJ243=0,"",(AJ244/AJ243)-1))</f>
        <v/>
      </c>
      <c r="AL244" s="23" t="str">
        <f>IF(ROW()&lt;7,"",IF(OR(AJ244="",AJ241=""),"",IF(AJ241=0,"",(AJ244/AJ241)-1)))</f>
        <v/>
      </c>
      <c r="AM244" s="23" t="str">
        <f>IF(ROW()&lt;9,"",IF(OR(AJ244="",AJ239=""),"",IF(AJ239=0,"",(AJ244/AJ239)-1)))</f>
        <v/>
      </c>
      <c r="AN244" t="str">
        <f>IF(OR(AL244="",AM244=""),"",IF(AND(AL244&gt;0,AM244&gt;0),"Bull",IF(AND(AL244&lt;0,AM244&lt;0),"Bear","Mixed")))</f>
        <v/>
      </c>
      <c r="AO244" t="str">
        <f>IF(OR(AH244="",AN244=""),"",IF(AND(AH244="Bull",AN244="Bull"),"YES","NO"))</f>
        <v/>
      </c>
      <c r="AP244" t="str">
        <f>IF(OR(AH244="",AN244=""),"",IF(AND(AH244="Bear",AN244="Bear"),"YES","NO"))</f>
        <v/>
      </c>
      <c r="AQ244" t="str">
        <f>IF(AO244="YES",IF(SUM(N(X244),N(Y244),N(Z244))&gt;0,"SOXL","TQQQ"),IF(AP244="YES",IF(SUM(N(AA244),N(AB244),N(AC244))&gt;0,"SOXS","SQQQ"),"WAIT"))</f>
        <v>WAIT</v>
      </c>
      <c r="AR244" s="23" t="str">
        <f>IF(AO244="YES",IF(SUM(N(X244),N(Y244),N(Z244))&gt;0,"TQQQ","SOXL"),IF(AP244="YES",IF(SUM(N(AA244),N(AB244),N(AC244))&gt;0,"SQQQ","SOXS"),""))</f>
        <v/>
      </c>
      <c r="AS244" s="23" t="str">
        <f>IF(AQ244="WAIT","",IF(AR244="",1,0.6))</f>
        <v/>
      </c>
      <c r="AT244" s="23">
        <f>IF(AR244="",0,0.4)</f>
        <v>0</v>
      </c>
      <c r="AU244" s="23" t="str">
        <f>IF(AQ244="WAIT","WAIT",IF(AO244="YES","BULL",IF(AP244="YES","BEAR","WAIT")))</f>
        <v>WAIT</v>
      </c>
      <c r="AV244" t="str">
        <f>IF(AQ244="WAIT","Low",IF(OR(AND(AU244="BULL",ABS(SUM(N(X244),N(Y244),N(Z244)))&gt;=0.15),AND(AU244="BEAR",ABS(SUM(N(AA244),N(AB244),N(AC244)))&gt;=0.15)),"Strong",IF(OR(AND(AU244="BULL",ABS(SUM(N(X244),N(Y244),N(Z244)))&gt;=0.05),AND(AU244="BEAR",ABS(SUM(N(AA244),N(AB244),N(AC244)))&gt;=0.05)),"Moderate","Low")))</f>
        <v>Low</v>
      </c>
      <c r="AW244" t="str">
        <f>IF(AQ244="WAIT","QQQ and SMH not aligned",IF(AU244="BULL",IF(AQ244="SOXL","Bull regime; semiconductors leading","Bull regime; tech leading"),IF(AQ244="SOXS","Bear regime; semiconductors weakest","Bear regime; tech weakest")))</f>
        <v>QQQ and SMH not aligned</v>
      </c>
      <c r="AX244" t="str">
        <f>IF(AR244="WAIT","QQQ and SMH not aligned",IF(AV244="BULL",IF(AR244="SOXL","Bull regime; semiconductors leading","Bull regime; tech leading"),IF(AR244="SOXS","Bear regime; semiconductors weakest","Bear regime; tech weakest")))</f>
        <v>Bear regime; tech weakest</v>
      </c>
    </row>
    <row r="245" spans="1:50" x14ac:dyDescent="0.2">
      <c r="A245" s="12"/>
      <c r="B245" s="13"/>
      <c r="C245" s="13"/>
      <c r="D245" s="13"/>
      <c r="E245" s="13"/>
      <c r="F245" s="11" t="str">
        <f>IF(OR(E245="",E244=""),"",IF(E244=0,"",(E245/E244)-1))</f>
        <v/>
      </c>
      <c r="G245" s="13"/>
      <c r="H245" s="11" t="str">
        <f>IF(OR(G245="",G244=""),"",IF(G244=0,"",(G245/G244)-1))</f>
        <v/>
      </c>
      <c r="I245" s="13"/>
      <c r="J245" s="13"/>
      <c r="K245" s="13"/>
      <c r="L245" s="13"/>
      <c r="M245" s="23" t="str">
        <f>IF(OR(L245="",L244=""),"",IF(L244=0,"",(L245/L244)-1))</f>
        <v/>
      </c>
      <c r="N245" s="26" t="str">
        <f>IFERROR((M245/M244)-1,"")</f>
        <v/>
      </c>
      <c r="O245" s="23" t="str">
        <f>IF(OR(N245="",N244=""),"",IF(N244=0,"",(N245/N244)-1))</f>
        <v/>
      </c>
      <c r="P245" s="11" t="str">
        <f>IF(ROW()&lt;7,"",IF(OR(E245="",E242=""),"",IF(E242=0,"",(E245/E242)-1)))</f>
        <v/>
      </c>
      <c r="Q245" s="23" t="str">
        <f>IF(ROW()&lt;9,"",IF(OR(E245="",E240=""),"",IF(E240=0,"",(E245/E240)-1)))</f>
        <v/>
      </c>
      <c r="R245" s="23" t="str">
        <f>IF(ROW()&lt;7,"",IF(OR(G245="",G242=""),"",IF(G242=0,"",(G245/G242)-1)))</f>
        <v/>
      </c>
      <c r="S245" s="23" t="str">
        <f>IF(ROW()&lt;9,"",IF(OR(G245="",G240=""),"",IF(G240=0,"",(G245/G240)-1)))</f>
        <v/>
      </c>
      <c r="T245" s="23" t="str">
        <f>IF(ROW()&lt;7,"",IF(OR(L245="",L242=""),"",IF(L242=0,"",(L245/L242)-1)))</f>
        <v/>
      </c>
      <c r="U245" s="23" t="str">
        <f>IF(ROW()&lt;9,"",IF(OR(L245="",L240=""),"",IF(L240=0,"",(L245/L240)-1)))</f>
        <v/>
      </c>
      <c r="V245" s="23" t="str">
        <f>IF(ROW()&lt;7,"",IF(OR(N245="",N242=""),"",IF(N242=0,"",(N245/N242)-1)))</f>
        <v/>
      </c>
      <c r="W245" s="23" t="str">
        <f>IF(ROW()&lt;9,"",IF(OR(N245="",N240=""),"",IF(N240=0,"",(N245/N240)-1)))</f>
        <v/>
      </c>
      <c r="X245" s="23" t="str">
        <f>IF(OR(F245="",M245=""),"",F245-M245)</f>
        <v/>
      </c>
      <c r="Y245" s="23" t="str">
        <f>IF(OR(P245="",T245=""),"",P245-T245)</f>
        <v/>
      </c>
      <c r="Z245" s="23" t="str">
        <f>IF(OR(Q245="",U245=""),"",Q245-U245)</f>
        <v/>
      </c>
      <c r="AA245" s="23" t="str">
        <f>IF(OR(H245="",O245=""),"",H245-O245)</f>
        <v/>
      </c>
      <c r="AB245" s="23" t="str">
        <f>IF(OR(R245="",V245=""),"",R245-V245)</f>
        <v/>
      </c>
      <c r="AC245" s="23" t="str">
        <f>IF(OR(S245="",W245=""),"",S245-W245)</f>
        <v/>
      </c>
      <c r="AD245" s="13"/>
      <c r="AE245" s="23" t="str">
        <f>IF(OR(AD245="",AD244=""),"",IF(AD244=0,"",(AD245/AD244)-1))</f>
        <v/>
      </c>
      <c r="AF245" s="23" t="str">
        <f>IF(ROW()&lt;7,"",IF(OR(AD245="",AD242=""),"",IF(AD242=0,"",(AD245/AD242)-1)))</f>
        <v/>
      </c>
      <c r="AG245" s="23" t="str">
        <f>IF(ROW()&lt;9,"",IF(OR(AD245="",AD240=""),"",IF(AD240=0,"",(AD245/AD240)-1)))</f>
        <v/>
      </c>
      <c r="AH245" s="23" t="str">
        <f>IF(OR(AF245="",AG245=""),"",IF(AND(AF245&gt;0,AG245&gt;0),"Bull",IF(AND(AF245&lt;0,AG245&lt;0),"Bear","Mixed")))</f>
        <v/>
      </c>
      <c r="AI245" s="13"/>
      <c r="AJ245" s="13" t="str">
        <f>IF(OR(AI245="",AI244=""),"",IF(AI244=0,"",(AI245/AI244)-1))</f>
        <v/>
      </c>
      <c r="AK245" s="23" t="str">
        <f>IF(OR(AJ245="",AJ244=""),"",IF(AJ244=0,"",(AJ245/AJ244)-1))</f>
        <v/>
      </c>
      <c r="AL245" s="23" t="str">
        <f>IF(ROW()&lt;7,"",IF(OR(AJ245="",AJ242=""),"",IF(AJ242=0,"",(AJ245/AJ242)-1)))</f>
        <v/>
      </c>
      <c r="AM245" s="23" t="str">
        <f>IF(ROW()&lt;9,"",IF(OR(AJ245="",AJ240=""),"",IF(AJ240=0,"",(AJ245/AJ240)-1)))</f>
        <v/>
      </c>
      <c r="AN245" t="str">
        <f>IF(OR(AL245="",AM245=""),"",IF(AND(AL245&gt;0,AM245&gt;0),"Bull",IF(AND(AL245&lt;0,AM245&lt;0),"Bear","Mixed")))</f>
        <v/>
      </c>
      <c r="AO245" t="str">
        <f>IF(OR(AH245="",AN245=""),"",IF(AND(AH245="Bull",AN245="Bull"),"YES","NO"))</f>
        <v/>
      </c>
      <c r="AP245" t="str">
        <f>IF(OR(AH245="",AN245=""),"",IF(AND(AH245="Bear",AN245="Bear"),"YES","NO"))</f>
        <v/>
      </c>
      <c r="AQ245" t="str">
        <f>IF(AO245="YES",IF(SUM(N(X245),N(Y245),N(Z245))&gt;0,"SOXL","TQQQ"),IF(AP245="YES",IF(SUM(N(AA245),N(AB245),N(AC245))&gt;0,"SOXS","SQQQ"),"WAIT"))</f>
        <v>WAIT</v>
      </c>
      <c r="AR245" s="23" t="str">
        <f>IF(AO245="YES",IF(SUM(N(X245),N(Y245),N(Z245))&gt;0,"TQQQ","SOXL"),IF(AP245="YES",IF(SUM(N(AA245),N(AB245),N(AC245))&gt;0,"SQQQ","SOXS"),""))</f>
        <v/>
      </c>
      <c r="AS245" s="23" t="str">
        <f>IF(AQ245="WAIT","",IF(AR245="",1,0.6))</f>
        <v/>
      </c>
      <c r="AT245" s="23">
        <f>IF(AR245="",0,0.4)</f>
        <v>0</v>
      </c>
      <c r="AU245" s="23" t="str">
        <f>IF(AQ245="WAIT","WAIT",IF(AO245="YES","BULL",IF(AP245="YES","BEAR","WAIT")))</f>
        <v>WAIT</v>
      </c>
      <c r="AV245" t="str">
        <f>IF(AQ245="WAIT","Low",IF(OR(AND(AU245="BULL",ABS(SUM(N(X245),N(Y245),N(Z245)))&gt;=0.15),AND(AU245="BEAR",ABS(SUM(N(AA245),N(AB245),N(AC245)))&gt;=0.15)),"Strong",IF(OR(AND(AU245="BULL",ABS(SUM(N(X245),N(Y245),N(Z245)))&gt;=0.05),AND(AU245="BEAR",ABS(SUM(N(AA245),N(AB245),N(AC245)))&gt;=0.05)),"Moderate","Low")))</f>
        <v>Low</v>
      </c>
      <c r="AW245" t="str">
        <f>IF(AQ245="WAIT","QQQ and SMH not aligned",IF(AU245="BULL",IF(AQ245="SOXL","Bull regime; semiconductors leading","Bull regime; tech leading"),IF(AQ245="SOXS","Bear regime; semiconductors weakest","Bear regime; tech weakest")))</f>
        <v>QQQ and SMH not aligned</v>
      </c>
      <c r="AX245" t="str">
        <f>IF(AR245="WAIT","QQQ and SMH not aligned",IF(AV245="BULL",IF(AR245="SOXL","Bull regime; semiconductors leading","Bull regime; tech leading"),IF(AR245="SOXS","Bear regime; semiconductors weakest","Bear regime; tech weakest")))</f>
        <v>Bear regime; tech weakest</v>
      </c>
    </row>
    <row r="246" spans="1:50" x14ac:dyDescent="0.2">
      <c r="A246" s="12"/>
      <c r="B246" s="13"/>
      <c r="C246" s="13"/>
      <c r="D246" s="13"/>
      <c r="E246" s="13"/>
      <c r="F246" s="11" t="str">
        <f>IF(OR(E246="",E245=""),"",IF(E245=0,"",(E246/E245)-1))</f>
        <v/>
      </c>
      <c r="G246" s="13"/>
      <c r="H246" s="11" t="str">
        <f>IF(OR(G246="",G245=""),"",IF(G245=0,"",(G246/G245)-1))</f>
        <v/>
      </c>
      <c r="I246" s="13"/>
      <c r="J246" s="13"/>
      <c r="K246" s="13"/>
      <c r="L246" s="13"/>
      <c r="M246" s="23" t="str">
        <f>IF(OR(L246="",L245=""),"",IF(L245=0,"",(L246/L245)-1))</f>
        <v/>
      </c>
      <c r="N246" s="26" t="str">
        <f>IFERROR((M246/M245)-1,"")</f>
        <v/>
      </c>
      <c r="O246" s="23" t="str">
        <f>IF(OR(N246="",N245=""),"",IF(N245=0,"",(N246/N245)-1))</f>
        <v/>
      </c>
      <c r="P246" s="11" t="str">
        <f>IF(ROW()&lt;7,"",IF(OR(E246="",E243=""),"",IF(E243=0,"",(E246/E243)-1)))</f>
        <v/>
      </c>
      <c r="Q246" s="23" t="str">
        <f>IF(ROW()&lt;9,"",IF(OR(E246="",E241=""),"",IF(E241=0,"",(E246/E241)-1)))</f>
        <v/>
      </c>
      <c r="R246" s="23" t="str">
        <f>IF(ROW()&lt;7,"",IF(OR(G246="",G243=""),"",IF(G243=0,"",(G246/G243)-1)))</f>
        <v/>
      </c>
      <c r="S246" s="23" t="str">
        <f>IF(ROW()&lt;9,"",IF(OR(G246="",G241=""),"",IF(G241=0,"",(G246/G241)-1)))</f>
        <v/>
      </c>
      <c r="T246" s="23" t="str">
        <f>IF(ROW()&lt;7,"",IF(OR(L246="",L243=""),"",IF(L243=0,"",(L246/L243)-1)))</f>
        <v/>
      </c>
      <c r="U246" s="23" t="str">
        <f>IF(ROW()&lt;9,"",IF(OR(L246="",L241=""),"",IF(L241=0,"",(L246/L241)-1)))</f>
        <v/>
      </c>
      <c r="V246" s="23" t="str">
        <f>IF(ROW()&lt;7,"",IF(OR(N246="",N243=""),"",IF(N243=0,"",(N246/N243)-1)))</f>
        <v/>
      </c>
      <c r="W246" s="23" t="str">
        <f>IF(ROW()&lt;9,"",IF(OR(N246="",N241=""),"",IF(N241=0,"",(N246/N241)-1)))</f>
        <v/>
      </c>
      <c r="X246" s="23" t="str">
        <f>IF(OR(F246="",M246=""),"",F246-M246)</f>
        <v/>
      </c>
      <c r="Y246" s="23" t="str">
        <f>IF(OR(P246="",T246=""),"",P246-T246)</f>
        <v/>
      </c>
      <c r="Z246" s="23" t="str">
        <f>IF(OR(Q246="",U246=""),"",Q246-U246)</f>
        <v/>
      </c>
      <c r="AA246" s="23" t="str">
        <f>IF(OR(H246="",O246=""),"",H246-O246)</f>
        <v/>
      </c>
      <c r="AB246" s="23" t="str">
        <f>IF(OR(R246="",V246=""),"",R246-V246)</f>
        <v/>
      </c>
      <c r="AC246" s="23" t="str">
        <f>IF(OR(S246="",W246=""),"",S246-W246)</f>
        <v/>
      </c>
      <c r="AD246" s="13"/>
      <c r="AE246" s="23" t="str">
        <f>IF(OR(AD246="",AD245=""),"",IF(AD245=0,"",(AD246/AD245)-1))</f>
        <v/>
      </c>
      <c r="AF246" s="23" t="str">
        <f>IF(ROW()&lt;7,"",IF(OR(AD246="",AD243=""),"",IF(AD243=0,"",(AD246/AD243)-1)))</f>
        <v/>
      </c>
      <c r="AG246" s="23" t="str">
        <f>IF(ROW()&lt;9,"",IF(OR(AD246="",AD241=""),"",IF(AD241=0,"",(AD246/AD241)-1)))</f>
        <v/>
      </c>
      <c r="AH246" s="23" t="str">
        <f>IF(OR(AF246="",AG246=""),"",IF(AND(AF246&gt;0,AG246&gt;0),"Bull",IF(AND(AF246&lt;0,AG246&lt;0),"Bear","Mixed")))</f>
        <v/>
      </c>
      <c r="AI246" s="13"/>
      <c r="AJ246" s="13" t="str">
        <f>IF(OR(AI246="",AI245=""),"",IF(AI245=0,"",(AI246/AI245)-1))</f>
        <v/>
      </c>
      <c r="AK246" s="23" t="str">
        <f>IF(OR(AJ246="",AJ245=""),"",IF(AJ245=0,"",(AJ246/AJ245)-1))</f>
        <v/>
      </c>
      <c r="AL246" s="23" t="str">
        <f>IF(ROW()&lt;7,"",IF(OR(AJ246="",AJ243=""),"",IF(AJ243=0,"",(AJ246/AJ243)-1)))</f>
        <v/>
      </c>
      <c r="AM246" s="23" t="str">
        <f>IF(ROW()&lt;9,"",IF(OR(AJ246="",AJ241=""),"",IF(AJ241=0,"",(AJ246/AJ241)-1)))</f>
        <v/>
      </c>
      <c r="AN246" t="str">
        <f>IF(OR(AL246="",AM246=""),"",IF(AND(AL246&gt;0,AM246&gt;0),"Bull",IF(AND(AL246&lt;0,AM246&lt;0),"Bear","Mixed")))</f>
        <v/>
      </c>
      <c r="AO246" t="str">
        <f>IF(OR(AH246="",AN246=""),"",IF(AND(AH246="Bull",AN246="Bull"),"YES","NO"))</f>
        <v/>
      </c>
      <c r="AP246" t="str">
        <f>IF(OR(AH246="",AN246=""),"",IF(AND(AH246="Bear",AN246="Bear"),"YES","NO"))</f>
        <v/>
      </c>
      <c r="AQ246" t="str">
        <f>IF(AO246="YES",IF(SUM(N(X246),N(Y246),N(Z246))&gt;0,"SOXL","TQQQ"),IF(AP246="YES",IF(SUM(N(AA246),N(AB246),N(AC246))&gt;0,"SOXS","SQQQ"),"WAIT"))</f>
        <v>WAIT</v>
      </c>
      <c r="AR246" s="23" t="str">
        <f>IF(AO246="YES",IF(SUM(N(X246),N(Y246),N(Z246))&gt;0,"TQQQ","SOXL"),IF(AP246="YES",IF(SUM(N(AA246),N(AB246),N(AC246))&gt;0,"SQQQ","SOXS"),""))</f>
        <v/>
      </c>
      <c r="AS246" s="23" t="str">
        <f>IF(AQ246="WAIT","",IF(AR246="",1,0.6))</f>
        <v/>
      </c>
      <c r="AT246" s="23">
        <f>IF(AR246="",0,0.4)</f>
        <v>0</v>
      </c>
      <c r="AU246" s="23" t="str">
        <f>IF(AQ246="WAIT","WAIT",IF(AO246="YES","BULL",IF(AP246="YES","BEAR","WAIT")))</f>
        <v>WAIT</v>
      </c>
      <c r="AV246" t="str">
        <f>IF(AQ246="WAIT","Low",IF(OR(AND(AU246="BULL",ABS(SUM(N(X246),N(Y246),N(Z246)))&gt;=0.15),AND(AU246="BEAR",ABS(SUM(N(AA246),N(AB246),N(AC246)))&gt;=0.15)),"Strong",IF(OR(AND(AU246="BULL",ABS(SUM(N(X246),N(Y246),N(Z246)))&gt;=0.05),AND(AU246="BEAR",ABS(SUM(N(AA246),N(AB246),N(AC246)))&gt;=0.05)),"Moderate","Low")))</f>
        <v>Low</v>
      </c>
      <c r="AW246" t="str">
        <f>IF(AQ246="WAIT","QQQ and SMH not aligned",IF(AU246="BULL",IF(AQ246="SOXL","Bull regime; semiconductors leading","Bull regime; tech leading"),IF(AQ246="SOXS","Bear regime; semiconductors weakest","Bear regime; tech weakest")))</f>
        <v>QQQ and SMH not aligned</v>
      </c>
      <c r="AX246" t="str">
        <f>IF(AR246="WAIT","QQQ and SMH not aligned",IF(AV246="BULL",IF(AR246="SOXL","Bull regime; semiconductors leading","Bull regime; tech leading"),IF(AR246="SOXS","Bear regime; semiconductors weakest","Bear regime; tech weakest")))</f>
        <v>Bear regime; tech weakest</v>
      </c>
    </row>
    <row r="247" spans="1:50" x14ac:dyDescent="0.2">
      <c r="A247" s="12"/>
      <c r="B247" s="13"/>
      <c r="C247" s="13"/>
      <c r="D247" s="13"/>
      <c r="E247" s="13"/>
      <c r="F247" s="11" t="str">
        <f>IF(OR(E247="",E246=""),"",IF(E246=0,"",(E247/E246)-1))</f>
        <v/>
      </c>
      <c r="G247" s="13"/>
      <c r="H247" s="11" t="str">
        <f>IF(OR(G247="",G246=""),"",IF(G246=0,"",(G247/G246)-1))</f>
        <v/>
      </c>
      <c r="I247" s="13"/>
      <c r="J247" s="13"/>
      <c r="K247" s="13"/>
      <c r="L247" s="13"/>
      <c r="M247" s="23" t="str">
        <f>IF(OR(L247="",L246=""),"",IF(L246=0,"",(L247/L246)-1))</f>
        <v/>
      </c>
      <c r="N247" s="26" t="str">
        <f>IFERROR((M247/M246)-1,"")</f>
        <v/>
      </c>
      <c r="O247" s="23" t="str">
        <f>IF(OR(N247="",N246=""),"",IF(N246=0,"",(N247/N246)-1))</f>
        <v/>
      </c>
      <c r="P247" s="11" t="str">
        <f>IF(ROW()&lt;7,"",IF(OR(E247="",E244=""),"",IF(E244=0,"",(E247/E244)-1)))</f>
        <v/>
      </c>
      <c r="Q247" s="23" t="str">
        <f>IF(ROW()&lt;9,"",IF(OR(E247="",E242=""),"",IF(E242=0,"",(E247/E242)-1)))</f>
        <v/>
      </c>
      <c r="R247" s="23" t="str">
        <f>IF(ROW()&lt;7,"",IF(OR(G247="",G244=""),"",IF(G244=0,"",(G247/G244)-1)))</f>
        <v/>
      </c>
      <c r="S247" s="23" t="str">
        <f>IF(ROW()&lt;9,"",IF(OR(G247="",G242=""),"",IF(G242=0,"",(G247/G242)-1)))</f>
        <v/>
      </c>
      <c r="T247" s="23" t="str">
        <f>IF(ROW()&lt;7,"",IF(OR(L247="",L244=""),"",IF(L244=0,"",(L247/L244)-1)))</f>
        <v/>
      </c>
      <c r="U247" s="23" t="str">
        <f>IF(ROW()&lt;9,"",IF(OR(L247="",L242=""),"",IF(L242=0,"",(L247/L242)-1)))</f>
        <v/>
      </c>
      <c r="V247" s="23" t="str">
        <f>IF(ROW()&lt;7,"",IF(OR(N247="",N244=""),"",IF(N244=0,"",(N247/N244)-1)))</f>
        <v/>
      </c>
      <c r="W247" s="23" t="str">
        <f>IF(ROW()&lt;9,"",IF(OR(N247="",N242=""),"",IF(N242=0,"",(N247/N242)-1)))</f>
        <v/>
      </c>
      <c r="X247" s="23" t="str">
        <f>IF(OR(F247="",M247=""),"",F247-M247)</f>
        <v/>
      </c>
      <c r="Y247" s="23" t="str">
        <f>IF(OR(P247="",T247=""),"",P247-T247)</f>
        <v/>
      </c>
      <c r="Z247" s="23" t="str">
        <f>IF(OR(Q247="",U247=""),"",Q247-U247)</f>
        <v/>
      </c>
      <c r="AA247" s="23" t="str">
        <f>IF(OR(H247="",O247=""),"",H247-O247)</f>
        <v/>
      </c>
      <c r="AB247" s="23" t="str">
        <f>IF(OR(R247="",V247=""),"",R247-V247)</f>
        <v/>
      </c>
      <c r="AC247" s="23" t="str">
        <f>IF(OR(S247="",W247=""),"",S247-W247)</f>
        <v/>
      </c>
      <c r="AD247" s="13"/>
      <c r="AE247" s="23" t="str">
        <f>IF(OR(AD247="",AD246=""),"",IF(AD246=0,"",(AD247/AD246)-1))</f>
        <v/>
      </c>
      <c r="AF247" s="23" t="str">
        <f>IF(ROW()&lt;7,"",IF(OR(AD247="",AD244=""),"",IF(AD244=0,"",(AD247/AD244)-1)))</f>
        <v/>
      </c>
      <c r="AG247" s="23" t="str">
        <f>IF(ROW()&lt;9,"",IF(OR(AD247="",AD242=""),"",IF(AD242=0,"",(AD247/AD242)-1)))</f>
        <v/>
      </c>
      <c r="AH247" s="23" t="str">
        <f>IF(OR(AF247="",AG247=""),"",IF(AND(AF247&gt;0,AG247&gt;0),"Bull",IF(AND(AF247&lt;0,AG247&lt;0),"Bear","Mixed")))</f>
        <v/>
      </c>
      <c r="AI247" s="13"/>
      <c r="AJ247" s="13" t="str">
        <f>IF(OR(AI247="",AI246=""),"",IF(AI246=0,"",(AI247/AI246)-1))</f>
        <v/>
      </c>
      <c r="AK247" s="23" t="str">
        <f>IF(OR(AJ247="",AJ246=""),"",IF(AJ246=0,"",(AJ247/AJ246)-1))</f>
        <v/>
      </c>
      <c r="AL247" s="23" t="str">
        <f>IF(ROW()&lt;7,"",IF(OR(AJ247="",AJ244=""),"",IF(AJ244=0,"",(AJ247/AJ244)-1)))</f>
        <v/>
      </c>
      <c r="AM247" s="23" t="str">
        <f>IF(ROW()&lt;9,"",IF(OR(AJ247="",AJ242=""),"",IF(AJ242=0,"",(AJ247/AJ242)-1)))</f>
        <v/>
      </c>
      <c r="AN247" t="str">
        <f>IF(OR(AL247="",AM247=""),"",IF(AND(AL247&gt;0,AM247&gt;0),"Bull",IF(AND(AL247&lt;0,AM247&lt;0),"Bear","Mixed")))</f>
        <v/>
      </c>
      <c r="AO247" t="str">
        <f>IF(OR(AH247="",AN247=""),"",IF(AND(AH247="Bull",AN247="Bull"),"YES","NO"))</f>
        <v/>
      </c>
      <c r="AP247" t="str">
        <f>IF(OR(AH247="",AN247=""),"",IF(AND(AH247="Bear",AN247="Bear"),"YES","NO"))</f>
        <v/>
      </c>
      <c r="AQ247" t="str">
        <f>IF(AO247="YES",IF(SUM(N(X247),N(Y247),N(Z247))&gt;0,"SOXL","TQQQ"),IF(AP247="YES",IF(SUM(N(AA247),N(AB247),N(AC247))&gt;0,"SOXS","SQQQ"),"WAIT"))</f>
        <v>WAIT</v>
      </c>
      <c r="AR247" s="23" t="str">
        <f>IF(AO247="YES",IF(SUM(N(X247),N(Y247),N(Z247))&gt;0,"TQQQ","SOXL"),IF(AP247="YES",IF(SUM(N(AA247),N(AB247),N(AC247))&gt;0,"SQQQ","SOXS"),""))</f>
        <v/>
      </c>
      <c r="AS247" s="23" t="str">
        <f>IF(AQ247="WAIT","",IF(AR247="",1,0.6))</f>
        <v/>
      </c>
      <c r="AT247" s="23">
        <f>IF(AR247="",0,0.4)</f>
        <v>0</v>
      </c>
      <c r="AU247" s="23" t="str">
        <f>IF(AQ247="WAIT","WAIT",IF(AO247="YES","BULL",IF(AP247="YES","BEAR","WAIT")))</f>
        <v>WAIT</v>
      </c>
      <c r="AV247" t="str">
        <f>IF(AQ247="WAIT","Low",IF(OR(AND(AU247="BULL",ABS(SUM(N(X247),N(Y247),N(Z247)))&gt;=0.15),AND(AU247="BEAR",ABS(SUM(N(AA247),N(AB247),N(AC247)))&gt;=0.15)),"Strong",IF(OR(AND(AU247="BULL",ABS(SUM(N(X247),N(Y247),N(Z247)))&gt;=0.05),AND(AU247="BEAR",ABS(SUM(N(AA247),N(AB247),N(AC247)))&gt;=0.05)),"Moderate","Low")))</f>
        <v>Low</v>
      </c>
      <c r="AW247" t="str">
        <f>IF(AQ247="WAIT","QQQ and SMH not aligned",IF(AU247="BULL",IF(AQ247="SOXL","Bull regime; semiconductors leading","Bull regime; tech leading"),IF(AQ247="SOXS","Bear regime; semiconductors weakest","Bear regime; tech weakest")))</f>
        <v>QQQ and SMH not aligned</v>
      </c>
      <c r="AX247" t="str">
        <f>IF(AR247="WAIT","QQQ and SMH not aligned",IF(AV247="BULL",IF(AR247="SOXL","Bull regime; semiconductors leading","Bull regime; tech leading"),IF(AR247="SOXS","Bear regime; semiconductors weakest","Bear regime; tech weakest")))</f>
        <v>Bear regime; tech weakest</v>
      </c>
    </row>
    <row r="248" spans="1:50" x14ac:dyDescent="0.2">
      <c r="A248" s="12"/>
      <c r="B248" s="13"/>
      <c r="C248" s="13"/>
      <c r="D248" s="13"/>
      <c r="E248" s="13"/>
      <c r="F248" s="11" t="str">
        <f>IF(OR(E248="",E247=""),"",IF(E247=0,"",(E248/E247)-1))</f>
        <v/>
      </c>
      <c r="G248" s="13"/>
      <c r="H248" s="11" t="str">
        <f>IF(OR(G248="",G247=""),"",IF(G247=0,"",(G248/G247)-1))</f>
        <v/>
      </c>
      <c r="I248" s="13"/>
      <c r="J248" s="13"/>
      <c r="K248" s="13"/>
      <c r="L248" s="13"/>
      <c r="M248" s="23" t="str">
        <f>IF(OR(L248="",L247=""),"",IF(L247=0,"",(L248/L247)-1))</f>
        <v/>
      </c>
      <c r="N248" s="26" t="str">
        <f>IFERROR((M248/M247)-1,"")</f>
        <v/>
      </c>
      <c r="O248" s="23" t="str">
        <f>IF(OR(N248="",N247=""),"",IF(N247=0,"",(N248/N247)-1))</f>
        <v/>
      </c>
      <c r="P248" s="11" t="str">
        <f>IF(ROW()&lt;7,"",IF(OR(E248="",E245=""),"",IF(E245=0,"",(E248/E245)-1)))</f>
        <v/>
      </c>
      <c r="Q248" s="23" t="str">
        <f>IF(ROW()&lt;9,"",IF(OR(E248="",E243=""),"",IF(E243=0,"",(E248/E243)-1)))</f>
        <v/>
      </c>
      <c r="R248" s="23" t="str">
        <f>IF(ROW()&lt;7,"",IF(OR(G248="",G245=""),"",IF(G245=0,"",(G248/G245)-1)))</f>
        <v/>
      </c>
      <c r="S248" s="23" t="str">
        <f>IF(ROW()&lt;9,"",IF(OR(G248="",G243=""),"",IF(G243=0,"",(G248/G243)-1)))</f>
        <v/>
      </c>
      <c r="T248" s="23" t="str">
        <f>IF(ROW()&lt;7,"",IF(OR(L248="",L245=""),"",IF(L245=0,"",(L248/L245)-1)))</f>
        <v/>
      </c>
      <c r="U248" s="23" t="str">
        <f>IF(ROW()&lt;9,"",IF(OR(L248="",L243=""),"",IF(L243=0,"",(L248/L243)-1)))</f>
        <v/>
      </c>
      <c r="V248" s="23" t="str">
        <f>IF(ROW()&lt;7,"",IF(OR(N248="",N245=""),"",IF(N245=0,"",(N248/N245)-1)))</f>
        <v/>
      </c>
      <c r="W248" s="23" t="str">
        <f>IF(ROW()&lt;9,"",IF(OR(N248="",N243=""),"",IF(N243=0,"",(N248/N243)-1)))</f>
        <v/>
      </c>
      <c r="X248" s="23" t="str">
        <f>IF(OR(F248="",M248=""),"",F248-M248)</f>
        <v/>
      </c>
      <c r="Y248" s="23" t="str">
        <f>IF(OR(P248="",T248=""),"",P248-T248)</f>
        <v/>
      </c>
      <c r="Z248" s="23" t="str">
        <f>IF(OR(Q248="",U248=""),"",Q248-U248)</f>
        <v/>
      </c>
      <c r="AA248" s="23" t="str">
        <f>IF(OR(H248="",O248=""),"",H248-O248)</f>
        <v/>
      </c>
      <c r="AB248" s="23" t="str">
        <f>IF(OR(R248="",V248=""),"",R248-V248)</f>
        <v/>
      </c>
      <c r="AC248" s="23" t="str">
        <f>IF(OR(S248="",W248=""),"",S248-W248)</f>
        <v/>
      </c>
      <c r="AD248" s="13"/>
      <c r="AE248" s="23" t="str">
        <f>IF(OR(AD248="",AD247=""),"",IF(AD247=0,"",(AD248/AD247)-1))</f>
        <v/>
      </c>
      <c r="AF248" s="23" t="str">
        <f>IF(ROW()&lt;7,"",IF(OR(AD248="",AD245=""),"",IF(AD245=0,"",(AD248/AD245)-1)))</f>
        <v/>
      </c>
      <c r="AG248" s="23" t="str">
        <f>IF(ROW()&lt;9,"",IF(OR(AD248="",AD243=""),"",IF(AD243=0,"",(AD248/AD243)-1)))</f>
        <v/>
      </c>
      <c r="AH248" s="23" t="str">
        <f>IF(OR(AF248="",AG248=""),"",IF(AND(AF248&gt;0,AG248&gt;0),"Bull",IF(AND(AF248&lt;0,AG248&lt;0),"Bear","Mixed")))</f>
        <v/>
      </c>
      <c r="AI248" s="13"/>
      <c r="AJ248" s="13" t="str">
        <f>IF(OR(AI248="",AI247=""),"",IF(AI247=0,"",(AI248/AI247)-1))</f>
        <v/>
      </c>
      <c r="AK248" s="23" t="str">
        <f>IF(OR(AJ248="",AJ247=""),"",IF(AJ247=0,"",(AJ248/AJ247)-1))</f>
        <v/>
      </c>
      <c r="AL248" s="23" t="str">
        <f>IF(ROW()&lt;7,"",IF(OR(AJ248="",AJ245=""),"",IF(AJ245=0,"",(AJ248/AJ245)-1)))</f>
        <v/>
      </c>
      <c r="AM248" s="23" t="str">
        <f>IF(ROW()&lt;9,"",IF(OR(AJ248="",AJ243=""),"",IF(AJ243=0,"",(AJ248/AJ243)-1)))</f>
        <v/>
      </c>
      <c r="AN248" t="str">
        <f>IF(OR(AL248="",AM248=""),"",IF(AND(AL248&gt;0,AM248&gt;0),"Bull",IF(AND(AL248&lt;0,AM248&lt;0),"Bear","Mixed")))</f>
        <v/>
      </c>
      <c r="AO248" t="str">
        <f>IF(OR(AH248="",AN248=""),"",IF(AND(AH248="Bull",AN248="Bull"),"YES","NO"))</f>
        <v/>
      </c>
      <c r="AP248" t="str">
        <f>IF(OR(AH248="",AN248=""),"",IF(AND(AH248="Bear",AN248="Bear"),"YES","NO"))</f>
        <v/>
      </c>
      <c r="AQ248" t="str">
        <f>IF(AO248="YES",IF(SUM(N(X248),N(Y248),N(Z248))&gt;0,"SOXL","TQQQ"),IF(AP248="YES",IF(SUM(N(AA248),N(AB248),N(AC248))&gt;0,"SOXS","SQQQ"),"WAIT"))</f>
        <v>WAIT</v>
      </c>
      <c r="AR248" s="23" t="str">
        <f>IF(AO248="YES",IF(SUM(N(X248),N(Y248),N(Z248))&gt;0,"TQQQ","SOXL"),IF(AP248="YES",IF(SUM(N(AA248),N(AB248),N(AC248))&gt;0,"SQQQ","SOXS"),""))</f>
        <v/>
      </c>
      <c r="AS248" s="23" t="str">
        <f>IF(AQ248="WAIT","",IF(AR248="",1,0.6))</f>
        <v/>
      </c>
      <c r="AT248" s="23">
        <f>IF(AR248="",0,0.4)</f>
        <v>0</v>
      </c>
      <c r="AU248" s="23" t="str">
        <f>IF(AQ248="WAIT","WAIT",IF(AO248="YES","BULL",IF(AP248="YES","BEAR","WAIT")))</f>
        <v>WAIT</v>
      </c>
      <c r="AV248" t="str">
        <f>IF(AQ248="WAIT","Low",IF(OR(AND(AU248="BULL",ABS(SUM(N(X248),N(Y248),N(Z248)))&gt;=0.15),AND(AU248="BEAR",ABS(SUM(N(AA248),N(AB248),N(AC248)))&gt;=0.15)),"Strong",IF(OR(AND(AU248="BULL",ABS(SUM(N(X248),N(Y248),N(Z248)))&gt;=0.05),AND(AU248="BEAR",ABS(SUM(N(AA248),N(AB248),N(AC248)))&gt;=0.05)),"Moderate","Low")))</f>
        <v>Low</v>
      </c>
      <c r="AW248" t="str">
        <f>IF(AQ248="WAIT","QQQ and SMH not aligned",IF(AU248="BULL",IF(AQ248="SOXL","Bull regime; semiconductors leading","Bull regime; tech leading"),IF(AQ248="SOXS","Bear regime; semiconductors weakest","Bear regime; tech weakest")))</f>
        <v>QQQ and SMH not aligned</v>
      </c>
      <c r="AX248" t="str">
        <f>IF(AR248="WAIT","QQQ and SMH not aligned",IF(AV248="BULL",IF(AR248="SOXL","Bull regime; semiconductors leading","Bull regime; tech leading"),IF(AR248="SOXS","Bear regime; semiconductors weakest","Bear regime; tech weakest")))</f>
        <v>Bear regime; tech weakest</v>
      </c>
    </row>
    <row r="249" spans="1:50" x14ac:dyDescent="0.2">
      <c r="A249" s="12"/>
      <c r="B249" s="13"/>
      <c r="C249" s="13"/>
      <c r="D249" s="13"/>
      <c r="E249" s="13"/>
      <c r="F249" s="11" t="str">
        <f>IF(OR(E249="",E248=""),"",IF(E248=0,"",(E249/E248)-1))</f>
        <v/>
      </c>
      <c r="G249" s="13"/>
      <c r="H249" s="11" t="str">
        <f>IF(OR(G249="",G248=""),"",IF(G248=0,"",(G249/G248)-1))</f>
        <v/>
      </c>
      <c r="I249" s="13"/>
      <c r="J249" s="13"/>
      <c r="K249" s="13"/>
      <c r="L249" s="13"/>
      <c r="M249" s="23" t="str">
        <f>IF(OR(L249="",L248=""),"",IF(L248=0,"",(L249/L248)-1))</f>
        <v/>
      </c>
      <c r="N249" s="26" t="str">
        <f>IFERROR((M249/M248)-1,"")</f>
        <v/>
      </c>
      <c r="O249" s="23" t="str">
        <f>IF(OR(N249="",N248=""),"",IF(N248=0,"",(N249/N248)-1))</f>
        <v/>
      </c>
      <c r="P249" s="11" t="str">
        <f>IF(ROW()&lt;7,"",IF(OR(E249="",E246=""),"",IF(E246=0,"",(E249/E246)-1)))</f>
        <v/>
      </c>
      <c r="Q249" s="23" t="str">
        <f>IF(ROW()&lt;9,"",IF(OR(E249="",E244=""),"",IF(E244=0,"",(E249/E244)-1)))</f>
        <v/>
      </c>
      <c r="R249" s="23" t="str">
        <f>IF(ROW()&lt;7,"",IF(OR(G249="",G246=""),"",IF(G246=0,"",(G249/G246)-1)))</f>
        <v/>
      </c>
      <c r="S249" s="23" t="str">
        <f>IF(ROW()&lt;9,"",IF(OR(G249="",G244=""),"",IF(G244=0,"",(G249/G244)-1)))</f>
        <v/>
      </c>
      <c r="T249" s="23" t="str">
        <f>IF(ROW()&lt;7,"",IF(OR(L249="",L246=""),"",IF(L246=0,"",(L249/L246)-1)))</f>
        <v/>
      </c>
      <c r="U249" s="23" t="str">
        <f>IF(ROW()&lt;9,"",IF(OR(L249="",L244=""),"",IF(L244=0,"",(L249/L244)-1)))</f>
        <v/>
      </c>
      <c r="V249" s="23" t="str">
        <f>IF(ROW()&lt;7,"",IF(OR(N249="",N246=""),"",IF(N246=0,"",(N249/N246)-1)))</f>
        <v/>
      </c>
      <c r="W249" s="23" t="str">
        <f>IF(ROW()&lt;9,"",IF(OR(N249="",N244=""),"",IF(N244=0,"",(N249/N244)-1)))</f>
        <v/>
      </c>
      <c r="X249" s="23" t="str">
        <f>IF(OR(F249="",M249=""),"",F249-M249)</f>
        <v/>
      </c>
      <c r="Y249" s="23" t="str">
        <f>IF(OR(P249="",T249=""),"",P249-T249)</f>
        <v/>
      </c>
      <c r="Z249" s="23" t="str">
        <f>IF(OR(Q249="",U249=""),"",Q249-U249)</f>
        <v/>
      </c>
      <c r="AA249" s="23" t="str">
        <f>IF(OR(H249="",O249=""),"",H249-O249)</f>
        <v/>
      </c>
      <c r="AB249" s="23" t="str">
        <f>IF(OR(R249="",V249=""),"",R249-V249)</f>
        <v/>
      </c>
      <c r="AC249" s="23" t="str">
        <f>IF(OR(S249="",W249=""),"",S249-W249)</f>
        <v/>
      </c>
      <c r="AD249" s="13"/>
      <c r="AE249" s="23" t="str">
        <f>IF(OR(AD249="",AD248=""),"",IF(AD248=0,"",(AD249/AD248)-1))</f>
        <v/>
      </c>
      <c r="AF249" s="23" t="str">
        <f>IF(ROW()&lt;7,"",IF(OR(AD249="",AD246=""),"",IF(AD246=0,"",(AD249/AD246)-1)))</f>
        <v/>
      </c>
      <c r="AG249" s="23" t="str">
        <f>IF(ROW()&lt;9,"",IF(OR(AD249="",AD244=""),"",IF(AD244=0,"",(AD249/AD244)-1)))</f>
        <v/>
      </c>
      <c r="AH249" s="23" t="str">
        <f>IF(OR(AF249="",AG249=""),"",IF(AND(AF249&gt;0,AG249&gt;0),"Bull",IF(AND(AF249&lt;0,AG249&lt;0),"Bear","Mixed")))</f>
        <v/>
      </c>
      <c r="AI249" s="13"/>
      <c r="AJ249" s="13" t="str">
        <f>IF(OR(AI249="",AI248=""),"",IF(AI248=0,"",(AI249/AI248)-1))</f>
        <v/>
      </c>
      <c r="AK249" s="23" t="str">
        <f>IF(OR(AJ249="",AJ248=""),"",IF(AJ248=0,"",(AJ249/AJ248)-1))</f>
        <v/>
      </c>
      <c r="AL249" s="23" t="str">
        <f>IF(ROW()&lt;7,"",IF(OR(AJ249="",AJ246=""),"",IF(AJ246=0,"",(AJ249/AJ246)-1)))</f>
        <v/>
      </c>
      <c r="AM249" s="23" t="str">
        <f>IF(ROW()&lt;9,"",IF(OR(AJ249="",AJ244=""),"",IF(AJ244=0,"",(AJ249/AJ244)-1)))</f>
        <v/>
      </c>
      <c r="AN249" t="str">
        <f>IF(OR(AL249="",AM249=""),"",IF(AND(AL249&gt;0,AM249&gt;0),"Bull",IF(AND(AL249&lt;0,AM249&lt;0),"Bear","Mixed")))</f>
        <v/>
      </c>
      <c r="AO249" t="str">
        <f>IF(OR(AH249="",AN249=""),"",IF(AND(AH249="Bull",AN249="Bull"),"YES","NO"))</f>
        <v/>
      </c>
      <c r="AP249" t="str">
        <f>IF(OR(AH249="",AN249=""),"",IF(AND(AH249="Bear",AN249="Bear"),"YES","NO"))</f>
        <v/>
      </c>
      <c r="AQ249" t="str">
        <f>IF(AO249="YES",IF(SUM(N(X249),N(Y249),N(Z249))&gt;0,"SOXL","TQQQ"),IF(AP249="YES",IF(SUM(N(AA249),N(AB249),N(AC249))&gt;0,"SOXS","SQQQ"),"WAIT"))</f>
        <v>WAIT</v>
      </c>
      <c r="AR249" s="23" t="str">
        <f>IF(AO249="YES",IF(SUM(N(X249),N(Y249),N(Z249))&gt;0,"TQQQ","SOXL"),IF(AP249="YES",IF(SUM(N(AA249),N(AB249),N(AC249))&gt;0,"SQQQ","SOXS"),""))</f>
        <v/>
      </c>
      <c r="AS249" s="23" t="str">
        <f>IF(AQ249="WAIT","",IF(AR249="",1,0.6))</f>
        <v/>
      </c>
      <c r="AT249" s="23">
        <f>IF(AR249="",0,0.4)</f>
        <v>0</v>
      </c>
      <c r="AU249" s="23" t="str">
        <f>IF(AQ249="WAIT","WAIT",IF(AO249="YES","BULL",IF(AP249="YES","BEAR","WAIT")))</f>
        <v>WAIT</v>
      </c>
      <c r="AV249" t="str">
        <f>IF(AQ249="WAIT","Low",IF(OR(AND(AU249="BULL",ABS(SUM(N(X249),N(Y249),N(Z249)))&gt;=0.15),AND(AU249="BEAR",ABS(SUM(N(AA249),N(AB249),N(AC249)))&gt;=0.15)),"Strong",IF(OR(AND(AU249="BULL",ABS(SUM(N(X249),N(Y249),N(Z249)))&gt;=0.05),AND(AU249="BEAR",ABS(SUM(N(AA249),N(AB249),N(AC249)))&gt;=0.05)),"Moderate","Low")))</f>
        <v>Low</v>
      </c>
      <c r="AW249" t="str">
        <f>IF(AQ249="WAIT","QQQ and SMH not aligned",IF(AU249="BULL",IF(AQ249="SOXL","Bull regime; semiconductors leading","Bull regime; tech leading"),IF(AQ249="SOXS","Bear regime; semiconductors weakest","Bear regime; tech weakest")))</f>
        <v>QQQ and SMH not aligned</v>
      </c>
      <c r="AX249" t="str">
        <f>IF(AR249="WAIT","QQQ and SMH not aligned",IF(AV249="BULL",IF(AR249="SOXL","Bull regime; semiconductors leading","Bull regime; tech leading"),IF(AR249="SOXS","Bear regime; semiconductors weakest","Bear regime; tech weakest")))</f>
        <v>Bear regime; tech weakest</v>
      </c>
    </row>
    <row r="250" spans="1:50" x14ac:dyDescent="0.2">
      <c r="A250" s="12"/>
      <c r="B250" s="13"/>
      <c r="C250" s="13"/>
      <c r="D250" s="13"/>
      <c r="E250" s="13"/>
      <c r="F250" s="11" t="str">
        <f>IF(OR(E250="",E249=""),"",IF(E249=0,"",(E250/E249)-1))</f>
        <v/>
      </c>
      <c r="G250" s="13"/>
      <c r="H250" s="11" t="str">
        <f>IF(OR(G250="",G249=""),"",IF(G249=0,"",(G250/G249)-1))</f>
        <v/>
      </c>
      <c r="I250" s="13"/>
      <c r="J250" s="13"/>
      <c r="K250" s="13"/>
      <c r="L250" s="13"/>
      <c r="M250" s="23" t="str">
        <f>IF(OR(L250="",L249=""),"",IF(L249=0,"",(L250/L249)-1))</f>
        <v/>
      </c>
      <c r="N250" s="26" t="str">
        <f>IFERROR((M250/M249)-1,"")</f>
        <v/>
      </c>
      <c r="O250" s="23" t="str">
        <f>IF(OR(N250="",N249=""),"",IF(N249=0,"",(N250/N249)-1))</f>
        <v/>
      </c>
      <c r="P250" s="11" t="str">
        <f>IF(ROW()&lt;7,"",IF(OR(E250="",E247=""),"",IF(E247=0,"",(E250/E247)-1)))</f>
        <v/>
      </c>
      <c r="Q250" s="23" t="str">
        <f>IF(ROW()&lt;9,"",IF(OR(E250="",E245=""),"",IF(E245=0,"",(E250/E245)-1)))</f>
        <v/>
      </c>
      <c r="R250" s="23" t="str">
        <f>IF(ROW()&lt;7,"",IF(OR(G250="",G247=""),"",IF(G247=0,"",(G250/G247)-1)))</f>
        <v/>
      </c>
      <c r="S250" s="23" t="str">
        <f>IF(ROW()&lt;9,"",IF(OR(G250="",G245=""),"",IF(G245=0,"",(G250/G245)-1)))</f>
        <v/>
      </c>
      <c r="T250" s="23" t="str">
        <f>IF(ROW()&lt;7,"",IF(OR(L250="",L247=""),"",IF(L247=0,"",(L250/L247)-1)))</f>
        <v/>
      </c>
      <c r="U250" s="23" t="str">
        <f>IF(ROW()&lt;9,"",IF(OR(L250="",L245=""),"",IF(L245=0,"",(L250/L245)-1)))</f>
        <v/>
      </c>
      <c r="V250" s="23" t="str">
        <f>IF(ROW()&lt;7,"",IF(OR(N250="",N247=""),"",IF(N247=0,"",(N250/N247)-1)))</f>
        <v/>
      </c>
      <c r="W250" s="23" t="str">
        <f>IF(ROW()&lt;9,"",IF(OR(N250="",N245=""),"",IF(N245=0,"",(N250/N245)-1)))</f>
        <v/>
      </c>
      <c r="X250" s="23" t="str">
        <f>IF(OR(F250="",M250=""),"",F250-M250)</f>
        <v/>
      </c>
      <c r="Y250" s="23" t="str">
        <f>IF(OR(P250="",T250=""),"",P250-T250)</f>
        <v/>
      </c>
      <c r="Z250" s="23" t="str">
        <f>IF(OR(Q250="",U250=""),"",Q250-U250)</f>
        <v/>
      </c>
      <c r="AA250" s="23" t="str">
        <f>IF(OR(H250="",O250=""),"",H250-O250)</f>
        <v/>
      </c>
      <c r="AB250" s="23" t="str">
        <f>IF(OR(R250="",V250=""),"",R250-V250)</f>
        <v/>
      </c>
      <c r="AC250" s="23" t="str">
        <f>IF(OR(S250="",W250=""),"",S250-W250)</f>
        <v/>
      </c>
      <c r="AD250" s="13"/>
      <c r="AE250" s="23" t="str">
        <f>IF(OR(AD250="",AD249=""),"",IF(AD249=0,"",(AD250/AD249)-1))</f>
        <v/>
      </c>
      <c r="AF250" s="23" t="str">
        <f>IF(ROW()&lt;7,"",IF(OR(AD250="",AD247=""),"",IF(AD247=0,"",(AD250/AD247)-1)))</f>
        <v/>
      </c>
      <c r="AG250" s="23" t="str">
        <f>IF(ROW()&lt;9,"",IF(OR(AD250="",AD245=""),"",IF(AD245=0,"",(AD250/AD245)-1)))</f>
        <v/>
      </c>
      <c r="AH250" s="23" t="str">
        <f>IF(OR(AF250="",AG250=""),"",IF(AND(AF250&gt;0,AG250&gt;0),"Bull",IF(AND(AF250&lt;0,AG250&lt;0),"Bear","Mixed")))</f>
        <v/>
      </c>
      <c r="AI250" s="13"/>
      <c r="AJ250" s="13" t="str">
        <f>IF(OR(AI250="",AI249=""),"",IF(AI249=0,"",(AI250/AI249)-1))</f>
        <v/>
      </c>
      <c r="AK250" s="23" t="str">
        <f>IF(OR(AJ250="",AJ249=""),"",IF(AJ249=0,"",(AJ250/AJ249)-1))</f>
        <v/>
      </c>
      <c r="AL250" s="23" t="str">
        <f>IF(ROW()&lt;7,"",IF(OR(AJ250="",AJ247=""),"",IF(AJ247=0,"",(AJ250/AJ247)-1)))</f>
        <v/>
      </c>
      <c r="AM250" s="23" t="str">
        <f>IF(ROW()&lt;9,"",IF(OR(AJ250="",AJ245=""),"",IF(AJ245=0,"",(AJ250/AJ245)-1)))</f>
        <v/>
      </c>
      <c r="AN250" t="str">
        <f>IF(OR(AL250="",AM250=""),"",IF(AND(AL250&gt;0,AM250&gt;0),"Bull",IF(AND(AL250&lt;0,AM250&lt;0),"Bear","Mixed")))</f>
        <v/>
      </c>
      <c r="AO250" t="str">
        <f>IF(OR(AH250="",AN250=""),"",IF(AND(AH250="Bull",AN250="Bull"),"YES","NO"))</f>
        <v/>
      </c>
      <c r="AP250" t="str">
        <f>IF(OR(AH250="",AN250=""),"",IF(AND(AH250="Bear",AN250="Bear"),"YES","NO"))</f>
        <v/>
      </c>
      <c r="AQ250" t="str">
        <f>IF(AO250="YES",IF(SUM(N(X250),N(Y250),N(Z250))&gt;0,"SOXL","TQQQ"),IF(AP250="YES",IF(SUM(N(AA250),N(AB250),N(AC250))&gt;0,"SOXS","SQQQ"),"WAIT"))</f>
        <v>WAIT</v>
      </c>
      <c r="AR250" s="23" t="str">
        <f>IF(AO250="YES",IF(SUM(N(X250),N(Y250),N(Z250))&gt;0,"TQQQ","SOXL"),IF(AP250="YES",IF(SUM(N(AA250),N(AB250),N(AC250))&gt;0,"SQQQ","SOXS"),""))</f>
        <v/>
      </c>
      <c r="AS250" s="23" t="str">
        <f>IF(AQ250="WAIT","",IF(AR250="",1,0.6))</f>
        <v/>
      </c>
      <c r="AT250" s="23">
        <f>IF(AR250="",0,0.4)</f>
        <v>0</v>
      </c>
      <c r="AU250" s="23" t="str">
        <f>IF(AQ250="WAIT","WAIT",IF(AO250="YES","BULL",IF(AP250="YES","BEAR","WAIT")))</f>
        <v>WAIT</v>
      </c>
      <c r="AV250" t="str">
        <f>IF(AQ250="WAIT","Low",IF(OR(AND(AU250="BULL",ABS(SUM(N(X250),N(Y250),N(Z250)))&gt;=0.15),AND(AU250="BEAR",ABS(SUM(N(AA250),N(AB250),N(AC250)))&gt;=0.15)),"Strong",IF(OR(AND(AU250="BULL",ABS(SUM(N(X250),N(Y250),N(Z250)))&gt;=0.05),AND(AU250="BEAR",ABS(SUM(N(AA250),N(AB250),N(AC250)))&gt;=0.05)),"Moderate","Low")))</f>
        <v>Low</v>
      </c>
      <c r="AW250" t="str">
        <f>IF(AQ250="WAIT","QQQ and SMH not aligned",IF(AU250="BULL",IF(AQ250="SOXL","Bull regime; semiconductors leading","Bull regime; tech leading"),IF(AQ250="SOXS","Bear regime; semiconductors weakest","Bear regime; tech weakest")))</f>
        <v>QQQ and SMH not aligned</v>
      </c>
      <c r="AX250" t="str">
        <f>IF(AR250="WAIT","QQQ and SMH not aligned",IF(AV250="BULL",IF(AR250="SOXL","Bull regime; semiconductors leading","Bull regime; tech leading"),IF(AR250="SOXS","Bear regime; semiconductors weakest","Bear regime; tech weakest")))</f>
        <v>Bear regime; tech weakest</v>
      </c>
    </row>
    <row r="251" spans="1:50" x14ac:dyDescent="0.2">
      <c r="A251" s="12"/>
      <c r="B251" s="13"/>
      <c r="C251" s="13"/>
      <c r="D251" s="13"/>
      <c r="E251" s="13"/>
      <c r="F251" s="11" t="str">
        <f>IF(OR(E251="",E250=""),"",IF(E250=0,"",(E251/E250)-1))</f>
        <v/>
      </c>
      <c r="G251" s="13"/>
      <c r="H251" s="11" t="str">
        <f>IF(OR(G251="",G250=""),"",IF(G250=0,"",(G251/G250)-1))</f>
        <v/>
      </c>
      <c r="I251" s="13"/>
      <c r="J251" s="13"/>
      <c r="K251" s="13"/>
      <c r="L251" s="13"/>
      <c r="M251" s="23" t="str">
        <f>IF(OR(L251="",L250=""),"",IF(L250=0,"",(L251/L250)-1))</f>
        <v/>
      </c>
      <c r="N251" s="26" t="str">
        <f>IFERROR((M251/M250)-1,"")</f>
        <v/>
      </c>
      <c r="O251" s="23" t="str">
        <f>IF(OR(N251="",N250=""),"",IF(N250=0,"",(N251/N250)-1))</f>
        <v/>
      </c>
      <c r="P251" s="11" t="str">
        <f>IF(ROW()&lt;7,"",IF(OR(E251="",E248=""),"",IF(E248=0,"",(E251/E248)-1)))</f>
        <v/>
      </c>
      <c r="Q251" s="23" t="str">
        <f>IF(ROW()&lt;9,"",IF(OR(E251="",E246=""),"",IF(E246=0,"",(E251/E246)-1)))</f>
        <v/>
      </c>
      <c r="R251" s="23" t="str">
        <f>IF(ROW()&lt;7,"",IF(OR(G251="",G248=""),"",IF(G248=0,"",(G251/G248)-1)))</f>
        <v/>
      </c>
      <c r="S251" s="23" t="str">
        <f>IF(ROW()&lt;9,"",IF(OR(G251="",G246=""),"",IF(G246=0,"",(G251/G246)-1)))</f>
        <v/>
      </c>
      <c r="T251" s="23" t="str">
        <f>IF(ROW()&lt;7,"",IF(OR(L251="",L248=""),"",IF(L248=0,"",(L251/L248)-1)))</f>
        <v/>
      </c>
      <c r="U251" s="23" t="str">
        <f>IF(ROW()&lt;9,"",IF(OR(L251="",L246=""),"",IF(L246=0,"",(L251/L246)-1)))</f>
        <v/>
      </c>
      <c r="V251" s="23" t="str">
        <f>IF(ROW()&lt;7,"",IF(OR(N251="",N248=""),"",IF(N248=0,"",(N251/N248)-1)))</f>
        <v/>
      </c>
      <c r="W251" s="23" t="str">
        <f>IF(ROW()&lt;9,"",IF(OR(N251="",N246=""),"",IF(N246=0,"",(N251/N246)-1)))</f>
        <v/>
      </c>
      <c r="X251" s="23" t="str">
        <f>IF(OR(F251="",M251=""),"",F251-M251)</f>
        <v/>
      </c>
      <c r="Y251" s="23" t="str">
        <f>IF(OR(P251="",T251=""),"",P251-T251)</f>
        <v/>
      </c>
      <c r="Z251" s="23" t="str">
        <f>IF(OR(Q251="",U251=""),"",Q251-U251)</f>
        <v/>
      </c>
      <c r="AA251" s="23" t="str">
        <f>IF(OR(H251="",O251=""),"",H251-O251)</f>
        <v/>
      </c>
      <c r="AB251" s="23" t="str">
        <f>IF(OR(R251="",V251=""),"",R251-V251)</f>
        <v/>
      </c>
      <c r="AC251" s="23" t="str">
        <f>IF(OR(S251="",W251=""),"",S251-W251)</f>
        <v/>
      </c>
      <c r="AD251" s="13"/>
      <c r="AE251" s="23" t="str">
        <f>IF(OR(AD251="",AD250=""),"",IF(AD250=0,"",(AD251/AD250)-1))</f>
        <v/>
      </c>
      <c r="AF251" s="23" t="str">
        <f>IF(ROW()&lt;7,"",IF(OR(AD251="",AD248=""),"",IF(AD248=0,"",(AD251/AD248)-1)))</f>
        <v/>
      </c>
      <c r="AG251" s="23" t="str">
        <f>IF(ROW()&lt;9,"",IF(OR(AD251="",AD246=""),"",IF(AD246=0,"",(AD251/AD246)-1)))</f>
        <v/>
      </c>
      <c r="AH251" s="23" t="str">
        <f>IF(OR(AF251="",AG251=""),"",IF(AND(AF251&gt;0,AG251&gt;0),"Bull",IF(AND(AF251&lt;0,AG251&lt;0),"Bear","Mixed")))</f>
        <v/>
      </c>
      <c r="AI251" s="13"/>
      <c r="AJ251" s="13" t="str">
        <f>IF(OR(AI251="",AI250=""),"",IF(AI250=0,"",(AI251/AI250)-1))</f>
        <v/>
      </c>
      <c r="AK251" s="23" t="str">
        <f>IF(OR(AJ251="",AJ250=""),"",IF(AJ250=0,"",(AJ251/AJ250)-1))</f>
        <v/>
      </c>
      <c r="AL251" s="23" t="str">
        <f>IF(ROW()&lt;7,"",IF(OR(AJ251="",AJ248=""),"",IF(AJ248=0,"",(AJ251/AJ248)-1)))</f>
        <v/>
      </c>
      <c r="AM251" s="23" t="str">
        <f>IF(ROW()&lt;9,"",IF(OR(AJ251="",AJ246=""),"",IF(AJ246=0,"",(AJ251/AJ246)-1)))</f>
        <v/>
      </c>
      <c r="AN251" t="str">
        <f>IF(OR(AL251="",AM251=""),"",IF(AND(AL251&gt;0,AM251&gt;0),"Bull",IF(AND(AL251&lt;0,AM251&lt;0),"Bear","Mixed")))</f>
        <v/>
      </c>
      <c r="AO251" t="str">
        <f>IF(OR(AH251="",AN251=""),"",IF(AND(AH251="Bull",AN251="Bull"),"YES","NO"))</f>
        <v/>
      </c>
      <c r="AP251" t="str">
        <f>IF(OR(AH251="",AN251=""),"",IF(AND(AH251="Bear",AN251="Bear"),"YES","NO"))</f>
        <v/>
      </c>
      <c r="AQ251" t="str">
        <f>IF(AO251="YES",IF(SUM(N(X251),N(Y251),N(Z251))&gt;0,"SOXL","TQQQ"),IF(AP251="YES",IF(SUM(N(AA251),N(AB251),N(AC251))&gt;0,"SOXS","SQQQ"),"WAIT"))</f>
        <v>WAIT</v>
      </c>
      <c r="AR251" s="23" t="str">
        <f>IF(AO251="YES",IF(SUM(N(X251),N(Y251),N(Z251))&gt;0,"TQQQ","SOXL"),IF(AP251="YES",IF(SUM(N(AA251),N(AB251),N(AC251))&gt;0,"SQQQ","SOXS"),""))</f>
        <v/>
      </c>
      <c r="AS251" s="23" t="str">
        <f>IF(AQ251="WAIT","",IF(AR251="",1,0.6))</f>
        <v/>
      </c>
      <c r="AT251" s="23">
        <f>IF(AR251="",0,0.4)</f>
        <v>0</v>
      </c>
      <c r="AU251" s="23" t="str">
        <f>IF(AQ251="WAIT","WAIT",IF(AO251="YES","BULL",IF(AP251="YES","BEAR","WAIT")))</f>
        <v>WAIT</v>
      </c>
      <c r="AV251" t="str">
        <f>IF(AQ251="WAIT","Low",IF(OR(AND(AU251="BULL",ABS(SUM(N(X251),N(Y251),N(Z251)))&gt;=0.15),AND(AU251="BEAR",ABS(SUM(N(AA251),N(AB251),N(AC251)))&gt;=0.15)),"Strong",IF(OR(AND(AU251="BULL",ABS(SUM(N(X251),N(Y251),N(Z251)))&gt;=0.05),AND(AU251="BEAR",ABS(SUM(N(AA251),N(AB251),N(AC251)))&gt;=0.05)),"Moderate","Low")))</f>
        <v>Low</v>
      </c>
      <c r="AW251" t="str">
        <f>IF(AQ251="WAIT","QQQ and SMH not aligned",IF(AU251="BULL",IF(AQ251="SOXL","Bull regime; semiconductors leading","Bull regime; tech leading"),IF(AQ251="SOXS","Bear regime; semiconductors weakest","Bear regime; tech weakest")))</f>
        <v>QQQ and SMH not aligned</v>
      </c>
      <c r="AX251" t="str">
        <f>IF(AR251="WAIT","QQQ and SMH not aligned",IF(AV251="BULL",IF(AR251="SOXL","Bull regime; semiconductors leading","Bull regime; tech leading"),IF(AR251="SOXS","Bear regime; semiconductors weakest","Bear regime; tech weakest")))</f>
        <v>Bear regime; tech weakest</v>
      </c>
    </row>
    <row r="252" spans="1:50" x14ac:dyDescent="0.2">
      <c r="A252" s="12"/>
      <c r="B252" s="13"/>
      <c r="C252" s="13"/>
      <c r="D252" s="13"/>
      <c r="E252" s="13"/>
      <c r="F252" s="11" t="str">
        <f>IF(OR(E252="",E251=""),"",IF(E251=0,"",(E252/E251)-1))</f>
        <v/>
      </c>
      <c r="G252" s="13"/>
      <c r="H252" s="11" t="str">
        <f>IF(OR(G252="",G251=""),"",IF(G251=0,"",(G252/G251)-1))</f>
        <v/>
      </c>
      <c r="I252" s="13"/>
      <c r="J252" s="13"/>
      <c r="K252" s="13"/>
      <c r="L252" s="13"/>
      <c r="M252" s="23" t="str">
        <f>IF(OR(L252="",L251=""),"",IF(L251=0,"",(L252/L251)-1))</f>
        <v/>
      </c>
      <c r="N252" s="26" t="str">
        <f>IFERROR((M252/M251)-1,"")</f>
        <v/>
      </c>
      <c r="O252" s="23" t="str">
        <f>IF(OR(N252="",N251=""),"",IF(N251=0,"",(N252/N251)-1))</f>
        <v/>
      </c>
      <c r="P252" s="11" t="str">
        <f>IF(ROW()&lt;7,"",IF(OR(E252="",E249=""),"",IF(E249=0,"",(E252/E249)-1)))</f>
        <v/>
      </c>
      <c r="Q252" s="23" t="str">
        <f>IF(ROW()&lt;9,"",IF(OR(E252="",E247=""),"",IF(E247=0,"",(E252/E247)-1)))</f>
        <v/>
      </c>
      <c r="R252" s="23" t="str">
        <f>IF(ROW()&lt;7,"",IF(OR(G252="",G249=""),"",IF(G249=0,"",(G252/G249)-1)))</f>
        <v/>
      </c>
      <c r="S252" s="23" t="str">
        <f>IF(ROW()&lt;9,"",IF(OR(G252="",G247=""),"",IF(G247=0,"",(G252/G247)-1)))</f>
        <v/>
      </c>
      <c r="T252" s="23" t="str">
        <f>IF(ROW()&lt;7,"",IF(OR(L252="",L249=""),"",IF(L249=0,"",(L252/L249)-1)))</f>
        <v/>
      </c>
      <c r="U252" s="23" t="str">
        <f>IF(ROW()&lt;9,"",IF(OR(L252="",L247=""),"",IF(L247=0,"",(L252/L247)-1)))</f>
        <v/>
      </c>
      <c r="V252" s="23" t="str">
        <f>IF(ROW()&lt;7,"",IF(OR(N252="",N249=""),"",IF(N249=0,"",(N252/N249)-1)))</f>
        <v/>
      </c>
      <c r="W252" s="23" t="str">
        <f>IF(ROW()&lt;9,"",IF(OR(N252="",N247=""),"",IF(N247=0,"",(N252/N247)-1)))</f>
        <v/>
      </c>
      <c r="X252" s="23" t="str">
        <f>IF(OR(F252="",M252=""),"",F252-M252)</f>
        <v/>
      </c>
      <c r="Y252" s="23" t="str">
        <f>IF(OR(P252="",T252=""),"",P252-T252)</f>
        <v/>
      </c>
      <c r="Z252" s="23" t="str">
        <f>IF(OR(Q252="",U252=""),"",Q252-U252)</f>
        <v/>
      </c>
      <c r="AA252" s="23" t="str">
        <f>IF(OR(H252="",O252=""),"",H252-O252)</f>
        <v/>
      </c>
      <c r="AB252" s="23" t="str">
        <f>IF(OR(R252="",V252=""),"",R252-V252)</f>
        <v/>
      </c>
      <c r="AC252" s="23" t="str">
        <f>IF(OR(S252="",W252=""),"",S252-W252)</f>
        <v/>
      </c>
      <c r="AD252" s="13"/>
      <c r="AE252" s="23" t="str">
        <f>IF(OR(AD252="",AD251=""),"",IF(AD251=0,"",(AD252/AD251)-1))</f>
        <v/>
      </c>
      <c r="AF252" s="23" t="str">
        <f>IF(ROW()&lt;7,"",IF(OR(AD252="",AD249=""),"",IF(AD249=0,"",(AD252/AD249)-1)))</f>
        <v/>
      </c>
      <c r="AG252" s="23" t="str">
        <f>IF(ROW()&lt;9,"",IF(OR(AD252="",AD247=""),"",IF(AD247=0,"",(AD252/AD247)-1)))</f>
        <v/>
      </c>
      <c r="AH252" s="23" t="str">
        <f>IF(OR(AF252="",AG252=""),"",IF(AND(AF252&gt;0,AG252&gt;0),"Bull",IF(AND(AF252&lt;0,AG252&lt;0),"Bear","Mixed")))</f>
        <v/>
      </c>
      <c r="AI252" s="13"/>
      <c r="AJ252" s="13" t="str">
        <f>IF(OR(AI252="",AI251=""),"",IF(AI251=0,"",(AI252/AI251)-1))</f>
        <v/>
      </c>
      <c r="AK252" s="23" t="str">
        <f>IF(OR(AJ252="",AJ251=""),"",IF(AJ251=0,"",(AJ252/AJ251)-1))</f>
        <v/>
      </c>
      <c r="AL252" s="23" t="str">
        <f>IF(ROW()&lt;7,"",IF(OR(AJ252="",AJ249=""),"",IF(AJ249=0,"",(AJ252/AJ249)-1)))</f>
        <v/>
      </c>
      <c r="AM252" s="23" t="str">
        <f>IF(ROW()&lt;9,"",IF(OR(AJ252="",AJ247=""),"",IF(AJ247=0,"",(AJ252/AJ247)-1)))</f>
        <v/>
      </c>
      <c r="AN252" t="str">
        <f>IF(OR(AL252="",AM252=""),"",IF(AND(AL252&gt;0,AM252&gt;0),"Bull",IF(AND(AL252&lt;0,AM252&lt;0),"Bear","Mixed")))</f>
        <v/>
      </c>
      <c r="AO252" t="str">
        <f>IF(OR(AH252="",AN252=""),"",IF(AND(AH252="Bull",AN252="Bull"),"YES","NO"))</f>
        <v/>
      </c>
      <c r="AP252" t="str">
        <f>IF(OR(AH252="",AN252=""),"",IF(AND(AH252="Bear",AN252="Bear"),"YES","NO"))</f>
        <v/>
      </c>
      <c r="AQ252" t="str">
        <f>IF(AO252="YES",IF(SUM(N(X252),N(Y252),N(Z252))&gt;0,"SOXL","TQQQ"),IF(AP252="YES",IF(SUM(N(AA252),N(AB252),N(AC252))&gt;0,"SOXS","SQQQ"),"WAIT"))</f>
        <v>WAIT</v>
      </c>
      <c r="AR252" s="23" t="str">
        <f>IF(AO252="YES",IF(SUM(N(X252),N(Y252),N(Z252))&gt;0,"TQQQ","SOXL"),IF(AP252="YES",IF(SUM(N(AA252),N(AB252),N(AC252))&gt;0,"SQQQ","SOXS"),""))</f>
        <v/>
      </c>
      <c r="AS252" s="23" t="str">
        <f>IF(AQ252="WAIT","",IF(AR252="",1,0.6))</f>
        <v/>
      </c>
      <c r="AT252" s="23">
        <f>IF(AR252="",0,0.4)</f>
        <v>0</v>
      </c>
      <c r="AU252" s="23" t="str">
        <f>IF(AQ252="WAIT","WAIT",IF(AO252="YES","BULL",IF(AP252="YES","BEAR","WAIT")))</f>
        <v>WAIT</v>
      </c>
      <c r="AV252" t="str">
        <f>IF(AQ252="WAIT","Low",IF(OR(AND(AU252="BULL",ABS(SUM(N(X252),N(Y252),N(Z252)))&gt;=0.15),AND(AU252="BEAR",ABS(SUM(N(AA252),N(AB252),N(AC252)))&gt;=0.15)),"Strong",IF(OR(AND(AU252="BULL",ABS(SUM(N(X252),N(Y252),N(Z252)))&gt;=0.05),AND(AU252="BEAR",ABS(SUM(N(AA252),N(AB252),N(AC252)))&gt;=0.05)),"Moderate","Low")))</f>
        <v>Low</v>
      </c>
      <c r="AW252" t="str">
        <f>IF(AQ252="WAIT","QQQ and SMH not aligned",IF(AU252="BULL",IF(AQ252="SOXL","Bull regime; semiconductors leading","Bull regime; tech leading"),IF(AQ252="SOXS","Bear regime; semiconductors weakest","Bear regime; tech weakest")))</f>
        <v>QQQ and SMH not aligned</v>
      </c>
      <c r="AX252" t="str">
        <f>IF(AR252="WAIT","QQQ and SMH not aligned",IF(AV252="BULL",IF(AR252="SOXL","Bull regime; semiconductors leading","Bull regime; tech leading"),IF(AR252="SOXS","Bear regime; semiconductors weakest","Bear regime; tech weakest")))</f>
        <v>Bear regime; tech weakest</v>
      </c>
    </row>
    <row r="253" spans="1:50" x14ac:dyDescent="0.2">
      <c r="A253" s="12"/>
      <c r="B253" s="13"/>
      <c r="C253" s="13"/>
      <c r="D253" s="13"/>
      <c r="E253" s="13"/>
      <c r="F253" s="11" t="str">
        <f>IF(OR(E253="",E252=""),"",IF(E252=0,"",(E253/E252)-1))</f>
        <v/>
      </c>
      <c r="G253" s="13"/>
      <c r="H253" s="11" t="str">
        <f>IF(OR(G253="",G252=""),"",IF(G252=0,"",(G253/G252)-1))</f>
        <v/>
      </c>
      <c r="I253" s="13"/>
      <c r="J253" s="13"/>
      <c r="K253" s="13"/>
      <c r="L253" s="13"/>
      <c r="M253" s="23" t="str">
        <f>IF(OR(L253="",L252=""),"",IF(L252=0,"",(L253/L252)-1))</f>
        <v/>
      </c>
      <c r="N253" s="26" t="str">
        <f>IFERROR((M253/M252)-1,"")</f>
        <v/>
      </c>
      <c r="O253" s="23" t="str">
        <f>IF(OR(N253="",N252=""),"",IF(N252=0,"",(N253/N252)-1))</f>
        <v/>
      </c>
      <c r="P253" s="11" t="str">
        <f>IF(ROW()&lt;7,"",IF(OR(E253="",E250=""),"",IF(E250=0,"",(E253/E250)-1)))</f>
        <v/>
      </c>
      <c r="Q253" s="23" t="str">
        <f>IF(ROW()&lt;9,"",IF(OR(E253="",E248=""),"",IF(E248=0,"",(E253/E248)-1)))</f>
        <v/>
      </c>
      <c r="R253" s="23" t="str">
        <f>IF(ROW()&lt;7,"",IF(OR(G253="",G250=""),"",IF(G250=0,"",(G253/G250)-1)))</f>
        <v/>
      </c>
      <c r="S253" s="23" t="str">
        <f>IF(ROW()&lt;9,"",IF(OR(G253="",G248=""),"",IF(G248=0,"",(G253/G248)-1)))</f>
        <v/>
      </c>
      <c r="T253" s="23" t="str">
        <f>IF(ROW()&lt;7,"",IF(OR(L253="",L250=""),"",IF(L250=0,"",(L253/L250)-1)))</f>
        <v/>
      </c>
      <c r="U253" s="23" t="str">
        <f>IF(ROW()&lt;9,"",IF(OR(L253="",L248=""),"",IF(L248=0,"",(L253/L248)-1)))</f>
        <v/>
      </c>
      <c r="V253" s="23" t="str">
        <f>IF(ROW()&lt;7,"",IF(OR(N253="",N250=""),"",IF(N250=0,"",(N253/N250)-1)))</f>
        <v/>
      </c>
      <c r="W253" s="23" t="str">
        <f>IF(ROW()&lt;9,"",IF(OR(N253="",N248=""),"",IF(N248=0,"",(N253/N248)-1)))</f>
        <v/>
      </c>
      <c r="X253" s="23" t="str">
        <f>IF(OR(F253="",M253=""),"",F253-M253)</f>
        <v/>
      </c>
      <c r="Y253" s="23" t="str">
        <f>IF(OR(P253="",T253=""),"",P253-T253)</f>
        <v/>
      </c>
      <c r="Z253" s="23" t="str">
        <f>IF(OR(Q253="",U253=""),"",Q253-U253)</f>
        <v/>
      </c>
      <c r="AA253" s="23" t="str">
        <f>IF(OR(H253="",O253=""),"",H253-O253)</f>
        <v/>
      </c>
      <c r="AB253" s="23" t="str">
        <f>IF(OR(R253="",V253=""),"",R253-V253)</f>
        <v/>
      </c>
      <c r="AC253" s="23" t="str">
        <f>IF(OR(S253="",W253=""),"",S253-W253)</f>
        <v/>
      </c>
      <c r="AD253" s="13"/>
      <c r="AE253" s="23" t="str">
        <f>IF(OR(AD253="",AD252=""),"",IF(AD252=0,"",(AD253/AD252)-1))</f>
        <v/>
      </c>
      <c r="AF253" s="23" t="str">
        <f>IF(ROW()&lt;7,"",IF(OR(AD253="",AD250=""),"",IF(AD250=0,"",(AD253/AD250)-1)))</f>
        <v/>
      </c>
      <c r="AG253" s="23" t="str">
        <f>IF(ROW()&lt;9,"",IF(OR(AD253="",AD248=""),"",IF(AD248=0,"",(AD253/AD248)-1)))</f>
        <v/>
      </c>
      <c r="AH253" s="23" t="str">
        <f>IF(OR(AF253="",AG253=""),"",IF(AND(AF253&gt;0,AG253&gt;0),"Bull",IF(AND(AF253&lt;0,AG253&lt;0),"Bear","Mixed")))</f>
        <v/>
      </c>
      <c r="AI253" s="13"/>
      <c r="AJ253" s="13" t="str">
        <f>IF(OR(AI253="",AI252=""),"",IF(AI252=0,"",(AI253/AI252)-1))</f>
        <v/>
      </c>
      <c r="AK253" s="23" t="str">
        <f>IF(OR(AJ253="",AJ252=""),"",IF(AJ252=0,"",(AJ253/AJ252)-1))</f>
        <v/>
      </c>
      <c r="AL253" s="23" t="str">
        <f>IF(ROW()&lt;7,"",IF(OR(AJ253="",AJ250=""),"",IF(AJ250=0,"",(AJ253/AJ250)-1)))</f>
        <v/>
      </c>
      <c r="AM253" s="23" t="str">
        <f>IF(ROW()&lt;9,"",IF(OR(AJ253="",AJ248=""),"",IF(AJ248=0,"",(AJ253/AJ248)-1)))</f>
        <v/>
      </c>
      <c r="AN253" t="str">
        <f>IF(OR(AL253="",AM253=""),"",IF(AND(AL253&gt;0,AM253&gt;0),"Bull",IF(AND(AL253&lt;0,AM253&lt;0),"Bear","Mixed")))</f>
        <v/>
      </c>
      <c r="AO253" t="str">
        <f>IF(OR(AH253="",AN253=""),"",IF(AND(AH253="Bull",AN253="Bull"),"YES","NO"))</f>
        <v/>
      </c>
      <c r="AP253" t="str">
        <f>IF(OR(AH253="",AN253=""),"",IF(AND(AH253="Bear",AN253="Bear"),"YES","NO"))</f>
        <v/>
      </c>
      <c r="AQ253" t="str">
        <f>IF(AO253="YES",IF(SUM(N(X253),N(Y253),N(Z253))&gt;0,"SOXL","TQQQ"),IF(AP253="YES",IF(SUM(N(AA253),N(AB253),N(AC253))&gt;0,"SOXS","SQQQ"),"WAIT"))</f>
        <v>WAIT</v>
      </c>
      <c r="AR253" s="23" t="str">
        <f>IF(AO253="YES",IF(SUM(N(X253),N(Y253),N(Z253))&gt;0,"TQQQ","SOXL"),IF(AP253="YES",IF(SUM(N(AA253),N(AB253),N(AC253))&gt;0,"SQQQ","SOXS"),""))</f>
        <v/>
      </c>
      <c r="AS253" s="23" t="str">
        <f>IF(AQ253="WAIT","",IF(AR253="",1,0.6))</f>
        <v/>
      </c>
      <c r="AT253" s="23">
        <f>IF(AR253="",0,0.4)</f>
        <v>0</v>
      </c>
      <c r="AU253" s="23" t="str">
        <f>IF(AQ253="WAIT","WAIT",IF(AO253="YES","BULL",IF(AP253="YES","BEAR","WAIT")))</f>
        <v>WAIT</v>
      </c>
      <c r="AV253" t="str">
        <f>IF(AQ253="WAIT","Low",IF(OR(AND(AU253="BULL",ABS(SUM(N(X253),N(Y253),N(Z253)))&gt;=0.15),AND(AU253="BEAR",ABS(SUM(N(AA253),N(AB253),N(AC253)))&gt;=0.15)),"Strong",IF(OR(AND(AU253="BULL",ABS(SUM(N(X253),N(Y253),N(Z253)))&gt;=0.05),AND(AU253="BEAR",ABS(SUM(N(AA253),N(AB253),N(AC253)))&gt;=0.05)),"Moderate","Low")))</f>
        <v>Low</v>
      </c>
      <c r="AW253" t="str">
        <f>IF(AQ253="WAIT","QQQ and SMH not aligned",IF(AU253="BULL",IF(AQ253="SOXL","Bull regime; semiconductors leading","Bull regime; tech leading"),IF(AQ253="SOXS","Bear regime; semiconductors weakest","Bear regime; tech weakest")))</f>
        <v>QQQ and SMH not aligned</v>
      </c>
      <c r="AX253" t="str">
        <f>IF(AR253="WAIT","QQQ and SMH not aligned",IF(AV253="BULL",IF(AR253="SOXL","Bull regime; semiconductors leading","Bull regime; tech leading"),IF(AR253="SOXS","Bear regime; semiconductors weakest","Bear regime; tech weakest")))</f>
        <v>Bear regime; tech weakest</v>
      </c>
    </row>
    <row r="254" spans="1:50" x14ac:dyDescent="0.2">
      <c r="A254" s="12"/>
      <c r="B254" s="13"/>
      <c r="C254" s="13"/>
      <c r="D254" s="13"/>
      <c r="E254" s="13"/>
      <c r="F254" s="11" t="str">
        <f>IF(OR(E254="",E253=""),"",IF(E253=0,"",(E254/E253)-1))</f>
        <v/>
      </c>
      <c r="G254" s="13"/>
      <c r="H254" s="11" t="str">
        <f>IF(OR(G254="",G253=""),"",IF(G253=0,"",(G254/G253)-1))</f>
        <v/>
      </c>
      <c r="I254" s="13"/>
      <c r="J254" s="13"/>
      <c r="K254" s="13"/>
      <c r="L254" s="13"/>
      <c r="M254" s="23" t="str">
        <f>IF(OR(L254="",L253=""),"",IF(L253=0,"",(L254/L253)-1))</f>
        <v/>
      </c>
      <c r="N254" s="26" t="str">
        <f>IFERROR((M254/M253)-1,"")</f>
        <v/>
      </c>
      <c r="O254" s="23" t="str">
        <f>IF(OR(N254="",N253=""),"",IF(N253=0,"",(N254/N253)-1))</f>
        <v/>
      </c>
      <c r="P254" s="11" t="str">
        <f>IF(ROW()&lt;7,"",IF(OR(E254="",E251=""),"",IF(E251=0,"",(E254/E251)-1)))</f>
        <v/>
      </c>
      <c r="Q254" s="23" t="str">
        <f>IF(ROW()&lt;9,"",IF(OR(E254="",E249=""),"",IF(E249=0,"",(E254/E249)-1)))</f>
        <v/>
      </c>
      <c r="R254" s="23" t="str">
        <f>IF(ROW()&lt;7,"",IF(OR(G254="",G251=""),"",IF(G251=0,"",(G254/G251)-1)))</f>
        <v/>
      </c>
      <c r="S254" s="23" t="str">
        <f>IF(ROW()&lt;9,"",IF(OR(G254="",G249=""),"",IF(G249=0,"",(G254/G249)-1)))</f>
        <v/>
      </c>
      <c r="T254" s="23" t="str">
        <f>IF(ROW()&lt;7,"",IF(OR(L254="",L251=""),"",IF(L251=0,"",(L254/L251)-1)))</f>
        <v/>
      </c>
      <c r="U254" s="23" t="str">
        <f>IF(ROW()&lt;9,"",IF(OR(L254="",L249=""),"",IF(L249=0,"",(L254/L249)-1)))</f>
        <v/>
      </c>
      <c r="V254" s="23" t="str">
        <f>IF(ROW()&lt;7,"",IF(OR(N254="",N251=""),"",IF(N251=0,"",(N254/N251)-1)))</f>
        <v/>
      </c>
      <c r="W254" s="23" t="str">
        <f>IF(ROW()&lt;9,"",IF(OR(N254="",N249=""),"",IF(N249=0,"",(N254/N249)-1)))</f>
        <v/>
      </c>
      <c r="X254" s="23" t="str">
        <f>IF(OR(F254="",M254=""),"",F254-M254)</f>
        <v/>
      </c>
      <c r="Y254" s="23" t="str">
        <f>IF(OR(P254="",T254=""),"",P254-T254)</f>
        <v/>
      </c>
      <c r="Z254" s="23" t="str">
        <f>IF(OR(Q254="",U254=""),"",Q254-U254)</f>
        <v/>
      </c>
      <c r="AA254" s="23" t="str">
        <f>IF(OR(H254="",O254=""),"",H254-O254)</f>
        <v/>
      </c>
      <c r="AB254" s="23" t="str">
        <f>IF(OR(R254="",V254=""),"",R254-V254)</f>
        <v/>
      </c>
      <c r="AC254" s="23" t="str">
        <f>IF(OR(S254="",W254=""),"",S254-W254)</f>
        <v/>
      </c>
      <c r="AD254" s="13"/>
      <c r="AE254" s="23" t="str">
        <f>IF(OR(AD254="",AD253=""),"",IF(AD253=0,"",(AD254/AD253)-1))</f>
        <v/>
      </c>
      <c r="AF254" s="23" t="str">
        <f>IF(ROW()&lt;7,"",IF(OR(AD254="",AD251=""),"",IF(AD251=0,"",(AD254/AD251)-1)))</f>
        <v/>
      </c>
      <c r="AG254" s="23" t="str">
        <f>IF(ROW()&lt;9,"",IF(OR(AD254="",AD249=""),"",IF(AD249=0,"",(AD254/AD249)-1)))</f>
        <v/>
      </c>
      <c r="AH254" s="23" t="str">
        <f>IF(OR(AF254="",AG254=""),"",IF(AND(AF254&gt;0,AG254&gt;0),"Bull",IF(AND(AF254&lt;0,AG254&lt;0),"Bear","Mixed")))</f>
        <v/>
      </c>
      <c r="AI254" s="13"/>
      <c r="AJ254" s="13" t="str">
        <f>IF(OR(AI254="",AI253=""),"",IF(AI253=0,"",(AI254/AI253)-1))</f>
        <v/>
      </c>
      <c r="AK254" s="23" t="str">
        <f>IF(OR(AJ254="",AJ253=""),"",IF(AJ253=0,"",(AJ254/AJ253)-1))</f>
        <v/>
      </c>
      <c r="AL254" s="23" t="str">
        <f>IF(ROW()&lt;7,"",IF(OR(AJ254="",AJ251=""),"",IF(AJ251=0,"",(AJ254/AJ251)-1)))</f>
        <v/>
      </c>
      <c r="AM254" s="23" t="str">
        <f>IF(ROW()&lt;9,"",IF(OR(AJ254="",AJ249=""),"",IF(AJ249=0,"",(AJ254/AJ249)-1)))</f>
        <v/>
      </c>
      <c r="AN254" t="str">
        <f>IF(OR(AL254="",AM254=""),"",IF(AND(AL254&gt;0,AM254&gt;0),"Bull",IF(AND(AL254&lt;0,AM254&lt;0),"Bear","Mixed")))</f>
        <v/>
      </c>
      <c r="AO254" t="str">
        <f>IF(OR(AH254="",AN254=""),"",IF(AND(AH254="Bull",AN254="Bull"),"YES","NO"))</f>
        <v/>
      </c>
      <c r="AP254" t="str">
        <f>IF(OR(AH254="",AN254=""),"",IF(AND(AH254="Bear",AN254="Bear"),"YES","NO"))</f>
        <v/>
      </c>
      <c r="AQ254" t="str">
        <f>IF(AO254="YES",IF(SUM(N(X254),N(Y254),N(Z254))&gt;0,"SOXL","TQQQ"),IF(AP254="YES",IF(SUM(N(AA254),N(AB254),N(AC254))&gt;0,"SOXS","SQQQ"),"WAIT"))</f>
        <v>WAIT</v>
      </c>
      <c r="AR254" s="23" t="str">
        <f>IF(AO254="YES",IF(SUM(N(X254),N(Y254),N(Z254))&gt;0,"TQQQ","SOXL"),IF(AP254="YES",IF(SUM(N(AA254),N(AB254),N(AC254))&gt;0,"SQQQ","SOXS"),""))</f>
        <v/>
      </c>
      <c r="AS254" s="23" t="str">
        <f>IF(AQ254="WAIT","",IF(AR254="",1,0.6))</f>
        <v/>
      </c>
      <c r="AT254" s="23">
        <f>IF(AR254="",0,0.4)</f>
        <v>0</v>
      </c>
      <c r="AU254" s="23" t="str">
        <f>IF(AQ254="WAIT","WAIT",IF(AO254="YES","BULL",IF(AP254="YES","BEAR","WAIT")))</f>
        <v>WAIT</v>
      </c>
      <c r="AV254" t="str">
        <f>IF(AQ254="WAIT","Low",IF(OR(AND(AU254="BULL",ABS(SUM(N(X254),N(Y254),N(Z254)))&gt;=0.15),AND(AU254="BEAR",ABS(SUM(N(AA254),N(AB254),N(AC254)))&gt;=0.15)),"Strong",IF(OR(AND(AU254="BULL",ABS(SUM(N(X254),N(Y254),N(Z254)))&gt;=0.05),AND(AU254="BEAR",ABS(SUM(N(AA254),N(AB254),N(AC254)))&gt;=0.05)),"Moderate","Low")))</f>
        <v>Low</v>
      </c>
      <c r="AW254" t="str">
        <f>IF(AQ254="WAIT","QQQ and SMH not aligned",IF(AU254="BULL",IF(AQ254="SOXL","Bull regime; semiconductors leading","Bull regime; tech leading"),IF(AQ254="SOXS","Bear regime; semiconductors weakest","Bear regime; tech weakest")))</f>
        <v>QQQ and SMH not aligned</v>
      </c>
      <c r="AX254" t="str">
        <f>IF(AR254="WAIT","QQQ and SMH not aligned",IF(AV254="BULL",IF(AR254="SOXL","Bull regime; semiconductors leading","Bull regime; tech leading"),IF(AR254="SOXS","Bear regime; semiconductors weakest","Bear regime; tech weakest")))</f>
        <v>Bear regime; tech weakest</v>
      </c>
    </row>
    <row r="255" spans="1:50" x14ac:dyDescent="0.2">
      <c r="A255" s="12"/>
      <c r="B255" s="13"/>
      <c r="C255" s="13"/>
      <c r="D255" s="13"/>
      <c r="E255" s="13"/>
      <c r="F255" s="11" t="str">
        <f>IF(OR(E255="",E254=""),"",IF(E254=0,"",(E255/E254)-1))</f>
        <v/>
      </c>
      <c r="G255" s="13"/>
      <c r="H255" s="11" t="str">
        <f>IF(OR(G255="",G254=""),"",IF(G254=0,"",(G255/G254)-1))</f>
        <v/>
      </c>
      <c r="I255" s="13"/>
      <c r="J255" s="13"/>
      <c r="K255" s="13"/>
      <c r="L255" s="13"/>
      <c r="M255" s="23" t="str">
        <f>IF(OR(L255="",L254=""),"",IF(L254=0,"",(L255/L254)-1))</f>
        <v/>
      </c>
      <c r="N255" s="26" t="str">
        <f>IFERROR((M255/M254)-1,"")</f>
        <v/>
      </c>
      <c r="O255" s="23" t="str">
        <f>IF(OR(N255="",N254=""),"",IF(N254=0,"",(N255/N254)-1))</f>
        <v/>
      </c>
      <c r="P255" s="11" t="str">
        <f>IF(ROW()&lt;7,"",IF(OR(E255="",E252=""),"",IF(E252=0,"",(E255/E252)-1)))</f>
        <v/>
      </c>
      <c r="Q255" s="23" t="str">
        <f>IF(ROW()&lt;9,"",IF(OR(E255="",E250=""),"",IF(E250=0,"",(E255/E250)-1)))</f>
        <v/>
      </c>
      <c r="R255" s="23" t="str">
        <f>IF(ROW()&lt;7,"",IF(OR(G255="",G252=""),"",IF(G252=0,"",(G255/G252)-1)))</f>
        <v/>
      </c>
      <c r="S255" s="23" t="str">
        <f>IF(ROW()&lt;9,"",IF(OR(G255="",G250=""),"",IF(G250=0,"",(G255/G250)-1)))</f>
        <v/>
      </c>
      <c r="T255" s="23" t="str">
        <f>IF(ROW()&lt;7,"",IF(OR(L255="",L252=""),"",IF(L252=0,"",(L255/L252)-1)))</f>
        <v/>
      </c>
      <c r="U255" s="23" t="str">
        <f>IF(ROW()&lt;9,"",IF(OR(L255="",L250=""),"",IF(L250=0,"",(L255/L250)-1)))</f>
        <v/>
      </c>
      <c r="V255" s="23" t="str">
        <f>IF(ROW()&lt;7,"",IF(OR(N255="",N252=""),"",IF(N252=0,"",(N255/N252)-1)))</f>
        <v/>
      </c>
      <c r="W255" s="23" t="str">
        <f>IF(ROW()&lt;9,"",IF(OR(N255="",N250=""),"",IF(N250=0,"",(N255/N250)-1)))</f>
        <v/>
      </c>
      <c r="X255" s="23" t="str">
        <f>IF(OR(F255="",M255=""),"",F255-M255)</f>
        <v/>
      </c>
      <c r="Y255" s="23" t="str">
        <f>IF(OR(P255="",T255=""),"",P255-T255)</f>
        <v/>
      </c>
      <c r="Z255" s="23" t="str">
        <f>IF(OR(Q255="",U255=""),"",Q255-U255)</f>
        <v/>
      </c>
      <c r="AA255" s="23" t="str">
        <f>IF(OR(H255="",O255=""),"",H255-O255)</f>
        <v/>
      </c>
      <c r="AB255" s="23" t="str">
        <f>IF(OR(R255="",V255=""),"",R255-V255)</f>
        <v/>
      </c>
      <c r="AC255" s="23" t="str">
        <f>IF(OR(S255="",W255=""),"",S255-W255)</f>
        <v/>
      </c>
      <c r="AD255" s="13"/>
      <c r="AE255" s="23" t="str">
        <f>IF(OR(AD255="",AD254=""),"",IF(AD254=0,"",(AD255/AD254)-1))</f>
        <v/>
      </c>
      <c r="AF255" s="23" t="str">
        <f>IF(ROW()&lt;7,"",IF(OR(AD255="",AD252=""),"",IF(AD252=0,"",(AD255/AD252)-1)))</f>
        <v/>
      </c>
      <c r="AG255" s="23" t="str">
        <f>IF(ROW()&lt;9,"",IF(OR(AD255="",AD250=""),"",IF(AD250=0,"",(AD255/AD250)-1)))</f>
        <v/>
      </c>
      <c r="AH255" s="23" t="str">
        <f>IF(OR(AF255="",AG255=""),"",IF(AND(AF255&gt;0,AG255&gt;0),"Bull",IF(AND(AF255&lt;0,AG255&lt;0),"Bear","Mixed")))</f>
        <v/>
      </c>
      <c r="AI255" s="13"/>
      <c r="AJ255" s="13" t="str">
        <f>IF(OR(AI255="",AI254=""),"",IF(AI254=0,"",(AI255/AI254)-1))</f>
        <v/>
      </c>
      <c r="AK255" s="23" t="str">
        <f>IF(OR(AJ255="",AJ254=""),"",IF(AJ254=0,"",(AJ255/AJ254)-1))</f>
        <v/>
      </c>
      <c r="AL255" s="23" t="str">
        <f>IF(ROW()&lt;7,"",IF(OR(AJ255="",AJ252=""),"",IF(AJ252=0,"",(AJ255/AJ252)-1)))</f>
        <v/>
      </c>
      <c r="AM255" s="23" t="str">
        <f>IF(ROW()&lt;9,"",IF(OR(AJ255="",AJ250=""),"",IF(AJ250=0,"",(AJ255/AJ250)-1)))</f>
        <v/>
      </c>
      <c r="AN255" t="str">
        <f>IF(OR(AL255="",AM255=""),"",IF(AND(AL255&gt;0,AM255&gt;0),"Bull",IF(AND(AL255&lt;0,AM255&lt;0),"Bear","Mixed")))</f>
        <v/>
      </c>
      <c r="AO255" t="str">
        <f>IF(OR(AH255="",AN255=""),"",IF(AND(AH255="Bull",AN255="Bull"),"YES","NO"))</f>
        <v/>
      </c>
      <c r="AP255" t="str">
        <f>IF(OR(AH255="",AN255=""),"",IF(AND(AH255="Bear",AN255="Bear"),"YES","NO"))</f>
        <v/>
      </c>
      <c r="AQ255" t="str">
        <f>IF(AO255="YES",IF(SUM(N(X255),N(Y255),N(Z255))&gt;0,"SOXL","TQQQ"),IF(AP255="YES",IF(SUM(N(AA255),N(AB255),N(AC255))&gt;0,"SOXS","SQQQ"),"WAIT"))</f>
        <v>WAIT</v>
      </c>
      <c r="AR255" s="23" t="str">
        <f>IF(AO255="YES",IF(SUM(N(X255),N(Y255),N(Z255))&gt;0,"TQQQ","SOXL"),IF(AP255="YES",IF(SUM(N(AA255),N(AB255),N(AC255))&gt;0,"SQQQ","SOXS"),""))</f>
        <v/>
      </c>
      <c r="AS255" s="23" t="str">
        <f>IF(AQ255="WAIT","",IF(AR255="",1,0.6))</f>
        <v/>
      </c>
      <c r="AT255" s="23">
        <f>IF(AR255="",0,0.4)</f>
        <v>0</v>
      </c>
      <c r="AU255" s="23" t="str">
        <f>IF(AQ255="WAIT","WAIT",IF(AO255="YES","BULL",IF(AP255="YES","BEAR","WAIT")))</f>
        <v>WAIT</v>
      </c>
      <c r="AV255" t="str">
        <f>IF(AQ255="WAIT","Low",IF(OR(AND(AU255="BULL",ABS(SUM(N(X255),N(Y255),N(Z255)))&gt;=0.15),AND(AU255="BEAR",ABS(SUM(N(AA255),N(AB255),N(AC255)))&gt;=0.15)),"Strong",IF(OR(AND(AU255="BULL",ABS(SUM(N(X255),N(Y255),N(Z255)))&gt;=0.05),AND(AU255="BEAR",ABS(SUM(N(AA255),N(AB255),N(AC255)))&gt;=0.05)),"Moderate","Low")))</f>
        <v>Low</v>
      </c>
      <c r="AW255" t="str">
        <f>IF(AQ255="WAIT","QQQ and SMH not aligned",IF(AU255="BULL",IF(AQ255="SOXL","Bull regime; semiconductors leading","Bull regime; tech leading"),IF(AQ255="SOXS","Bear regime; semiconductors weakest","Bear regime; tech weakest")))</f>
        <v>QQQ and SMH not aligned</v>
      </c>
      <c r="AX255" t="str">
        <f>IF(AR255="WAIT","QQQ and SMH not aligned",IF(AV255="BULL",IF(AR255="SOXL","Bull regime; semiconductors leading","Bull regime; tech leading"),IF(AR255="SOXS","Bear regime; semiconductors weakest","Bear regime; tech weakest")))</f>
        <v>Bear regime; tech weakest</v>
      </c>
    </row>
    <row r="256" spans="1:50" x14ac:dyDescent="0.2">
      <c r="A256" s="12"/>
      <c r="B256" s="13"/>
      <c r="C256" s="13"/>
      <c r="D256" s="13"/>
      <c r="E256" s="13"/>
      <c r="F256" s="11" t="str">
        <f>IF(OR(E256="",E255=""),"",IF(E255=0,"",(E256/E255)-1))</f>
        <v/>
      </c>
      <c r="G256" s="13"/>
      <c r="H256" s="11" t="str">
        <f>IF(OR(G256="",G255=""),"",IF(G255=0,"",(G256/G255)-1))</f>
        <v/>
      </c>
      <c r="I256" s="13"/>
      <c r="J256" s="13"/>
      <c r="K256" s="13"/>
      <c r="L256" s="13"/>
      <c r="M256" s="23" t="str">
        <f>IF(OR(L256="",L255=""),"",IF(L255=0,"",(L256/L255)-1))</f>
        <v/>
      </c>
      <c r="N256" s="26" t="str">
        <f>IFERROR((M256/M255)-1,"")</f>
        <v/>
      </c>
      <c r="O256" s="23" t="str">
        <f>IF(OR(N256="",N255=""),"",IF(N255=0,"",(N256/N255)-1))</f>
        <v/>
      </c>
      <c r="P256" s="11" t="str">
        <f>IF(ROW()&lt;7,"",IF(OR(E256="",E253=""),"",IF(E253=0,"",(E256/E253)-1)))</f>
        <v/>
      </c>
      <c r="Q256" s="23" t="str">
        <f>IF(ROW()&lt;9,"",IF(OR(E256="",E251=""),"",IF(E251=0,"",(E256/E251)-1)))</f>
        <v/>
      </c>
      <c r="R256" s="23" t="str">
        <f>IF(ROW()&lt;7,"",IF(OR(G256="",G253=""),"",IF(G253=0,"",(G256/G253)-1)))</f>
        <v/>
      </c>
      <c r="S256" s="23" t="str">
        <f>IF(ROW()&lt;9,"",IF(OR(G256="",G251=""),"",IF(G251=0,"",(G256/G251)-1)))</f>
        <v/>
      </c>
      <c r="T256" s="23" t="str">
        <f>IF(ROW()&lt;7,"",IF(OR(L256="",L253=""),"",IF(L253=0,"",(L256/L253)-1)))</f>
        <v/>
      </c>
      <c r="U256" s="23" t="str">
        <f>IF(ROW()&lt;9,"",IF(OR(L256="",L251=""),"",IF(L251=0,"",(L256/L251)-1)))</f>
        <v/>
      </c>
      <c r="V256" s="23" t="str">
        <f>IF(ROW()&lt;7,"",IF(OR(N256="",N253=""),"",IF(N253=0,"",(N256/N253)-1)))</f>
        <v/>
      </c>
      <c r="W256" s="23" t="str">
        <f>IF(ROW()&lt;9,"",IF(OR(N256="",N251=""),"",IF(N251=0,"",(N256/N251)-1)))</f>
        <v/>
      </c>
      <c r="X256" s="23" t="str">
        <f>IF(OR(F256="",M256=""),"",F256-M256)</f>
        <v/>
      </c>
      <c r="Y256" s="23" t="str">
        <f>IF(OR(P256="",T256=""),"",P256-T256)</f>
        <v/>
      </c>
      <c r="Z256" s="23" t="str">
        <f>IF(OR(Q256="",U256=""),"",Q256-U256)</f>
        <v/>
      </c>
      <c r="AA256" s="23" t="str">
        <f>IF(OR(H256="",O256=""),"",H256-O256)</f>
        <v/>
      </c>
      <c r="AB256" s="23" t="str">
        <f>IF(OR(R256="",V256=""),"",R256-V256)</f>
        <v/>
      </c>
      <c r="AC256" s="23" t="str">
        <f>IF(OR(S256="",W256=""),"",S256-W256)</f>
        <v/>
      </c>
      <c r="AD256" s="13"/>
      <c r="AE256" s="23" t="str">
        <f>IF(OR(AD256="",AD255=""),"",IF(AD255=0,"",(AD256/AD255)-1))</f>
        <v/>
      </c>
      <c r="AF256" s="23" t="str">
        <f>IF(ROW()&lt;7,"",IF(OR(AD256="",AD253=""),"",IF(AD253=0,"",(AD256/AD253)-1)))</f>
        <v/>
      </c>
      <c r="AG256" s="23" t="str">
        <f>IF(ROW()&lt;9,"",IF(OR(AD256="",AD251=""),"",IF(AD251=0,"",(AD256/AD251)-1)))</f>
        <v/>
      </c>
      <c r="AH256" s="23" t="str">
        <f>IF(OR(AF256="",AG256=""),"",IF(AND(AF256&gt;0,AG256&gt;0),"Bull",IF(AND(AF256&lt;0,AG256&lt;0),"Bear","Mixed")))</f>
        <v/>
      </c>
      <c r="AI256" s="13"/>
      <c r="AJ256" s="13" t="str">
        <f>IF(OR(AI256="",AI255=""),"",IF(AI255=0,"",(AI256/AI255)-1))</f>
        <v/>
      </c>
      <c r="AK256" s="23" t="str">
        <f>IF(OR(AJ256="",AJ255=""),"",IF(AJ255=0,"",(AJ256/AJ255)-1))</f>
        <v/>
      </c>
      <c r="AL256" s="23" t="str">
        <f>IF(ROW()&lt;7,"",IF(OR(AJ256="",AJ253=""),"",IF(AJ253=0,"",(AJ256/AJ253)-1)))</f>
        <v/>
      </c>
      <c r="AM256" s="23" t="str">
        <f>IF(ROW()&lt;9,"",IF(OR(AJ256="",AJ251=""),"",IF(AJ251=0,"",(AJ256/AJ251)-1)))</f>
        <v/>
      </c>
      <c r="AN256" t="str">
        <f>IF(OR(AL256="",AM256=""),"",IF(AND(AL256&gt;0,AM256&gt;0),"Bull",IF(AND(AL256&lt;0,AM256&lt;0),"Bear","Mixed")))</f>
        <v/>
      </c>
      <c r="AO256" t="str">
        <f>IF(OR(AH256="",AN256=""),"",IF(AND(AH256="Bull",AN256="Bull"),"YES","NO"))</f>
        <v/>
      </c>
      <c r="AP256" t="str">
        <f>IF(OR(AH256="",AN256=""),"",IF(AND(AH256="Bear",AN256="Bear"),"YES","NO"))</f>
        <v/>
      </c>
      <c r="AQ256" t="str">
        <f>IF(AO256="YES",IF(SUM(N(X256),N(Y256),N(Z256))&gt;0,"SOXL","TQQQ"),IF(AP256="YES",IF(SUM(N(AA256),N(AB256),N(AC256))&gt;0,"SOXS","SQQQ"),"WAIT"))</f>
        <v>WAIT</v>
      </c>
      <c r="AR256" s="23" t="str">
        <f>IF(AO256="YES",IF(SUM(N(X256),N(Y256),N(Z256))&gt;0,"TQQQ","SOXL"),IF(AP256="YES",IF(SUM(N(AA256),N(AB256),N(AC256))&gt;0,"SQQQ","SOXS"),""))</f>
        <v/>
      </c>
      <c r="AS256" s="23" t="str">
        <f>IF(AQ256="WAIT","",IF(AR256="",1,0.6))</f>
        <v/>
      </c>
      <c r="AT256" s="23">
        <f>IF(AR256="",0,0.4)</f>
        <v>0</v>
      </c>
      <c r="AU256" s="23" t="str">
        <f>IF(AQ256="WAIT","WAIT",IF(AO256="YES","BULL",IF(AP256="YES","BEAR","WAIT")))</f>
        <v>WAIT</v>
      </c>
      <c r="AV256" t="str">
        <f>IF(AQ256="WAIT","Low",IF(OR(AND(AU256="BULL",ABS(SUM(N(X256),N(Y256),N(Z256)))&gt;=0.15),AND(AU256="BEAR",ABS(SUM(N(AA256),N(AB256),N(AC256)))&gt;=0.15)),"Strong",IF(OR(AND(AU256="BULL",ABS(SUM(N(X256),N(Y256),N(Z256)))&gt;=0.05),AND(AU256="BEAR",ABS(SUM(N(AA256),N(AB256),N(AC256)))&gt;=0.05)),"Moderate","Low")))</f>
        <v>Low</v>
      </c>
      <c r="AW256" t="str">
        <f>IF(AQ256="WAIT","QQQ and SMH not aligned",IF(AU256="BULL",IF(AQ256="SOXL","Bull regime; semiconductors leading","Bull regime; tech leading"),IF(AQ256="SOXS","Bear regime; semiconductors weakest","Bear regime; tech weakest")))</f>
        <v>QQQ and SMH not aligned</v>
      </c>
      <c r="AX256" t="str">
        <f>IF(AR256="WAIT","QQQ and SMH not aligned",IF(AV256="BULL",IF(AR256="SOXL","Bull regime; semiconductors leading","Bull regime; tech leading"),IF(AR256="SOXS","Bear regime; semiconductors weakest","Bear regime; tech weakest")))</f>
        <v>Bear regime; tech weakest</v>
      </c>
    </row>
    <row r="257" spans="1:50" x14ac:dyDescent="0.2">
      <c r="A257" s="12"/>
      <c r="B257" s="13"/>
      <c r="C257" s="13"/>
      <c r="D257" s="13"/>
      <c r="E257" s="13"/>
      <c r="F257" s="11" t="str">
        <f>IF(OR(E257="",E256=""),"",IF(E256=0,"",(E257/E256)-1))</f>
        <v/>
      </c>
      <c r="G257" s="13"/>
      <c r="H257" s="11" t="str">
        <f>IF(OR(G257="",G256=""),"",IF(G256=0,"",(G257/G256)-1))</f>
        <v/>
      </c>
      <c r="I257" s="13"/>
      <c r="J257" s="13"/>
      <c r="K257" s="13"/>
      <c r="L257" s="13"/>
      <c r="M257" s="23" t="str">
        <f>IF(OR(L257="",L256=""),"",IF(L256=0,"",(L257/L256)-1))</f>
        <v/>
      </c>
      <c r="N257" s="26" t="str">
        <f>IFERROR((M257/M256)-1,"")</f>
        <v/>
      </c>
      <c r="O257" s="23" t="str">
        <f>IF(OR(N257="",N256=""),"",IF(N256=0,"",(N257/N256)-1))</f>
        <v/>
      </c>
      <c r="P257" s="11" t="str">
        <f>IF(ROW()&lt;7,"",IF(OR(E257="",E254=""),"",IF(E254=0,"",(E257/E254)-1)))</f>
        <v/>
      </c>
      <c r="Q257" s="23" t="str">
        <f>IF(ROW()&lt;9,"",IF(OR(E257="",E252=""),"",IF(E252=0,"",(E257/E252)-1)))</f>
        <v/>
      </c>
      <c r="R257" s="23" t="str">
        <f>IF(ROW()&lt;7,"",IF(OR(G257="",G254=""),"",IF(G254=0,"",(G257/G254)-1)))</f>
        <v/>
      </c>
      <c r="S257" s="23" t="str">
        <f>IF(ROW()&lt;9,"",IF(OR(G257="",G252=""),"",IF(G252=0,"",(G257/G252)-1)))</f>
        <v/>
      </c>
      <c r="T257" s="23" t="str">
        <f>IF(ROW()&lt;7,"",IF(OR(L257="",L254=""),"",IF(L254=0,"",(L257/L254)-1)))</f>
        <v/>
      </c>
      <c r="U257" s="23" t="str">
        <f>IF(ROW()&lt;9,"",IF(OR(L257="",L252=""),"",IF(L252=0,"",(L257/L252)-1)))</f>
        <v/>
      </c>
      <c r="V257" s="23" t="str">
        <f>IF(ROW()&lt;7,"",IF(OR(N257="",N254=""),"",IF(N254=0,"",(N257/N254)-1)))</f>
        <v/>
      </c>
      <c r="W257" s="23" t="str">
        <f>IF(ROW()&lt;9,"",IF(OR(N257="",N252=""),"",IF(N252=0,"",(N257/N252)-1)))</f>
        <v/>
      </c>
      <c r="X257" s="23" t="str">
        <f>IF(OR(F257="",M257=""),"",F257-M257)</f>
        <v/>
      </c>
      <c r="Y257" s="23" t="str">
        <f>IF(OR(P257="",T257=""),"",P257-T257)</f>
        <v/>
      </c>
      <c r="Z257" s="23" t="str">
        <f>IF(OR(Q257="",U257=""),"",Q257-U257)</f>
        <v/>
      </c>
      <c r="AA257" s="23" t="str">
        <f>IF(OR(H257="",O257=""),"",H257-O257)</f>
        <v/>
      </c>
      <c r="AB257" s="23" t="str">
        <f>IF(OR(R257="",V257=""),"",R257-V257)</f>
        <v/>
      </c>
      <c r="AC257" s="23" t="str">
        <f>IF(OR(S257="",W257=""),"",S257-W257)</f>
        <v/>
      </c>
      <c r="AD257" s="13"/>
      <c r="AE257" s="23" t="str">
        <f>IF(OR(AD257="",AD256=""),"",IF(AD256=0,"",(AD257/AD256)-1))</f>
        <v/>
      </c>
      <c r="AF257" s="23" t="str">
        <f>IF(ROW()&lt;7,"",IF(OR(AD257="",AD254=""),"",IF(AD254=0,"",(AD257/AD254)-1)))</f>
        <v/>
      </c>
      <c r="AG257" s="23" t="str">
        <f>IF(ROW()&lt;9,"",IF(OR(AD257="",AD252=""),"",IF(AD252=0,"",(AD257/AD252)-1)))</f>
        <v/>
      </c>
      <c r="AH257" s="23" t="str">
        <f>IF(OR(AF257="",AG257=""),"",IF(AND(AF257&gt;0,AG257&gt;0),"Bull",IF(AND(AF257&lt;0,AG257&lt;0),"Bear","Mixed")))</f>
        <v/>
      </c>
      <c r="AI257" s="13"/>
      <c r="AJ257" s="13" t="str">
        <f>IF(OR(AI257="",AI256=""),"",IF(AI256=0,"",(AI257/AI256)-1))</f>
        <v/>
      </c>
      <c r="AK257" s="23" t="str">
        <f>IF(OR(AJ257="",AJ256=""),"",IF(AJ256=0,"",(AJ257/AJ256)-1))</f>
        <v/>
      </c>
      <c r="AL257" s="23" t="str">
        <f>IF(ROW()&lt;7,"",IF(OR(AJ257="",AJ254=""),"",IF(AJ254=0,"",(AJ257/AJ254)-1)))</f>
        <v/>
      </c>
      <c r="AM257" s="23" t="str">
        <f>IF(ROW()&lt;9,"",IF(OR(AJ257="",AJ252=""),"",IF(AJ252=0,"",(AJ257/AJ252)-1)))</f>
        <v/>
      </c>
      <c r="AN257" t="str">
        <f>IF(OR(AL257="",AM257=""),"",IF(AND(AL257&gt;0,AM257&gt;0),"Bull",IF(AND(AL257&lt;0,AM257&lt;0),"Bear","Mixed")))</f>
        <v/>
      </c>
      <c r="AO257" t="str">
        <f>IF(OR(AH257="",AN257=""),"",IF(AND(AH257="Bull",AN257="Bull"),"YES","NO"))</f>
        <v/>
      </c>
      <c r="AP257" t="str">
        <f>IF(OR(AH257="",AN257=""),"",IF(AND(AH257="Bear",AN257="Bear"),"YES","NO"))</f>
        <v/>
      </c>
      <c r="AQ257" t="str">
        <f>IF(AO257="YES",IF(SUM(N(X257),N(Y257),N(Z257))&gt;0,"SOXL","TQQQ"),IF(AP257="YES",IF(SUM(N(AA257),N(AB257),N(AC257))&gt;0,"SOXS","SQQQ"),"WAIT"))</f>
        <v>WAIT</v>
      </c>
      <c r="AR257" s="23" t="str">
        <f>IF(AO257="YES",IF(SUM(N(X257),N(Y257),N(Z257))&gt;0,"TQQQ","SOXL"),IF(AP257="YES",IF(SUM(N(AA257),N(AB257),N(AC257))&gt;0,"SQQQ","SOXS"),""))</f>
        <v/>
      </c>
      <c r="AS257" s="23" t="str">
        <f>IF(AQ257="WAIT","",IF(AR257="",1,0.6))</f>
        <v/>
      </c>
      <c r="AT257" s="23">
        <f>IF(AR257="",0,0.4)</f>
        <v>0</v>
      </c>
      <c r="AU257" s="23" t="str">
        <f>IF(AQ257="WAIT","WAIT",IF(AO257="YES","BULL",IF(AP257="YES","BEAR","WAIT")))</f>
        <v>WAIT</v>
      </c>
      <c r="AV257" t="str">
        <f>IF(AQ257="WAIT","Low",IF(OR(AND(AU257="BULL",ABS(SUM(N(X257),N(Y257),N(Z257)))&gt;=0.15),AND(AU257="BEAR",ABS(SUM(N(AA257),N(AB257),N(AC257)))&gt;=0.15)),"Strong",IF(OR(AND(AU257="BULL",ABS(SUM(N(X257),N(Y257),N(Z257)))&gt;=0.05),AND(AU257="BEAR",ABS(SUM(N(AA257),N(AB257),N(AC257)))&gt;=0.05)),"Moderate","Low")))</f>
        <v>Low</v>
      </c>
      <c r="AW257" t="str">
        <f>IF(AQ257="WAIT","QQQ and SMH not aligned",IF(AU257="BULL",IF(AQ257="SOXL","Bull regime; semiconductors leading","Bull regime; tech leading"),IF(AQ257="SOXS","Bear regime; semiconductors weakest","Bear regime; tech weakest")))</f>
        <v>QQQ and SMH not aligned</v>
      </c>
      <c r="AX257" t="str">
        <f>IF(AR257="WAIT","QQQ and SMH not aligned",IF(AV257="BULL",IF(AR257="SOXL","Bull regime; semiconductors leading","Bull regime; tech leading"),IF(AR257="SOXS","Bear regime; semiconductors weakest","Bear regime; tech weakest")))</f>
        <v>Bear regime; tech weakest</v>
      </c>
    </row>
    <row r="258" spans="1:50" x14ac:dyDescent="0.2">
      <c r="A258" s="12"/>
      <c r="B258" s="13"/>
      <c r="C258" s="13"/>
      <c r="D258" s="13"/>
      <c r="E258" s="13"/>
      <c r="F258" s="11" t="str">
        <f>IF(OR(E258="",E257=""),"",IF(E257=0,"",(E258/E257)-1))</f>
        <v/>
      </c>
      <c r="G258" s="13"/>
      <c r="H258" s="11" t="str">
        <f>IF(OR(G258="",G257=""),"",IF(G257=0,"",(G258/G257)-1))</f>
        <v/>
      </c>
      <c r="I258" s="13"/>
      <c r="J258" s="13"/>
      <c r="K258" s="13"/>
      <c r="L258" s="13"/>
      <c r="M258" s="23" t="str">
        <f>IF(OR(L258="",L257=""),"",IF(L257=0,"",(L258/L257)-1))</f>
        <v/>
      </c>
      <c r="N258" s="26" t="str">
        <f>IFERROR((M258/M257)-1,"")</f>
        <v/>
      </c>
      <c r="O258" s="23" t="str">
        <f>IF(OR(N258="",N257=""),"",IF(N257=0,"",(N258/N257)-1))</f>
        <v/>
      </c>
      <c r="P258" s="11" t="str">
        <f>IF(ROW()&lt;7,"",IF(OR(E258="",E255=""),"",IF(E255=0,"",(E258/E255)-1)))</f>
        <v/>
      </c>
      <c r="Q258" s="23" t="str">
        <f>IF(ROW()&lt;9,"",IF(OR(E258="",E253=""),"",IF(E253=0,"",(E258/E253)-1)))</f>
        <v/>
      </c>
      <c r="R258" s="23" t="str">
        <f>IF(ROW()&lt;7,"",IF(OR(G258="",G255=""),"",IF(G255=0,"",(G258/G255)-1)))</f>
        <v/>
      </c>
      <c r="S258" s="23" t="str">
        <f>IF(ROW()&lt;9,"",IF(OR(G258="",G253=""),"",IF(G253=0,"",(G258/G253)-1)))</f>
        <v/>
      </c>
      <c r="T258" s="23" t="str">
        <f>IF(ROW()&lt;7,"",IF(OR(L258="",L255=""),"",IF(L255=0,"",(L258/L255)-1)))</f>
        <v/>
      </c>
      <c r="U258" s="23" t="str">
        <f>IF(ROW()&lt;9,"",IF(OR(L258="",L253=""),"",IF(L253=0,"",(L258/L253)-1)))</f>
        <v/>
      </c>
      <c r="V258" s="23" t="str">
        <f>IF(ROW()&lt;7,"",IF(OR(N258="",N255=""),"",IF(N255=0,"",(N258/N255)-1)))</f>
        <v/>
      </c>
      <c r="W258" s="23" t="str">
        <f>IF(ROW()&lt;9,"",IF(OR(N258="",N253=""),"",IF(N253=0,"",(N258/N253)-1)))</f>
        <v/>
      </c>
      <c r="X258" s="23" t="str">
        <f>IF(OR(F258="",M258=""),"",F258-M258)</f>
        <v/>
      </c>
      <c r="Y258" s="23" t="str">
        <f>IF(OR(P258="",T258=""),"",P258-T258)</f>
        <v/>
      </c>
      <c r="Z258" s="23" t="str">
        <f>IF(OR(Q258="",U258=""),"",Q258-U258)</f>
        <v/>
      </c>
      <c r="AA258" s="23" t="str">
        <f>IF(OR(H258="",O258=""),"",H258-O258)</f>
        <v/>
      </c>
      <c r="AB258" s="23" t="str">
        <f>IF(OR(R258="",V258=""),"",R258-V258)</f>
        <v/>
      </c>
      <c r="AC258" s="23" t="str">
        <f>IF(OR(S258="",W258=""),"",S258-W258)</f>
        <v/>
      </c>
      <c r="AD258" s="13"/>
      <c r="AE258" s="23" t="str">
        <f>IF(OR(AD258="",AD257=""),"",IF(AD257=0,"",(AD258/AD257)-1))</f>
        <v/>
      </c>
      <c r="AF258" s="23" t="str">
        <f>IF(ROW()&lt;7,"",IF(OR(AD258="",AD255=""),"",IF(AD255=0,"",(AD258/AD255)-1)))</f>
        <v/>
      </c>
      <c r="AG258" s="23" t="str">
        <f>IF(ROW()&lt;9,"",IF(OR(AD258="",AD253=""),"",IF(AD253=0,"",(AD258/AD253)-1)))</f>
        <v/>
      </c>
      <c r="AH258" s="23" t="str">
        <f>IF(OR(AF258="",AG258=""),"",IF(AND(AF258&gt;0,AG258&gt;0),"Bull",IF(AND(AF258&lt;0,AG258&lt;0),"Bear","Mixed")))</f>
        <v/>
      </c>
      <c r="AI258" s="13"/>
      <c r="AJ258" s="13" t="str">
        <f>IF(OR(AI258="",AI257=""),"",IF(AI257=0,"",(AI258/AI257)-1))</f>
        <v/>
      </c>
      <c r="AK258" s="23" t="str">
        <f>IF(OR(AJ258="",AJ257=""),"",IF(AJ257=0,"",(AJ258/AJ257)-1))</f>
        <v/>
      </c>
      <c r="AL258" s="23" t="str">
        <f>IF(ROW()&lt;7,"",IF(OR(AJ258="",AJ255=""),"",IF(AJ255=0,"",(AJ258/AJ255)-1)))</f>
        <v/>
      </c>
      <c r="AM258" s="23" t="str">
        <f>IF(ROW()&lt;9,"",IF(OR(AJ258="",AJ253=""),"",IF(AJ253=0,"",(AJ258/AJ253)-1)))</f>
        <v/>
      </c>
      <c r="AN258" t="str">
        <f>IF(OR(AL258="",AM258=""),"",IF(AND(AL258&gt;0,AM258&gt;0),"Bull",IF(AND(AL258&lt;0,AM258&lt;0),"Bear","Mixed")))</f>
        <v/>
      </c>
      <c r="AO258" t="str">
        <f>IF(OR(AH258="",AN258=""),"",IF(AND(AH258="Bull",AN258="Bull"),"YES","NO"))</f>
        <v/>
      </c>
      <c r="AP258" t="str">
        <f>IF(OR(AH258="",AN258=""),"",IF(AND(AH258="Bear",AN258="Bear"),"YES","NO"))</f>
        <v/>
      </c>
      <c r="AQ258" t="str">
        <f>IF(AO258="YES",IF(SUM(N(X258),N(Y258),N(Z258))&gt;0,"SOXL","TQQQ"),IF(AP258="YES",IF(SUM(N(AA258),N(AB258),N(AC258))&gt;0,"SOXS","SQQQ"),"WAIT"))</f>
        <v>WAIT</v>
      </c>
      <c r="AR258" s="23" t="str">
        <f>IF(AO258="YES",IF(SUM(N(X258),N(Y258),N(Z258))&gt;0,"TQQQ","SOXL"),IF(AP258="YES",IF(SUM(N(AA258),N(AB258),N(AC258))&gt;0,"SQQQ","SOXS"),""))</f>
        <v/>
      </c>
      <c r="AS258" s="23" t="str">
        <f>IF(AQ258="WAIT","",IF(AR258="",1,0.6))</f>
        <v/>
      </c>
      <c r="AT258" s="23">
        <f>IF(AR258="",0,0.4)</f>
        <v>0</v>
      </c>
      <c r="AU258" s="23" t="str">
        <f>IF(AQ258="WAIT","WAIT",IF(AO258="YES","BULL",IF(AP258="YES","BEAR","WAIT")))</f>
        <v>WAIT</v>
      </c>
      <c r="AV258" t="str">
        <f>IF(AQ258="WAIT","Low",IF(OR(AND(AU258="BULL",ABS(SUM(N(X258),N(Y258),N(Z258)))&gt;=0.15),AND(AU258="BEAR",ABS(SUM(N(AA258),N(AB258),N(AC258)))&gt;=0.15)),"Strong",IF(OR(AND(AU258="BULL",ABS(SUM(N(X258),N(Y258),N(Z258)))&gt;=0.05),AND(AU258="BEAR",ABS(SUM(N(AA258),N(AB258),N(AC258)))&gt;=0.05)),"Moderate","Low")))</f>
        <v>Low</v>
      </c>
      <c r="AW258" t="str">
        <f>IF(AQ258="WAIT","QQQ and SMH not aligned",IF(AU258="BULL",IF(AQ258="SOXL","Bull regime; semiconductors leading","Bull regime; tech leading"),IF(AQ258="SOXS","Bear regime; semiconductors weakest","Bear regime; tech weakest")))</f>
        <v>QQQ and SMH not aligned</v>
      </c>
      <c r="AX258" t="str">
        <f>IF(AR258="WAIT","QQQ and SMH not aligned",IF(AV258="BULL",IF(AR258="SOXL","Bull regime; semiconductors leading","Bull regime; tech leading"),IF(AR258="SOXS","Bear regime; semiconductors weakest","Bear regime; tech weakest")))</f>
        <v>Bear regime; tech weakest</v>
      </c>
    </row>
    <row r="259" spans="1:50" x14ac:dyDescent="0.2">
      <c r="A259" s="12"/>
      <c r="B259" s="13"/>
      <c r="C259" s="13"/>
      <c r="D259" s="13"/>
      <c r="E259" s="13"/>
      <c r="F259" s="11" t="str">
        <f>IF(OR(E259="",E258=""),"",IF(E258=0,"",(E259/E258)-1))</f>
        <v/>
      </c>
      <c r="G259" s="13"/>
      <c r="H259" s="11" t="str">
        <f>IF(OR(G259="",G258=""),"",IF(G258=0,"",(G259/G258)-1))</f>
        <v/>
      </c>
      <c r="I259" s="13"/>
      <c r="J259" s="13"/>
      <c r="K259" s="13"/>
      <c r="L259" s="13"/>
      <c r="M259" s="23" t="str">
        <f>IF(OR(L259="",L258=""),"",IF(L258=0,"",(L259/L258)-1))</f>
        <v/>
      </c>
      <c r="N259" s="26" t="str">
        <f>IFERROR((M259/M258)-1,"")</f>
        <v/>
      </c>
      <c r="O259" s="23" t="str">
        <f>IF(OR(N259="",N258=""),"",IF(N258=0,"",(N259/N258)-1))</f>
        <v/>
      </c>
      <c r="P259" s="11" t="str">
        <f>IF(ROW()&lt;7,"",IF(OR(E259="",E256=""),"",IF(E256=0,"",(E259/E256)-1)))</f>
        <v/>
      </c>
      <c r="Q259" s="23" t="str">
        <f>IF(ROW()&lt;9,"",IF(OR(E259="",E254=""),"",IF(E254=0,"",(E259/E254)-1)))</f>
        <v/>
      </c>
      <c r="R259" s="23" t="str">
        <f>IF(ROW()&lt;7,"",IF(OR(G259="",G256=""),"",IF(G256=0,"",(G259/G256)-1)))</f>
        <v/>
      </c>
      <c r="S259" s="23" t="str">
        <f>IF(ROW()&lt;9,"",IF(OR(G259="",G254=""),"",IF(G254=0,"",(G259/G254)-1)))</f>
        <v/>
      </c>
      <c r="T259" s="23" t="str">
        <f>IF(ROW()&lt;7,"",IF(OR(L259="",L256=""),"",IF(L256=0,"",(L259/L256)-1)))</f>
        <v/>
      </c>
      <c r="U259" s="23" t="str">
        <f>IF(ROW()&lt;9,"",IF(OR(L259="",L254=""),"",IF(L254=0,"",(L259/L254)-1)))</f>
        <v/>
      </c>
      <c r="V259" s="23" t="str">
        <f>IF(ROW()&lt;7,"",IF(OR(N259="",N256=""),"",IF(N256=0,"",(N259/N256)-1)))</f>
        <v/>
      </c>
      <c r="W259" s="23" t="str">
        <f>IF(ROW()&lt;9,"",IF(OR(N259="",N254=""),"",IF(N254=0,"",(N259/N254)-1)))</f>
        <v/>
      </c>
      <c r="X259" s="23" t="str">
        <f>IF(OR(F259="",M259=""),"",F259-M259)</f>
        <v/>
      </c>
      <c r="Y259" s="23" t="str">
        <f>IF(OR(P259="",T259=""),"",P259-T259)</f>
        <v/>
      </c>
      <c r="Z259" s="23" t="str">
        <f>IF(OR(Q259="",U259=""),"",Q259-U259)</f>
        <v/>
      </c>
      <c r="AA259" s="23" t="str">
        <f>IF(OR(H259="",O259=""),"",H259-O259)</f>
        <v/>
      </c>
      <c r="AB259" s="23" t="str">
        <f>IF(OR(R259="",V259=""),"",R259-V259)</f>
        <v/>
      </c>
      <c r="AC259" s="23" t="str">
        <f>IF(OR(S259="",W259=""),"",S259-W259)</f>
        <v/>
      </c>
      <c r="AD259" s="13"/>
      <c r="AE259" s="23" t="str">
        <f>IF(OR(AD259="",AD258=""),"",IF(AD258=0,"",(AD259/AD258)-1))</f>
        <v/>
      </c>
      <c r="AF259" s="23" t="str">
        <f>IF(ROW()&lt;7,"",IF(OR(AD259="",AD256=""),"",IF(AD256=0,"",(AD259/AD256)-1)))</f>
        <v/>
      </c>
      <c r="AG259" s="23" t="str">
        <f>IF(ROW()&lt;9,"",IF(OR(AD259="",AD254=""),"",IF(AD254=0,"",(AD259/AD254)-1)))</f>
        <v/>
      </c>
      <c r="AH259" s="23" t="str">
        <f>IF(OR(AF259="",AG259=""),"",IF(AND(AF259&gt;0,AG259&gt;0),"Bull",IF(AND(AF259&lt;0,AG259&lt;0),"Bear","Mixed")))</f>
        <v/>
      </c>
      <c r="AI259" s="13"/>
      <c r="AJ259" s="13" t="str">
        <f>IF(OR(AI259="",AI258=""),"",IF(AI258=0,"",(AI259/AI258)-1))</f>
        <v/>
      </c>
      <c r="AK259" s="23" t="str">
        <f>IF(OR(AJ259="",AJ258=""),"",IF(AJ258=0,"",(AJ259/AJ258)-1))</f>
        <v/>
      </c>
      <c r="AL259" s="23" t="str">
        <f>IF(ROW()&lt;7,"",IF(OR(AJ259="",AJ256=""),"",IF(AJ256=0,"",(AJ259/AJ256)-1)))</f>
        <v/>
      </c>
      <c r="AM259" s="23" t="str">
        <f>IF(ROW()&lt;9,"",IF(OR(AJ259="",AJ254=""),"",IF(AJ254=0,"",(AJ259/AJ254)-1)))</f>
        <v/>
      </c>
      <c r="AN259" t="str">
        <f>IF(OR(AL259="",AM259=""),"",IF(AND(AL259&gt;0,AM259&gt;0),"Bull",IF(AND(AL259&lt;0,AM259&lt;0),"Bear","Mixed")))</f>
        <v/>
      </c>
      <c r="AO259" t="str">
        <f>IF(OR(AH259="",AN259=""),"",IF(AND(AH259="Bull",AN259="Bull"),"YES","NO"))</f>
        <v/>
      </c>
      <c r="AP259" t="str">
        <f>IF(OR(AH259="",AN259=""),"",IF(AND(AH259="Bear",AN259="Bear"),"YES","NO"))</f>
        <v/>
      </c>
      <c r="AQ259" t="str">
        <f>IF(AO259="YES",IF(SUM(N(X259),N(Y259),N(Z259))&gt;0,"SOXL","TQQQ"),IF(AP259="YES",IF(SUM(N(AA259),N(AB259),N(AC259))&gt;0,"SOXS","SQQQ"),"WAIT"))</f>
        <v>WAIT</v>
      </c>
      <c r="AR259" s="23" t="str">
        <f>IF(AO259="YES",IF(SUM(N(X259),N(Y259),N(Z259))&gt;0,"TQQQ","SOXL"),IF(AP259="YES",IF(SUM(N(AA259),N(AB259),N(AC259))&gt;0,"SQQQ","SOXS"),""))</f>
        <v/>
      </c>
      <c r="AS259" s="23" t="str">
        <f>IF(AQ259="WAIT","",IF(AR259="",1,0.6))</f>
        <v/>
      </c>
      <c r="AT259" s="23">
        <f>IF(AR259="",0,0.4)</f>
        <v>0</v>
      </c>
      <c r="AU259" s="23" t="str">
        <f>IF(AQ259="WAIT","WAIT",IF(AO259="YES","BULL",IF(AP259="YES","BEAR","WAIT")))</f>
        <v>WAIT</v>
      </c>
      <c r="AV259" t="str">
        <f>IF(AQ259="WAIT","Low",IF(OR(AND(AU259="BULL",ABS(SUM(N(X259),N(Y259),N(Z259)))&gt;=0.15),AND(AU259="BEAR",ABS(SUM(N(AA259),N(AB259),N(AC259)))&gt;=0.15)),"Strong",IF(OR(AND(AU259="BULL",ABS(SUM(N(X259),N(Y259),N(Z259)))&gt;=0.05),AND(AU259="BEAR",ABS(SUM(N(AA259),N(AB259),N(AC259)))&gt;=0.05)),"Moderate","Low")))</f>
        <v>Low</v>
      </c>
      <c r="AW259" t="str">
        <f>IF(AQ259="WAIT","QQQ and SMH not aligned",IF(AU259="BULL",IF(AQ259="SOXL","Bull regime; semiconductors leading","Bull regime; tech leading"),IF(AQ259="SOXS","Bear regime; semiconductors weakest","Bear regime; tech weakest")))</f>
        <v>QQQ and SMH not aligned</v>
      </c>
      <c r="AX259" t="str">
        <f>IF(AR259="WAIT","QQQ and SMH not aligned",IF(AV259="BULL",IF(AR259="SOXL","Bull regime; semiconductors leading","Bull regime; tech leading"),IF(AR259="SOXS","Bear regime; semiconductors weakest","Bear regime; tech weakest")))</f>
        <v>Bear regime; tech weakest</v>
      </c>
    </row>
    <row r="260" spans="1:50" x14ac:dyDescent="0.2">
      <c r="A260" s="12"/>
      <c r="B260" s="13"/>
      <c r="C260" s="13"/>
      <c r="D260" s="13"/>
      <c r="E260" s="13"/>
      <c r="F260" s="11" t="str">
        <f>IF(OR(E260="",E259=""),"",IF(E259=0,"",(E260/E259)-1))</f>
        <v/>
      </c>
      <c r="G260" s="13"/>
      <c r="H260" s="11" t="str">
        <f>IF(OR(G260="",G259=""),"",IF(G259=0,"",(G260/G259)-1))</f>
        <v/>
      </c>
      <c r="I260" s="13"/>
      <c r="J260" s="13"/>
      <c r="K260" s="13"/>
      <c r="L260" s="13"/>
      <c r="M260" s="23" t="str">
        <f>IF(OR(L260="",L259=""),"",IF(L259=0,"",(L260/L259)-1))</f>
        <v/>
      </c>
      <c r="N260" s="26" t="str">
        <f>IFERROR((M260/M259)-1,"")</f>
        <v/>
      </c>
      <c r="O260" s="23" t="str">
        <f>IF(OR(N260="",N259=""),"",IF(N259=0,"",(N260/N259)-1))</f>
        <v/>
      </c>
      <c r="P260" s="11" t="str">
        <f>IF(ROW()&lt;7,"",IF(OR(E260="",E257=""),"",IF(E257=0,"",(E260/E257)-1)))</f>
        <v/>
      </c>
      <c r="Q260" s="23" t="str">
        <f>IF(ROW()&lt;9,"",IF(OR(E260="",E255=""),"",IF(E255=0,"",(E260/E255)-1)))</f>
        <v/>
      </c>
      <c r="R260" s="23" t="str">
        <f>IF(ROW()&lt;7,"",IF(OR(G260="",G257=""),"",IF(G257=0,"",(G260/G257)-1)))</f>
        <v/>
      </c>
      <c r="S260" s="23" t="str">
        <f>IF(ROW()&lt;9,"",IF(OR(G260="",G255=""),"",IF(G255=0,"",(G260/G255)-1)))</f>
        <v/>
      </c>
      <c r="T260" s="23" t="str">
        <f>IF(ROW()&lt;7,"",IF(OR(L260="",L257=""),"",IF(L257=0,"",(L260/L257)-1)))</f>
        <v/>
      </c>
      <c r="U260" s="23" t="str">
        <f>IF(ROW()&lt;9,"",IF(OR(L260="",L255=""),"",IF(L255=0,"",(L260/L255)-1)))</f>
        <v/>
      </c>
      <c r="V260" s="23" t="str">
        <f>IF(ROW()&lt;7,"",IF(OR(N260="",N257=""),"",IF(N257=0,"",(N260/N257)-1)))</f>
        <v/>
      </c>
      <c r="W260" s="23" t="str">
        <f>IF(ROW()&lt;9,"",IF(OR(N260="",N255=""),"",IF(N255=0,"",(N260/N255)-1)))</f>
        <v/>
      </c>
      <c r="X260" s="23" t="str">
        <f>IF(OR(F260="",M260=""),"",F260-M260)</f>
        <v/>
      </c>
      <c r="Y260" s="23" t="str">
        <f>IF(OR(P260="",T260=""),"",P260-T260)</f>
        <v/>
      </c>
      <c r="Z260" s="23" t="str">
        <f>IF(OR(Q260="",U260=""),"",Q260-U260)</f>
        <v/>
      </c>
      <c r="AA260" s="23" t="str">
        <f>IF(OR(H260="",O260=""),"",H260-O260)</f>
        <v/>
      </c>
      <c r="AB260" s="23" t="str">
        <f>IF(OR(R260="",V260=""),"",R260-V260)</f>
        <v/>
      </c>
      <c r="AC260" s="23" t="str">
        <f>IF(OR(S260="",W260=""),"",S260-W260)</f>
        <v/>
      </c>
      <c r="AD260" s="13"/>
      <c r="AE260" s="23" t="str">
        <f>IF(OR(AD260="",AD259=""),"",IF(AD259=0,"",(AD260/AD259)-1))</f>
        <v/>
      </c>
      <c r="AF260" s="23" t="str">
        <f>IF(ROW()&lt;7,"",IF(OR(AD260="",AD257=""),"",IF(AD257=0,"",(AD260/AD257)-1)))</f>
        <v/>
      </c>
      <c r="AG260" s="23" t="str">
        <f>IF(ROW()&lt;9,"",IF(OR(AD260="",AD255=""),"",IF(AD255=0,"",(AD260/AD255)-1)))</f>
        <v/>
      </c>
      <c r="AH260" s="23" t="str">
        <f>IF(OR(AF260="",AG260=""),"",IF(AND(AF260&gt;0,AG260&gt;0),"Bull",IF(AND(AF260&lt;0,AG260&lt;0),"Bear","Mixed")))</f>
        <v/>
      </c>
      <c r="AI260" s="13"/>
      <c r="AJ260" s="13" t="str">
        <f>IF(OR(AI260="",AI259=""),"",IF(AI259=0,"",(AI260/AI259)-1))</f>
        <v/>
      </c>
      <c r="AK260" s="23" t="str">
        <f>IF(OR(AJ260="",AJ259=""),"",IF(AJ259=0,"",(AJ260/AJ259)-1))</f>
        <v/>
      </c>
      <c r="AL260" s="23" t="str">
        <f>IF(ROW()&lt;7,"",IF(OR(AJ260="",AJ257=""),"",IF(AJ257=0,"",(AJ260/AJ257)-1)))</f>
        <v/>
      </c>
      <c r="AM260" s="23" t="str">
        <f>IF(ROW()&lt;9,"",IF(OR(AJ260="",AJ255=""),"",IF(AJ255=0,"",(AJ260/AJ255)-1)))</f>
        <v/>
      </c>
      <c r="AN260" t="str">
        <f>IF(OR(AL260="",AM260=""),"",IF(AND(AL260&gt;0,AM260&gt;0),"Bull",IF(AND(AL260&lt;0,AM260&lt;0),"Bear","Mixed")))</f>
        <v/>
      </c>
      <c r="AO260" t="str">
        <f>IF(OR(AH260="",AN260=""),"",IF(AND(AH260="Bull",AN260="Bull"),"YES","NO"))</f>
        <v/>
      </c>
      <c r="AP260" t="str">
        <f>IF(OR(AH260="",AN260=""),"",IF(AND(AH260="Bear",AN260="Bear"),"YES","NO"))</f>
        <v/>
      </c>
      <c r="AQ260" t="str">
        <f>IF(AO260="YES",IF(SUM(N(X260),N(Y260),N(Z260))&gt;0,"SOXL","TQQQ"),IF(AP260="YES",IF(SUM(N(AA260),N(AB260),N(AC260))&gt;0,"SOXS","SQQQ"),"WAIT"))</f>
        <v>WAIT</v>
      </c>
      <c r="AR260" s="23" t="str">
        <f>IF(AO260="YES",IF(SUM(N(X260),N(Y260),N(Z260))&gt;0,"TQQQ","SOXL"),IF(AP260="YES",IF(SUM(N(AA260),N(AB260),N(AC260))&gt;0,"SQQQ","SOXS"),""))</f>
        <v/>
      </c>
      <c r="AS260" s="23" t="str">
        <f>IF(AQ260="WAIT","",IF(AR260="",1,0.6))</f>
        <v/>
      </c>
      <c r="AT260" s="23">
        <f>IF(AR260="",0,0.4)</f>
        <v>0</v>
      </c>
      <c r="AU260" s="23" t="str">
        <f>IF(AQ260="WAIT","WAIT",IF(AO260="YES","BULL",IF(AP260="YES","BEAR","WAIT")))</f>
        <v>WAIT</v>
      </c>
      <c r="AV260" t="str">
        <f>IF(AQ260="WAIT","Low",IF(OR(AND(AU260="BULL",ABS(SUM(N(X260),N(Y260),N(Z260)))&gt;=0.15),AND(AU260="BEAR",ABS(SUM(N(AA260),N(AB260),N(AC260)))&gt;=0.15)),"Strong",IF(OR(AND(AU260="BULL",ABS(SUM(N(X260),N(Y260),N(Z260)))&gt;=0.05),AND(AU260="BEAR",ABS(SUM(N(AA260),N(AB260),N(AC260)))&gt;=0.05)),"Moderate","Low")))</f>
        <v>Low</v>
      </c>
      <c r="AW260" t="str">
        <f>IF(AQ260="WAIT","QQQ and SMH not aligned",IF(AU260="BULL",IF(AQ260="SOXL","Bull regime; semiconductors leading","Bull regime; tech leading"),IF(AQ260="SOXS","Bear regime; semiconductors weakest","Bear regime; tech weakest")))</f>
        <v>QQQ and SMH not aligned</v>
      </c>
      <c r="AX260" t="str">
        <f>IF(AR260="WAIT","QQQ and SMH not aligned",IF(AV260="BULL",IF(AR260="SOXL","Bull regime; semiconductors leading","Bull regime; tech leading"),IF(AR260="SOXS","Bear regime; semiconductors weakest","Bear regime; tech weakest")))</f>
        <v>Bear regime; tech weakest</v>
      </c>
    </row>
    <row r="261" spans="1:50" x14ac:dyDescent="0.2">
      <c r="A261" s="12"/>
      <c r="B261" s="13"/>
      <c r="C261" s="13"/>
      <c r="D261" s="13"/>
      <c r="E261" s="13"/>
      <c r="F261" s="11" t="str">
        <f>IF(OR(E261="",E260=""),"",IF(E260=0,"",(E261/E260)-1))</f>
        <v/>
      </c>
      <c r="G261" s="13"/>
      <c r="H261" s="11" t="str">
        <f>IF(OR(G261="",G260=""),"",IF(G260=0,"",(G261/G260)-1))</f>
        <v/>
      </c>
      <c r="I261" s="13"/>
      <c r="J261" s="13"/>
      <c r="K261" s="13"/>
      <c r="L261" s="13"/>
      <c r="M261" s="23" t="str">
        <f>IF(OR(L261="",L260=""),"",IF(L260=0,"",(L261/L260)-1))</f>
        <v/>
      </c>
      <c r="N261" s="26" t="str">
        <f>IFERROR((M261/M260)-1,"")</f>
        <v/>
      </c>
      <c r="O261" s="23" t="str">
        <f>IF(OR(N261="",N260=""),"",IF(N260=0,"",(N261/N260)-1))</f>
        <v/>
      </c>
      <c r="P261" s="11" t="str">
        <f>IF(ROW()&lt;7,"",IF(OR(E261="",E258=""),"",IF(E258=0,"",(E261/E258)-1)))</f>
        <v/>
      </c>
      <c r="Q261" s="23" t="str">
        <f>IF(ROW()&lt;9,"",IF(OR(E261="",E256=""),"",IF(E256=0,"",(E261/E256)-1)))</f>
        <v/>
      </c>
      <c r="R261" s="23" t="str">
        <f>IF(ROW()&lt;7,"",IF(OR(G261="",G258=""),"",IF(G258=0,"",(G261/G258)-1)))</f>
        <v/>
      </c>
      <c r="S261" s="23" t="str">
        <f>IF(ROW()&lt;9,"",IF(OR(G261="",G256=""),"",IF(G256=0,"",(G261/G256)-1)))</f>
        <v/>
      </c>
      <c r="T261" s="23" t="str">
        <f>IF(ROW()&lt;7,"",IF(OR(L261="",L258=""),"",IF(L258=0,"",(L261/L258)-1)))</f>
        <v/>
      </c>
      <c r="U261" s="23" t="str">
        <f>IF(ROW()&lt;9,"",IF(OR(L261="",L256=""),"",IF(L256=0,"",(L261/L256)-1)))</f>
        <v/>
      </c>
      <c r="V261" s="23" t="str">
        <f>IF(ROW()&lt;7,"",IF(OR(N261="",N258=""),"",IF(N258=0,"",(N261/N258)-1)))</f>
        <v/>
      </c>
      <c r="W261" s="23" t="str">
        <f>IF(ROW()&lt;9,"",IF(OR(N261="",N256=""),"",IF(N256=0,"",(N261/N256)-1)))</f>
        <v/>
      </c>
      <c r="X261" s="23" t="str">
        <f>IF(OR(F261="",M261=""),"",F261-M261)</f>
        <v/>
      </c>
      <c r="Y261" s="23" t="str">
        <f>IF(OR(P261="",T261=""),"",P261-T261)</f>
        <v/>
      </c>
      <c r="Z261" s="23" t="str">
        <f>IF(OR(Q261="",U261=""),"",Q261-U261)</f>
        <v/>
      </c>
      <c r="AA261" s="23" t="str">
        <f>IF(OR(H261="",O261=""),"",H261-O261)</f>
        <v/>
      </c>
      <c r="AB261" s="23" t="str">
        <f>IF(OR(R261="",V261=""),"",R261-V261)</f>
        <v/>
      </c>
      <c r="AC261" s="23" t="str">
        <f>IF(OR(S261="",W261=""),"",S261-W261)</f>
        <v/>
      </c>
      <c r="AD261" s="13"/>
      <c r="AE261" s="23" t="str">
        <f>IF(OR(AD261="",AD260=""),"",IF(AD260=0,"",(AD261/AD260)-1))</f>
        <v/>
      </c>
      <c r="AF261" s="23" t="str">
        <f>IF(ROW()&lt;7,"",IF(OR(AD261="",AD258=""),"",IF(AD258=0,"",(AD261/AD258)-1)))</f>
        <v/>
      </c>
      <c r="AG261" s="23" t="str">
        <f>IF(ROW()&lt;9,"",IF(OR(AD261="",AD256=""),"",IF(AD256=0,"",(AD261/AD256)-1)))</f>
        <v/>
      </c>
      <c r="AH261" s="23" t="str">
        <f>IF(OR(AF261="",AG261=""),"",IF(AND(AF261&gt;0,AG261&gt;0),"Bull",IF(AND(AF261&lt;0,AG261&lt;0),"Bear","Mixed")))</f>
        <v/>
      </c>
      <c r="AI261" s="13"/>
      <c r="AJ261" s="13" t="str">
        <f>IF(OR(AI261="",AI260=""),"",IF(AI260=0,"",(AI261/AI260)-1))</f>
        <v/>
      </c>
      <c r="AK261" s="23" t="str">
        <f>IF(OR(AJ261="",AJ260=""),"",IF(AJ260=0,"",(AJ261/AJ260)-1))</f>
        <v/>
      </c>
      <c r="AL261" s="23" t="str">
        <f>IF(ROW()&lt;7,"",IF(OR(AJ261="",AJ258=""),"",IF(AJ258=0,"",(AJ261/AJ258)-1)))</f>
        <v/>
      </c>
      <c r="AM261" s="23" t="str">
        <f>IF(ROW()&lt;9,"",IF(OR(AJ261="",AJ256=""),"",IF(AJ256=0,"",(AJ261/AJ256)-1)))</f>
        <v/>
      </c>
      <c r="AN261" t="str">
        <f>IF(OR(AL261="",AM261=""),"",IF(AND(AL261&gt;0,AM261&gt;0),"Bull",IF(AND(AL261&lt;0,AM261&lt;0),"Bear","Mixed")))</f>
        <v/>
      </c>
      <c r="AO261" t="str">
        <f>IF(OR(AH261="",AN261=""),"",IF(AND(AH261="Bull",AN261="Bull"),"YES","NO"))</f>
        <v/>
      </c>
      <c r="AP261" t="str">
        <f>IF(OR(AH261="",AN261=""),"",IF(AND(AH261="Bear",AN261="Bear"),"YES","NO"))</f>
        <v/>
      </c>
      <c r="AQ261" t="str">
        <f>IF(AO261="YES",IF(SUM(N(X261),N(Y261),N(Z261))&gt;0,"SOXL","TQQQ"),IF(AP261="YES",IF(SUM(N(AA261),N(AB261),N(AC261))&gt;0,"SOXS","SQQQ"),"WAIT"))</f>
        <v>WAIT</v>
      </c>
      <c r="AR261" s="23" t="str">
        <f>IF(AO261="YES",IF(SUM(N(X261),N(Y261),N(Z261))&gt;0,"TQQQ","SOXL"),IF(AP261="YES",IF(SUM(N(AA261),N(AB261),N(AC261))&gt;0,"SQQQ","SOXS"),""))</f>
        <v/>
      </c>
      <c r="AS261" s="23" t="str">
        <f>IF(AQ261="WAIT","",IF(AR261="",1,0.6))</f>
        <v/>
      </c>
      <c r="AT261" s="23">
        <f>IF(AR261="",0,0.4)</f>
        <v>0</v>
      </c>
      <c r="AU261" s="23" t="str">
        <f>IF(AQ261="WAIT","WAIT",IF(AO261="YES","BULL",IF(AP261="YES","BEAR","WAIT")))</f>
        <v>WAIT</v>
      </c>
      <c r="AV261" t="str">
        <f>IF(AQ261="WAIT","Low",IF(OR(AND(AU261="BULL",ABS(SUM(N(X261),N(Y261),N(Z261)))&gt;=0.15),AND(AU261="BEAR",ABS(SUM(N(AA261),N(AB261),N(AC261)))&gt;=0.15)),"Strong",IF(OR(AND(AU261="BULL",ABS(SUM(N(X261),N(Y261),N(Z261)))&gt;=0.05),AND(AU261="BEAR",ABS(SUM(N(AA261),N(AB261),N(AC261)))&gt;=0.05)),"Moderate","Low")))</f>
        <v>Low</v>
      </c>
      <c r="AW261" t="str">
        <f>IF(AQ261="WAIT","QQQ and SMH not aligned",IF(AU261="BULL",IF(AQ261="SOXL","Bull regime; semiconductors leading","Bull regime; tech leading"),IF(AQ261="SOXS","Bear regime; semiconductors weakest","Bear regime; tech weakest")))</f>
        <v>QQQ and SMH not aligned</v>
      </c>
      <c r="AX261" t="str">
        <f>IF(AR261="WAIT","QQQ and SMH not aligned",IF(AV261="BULL",IF(AR261="SOXL","Bull regime; semiconductors leading","Bull regime; tech leading"),IF(AR261="SOXS","Bear regime; semiconductors weakest","Bear regime; tech weakest")))</f>
        <v>Bear regime; tech weakest</v>
      </c>
    </row>
    <row r="262" spans="1:50" x14ac:dyDescent="0.2">
      <c r="A262" s="12"/>
      <c r="B262" s="13"/>
      <c r="C262" s="13"/>
      <c r="D262" s="13"/>
      <c r="E262" s="13"/>
      <c r="F262" s="11" t="str">
        <f>IF(OR(E262="",E261=""),"",IF(E261=0,"",(E262/E261)-1))</f>
        <v/>
      </c>
      <c r="G262" s="13"/>
      <c r="H262" s="11" t="str">
        <f>IF(OR(G262="",G261=""),"",IF(G261=0,"",(G262/G261)-1))</f>
        <v/>
      </c>
      <c r="I262" s="13"/>
      <c r="J262" s="13"/>
      <c r="K262" s="13"/>
      <c r="L262" s="13"/>
      <c r="M262" s="23" t="str">
        <f>IF(OR(L262="",L261=""),"",IF(L261=0,"",(L262/L261)-1))</f>
        <v/>
      </c>
      <c r="N262" s="26" t="str">
        <f>IFERROR((M262/M261)-1,"")</f>
        <v/>
      </c>
      <c r="O262" s="23" t="str">
        <f>IF(OR(N262="",N261=""),"",IF(N261=0,"",(N262/N261)-1))</f>
        <v/>
      </c>
      <c r="P262" s="11" t="str">
        <f>IF(ROW()&lt;7,"",IF(OR(E262="",E259=""),"",IF(E259=0,"",(E262/E259)-1)))</f>
        <v/>
      </c>
      <c r="Q262" s="23" t="str">
        <f>IF(ROW()&lt;9,"",IF(OR(E262="",E257=""),"",IF(E257=0,"",(E262/E257)-1)))</f>
        <v/>
      </c>
      <c r="R262" s="23" t="str">
        <f>IF(ROW()&lt;7,"",IF(OR(G262="",G259=""),"",IF(G259=0,"",(G262/G259)-1)))</f>
        <v/>
      </c>
      <c r="S262" s="23" t="str">
        <f>IF(ROW()&lt;9,"",IF(OR(G262="",G257=""),"",IF(G257=0,"",(G262/G257)-1)))</f>
        <v/>
      </c>
      <c r="T262" s="23" t="str">
        <f>IF(ROW()&lt;7,"",IF(OR(L262="",L259=""),"",IF(L259=0,"",(L262/L259)-1)))</f>
        <v/>
      </c>
      <c r="U262" s="23" t="str">
        <f>IF(ROW()&lt;9,"",IF(OR(L262="",L257=""),"",IF(L257=0,"",(L262/L257)-1)))</f>
        <v/>
      </c>
      <c r="V262" s="23" t="str">
        <f>IF(ROW()&lt;7,"",IF(OR(N262="",N259=""),"",IF(N259=0,"",(N262/N259)-1)))</f>
        <v/>
      </c>
      <c r="W262" s="23" t="str">
        <f>IF(ROW()&lt;9,"",IF(OR(N262="",N257=""),"",IF(N257=0,"",(N262/N257)-1)))</f>
        <v/>
      </c>
      <c r="X262" s="23" t="str">
        <f>IF(OR(F262="",M262=""),"",F262-M262)</f>
        <v/>
      </c>
      <c r="Y262" s="23" t="str">
        <f>IF(OR(P262="",T262=""),"",P262-T262)</f>
        <v/>
      </c>
      <c r="Z262" s="23" t="str">
        <f>IF(OR(Q262="",U262=""),"",Q262-U262)</f>
        <v/>
      </c>
      <c r="AA262" s="23" t="str">
        <f>IF(OR(H262="",O262=""),"",H262-O262)</f>
        <v/>
      </c>
      <c r="AB262" s="23" t="str">
        <f>IF(OR(R262="",V262=""),"",R262-V262)</f>
        <v/>
      </c>
      <c r="AC262" s="23" t="str">
        <f>IF(OR(S262="",W262=""),"",S262-W262)</f>
        <v/>
      </c>
      <c r="AD262" s="13"/>
      <c r="AE262" s="23" t="str">
        <f>IF(OR(AD262="",AD261=""),"",IF(AD261=0,"",(AD262/AD261)-1))</f>
        <v/>
      </c>
      <c r="AF262" s="23" t="str">
        <f>IF(ROW()&lt;7,"",IF(OR(AD262="",AD259=""),"",IF(AD259=0,"",(AD262/AD259)-1)))</f>
        <v/>
      </c>
      <c r="AG262" s="23" t="str">
        <f>IF(ROW()&lt;9,"",IF(OR(AD262="",AD257=""),"",IF(AD257=0,"",(AD262/AD257)-1)))</f>
        <v/>
      </c>
      <c r="AH262" s="23" t="str">
        <f>IF(OR(AF262="",AG262=""),"",IF(AND(AF262&gt;0,AG262&gt;0),"Bull",IF(AND(AF262&lt;0,AG262&lt;0),"Bear","Mixed")))</f>
        <v/>
      </c>
      <c r="AI262" s="13"/>
      <c r="AJ262" s="13" t="str">
        <f>IF(OR(AI262="",AI261=""),"",IF(AI261=0,"",(AI262/AI261)-1))</f>
        <v/>
      </c>
      <c r="AK262" s="23" t="str">
        <f>IF(OR(AJ262="",AJ261=""),"",IF(AJ261=0,"",(AJ262/AJ261)-1))</f>
        <v/>
      </c>
      <c r="AL262" s="23" t="str">
        <f>IF(ROW()&lt;7,"",IF(OR(AJ262="",AJ259=""),"",IF(AJ259=0,"",(AJ262/AJ259)-1)))</f>
        <v/>
      </c>
      <c r="AM262" s="23" t="str">
        <f>IF(ROW()&lt;9,"",IF(OR(AJ262="",AJ257=""),"",IF(AJ257=0,"",(AJ262/AJ257)-1)))</f>
        <v/>
      </c>
      <c r="AN262" t="str">
        <f>IF(OR(AL262="",AM262=""),"",IF(AND(AL262&gt;0,AM262&gt;0),"Bull",IF(AND(AL262&lt;0,AM262&lt;0),"Bear","Mixed")))</f>
        <v/>
      </c>
      <c r="AO262" t="str">
        <f>IF(OR(AH262="",AN262=""),"",IF(AND(AH262="Bull",AN262="Bull"),"YES","NO"))</f>
        <v/>
      </c>
      <c r="AP262" t="str">
        <f>IF(OR(AH262="",AN262=""),"",IF(AND(AH262="Bear",AN262="Bear"),"YES","NO"))</f>
        <v/>
      </c>
      <c r="AQ262" t="str">
        <f>IF(AO262="YES",IF(SUM(N(X262),N(Y262),N(Z262))&gt;0,"SOXL","TQQQ"),IF(AP262="YES",IF(SUM(N(AA262),N(AB262),N(AC262))&gt;0,"SOXS","SQQQ"),"WAIT"))</f>
        <v>WAIT</v>
      </c>
      <c r="AR262" s="23" t="str">
        <f>IF(AO262="YES",IF(SUM(N(X262),N(Y262),N(Z262))&gt;0,"TQQQ","SOXL"),IF(AP262="YES",IF(SUM(N(AA262),N(AB262),N(AC262))&gt;0,"SQQQ","SOXS"),""))</f>
        <v/>
      </c>
      <c r="AS262" s="23" t="str">
        <f>IF(AQ262="WAIT","",IF(AR262="",1,0.6))</f>
        <v/>
      </c>
      <c r="AT262" s="23">
        <f>IF(AR262="",0,0.4)</f>
        <v>0</v>
      </c>
      <c r="AU262" s="23" t="str">
        <f>IF(AQ262="WAIT","WAIT",IF(AO262="YES","BULL",IF(AP262="YES","BEAR","WAIT")))</f>
        <v>WAIT</v>
      </c>
      <c r="AV262" t="str">
        <f>IF(AQ262="WAIT","Low",IF(OR(AND(AU262="BULL",ABS(SUM(N(X262),N(Y262),N(Z262)))&gt;=0.15),AND(AU262="BEAR",ABS(SUM(N(AA262),N(AB262),N(AC262)))&gt;=0.15)),"Strong",IF(OR(AND(AU262="BULL",ABS(SUM(N(X262),N(Y262),N(Z262)))&gt;=0.05),AND(AU262="BEAR",ABS(SUM(N(AA262),N(AB262),N(AC262)))&gt;=0.05)),"Moderate","Low")))</f>
        <v>Low</v>
      </c>
      <c r="AW262" t="str">
        <f>IF(AQ262="WAIT","QQQ and SMH not aligned",IF(AU262="BULL",IF(AQ262="SOXL","Bull regime; semiconductors leading","Bull regime; tech leading"),IF(AQ262="SOXS","Bear regime; semiconductors weakest","Bear regime; tech weakest")))</f>
        <v>QQQ and SMH not aligned</v>
      </c>
      <c r="AX262" t="str">
        <f>IF(AR262="WAIT","QQQ and SMH not aligned",IF(AV262="BULL",IF(AR262="SOXL","Bull regime; semiconductors leading","Bull regime; tech leading"),IF(AR262="SOXS","Bear regime; semiconductors weakest","Bear regime; tech weakest")))</f>
        <v>Bear regime; tech weakest</v>
      </c>
    </row>
    <row r="263" spans="1:50" x14ac:dyDescent="0.2">
      <c r="A263" s="12"/>
      <c r="B263" s="13"/>
      <c r="C263" s="13"/>
      <c r="D263" s="13"/>
      <c r="E263" s="13"/>
      <c r="F263" s="11" t="str">
        <f>IF(OR(E263="",E262=""),"",IF(E262=0,"",(E263/E262)-1))</f>
        <v/>
      </c>
      <c r="G263" s="13"/>
      <c r="H263" s="11" t="str">
        <f>IF(OR(G263="",G262=""),"",IF(G262=0,"",(G263/G262)-1))</f>
        <v/>
      </c>
      <c r="I263" s="13"/>
      <c r="J263" s="13"/>
      <c r="K263" s="13"/>
      <c r="L263" s="13"/>
      <c r="M263" s="23" t="str">
        <f>IF(OR(L263="",L262=""),"",IF(L262=0,"",(L263/L262)-1))</f>
        <v/>
      </c>
      <c r="N263" s="26" t="str">
        <f>IFERROR((M263/M262)-1,"")</f>
        <v/>
      </c>
      <c r="O263" s="23" t="str">
        <f>IF(OR(N263="",N262=""),"",IF(N262=0,"",(N263/N262)-1))</f>
        <v/>
      </c>
      <c r="P263" s="11" t="str">
        <f>IF(ROW()&lt;7,"",IF(OR(E263="",E260=""),"",IF(E260=0,"",(E263/E260)-1)))</f>
        <v/>
      </c>
      <c r="Q263" s="23" t="str">
        <f>IF(ROW()&lt;9,"",IF(OR(E263="",E258=""),"",IF(E258=0,"",(E263/E258)-1)))</f>
        <v/>
      </c>
      <c r="R263" s="23" t="str">
        <f>IF(ROW()&lt;7,"",IF(OR(G263="",G260=""),"",IF(G260=0,"",(G263/G260)-1)))</f>
        <v/>
      </c>
      <c r="S263" s="23" t="str">
        <f>IF(ROW()&lt;9,"",IF(OR(G263="",G258=""),"",IF(G258=0,"",(G263/G258)-1)))</f>
        <v/>
      </c>
      <c r="T263" s="23" t="str">
        <f>IF(ROW()&lt;7,"",IF(OR(L263="",L260=""),"",IF(L260=0,"",(L263/L260)-1)))</f>
        <v/>
      </c>
      <c r="U263" s="23" t="str">
        <f>IF(ROW()&lt;9,"",IF(OR(L263="",L258=""),"",IF(L258=0,"",(L263/L258)-1)))</f>
        <v/>
      </c>
      <c r="V263" s="23" t="str">
        <f>IF(ROW()&lt;7,"",IF(OR(N263="",N260=""),"",IF(N260=0,"",(N263/N260)-1)))</f>
        <v/>
      </c>
      <c r="W263" s="23" t="str">
        <f>IF(ROW()&lt;9,"",IF(OR(N263="",N258=""),"",IF(N258=0,"",(N263/N258)-1)))</f>
        <v/>
      </c>
      <c r="X263" s="23" t="str">
        <f>IF(OR(F263="",M263=""),"",F263-M263)</f>
        <v/>
      </c>
      <c r="Y263" s="23" t="str">
        <f>IF(OR(P263="",T263=""),"",P263-T263)</f>
        <v/>
      </c>
      <c r="Z263" s="23" t="str">
        <f>IF(OR(Q263="",U263=""),"",Q263-U263)</f>
        <v/>
      </c>
      <c r="AA263" s="23" t="str">
        <f>IF(OR(H263="",O263=""),"",H263-O263)</f>
        <v/>
      </c>
      <c r="AB263" s="23" t="str">
        <f>IF(OR(R263="",V263=""),"",R263-V263)</f>
        <v/>
      </c>
      <c r="AC263" s="23" t="str">
        <f>IF(OR(S263="",W263=""),"",S263-W263)</f>
        <v/>
      </c>
      <c r="AD263" s="13"/>
      <c r="AE263" s="23" t="str">
        <f>IF(OR(AD263="",AD262=""),"",IF(AD262=0,"",(AD263/AD262)-1))</f>
        <v/>
      </c>
      <c r="AF263" s="23" t="str">
        <f>IF(ROW()&lt;7,"",IF(OR(AD263="",AD260=""),"",IF(AD260=0,"",(AD263/AD260)-1)))</f>
        <v/>
      </c>
      <c r="AG263" s="23" t="str">
        <f>IF(ROW()&lt;9,"",IF(OR(AD263="",AD258=""),"",IF(AD258=0,"",(AD263/AD258)-1)))</f>
        <v/>
      </c>
      <c r="AH263" s="23" t="str">
        <f>IF(OR(AF263="",AG263=""),"",IF(AND(AF263&gt;0,AG263&gt;0),"Bull",IF(AND(AF263&lt;0,AG263&lt;0),"Bear","Mixed")))</f>
        <v/>
      </c>
      <c r="AI263" s="13"/>
      <c r="AJ263" s="13" t="str">
        <f>IF(OR(AI263="",AI262=""),"",IF(AI262=0,"",(AI263/AI262)-1))</f>
        <v/>
      </c>
      <c r="AK263" s="23" t="str">
        <f>IF(OR(AJ263="",AJ262=""),"",IF(AJ262=0,"",(AJ263/AJ262)-1))</f>
        <v/>
      </c>
      <c r="AL263" s="23" t="str">
        <f>IF(ROW()&lt;7,"",IF(OR(AJ263="",AJ260=""),"",IF(AJ260=0,"",(AJ263/AJ260)-1)))</f>
        <v/>
      </c>
      <c r="AM263" s="23" t="str">
        <f>IF(ROW()&lt;9,"",IF(OR(AJ263="",AJ258=""),"",IF(AJ258=0,"",(AJ263/AJ258)-1)))</f>
        <v/>
      </c>
      <c r="AN263" t="str">
        <f>IF(OR(AL263="",AM263=""),"",IF(AND(AL263&gt;0,AM263&gt;0),"Bull",IF(AND(AL263&lt;0,AM263&lt;0),"Bear","Mixed")))</f>
        <v/>
      </c>
      <c r="AO263" t="str">
        <f>IF(OR(AH263="",AN263=""),"",IF(AND(AH263="Bull",AN263="Bull"),"YES","NO"))</f>
        <v/>
      </c>
      <c r="AP263" t="str">
        <f>IF(OR(AH263="",AN263=""),"",IF(AND(AH263="Bear",AN263="Bear"),"YES","NO"))</f>
        <v/>
      </c>
      <c r="AQ263" t="str">
        <f>IF(AO263="YES",IF(SUM(N(X263),N(Y263),N(Z263))&gt;0,"SOXL","TQQQ"),IF(AP263="YES",IF(SUM(N(AA263),N(AB263),N(AC263))&gt;0,"SOXS","SQQQ"),"WAIT"))</f>
        <v>WAIT</v>
      </c>
      <c r="AR263" s="23" t="str">
        <f>IF(AO263="YES",IF(SUM(N(X263),N(Y263),N(Z263))&gt;0,"TQQQ","SOXL"),IF(AP263="YES",IF(SUM(N(AA263),N(AB263),N(AC263))&gt;0,"SQQQ","SOXS"),""))</f>
        <v/>
      </c>
      <c r="AS263" s="23" t="str">
        <f>IF(AQ263="WAIT","",IF(AR263="",1,0.6))</f>
        <v/>
      </c>
      <c r="AT263" s="23">
        <f>IF(AR263="",0,0.4)</f>
        <v>0</v>
      </c>
      <c r="AU263" s="23" t="str">
        <f>IF(AQ263="WAIT","WAIT",IF(AO263="YES","BULL",IF(AP263="YES","BEAR","WAIT")))</f>
        <v>WAIT</v>
      </c>
      <c r="AV263" t="str">
        <f>IF(AQ263="WAIT","Low",IF(OR(AND(AU263="BULL",ABS(SUM(N(X263),N(Y263),N(Z263)))&gt;=0.15),AND(AU263="BEAR",ABS(SUM(N(AA263),N(AB263),N(AC263)))&gt;=0.15)),"Strong",IF(OR(AND(AU263="BULL",ABS(SUM(N(X263),N(Y263),N(Z263)))&gt;=0.05),AND(AU263="BEAR",ABS(SUM(N(AA263),N(AB263),N(AC263)))&gt;=0.05)),"Moderate","Low")))</f>
        <v>Low</v>
      </c>
      <c r="AW263" t="str">
        <f>IF(AQ263="WAIT","QQQ and SMH not aligned",IF(AU263="BULL",IF(AQ263="SOXL","Bull regime; semiconductors leading","Bull regime; tech leading"),IF(AQ263="SOXS","Bear regime; semiconductors weakest","Bear regime; tech weakest")))</f>
        <v>QQQ and SMH not aligned</v>
      </c>
      <c r="AX263" t="str">
        <f>IF(AR263="WAIT","QQQ and SMH not aligned",IF(AV263="BULL",IF(AR263="SOXL","Bull regime; semiconductors leading","Bull regime; tech leading"),IF(AR263="SOXS","Bear regime; semiconductors weakest","Bear regime; tech weakest")))</f>
        <v>Bear regime; tech weakest</v>
      </c>
    </row>
    <row r="264" spans="1:50" x14ac:dyDescent="0.2">
      <c r="A264" s="12"/>
      <c r="B264" s="13"/>
      <c r="C264" s="13"/>
      <c r="D264" s="13"/>
      <c r="E264" s="13"/>
      <c r="F264" s="11" t="str">
        <f>IF(OR(E264="",E263=""),"",IF(E263=0,"",(E264/E263)-1))</f>
        <v/>
      </c>
      <c r="G264" s="13"/>
      <c r="H264" s="11" t="str">
        <f>IF(OR(G264="",G263=""),"",IF(G263=0,"",(G264/G263)-1))</f>
        <v/>
      </c>
      <c r="I264" s="13"/>
      <c r="J264" s="13"/>
      <c r="K264" s="13"/>
      <c r="L264" s="13"/>
      <c r="M264" s="23" t="str">
        <f>IF(OR(L264="",L263=""),"",IF(L263=0,"",(L264/L263)-1))</f>
        <v/>
      </c>
      <c r="N264" s="26" t="str">
        <f>IFERROR((M264/M263)-1,"")</f>
        <v/>
      </c>
      <c r="O264" s="23" t="str">
        <f>IF(OR(N264="",N263=""),"",IF(N263=0,"",(N264/N263)-1))</f>
        <v/>
      </c>
      <c r="P264" s="11" t="str">
        <f>IF(ROW()&lt;7,"",IF(OR(E264="",E261=""),"",IF(E261=0,"",(E264/E261)-1)))</f>
        <v/>
      </c>
      <c r="Q264" s="23" t="str">
        <f>IF(ROW()&lt;9,"",IF(OR(E264="",E259=""),"",IF(E259=0,"",(E264/E259)-1)))</f>
        <v/>
      </c>
      <c r="R264" s="23" t="str">
        <f>IF(ROW()&lt;7,"",IF(OR(G264="",G261=""),"",IF(G261=0,"",(G264/G261)-1)))</f>
        <v/>
      </c>
      <c r="S264" s="23" t="str">
        <f>IF(ROW()&lt;9,"",IF(OR(G264="",G259=""),"",IF(G259=0,"",(G264/G259)-1)))</f>
        <v/>
      </c>
      <c r="T264" s="23" t="str">
        <f>IF(ROW()&lt;7,"",IF(OR(L264="",L261=""),"",IF(L261=0,"",(L264/L261)-1)))</f>
        <v/>
      </c>
      <c r="U264" s="23" t="str">
        <f>IF(ROW()&lt;9,"",IF(OR(L264="",L259=""),"",IF(L259=0,"",(L264/L259)-1)))</f>
        <v/>
      </c>
      <c r="V264" s="23" t="str">
        <f>IF(ROW()&lt;7,"",IF(OR(N264="",N261=""),"",IF(N261=0,"",(N264/N261)-1)))</f>
        <v/>
      </c>
      <c r="W264" s="23" t="str">
        <f>IF(ROW()&lt;9,"",IF(OR(N264="",N259=""),"",IF(N259=0,"",(N264/N259)-1)))</f>
        <v/>
      </c>
      <c r="X264" s="23" t="str">
        <f>IF(OR(F264="",M264=""),"",F264-M264)</f>
        <v/>
      </c>
      <c r="Y264" s="23" t="str">
        <f>IF(OR(P264="",T264=""),"",P264-T264)</f>
        <v/>
      </c>
      <c r="Z264" s="23" t="str">
        <f>IF(OR(Q264="",U264=""),"",Q264-U264)</f>
        <v/>
      </c>
      <c r="AA264" s="23" t="str">
        <f>IF(OR(H264="",O264=""),"",H264-O264)</f>
        <v/>
      </c>
      <c r="AB264" s="23" t="str">
        <f>IF(OR(R264="",V264=""),"",R264-V264)</f>
        <v/>
      </c>
      <c r="AC264" s="23" t="str">
        <f>IF(OR(S264="",W264=""),"",S264-W264)</f>
        <v/>
      </c>
      <c r="AD264" s="13"/>
      <c r="AE264" s="23" t="str">
        <f>IF(OR(AD264="",AD263=""),"",IF(AD263=0,"",(AD264/AD263)-1))</f>
        <v/>
      </c>
      <c r="AF264" s="23" t="str">
        <f>IF(ROW()&lt;7,"",IF(OR(AD264="",AD261=""),"",IF(AD261=0,"",(AD264/AD261)-1)))</f>
        <v/>
      </c>
      <c r="AG264" s="23" t="str">
        <f>IF(ROW()&lt;9,"",IF(OR(AD264="",AD259=""),"",IF(AD259=0,"",(AD264/AD259)-1)))</f>
        <v/>
      </c>
      <c r="AH264" s="23" t="str">
        <f>IF(OR(AF264="",AG264=""),"",IF(AND(AF264&gt;0,AG264&gt;0),"Bull",IF(AND(AF264&lt;0,AG264&lt;0),"Bear","Mixed")))</f>
        <v/>
      </c>
      <c r="AI264" s="13"/>
      <c r="AJ264" s="13" t="str">
        <f>IF(OR(AI264="",AI263=""),"",IF(AI263=0,"",(AI264/AI263)-1))</f>
        <v/>
      </c>
      <c r="AK264" s="23" t="str">
        <f>IF(OR(AJ264="",AJ263=""),"",IF(AJ263=0,"",(AJ264/AJ263)-1))</f>
        <v/>
      </c>
      <c r="AL264" s="23" t="str">
        <f>IF(ROW()&lt;7,"",IF(OR(AJ264="",AJ261=""),"",IF(AJ261=0,"",(AJ264/AJ261)-1)))</f>
        <v/>
      </c>
      <c r="AM264" s="23" t="str">
        <f>IF(ROW()&lt;9,"",IF(OR(AJ264="",AJ259=""),"",IF(AJ259=0,"",(AJ264/AJ259)-1)))</f>
        <v/>
      </c>
      <c r="AN264" t="str">
        <f>IF(OR(AL264="",AM264=""),"",IF(AND(AL264&gt;0,AM264&gt;0),"Bull",IF(AND(AL264&lt;0,AM264&lt;0),"Bear","Mixed")))</f>
        <v/>
      </c>
      <c r="AO264" t="str">
        <f>IF(OR(AH264="",AN264=""),"",IF(AND(AH264="Bull",AN264="Bull"),"YES","NO"))</f>
        <v/>
      </c>
      <c r="AP264" t="str">
        <f>IF(OR(AH264="",AN264=""),"",IF(AND(AH264="Bear",AN264="Bear"),"YES","NO"))</f>
        <v/>
      </c>
      <c r="AQ264" t="str">
        <f>IF(AO264="YES",IF(SUM(N(X264),N(Y264),N(Z264))&gt;0,"SOXL","TQQQ"),IF(AP264="YES",IF(SUM(N(AA264),N(AB264),N(AC264))&gt;0,"SOXS","SQQQ"),"WAIT"))</f>
        <v>WAIT</v>
      </c>
      <c r="AR264" s="23" t="str">
        <f>IF(AO264="YES",IF(SUM(N(X264),N(Y264),N(Z264))&gt;0,"TQQQ","SOXL"),IF(AP264="YES",IF(SUM(N(AA264),N(AB264),N(AC264))&gt;0,"SQQQ","SOXS"),""))</f>
        <v/>
      </c>
      <c r="AS264" s="23" t="str">
        <f>IF(AQ264="WAIT","",IF(AR264="",1,0.6))</f>
        <v/>
      </c>
      <c r="AT264" s="23">
        <f>IF(AR264="",0,0.4)</f>
        <v>0</v>
      </c>
      <c r="AU264" s="23" t="str">
        <f>IF(AQ264="WAIT","WAIT",IF(AO264="YES","BULL",IF(AP264="YES","BEAR","WAIT")))</f>
        <v>WAIT</v>
      </c>
      <c r="AV264" t="str">
        <f>IF(AQ264="WAIT","Low",IF(OR(AND(AU264="BULL",ABS(SUM(N(X264),N(Y264),N(Z264)))&gt;=0.15),AND(AU264="BEAR",ABS(SUM(N(AA264),N(AB264),N(AC264)))&gt;=0.15)),"Strong",IF(OR(AND(AU264="BULL",ABS(SUM(N(X264),N(Y264),N(Z264)))&gt;=0.05),AND(AU264="BEAR",ABS(SUM(N(AA264),N(AB264),N(AC264)))&gt;=0.05)),"Moderate","Low")))</f>
        <v>Low</v>
      </c>
      <c r="AW264" t="str">
        <f>IF(AQ264="WAIT","QQQ and SMH not aligned",IF(AU264="BULL",IF(AQ264="SOXL","Bull regime; semiconductors leading","Bull regime; tech leading"),IF(AQ264="SOXS","Bear regime; semiconductors weakest","Bear regime; tech weakest")))</f>
        <v>QQQ and SMH not aligned</v>
      </c>
      <c r="AX264" t="str">
        <f>IF(AR264="WAIT","QQQ and SMH not aligned",IF(AV264="BULL",IF(AR264="SOXL","Bull regime; semiconductors leading","Bull regime; tech leading"),IF(AR264="SOXS","Bear regime; semiconductors weakest","Bear regime; tech weakest")))</f>
        <v>Bear regime; tech weakest</v>
      </c>
    </row>
    <row r="265" spans="1:50" x14ac:dyDescent="0.2">
      <c r="A265" s="12"/>
      <c r="B265" s="13"/>
      <c r="C265" s="13"/>
      <c r="D265" s="13"/>
      <c r="E265" s="13"/>
      <c r="F265" s="11" t="str">
        <f>IF(OR(E265="",E264=""),"",IF(E264=0,"",(E265/E264)-1))</f>
        <v/>
      </c>
      <c r="G265" s="13"/>
      <c r="H265" s="11" t="str">
        <f>IF(OR(G265="",G264=""),"",IF(G264=0,"",(G265/G264)-1))</f>
        <v/>
      </c>
      <c r="I265" s="13"/>
      <c r="J265" s="13"/>
      <c r="K265" s="13"/>
      <c r="L265" s="13"/>
      <c r="M265" s="23" t="str">
        <f>IF(OR(L265="",L264=""),"",IF(L264=0,"",(L265/L264)-1))</f>
        <v/>
      </c>
      <c r="N265" s="26" t="str">
        <f>IFERROR((M265/M264)-1,"")</f>
        <v/>
      </c>
      <c r="O265" s="23" t="str">
        <f>IF(OR(N265="",N264=""),"",IF(N264=0,"",(N265/N264)-1))</f>
        <v/>
      </c>
      <c r="P265" s="11" t="str">
        <f>IF(ROW()&lt;7,"",IF(OR(E265="",E262=""),"",IF(E262=0,"",(E265/E262)-1)))</f>
        <v/>
      </c>
      <c r="Q265" s="23" t="str">
        <f>IF(ROW()&lt;9,"",IF(OR(E265="",E260=""),"",IF(E260=0,"",(E265/E260)-1)))</f>
        <v/>
      </c>
      <c r="R265" s="23" t="str">
        <f>IF(ROW()&lt;7,"",IF(OR(G265="",G262=""),"",IF(G262=0,"",(G265/G262)-1)))</f>
        <v/>
      </c>
      <c r="S265" s="23" t="str">
        <f>IF(ROW()&lt;9,"",IF(OR(G265="",G260=""),"",IF(G260=0,"",(G265/G260)-1)))</f>
        <v/>
      </c>
      <c r="T265" s="23" t="str">
        <f>IF(ROW()&lt;7,"",IF(OR(L265="",L262=""),"",IF(L262=0,"",(L265/L262)-1)))</f>
        <v/>
      </c>
      <c r="U265" s="23" t="str">
        <f>IF(ROW()&lt;9,"",IF(OR(L265="",L260=""),"",IF(L260=0,"",(L265/L260)-1)))</f>
        <v/>
      </c>
      <c r="V265" s="23" t="str">
        <f>IF(ROW()&lt;7,"",IF(OR(N265="",N262=""),"",IF(N262=0,"",(N265/N262)-1)))</f>
        <v/>
      </c>
      <c r="W265" s="23" t="str">
        <f>IF(ROW()&lt;9,"",IF(OR(N265="",N260=""),"",IF(N260=0,"",(N265/N260)-1)))</f>
        <v/>
      </c>
      <c r="X265" s="23" t="str">
        <f>IF(OR(F265="",M265=""),"",F265-M265)</f>
        <v/>
      </c>
      <c r="Y265" s="23" t="str">
        <f>IF(OR(P265="",T265=""),"",P265-T265)</f>
        <v/>
      </c>
      <c r="Z265" s="23" t="str">
        <f>IF(OR(Q265="",U265=""),"",Q265-U265)</f>
        <v/>
      </c>
      <c r="AA265" s="23" t="str">
        <f>IF(OR(H265="",O265=""),"",H265-O265)</f>
        <v/>
      </c>
      <c r="AB265" s="23" t="str">
        <f>IF(OR(R265="",V265=""),"",R265-V265)</f>
        <v/>
      </c>
      <c r="AC265" s="23" t="str">
        <f>IF(OR(S265="",W265=""),"",S265-W265)</f>
        <v/>
      </c>
      <c r="AD265" s="13"/>
      <c r="AE265" s="23" t="str">
        <f>IF(OR(AD265="",AD264=""),"",IF(AD264=0,"",(AD265/AD264)-1))</f>
        <v/>
      </c>
      <c r="AF265" s="23" t="str">
        <f>IF(ROW()&lt;7,"",IF(OR(AD265="",AD262=""),"",IF(AD262=0,"",(AD265/AD262)-1)))</f>
        <v/>
      </c>
      <c r="AG265" s="23" t="str">
        <f>IF(ROW()&lt;9,"",IF(OR(AD265="",AD260=""),"",IF(AD260=0,"",(AD265/AD260)-1)))</f>
        <v/>
      </c>
      <c r="AH265" s="23" t="str">
        <f>IF(OR(AF265="",AG265=""),"",IF(AND(AF265&gt;0,AG265&gt;0),"Bull",IF(AND(AF265&lt;0,AG265&lt;0),"Bear","Mixed")))</f>
        <v/>
      </c>
      <c r="AI265" s="13"/>
      <c r="AJ265" s="13" t="str">
        <f>IF(OR(AI265="",AI264=""),"",IF(AI264=0,"",(AI265/AI264)-1))</f>
        <v/>
      </c>
      <c r="AK265" s="23" t="str">
        <f>IF(OR(AJ265="",AJ264=""),"",IF(AJ264=0,"",(AJ265/AJ264)-1))</f>
        <v/>
      </c>
      <c r="AL265" s="23" t="str">
        <f>IF(ROW()&lt;7,"",IF(OR(AJ265="",AJ262=""),"",IF(AJ262=0,"",(AJ265/AJ262)-1)))</f>
        <v/>
      </c>
      <c r="AM265" s="23" t="str">
        <f>IF(ROW()&lt;9,"",IF(OR(AJ265="",AJ260=""),"",IF(AJ260=0,"",(AJ265/AJ260)-1)))</f>
        <v/>
      </c>
      <c r="AN265" t="str">
        <f>IF(OR(AL265="",AM265=""),"",IF(AND(AL265&gt;0,AM265&gt;0),"Bull",IF(AND(AL265&lt;0,AM265&lt;0),"Bear","Mixed")))</f>
        <v/>
      </c>
      <c r="AO265" t="str">
        <f>IF(OR(AH265="",AN265=""),"",IF(AND(AH265="Bull",AN265="Bull"),"YES","NO"))</f>
        <v/>
      </c>
      <c r="AP265" t="str">
        <f>IF(OR(AH265="",AN265=""),"",IF(AND(AH265="Bear",AN265="Bear"),"YES","NO"))</f>
        <v/>
      </c>
      <c r="AQ265" t="str">
        <f>IF(AO265="YES",IF(SUM(N(X265),N(Y265),N(Z265))&gt;0,"SOXL","TQQQ"),IF(AP265="YES",IF(SUM(N(AA265),N(AB265),N(AC265))&gt;0,"SOXS","SQQQ"),"WAIT"))</f>
        <v>WAIT</v>
      </c>
      <c r="AR265" s="23" t="str">
        <f>IF(AO265="YES",IF(SUM(N(X265),N(Y265),N(Z265))&gt;0,"TQQQ","SOXL"),IF(AP265="YES",IF(SUM(N(AA265),N(AB265),N(AC265))&gt;0,"SQQQ","SOXS"),""))</f>
        <v/>
      </c>
      <c r="AS265" s="23" t="str">
        <f>IF(AQ265="WAIT","",IF(AR265="",1,0.6))</f>
        <v/>
      </c>
      <c r="AT265" s="23">
        <f>IF(AR265="",0,0.4)</f>
        <v>0</v>
      </c>
      <c r="AU265" s="23" t="str">
        <f>IF(AQ265="WAIT","WAIT",IF(AO265="YES","BULL",IF(AP265="YES","BEAR","WAIT")))</f>
        <v>WAIT</v>
      </c>
      <c r="AV265" t="str">
        <f>IF(AQ265="WAIT","Low",IF(OR(AND(AU265="BULL",ABS(SUM(N(X265),N(Y265),N(Z265)))&gt;=0.15),AND(AU265="BEAR",ABS(SUM(N(AA265),N(AB265),N(AC265)))&gt;=0.15)),"Strong",IF(OR(AND(AU265="BULL",ABS(SUM(N(X265),N(Y265),N(Z265)))&gt;=0.05),AND(AU265="BEAR",ABS(SUM(N(AA265),N(AB265),N(AC265)))&gt;=0.05)),"Moderate","Low")))</f>
        <v>Low</v>
      </c>
      <c r="AW265" t="str">
        <f>IF(AQ265="WAIT","QQQ and SMH not aligned",IF(AU265="BULL",IF(AQ265="SOXL","Bull regime; semiconductors leading","Bull regime; tech leading"),IF(AQ265="SOXS","Bear regime; semiconductors weakest","Bear regime; tech weakest")))</f>
        <v>QQQ and SMH not aligned</v>
      </c>
      <c r="AX265" t="str">
        <f>IF(AR265="WAIT","QQQ and SMH not aligned",IF(AV265="BULL",IF(AR265="SOXL","Bull regime; semiconductors leading","Bull regime; tech leading"),IF(AR265="SOXS","Bear regime; semiconductors weakest","Bear regime; tech weakest")))</f>
        <v>Bear regime; tech weakest</v>
      </c>
    </row>
    <row r="266" spans="1:50" x14ac:dyDescent="0.2">
      <c r="A266" s="12"/>
      <c r="B266" s="13"/>
      <c r="C266" s="13"/>
      <c r="D266" s="13"/>
      <c r="E266" s="13"/>
      <c r="F266" s="11" t="str">
        <f>IF(OR(E266="",E265=""),"",IF(E265=0,"",(E266/E265)-1))</f>
        <v/>
      </c>
      <c r="G266" s="13"/>
      <c r="H266" s="11" t="str">
        <f>IF(OR(G266="",G265=""),"",IF(G265=0,"",(G266/G265)-1))</f>
        <v/>
      </c>
      <c r="I266" s="13"/>
      <c r="J266" s="13"/>
      <c r="K266" s="13"/>
      <c r="L266" s="13"/>
      <c r="M266" s="23" t="str">
        <f>IF(OR(L266="",L265=""),"",IF(L265=0,"",(L266/L265)-1))</f>
        <v/>
      </c>
      <c r="N266" s="26" t="str">
        <f>IFERROR((M266/M265)-1,"")</f>
        <v/>
      </c>
      <c r="O266" s="23" t="str">
        <f>IF(OR(N266="",N265=""),"",IF(N265=0,"",(N266/N265)-1))</f>
        <v/>
      </c>
      <c r="P266" s="11" t="str">
        <f>IF(ROW()&lt;7,"",IF(OR(E266="",E263=""),"",IF(E263=0,"",(E266/E263)-1)))</f>
        <v/>
      </c>
      <c r="Q266" s="23" t="str">
        <f>IF(ROW()&lt;9,"",IF(OR(E266="",E261=""),"",IF(E261=0,"",(E266/E261)-1)))</f>
        <v/>
      </c>
      <c r="R266" s="23" t="str">
        <f>IF(ROW()&lt;7,"",IF(OR(G266="",G263=""),"",IF(G263=0,"",(G266/G263)-1)))</f>
        <v/>
      </c>
      <c r="S266" s="23" t="str">
        <f>IF(ROW()&lt;9,"",IF(OR(G266="",G261=""),"",IF(G261=0,"",(G266/G261)-1)))</f>
        <v/>
      </c>
      <c r="T266" s="23" t="str">
        <f>IF(ROW()&lt;7,"",IF(OR(L266="",L263=""),"",IF(L263=0,"",(L266/L263)-1)))</f>
        <v/>
      </c>
      <c r="U266" s="23" t="str">
        <f>IF(ROW()&lt;9,"",IF(OR(L266="",L261=""),"",IF(L261=0,"",(L266/L261)-1)))</f>
        <v/>
      </c>
      <c r="V266" s="23" t="str">
        <f>IF(ROW()&lt;7,"",IF(OR(N266="",N263=""),"",IF(N263=0,"",(N266/N263)-1)))</f>
        <v/>
      </c>
      <c r="W266" s="23" t="str">
        <f>IF(ROW()&lt;9,"",IF(OR(N266="",N261=""),"",IF(N261=0,"",(N266/N261)-1)))</f>
        <v/>
      </c>
      <c r="X266" s="23" t="str">
        <f>IF(OR(F266="",M266=""),"",F266-M266)</f>
        <v/>
      </c>
      <c r="Y266" s="23" t="str">
        <f>IF(OR(P266="",T266=""),"",P266-T266)</f>
        <v/>
      </c>
      <c r="Z266" s="23" t="str">
        <f>IF(OR(Q266="",U266=""),"",Q266-U266)</f>
        <v/>
      </c>
      <c r="AA266" s="23" t="str">
        <f>IF(OR(H266="",O266=""),"",H266-O266)</f>
        <v/>
      </c>
      <c r="AB266" s="23" t="str">
        <f>IF(OR(R266="",V266=""),"",R266-V266)</f>
        <v/>
      </c>
      <c r="AC266" s="23" t="str">
        <f>IF(OR(S266="",W266=""),"",S266-W266)</f>
        <v/>
      </c>
      <c r="AD266" s="13"/>
      <c r="AE266" s="23" t="str">
        <f>IF(OR(AD266="",AD265=""),"",IF(AD265=0,"",(AD266/AD265)-1))</f>
        <v/>
      </c>
      <c r="AF266" s="23" t="str">
        <f>IF(ROW()&lt;7,"",IF(OR(AD266="",AD263=""),"",IF(AD263=0,"",(AD266/AD263)-1)))</f>
        <v/>
      </c>
      <c r="AG266" s="23" t="str">
        <f>IF(ROW()&lt;9,"",IF(OR(AD266="",AD261=""),"",IF(AD261=0,"",(AD266/AD261)-1)))</f>
        <v/>
      </c>
      <c r="AH266" s="23" t="str">
        <f>IF(OR(AF266="",AG266=""),"",IF(AND(AF266&gt;0,AG266&gt;0),"Bull",IF(AND(AF266&lt;0,AG266&lt;0),"Bear","Mixed")))</f>
        <v/>
      </c>
      <c r="AI266" s="13"/>
      <c r="AJ266" s="13" t="str">
        <f>IF(OR(AI266="",AI265=""),"",IF(AI265=0,"",(AI266/AI265)-1))</f>
        <v/>
      </c>
      <c r="AK266" s="23" t="str">
        <f>IF(OR(AJ266="",AJ265=""),"",IF(AJ265=0,"",(AJ266/AJ265)-1))</f>
        <v/>
      </c>
      <c r="AL266" s="23" t="str">
        <f>IF(ROW()&lt;7,"",IF(OR(AJ266="",AJ263=""),"",IF(AJ263=0,"",(AJ266/AJ263)-1)))</f>
        <v/>
      </c>
      <c r="AM266" s="23" t="str">
        <f>IF(ROW()&lt;9,"",IF(OR(AJ266="",AJ261=""),"",IF(AJ261=0,"",(AJ266/AJ261)-1)))</f>
        <v/>
      </c>
      <c r="AN266" t="str">
        <f>IF(OR(AL266="",AM266=""),"",IF(AND(AL266&gt;0,AM266&gt;0),"Bull",IF(AND(AL266&lt;0,AM266&lt;0),"Bear","Mixed")))</f>
        <v/>
      </c>
      <c r="AO266" t="str">
        <f>IF(OR(AH266="",AN266=""),"",IF(AND(AH266="Bull",AN266="Bull"),"YES","NO"))</f>
        <v/>
      </c>
      <c r="AP266" t="str">
        <f>IF(OR(AH266="",AN266=""),"",IF(AND(AH266="Bear",AN266="Bear"),"YES","NO"))</f>
        <v/>
      </c>
      <c r="AQ266" t="str">
        <f>IF(AO266="YES",IF(SUM(N(X266),N(Y266),N(Z266))&gt;0,"SOXL","TQQQ"),IF(AP266="YES",IF(SUM(N(AA266),N(AB266),N(AC266))&gt;0,"SOXS","SQQQ"),"WAIT"))</f>
        <v>WAIT</v>
      </c>
      <c r="AR266" s="23" t="str">
        <f>IF(AO266="YES",IF(SUM(N(X266),N(Y266),N(Z266))&gt;0,"TQQQ","SOXL"),IF(AP266="YES",IF(SUM(N(AA266),N(AB266),N(AC266))&gt;0,"SQQQ","SOXS"),""))</f>
        <v/>
      </c>
      <c r="AS266" s="23" t="str">
        <f>IF(AQ266="WAIT","",IF(AR266="",1,0.6))</f>
        <v/>
      </c>
      <c r="AT266" s="23">
        <f>IF(AR266="",0,0.4)</f>
        <v>0</v>
      </c>
      <c r="AU266" s="23" t="str">
        <f>IF(AQ266="WAIT","WAIT",IF(AO266="YES","BULL",IF(AP266="YES","BEAR","WAIT")))</f>
        <v>WAIT</v>
      </c>
      <c r="AV266" t="str">
        <f>IF(AQ266="WAIT","Low",IF(OR(AND(AU266="BULL",ABS(SUM(N(X266),N(Y266),N(Z266)))&gt;=0.15),AND(AU266="BEAR",ABS(SUM(N(AA266),N(AB266),N(AC266)))&gt;=0.15)),"Strong",IF(OR(AND(AU266="BULL",ABS(SUM(N(X266),N(Y266),N(Z266)))&gt;=0.05),AND(AU266="BEAR",ABS(SUM(N(AA266),N(AB266),N(AC266)))&gt;=0.05)),"Moderate","Low")))</f>
        <v>Low</v>
      </c>
      <c r="AW266" t="str">
        <f>IF(AQ266="WAIT","QQQ and SMH not aligned",IF(AU266="BULL",IF(AQ266="SOXL","Bull regime; semiconductors leading","Bull regime; tech leading"),IF(AQ266="SOXS","Bear regime; semiconductors weakest","Bear regime; tech weakest")))</f>
        <v>QQQ and SMH not aligned</v>
      </c>
      <c r="AX266" t="str">
        <f>IF(AR266="WAIT","QQQ and SMH not aligned",IF(AV266="BULL",IF(AR266="SOXL","Bull regime; semiconductors leading","Bull regime; tech leading"),IF(AR266="SOXS","Bear regime; semiconductors weakest","Bear regime; tech weakest")))</f>
        <v>Bear regime; tech weakest</v>
      </c>
    </row>
    <row r="267" spans="1:50" x14ac:dyDescent="0.2">
      <c r="A267" s="12"/>
      <c r="B267" s="13"/>
      <c r="C267" s="13"/>
      <c r="D267" s="13"/>
      <c r="E267" s="13"/>
      <c r="F267" s="11" t="str">
        <f>IF(OR(E267="",E266=""),"",IF(E266=0,"",(E267/E266)-1))</f>
        <v/>
      </c>
      <c r="G267" s="13"/>
      <c r="H267" s="11" t="str">
        <f>IF(OR(G267="",G266=""),"",IF(G266=0,"",(G267/G266)-1))</f>
        <v/>
      </c>
      <c r="I267" s="13"/>
      <c r="J267" s="13"/>
      <c r="K267" s="13"/>
      <c r="L267" s="13"/>
      <c r="M267" s="23" t="str">
        <f>IF(OR(L267="",L266=""),"",IF(L266=0,"",(L267/L266)-1))</f>
        <v/>
      </c>
      <c r="N267" s="26" t="str">
        <f>IFERROR((M267/M266)-1,"")</f>
        <v/>
      </c>
      <c r="O267" s="23" t="str">
        <f>IF(OR(N267="",N266=""),"",IF(N266=0,"",(N267/N266)-1))</f>
        <v/>
      </c>
      <c r="P267" s="11" t="str">
        <f>IF(ROW()&lt;7,"",IF(OR(E267="",E264=""),"",IF(E264=0,"",(E267/E264)-1)))</f>
        <v/>
      </c>
      <c r="Q267" s="23" t="str">
        <f>IF(ROW()&lt;9,"",IF(OR(E267="",E262=""),"",IF(E262=0,"",(E267/E262)-1)))</f>
        <v/>
      </c>
      <c r="R267" s="23" t="str">
        <f>IF(ROW()&lt;7,"",IF(OR(G267="",G264=""),"",IF(G264=0,"",(G267/G264)-1)))</f>
        <v/>
      </c>
      <c r="S267" s="23" t="str">
        <f>IF(ROW()&lt;9,"",IF(OR(G267="",G262=""),"",IF(G262=0,"",(G267/G262)-1)))</f>
        <v/>
      </c>
      <c r="T267" s="23" t="str">
        <f>IF(ROW()&lt;7,"",IF(OR(L267="",L264=""),"",IF(L264=0,"",(L267/L264)-1)))</f>
        <v/>
      </c>
      <c r="U267" s="23" t="str">
        <f>IF(ROW()&lt;9,"",IF(OR(L267="",L262=""),"",IF(L262=0,"",(L267/L262)-1)))</f>
        <v/>
      </c>
      <c r="V267" s="23" t="str">
        <f>IF(ROW()&lt;7,"",IF(OR(N267="",N264=""),"",IF(N264=0,"",(N267/N264)-1)))</f>
        <v/>
      </c>
      <c r="W267" s="23" t="str">
        <f>IF(ROW()&lt;9,"",IF(OR(N267="",N262=""),"",IF(N262=0,"",(N267/N262)-1)))</f>
        <v/>
      </c>
      <c r="X267" s="23" t="str">
        <f>IF(OR(F267="",M267=""),"",F267-M267)</f>
        <v/>
      </c>
      <c r="Y267" s="23" t="str">
        <f>IF(OR(P267="",T267=""),"",P267-T267)</f>
        <v/>
      </c>
      <c r="Z267" s="23" t="str">
        <f>IF(OR(Q267="",U267=""),"",Q267-U267)</f>
        <v/>
      </c>
      <c r="AA267" s="23" t="str">
        <f>IF(OR(H267="",O267=""),"",H267-O267)</f>
        <v/>
      </c>
      <c r="AB267" s="23" t="str">
        <f>IF(OR(R267="",V267=""),"",R267-V267)</f>
        <v/>
      </c>
      <c r="AC267" s="23" t="str">
        <f>IF(OR(S267="",W267=""),"",S267-W267)</f>
        <v/>
      </c>
      <c r="AD267" s="13"/>
      <c r="AE267" s="23" t="str">
        <f>IF(OR(AD267="",AD266=""),"",IF(AD266=0,"",(AD267/AD266)-1))</f>
        <v/>
      </c>
      <c r="AF267" s="23" t="str">
        <f>IF(ROW()&lt;7,"",IF(OR(AD267="",AD264=""),"",IF(AD264=0,"",(AD267/AD264)-1)))</f>
        <v/>
      </c>
      <c r="AG267" s="23" t="str">
        <f>IF(ROW()&lt;9,"",IF(OR(AD267="",AD262=""),"",IF(AD262=0,"",(AD267/AD262)-1)))</f>
        <v/>
      </c>
      <c r="AH267" s="23" t="str">
        <f>IF(OR(AF267="",AG267=""),"",IF(AND(AF267&gt;0,AG267&gt;0),"Bull",IF(AND(AF267&lt;0,AG267&lt;0),"Bear","Mixed")))</f>
        <v/>
      </c>
      <c r="AI267" s="13"/>
      <c r="AJ267" s="13" t="str">
        <f>IF(OR(AI267="",AI266=""),"",IF(AI266=0,"",(AI267/AI266)-1))</f>
        <v/>
      </c>
      <c r="AK267" s="23" t="str">
        <f>IF(OR(AJ267="",AJ266=""),"",IF(AJ266=0,"",(AJ267/AJ266)-1))</f>
        <v/>
      </c>
      <c r="AL267" s="23" t="str">
        <f>IF(ROW()&lt;7,"",IF(OR(AJ267="",AJ264=""),"",IF(AJ264=0,"",(AJ267/AJ264)-1)))</f>
        <v/>
      </c>
      <c r="AM267" s="23" t="str">
        <f>IF(ROW()&lt;9,"",IF(OR(AJ267="",AJ262=""),"",IF(AJ262=0,"",(AJ267/AJ262)-1)))</f>
        <v/>
      </c>
      <c r="AN267" t="str">
        <f>IF(OR(AL267="",AM267=""),"",IF(AND(AL267&gt;0,AM267&gt;0),"Bull",IF(AND(AL267&lt;0,AM267&lt;0),"Bear","Mixed")))</f>
        <v/>
      </c>
      <c r="AO267" t="str">
        <f>IF(OR(AH267="",AN267=""),"",IF(AND(AH267="Bull",AN267="Bull"),"YES","NO"))</f>
        <v/>
      </c>
      <c r="AP267" t="str">
        <f>IF(OR(AH267="",AN267=""),"",IF(AND(AH267="Bear",AN267="Bear"),"YES","NO"))</f>
        <v/>
      </c>
      <c r="AQ267" t="str">
        <f>IF(AO267="YES",IF(SUM(N(X267),N(Y267),N(Z267))&gt;0,"SOXL","TQQQ"),IF(AP267="YES",IF(SUM(N(AA267),N(AB267),N(AC267))&gt;0,"SOXS","SQQQ"),"WAIT"))</f>
        <v>WAIT</v>
      </c>
      <c r="AR267" s="23" t="str">
        <f>IF(AO267="YES",IF(SUM(N(X267),N(Y267),N(Z267))&gt;0,"TQQQ","SOXL"),IF(AP267="YES",IF(SUM(N(AA267),N(AB267),N(AC267))&gt;0,"SQQQ","SOXS"),""))</f>
        <v/>
      </c>
      <c r="AS267" s="23" t="str">
        <f>IF(AQ267="WAIT","",IF(AR267="",1,0.6))</f>
        <v/>
      </c>
      <c r="AT267" s="23">
        <f>IF(AR267="",0,0.4)</f>
        <v>0</v>
      </c>
      <c r="AU267" s="23" t="str">
        <f>IF(AQ267="WAIT","WAIT",IF(AO267="YES","BULL",IF(AP267="YES","BEAR","WAIT")))</f>
        <v>WAIT</v>
      </c>
      <c r="AV267" t="str">
        <f>IF(AQ267="WAIT","Low",IF(OR(AND(AU267="BULL",ABS(SUM(N(X267),N(Y267),N(Z267)))&gt;=0.15),AND(AU267="BEAR",ABS(SUM(N(AA267),N(AB267),N(AC267)))&gt;=0.15)),"Strong",IF(OR(AND(AU267="BULL",ABS(SUM(N(X267),N(Y267),N(Z267)))&gt;=0.05),AND(AU267="BEAR",ABS(SUM(N(AA267),N(AB267),N(AC267)))&gt;=0.05)),"Moderate","Low")))</f>
        <v>Low</v>
      </c>
      <c r="AW267" t="str">
        <f>IF(AQ267="WAIT","QQQ and SMH not aligned",IF(AU267="BULL",IF(AQ267="SOXL","Bull regime; semiconductors leading","Bull regime; tech leading"),IF(AQ267="SOXS","Bear regime; semiconductors weakest","Bear regime; tech weakest")))</f>
        <v>QQQ and SMH not aligned</v>
      </c>
      <c r="AX267" t="str">
        <f>IF(AR267="WAIT","QQQ and SMH not aligned",IF(AV267="BULL",IF(AR267="SOXL","Bull regime; semiconductors leading","Bull regime; tech leading"),IF(AR267="SOXS","Bear regime; semiconductors weakest","Bear regime; tech weakest")))</f>
        <v>Bear regime; tech weakest</v>
      </c>
    </row>
    <row r="268" spans="1:50" x14ac:dyDescent="0.2">
      <c r="A268" s="12"/>
      <c r="B268" s="13"/>
      <c r="C268" s="13"/>
      <c r="D268" s="13"/>
      <c r="E268" s="13"/>
      <c r="F268" s="11" t="str">
        <f>IF(OR(E268="",E267=""),"",IF(E267=0,"",(E268/E267)-1))</f>
        <v/>
      </c>
      <c r="G268" s="13"/>
      <c r="H268" s="11" t="str">
        <f>IF(OR(G268="",G267=""),"",IF(G267=0,"",(G268/G267)-1))</f>
        <v/>
      </c>
      <c r="I268" s="13"/>
      <c r="J268" s="13"/>
      <c r="K268" s="13"/>
      <c r="L268" s="13"/>
      <c r="M268" s="23" t="str">
        <f>IF(OR(L268="",L267=""),"",IF(L267=0,"",(L268/L267)-1))</f>
        <v/>
      </c>
      <c r="N268" s="26" t="str">
        <f>IFERROR((M268/M267)-1,"")</f>
        <v/>
      </c>
      <c r="O268" s="23" t="str">
        <f>IF(OR(N268="",N267=""),"",IF(N267=0,"",(N268/N267)-1))</f>
        <v/>
      </c>
      <c r="P268" s="11" t="str">
        <f>IF(ROW()&lt;7,"",IF(OR(E268="",E265=""),"",IF(E265=0,"",(E268/E265)-1)))</f>
        <v/>
      </c>
      <c r="Q268" s="23" t="str">
        <f>IF(ROW()&lt;9,"",IF(OR(E268="",E263=""),"",IF(E263=0,"",(E268/E263)-1)))</f>
        <v/>
      </c>
      <c r="R268" s="23" t="str">
        <f>IF(ROW()&lt;7,"",IF(OR(G268="",G265=""),"",IF(G265=0,"",(G268/G265)-1)))</f>
        <v/>
      </c>
      <c r="S268" s="23" t="str">
        <f>IF(ROW()&lt;9,"",IF(OR(G268="",G263=""),"",IF(G263=0,"",(G268/G263)-1)))</f>
        <v/>
      </c>
      <c r="T268" s="23" t="str">
        <f>IF(ROW()&lt;7,"",IF(OR(L268="",L265=""),"",IF(L265=0,"",(L268/L265)-1)))</f>
        <v/>
      </c>
      <c r="U268" s="23" t="str">
        <f>IF(ROW()&lt;9,"",IF(OR(L268="",L263=""),"",IF(L263=0,"",(L268/L263)-1)))</f>
        <v/>
      </c>
      <c r="V268" s="23" t="str">
        <f>IF(ROW()&lt;7,"",IF(OR(N268="",N265=""),"",IF(N265=0,"",(N268/N265)-1)))</f>
        <v/>
      </c>
      <c r="W268" s="23" t="str">
        <f>IF(ROW()&lt;9,"",IF(OR(N268="",N263=""),"",IF(N263=0,"",(N268/N263)-1)))</f>
        <v/>
      </c>
      <c r="X268" s="23" t="str">
        <f>IF(OR(F268="",M268=""),"",F268-M268)</f>
        <v/>
      </c>
      <c r="Y268" s="23" t="str">
        <f>IF(OR(P268="",T268=""),"",P268-T268)</f>
        <v/>
      </c>
      <c r="Z268" s="23" t="str">
        <f>IF(OR(Q268="",U268=""),"",Q268-U268)</f>
        <v/>
      </c>
      <c r="AA268" s="23" t="str">
        <f>IF(OR(H268="",O268=""),"",H268-O268)</f>
        <v/>
      </c>
      <c r="AB268" s="23" t="str">
        <f>IF(OR(R268="",V268=""),"",R268-V268)</f>
        <v/>
      </c>
      <c r="AC268" s="23" t="str">
        <f>IF(OR(S268="",W268=""),"",S268-W268)</f>
        <v/>
      </c>
      <c r="AD268" s="13"/>
      <c r="AE268" s="23" t="str">
        <f>IF(OR(AD268="",AD267=""),"",IF(AD267=0,"",(AD268/AD267)-1))</f>
        <v/>
      </c>
      <c r="AF268" s="23" t="str">
        <f>IF(ROW()&lt;7,"",IF(OR(AD268="",AD265=""),"",IF(AD265=0,"",(AD268/AD265)-1)))</f>
        <v/>
      </c>
      <c r="AG268" s="23" t="str">
        <f>IF(ROW()&lt;9,"",IF(OR(AD268="",AD263=""),"",IF(AD263=0,"",(AD268/AD263)-1)))</f>
        <v/>
      </c>
      <c r="AH268" s="23" t="str">
        <f>IF(OR(AF268="",AG268=""),"",IF(AND(AF268&gt;0,AG268&gt;0),"Bull",IF(AND(AF268&lt;0,AG268&lt;0),"Bear","Mixed")))</f>
        <v/>
      </c>
      <c r="AI268" s="13"/>
      <c r="AJ268" s="13" t="str">
        <f>IF(OR(AI268="",AI267=""),"",IF(AI267=0,"",(AI268/AI267)-1))</f>
        <v/>
      </c>
      <c r="AK268" s="23" t="str">
        <f>IF(OR(AJ268="",AJ267=""),"",IF(AJ267=0,"",(AJ268/AJ267)-1))</f>
        <v/>
      </c>
      <c r="AL268" s="23" t="str">
        <f>IF(ROW()&lt;7,"",IF(OR(AJ268="",AJ265=""),"",IF(AJ265=0,"",(AJ268/AJ265)-1)))</f>
        <v/>
      </c>
      <c r="AM268" s="23" t="str">
        <f>IF(ROW()&lt;9,"",IF(OR(AJ268="",AJ263=""),"",IF(AJ263=0,"",(AJ268/AJ263)-1)))</f>
        <v/>
      </c>
      <c r="AN268" t="str">
        <f>IF(OR(AL268="",AM268=""),"",IF(AND(AL268&gt;0,AM268&gt;0),"Bull",IF(AND(AL268&lt;0,AM268&lt;0),"Bear","Mixed")))</f>
        <v/>
      </c>
      <c r="AO268" t="str">
        <f>IF(OR(AH268="",AN268=""),"",IF(AND(AH268="Bull",AN268="Bull"),"YES","NO"))</f>
        <v/>
      </c>
      <c r="AP268" t="str">
        <f>IF(OR(AH268="",AN268=""),"",IF(AND(AH268="Bear",AN268="Bear"),"YES","NO"))</f>
        <v/>
      </c>
      <c r="AQ268" t="str">
        <f>IF(AO268="YES",IF(SUM(N(X268),N(Y268),N(Z268))&gt;0,"SOXL","TQQQ"),IF(AP268="YES",IF(SUM(N(AA268),N(AB268),N(AC268))&gt;0,"SOXS","SQQQ"),"WAIT"))</f>
        <v>WAIT</v>
      </c>
      <c r="AR268" s="23" t="str">
        <f>IF(AO268="YES",IF(SUM(N(X268),N(Y268),N(Z268))&gt;0,"TQQQ","SOXL"),IF(AP268="YES",IF(SUM(N(AA268),N(AB268),N(AC268))&gt;0,"SQQQ","SOXS"),""))</f>
        <v/>
      </c>
      <c r="AS268" s="23" t="str">
        <f>IF(AQ268="WAIT","",IF(AR268="",1,0.6))</f>
        <v/>
      </c>
      <c r="AT268" s="23">
        <f>IF(AR268="",0,0.4)</f>
        <v>0</v>
      </c>
      <c r="AU268" s="23" t="str">
        <f>IF(AQ268="WAIT","WAIT",IF(AO268="YES","BULL",IF(AP268="YES","BEAR","WAIT")))</f>
        <v>WAIT</v>
      </c>
      <c r="AV268" t="str">
        <f>IF(AQ268="WAIT","Low",IF(OR(AND(AU268="BULL",ABS(SUM(N(X268),N(Y268),N(Z268)))&gt;=0.15),AND(AU268="BEAR",ABS(SUM(N(AA268),N(AB268),N(AC268)))&gt;=0.15)),"Strong",IF(OR(AND(AU268="BULL",ABS(SUM(N(X268),N(Y268),N(Z268)))&gt;=0.05),AND(AU268="BEAR",ABS(SUM(N(AA268),N(AB268),N(AC268)))&gt;=0.05)),"Moderate","Low")))</f>
        <v>Low</v>
      </c>
      <c r="AW268" t="str">
        <f>IF(AQ268="WAIT","QQQ and SMH not aligned",IF(AU268="BULL",IF(AQ268="SOXL","Bull regime; semiconductors leading","Bull regime; tech leading"),IF(AQ268="SOXS","Bear regime; semiconductors weakest","Bear regime; tech weakest")))</f>
        <v>QQQ and SMH not aligned</v>
      </c>
      <c r="AX268" t="str">
        <f>IF(AR268="WAIT","QQQ and SMH not aligned",IF(AV268="BULL",IF(AR268="SOXL","Bull regime; semiconductors leading","Bull regime; tech leading"),IF(AR268="SOXS","Bear regime; semiconductors weakest","Bear regime; tech weakest")))</f>
        <v>Bear regime; tech weakest</v>
      </c>
    </row>
    <row r="269" spans="1:50" x14ac:dyDescent="0.2">
      <c r="A269" s="12"/>
      <c r="B269" s="13"/>
      <c r="C269" s="13"/>
      <c r="D269" s="13"/>
      <c r="E269" s="13"/>
      <c r="F269" s="11" t="str">
        <f>IF(OR(E269="",E268=""),"",IF(E268=0,"",(E269/E268)-1))</f>
        <v/>
      </c>
      <c r="G269" s="13"/>
      <c r="H269" s="11" t="str">
        <f>IF(OR(G269="",G268=""),"",IF(G268=0,"",(G269/G268)-1))</f>
        <v/>
      </c>
      <c r="I269" s="13"/>
      <c r="J269" s="13"/>
      <c r="K269" s="13"/>
      <c r="L269" s="13"/>
      <c r="M269" s="23" t="str">
        <f>IF(OR(L269="",L268=""),"",IF(L268=0,"",(L269/L268)-1))</f>
        <v/>
      </c>
      <c r="N269" s="26" t="str">
        <f>IFERROR((M269/M268)-1,"")</f>
        <v/>
      </c>
      <c r="O269" s="23" t="str">
        <f>IF(OR(N269="",N268=""),"",IF(N268=0,"",(N269/N268)-1))</f>
        <v/>
      </c>
      <c r="P269" s="11" t="str">
        <f>IF(ROW()&lt;7,"",IF(OR(E269="",E266=""),"",IF(E266=0,"",(E269/E266)-1)))</f>
        <v/>
      </c>
      <c r="Q269" s="23" t="str">
        <f>IF(ROW()&lt;9,"",IF(OR(E269="",E264=""),"",IF(E264=0,"",(E269/E264)-1)))</f>
        <v/>
      </c>
      <c r="R269" s="23" t="str">
        <f>IF(ROW()&lt;7,"",IF(OR(G269="",G266=""),"",IF(G266=0,"",(G269/G266)-1)))</f>
        <v/>
      </c>
      <c r="S269" s="23" t="str">
        <f>IF(ROW()&lt;9,"",IF(OR(G269="",G264=""),"",IF(G264=0,"",(G269/G264)-1)))</f>
        <v/>
      </c>
      <c r="T269" s="23" t="str">
        <f>IF(ROW()&lt;7,"",IF(OR(L269="",L266=""),"",IF(L266=0,"",(L269/L266)-1)))</f>
        <v/>
      </c>
      <c r="U269" s="23" t="str">
        <f>IF(ROW()&lt;9,"",IF(OR(L269="",L264=""),"",IF(L264=0,"",(L269/L264)-1)))</f>
        <v/>
      </c>
      <c r="V269" s="23" t="str">
        <f>IF(ROW()&lt;7,"",IF(OR(N269="",N266=""),"",IF(N266=0,"",(N269/N266)-1)))</f>
        <v/>
      </c>
      <c r="W269" s="23" t="str">
        <f>IF(ROW()&lt;9,"",IF(OR(N269="",N264=""),"",IF(N264=0,"",(N269/N264)-1)))</f>
        <v/>
      </c>
      <c r="X269" s="23" t="str">
        <f>IF(OR(F269="",M269=""),"",F269-M269)</f>
        <v/>
      </c>
      <c r="Y269" s="23" t="str">
        <f>IF(OR(P269="",T269=""),"",P269-T269)</f>
        <v/>
      </c>
      <c r="Z269" s="23" t="str">
        <f>IF(OR(Q269="",U269=""),"",Q269-U269)</f>
        <v/>
      </c>
      <c r="AA269" s="23" t="str">
        <f>IF(OR(H269="",O269=""),"",H269-O269)</f>
        <v/>
      </c>
      <c r="AB269" s="23" t="str">
        <f>IF(OR(R269="",V269=""),"",R269-V269)</f>
        <v/>
      </c>
      <c r="AC269" s="23" t="str">
        <f>IF(OR(S269="",W269=""),"",S269-W269)</f>
        <v/>
      </c>
      <c r="AD269" s="13"/>
      <c r="AE269" s="23" t="str">
        <f>IF(OR(AD269="",AD268=""),"",IF(AD268=0,"",(AD269/AD268)-1))</f>
        <v/>
      </c>
      <c r="AF269" s="23" t="str">
        <f>IF(ROW()&lt;7,"",IF(OR(AD269="",AD266=""),"",IF(AD266=0,"",(AD269/AD266)-1)))</f>
        <v/>
      </c>
      <c r="AG269" s="23" t="str">
        <f>IF(ROW()&lt;9,"",IF(OR(AD269="",AD264=""),"",IF(AD264=0,"",(AD269/AD264)-1)))</f>
        <v/>
      </c>
      <c r="AH269" s="23" t="str">
        <f>IF(OR(AF269="",AG269=""),"",IF(AND(AF269&gt;0,AG269&gt;0),"Bull",IF(AND(AF269&lt;0,AG269&lt;0),"Bear","Mixed")))</f>
        <v/>
      </c>
      <c r="AI269" s="13"/>
      <c r="AJ269" s="13" t="str">
        <f>IF(OR(AI269="",AI268=""),"",IF(AI268=0,"",(AI269/AI268)-1))</f>
        <v/>
      </c>
      <c r="AK269" s="23" t="str">
        <f>IF(OR(AJ269="",AJ268=""),"",IF(AJ268=0,"",(AJ269/AJ268)-1))</f>
        <v/>
      </c>
      <c r="AL269" s="23" t="str">
        <f>IF(ROW()&lt;7,"",IF(OR(AJ269="",AJ266=""),"",IF(AJ266=0,"",(AJ269/AJ266)-1)))</f>
        <v/>
      </c>
      <c r="AM269" s="23" t="str">
        <f>IF(ROW()&lt;9,"",IF(OR(AJ269="",AJ264=""),"",IF(AJ264=0,"",(AJ269/AJ264)-1)))</f>
        <v/>
      </c>
      <c r="AN269" t="str">
        <f>IF(OR(AL269="",AM269=""),"",IF(AND(AL269&gt;0,AM269&gt;0),"Bull",IF(AND(AL269&lt;0,AM269&lt;0),"Bear","Mixed")))</f>
        <v/>
      </c>
      <c r="AO269" t="str">
        <f>IF(OR(AH269="",AN269=""),"",IF(AND(AH269="Bull",AN269="Bull"),"YES","NO"))</f>
        <v/>
      </c>
      <c r="AP269" t="str">
        <f>IF(OR(AH269="",AN269=""),"",IF(AND(AH269="Bear",AN269="Bear"),"YES","NO"))</f>
        <v/>
      </c>
      <c r="AQ269" t="str">
        <f>IF(AO269="YES",IF(SUM(N(X269),N(Y269),N(Z269))&gt;0,"SOXL","TQQQ"),IF(AP269="YES",IF(SUM(N(AA269),N(AB269),N(AC269))&gt;0,"SOXS","SQQQ"),"WAIT"))</f>
        <v>WAIT</v>
      </c>
      <c r="AR269" s="23" t="str">
        <f>IF(AO269="YES",IF(SUM(N(X269),N(Y269),N(Z269))&gt;0,"TQQQ","SOXL"),IF(AP269="YES",IF(SUM(N(AA269),N(AB269),N(AC269))&gt;0,"SQQQ","SOXS"),""))</f>
        <v/>
      </c>
      <c r="AS269" s="23" t="str">
        <f>IF(AQ269="WAIT","",IF(AR269="",1,0.6))</f>
        <v/>
      </c>
      <c r="AT269" s="23">
        <f>IF(AR269="",0,0.4)</f>
        <v>0</v>
      </c>
      <c r="AU269" s="23" t="str">
        <f>IF(AQ269="WAIT","WAIT",IF(AO269="YES","BULL",IF(AP269="YES","BEAR","WAIT")))</f>
        <v>WAIT</v>
      </c>
      <c r="AV269" t="str">
        <f>IF(AQ269="WAIT","Low",IF(OR(AND(AU269="BULL",ABS(SUM(N(X269),N(Y269),N(Z269)))&gt;=0.15),AND(AU269="BEAR",ABS(SUM(N(AA269),N(AB269),N(AC269)))&gt;=0.15)),"Strong",IF(OR(AND(AU269="BULL",ABS(SUM(N(X269),N(Y269),N(Z269)))&gt;=0.05),AND(AU269="BEAR",ABS(SUM(N(AA269),N(AB269),N(AC269)))&gt;=0.05)),"Moderate","Low")))</f>
        <v>Low</v>
      </c>
      <c r="AW269" t="str">
        <f>IF(AQ269="WAIT","QQQ and SMH not aligned",IF(AU269="BULL",IF(AQ269="SOXL","Bull regime; semiconductors leading","Bull regime; tech leading"),IF(AQ269="SOXS","Bear regime; semiconductors weakest","Bear regime; tech weakest")))</f>
        <v>QQQ and SMH not aligned</v>
      </c>
      <c r="AX269" t="str">
        <f>IF(AR269="WAIT","QQQ and SMH not aligned",IF(AV269="BULL",IF(AR269="SOXL","Bull regime; semiconductors leading","Bull regime; tech leading"),IF(AR269="SOXS","Bear regime; semiconductors weakest","Bear regime; tech weakest")))</f>
        <v>Bear regime; tech weakest</v>
      </c>
    </row>
    <row r="270" spans="1:50" x14ac:dyDescent="0.2">
      <c r="A270" s="12"/>
      <c r="B270" s="13"/>
      <c r="C270" s="13"/>
      <c r="D270" s="13"/>
      <c r="E270" s="13"/>
      <c r="F270" s="11" t="str">
        <f>IF(OR(E270="",E269=""),"",IF(E269=0,"",(E270/E269)-1))</f>
        <v/>
      </c>
      <c r="G270" s="13"/>
      <c r="H270" s="11" t="str">
        <f>IF(OR(G270="",G269=""),"",IF(G269=0,"",(G270/G269)-1))</f>
        <v/>
      </c>
      <c r="I270" s="13"/>
      <c r="J270" s="13"/>
      <c r="K270" s="13"/>
      <c r="L270" s="13"/>
      <c r="M270" s="23" t="str">
        <f>IF(OR(L270="",L269=""),"",IF(L269=0,"",(L270/L269)-1))</f>
        <v/>
      </c>
      <c r="N270" s="26" t="str">
        <f>IFERROR((M270/M269)-1,"")</f>
        <v/>
      </c>
      <c r="O270" s="23" t="str">
        <f>IF(OR(N270="",N269=""),"",IF(N269=0,"",(N270/N269)-1))</f>
        <v/>
      </c>
      <c r="P270" s="11" t="str">
        <f>IF(ROW()&lt;7,"",IF(OR(E270="",E267=""),"",IF(E267=0,"",(E270/E267)-1)))</f>
        <v/>
      </c>
      <c r="Q270" s="23" t="str">
        <f>IF(ROW()&lt;9,"",IF(OR(E270="",E265=""),"",IF(E265=0,"",(E270/E265)-1)))</f>
        <v/>
      </c>
      <c r="R270" s="23" t="str">
        <f>IF(ROW()&lt;7,"",IF(OR(G270="",G267=""),"",IF(G267=0,"",(G270/G267)-1)))</f>
        <v/>
      </c>
      <c r="S270" s="23" t="str">
        <f>IF(ROW()&lt;9,"",IF(OR(G270="",G265=""),"",IF(G265=0,"",(G270/G265)-1)))</f>
        <v/>
      </c>
      <c r="T270" s="23" t="str">
        <f>IF(ROW()&lt;7,"",IF(OR(L270="",L267=""),"",IF(L267=0,"",(L270/L267)-1)))</f>
        <v/>
      </c>
      <c r="U270" s="23" t="str">
        <f>IF(ROW()&lt;9,"",IF(OR(L270="",L265=""),"",IF(L265=0,"",(L270/L265)-1)))</f>
        <v/>
      </c>
      <c r="V270" s="23" t="str">
        <f>IF(ROW()&lt;7,"",IF(OR(N270="",N267=""),"",IF(N267=0,"",(N270/N267)-1)))</f>
        <v/>
      </c>
      <c r="W270" s="23" t="str">
        <f>IF(ROW()&lt;9,"",IF(OR(N270="",N265=""),"",IF(N265=0,"",(N270/N265)-1)))</f>
        <v/>
      </c>
      <c r="X270" s="23" t="str">
        <f>IF(OR(F270="",M270=""),"",F270-M270)</f>
        <v/>
      </c>
      <c r="Y270" s="23" t="str">
        <f>IF(OR(P270="",T270=""),"",P270-T270)</f>
        <v/>
      </c>
      <c r="Z270" s="23" t="str">
        <f>IF(OR(Q270="",U270=""),"",Q270-U270)</f>
        <v/>
      </c>
      <c r="AA270" s="23" t="str">
        <f>IF(OR(H270="",O270=""),"",H270-O270)</f>
        <v/>
      </c>
      <c r="AB270" s="23" t="str">
        <f>IF(OR(R270="",V270=""),"",R270-V270)</f>
        <v/>
      </c>
      <c r="AC270" s="23" t="str">
        <f>IF(OR(S270="",W270=""),"",S270-W270)</f>
        <v/>
      </c>
      <c r="AD270" s="13"/>
      <c r="AE270" s="23" t="str">
        <f>IF(OR(AD270="",AD269=""),"",IF(AD269=0,"",(AD270/AD269)-1))</f>
        <v/>
      </c>
      <c r="AF270" s="23" t="str">
        <f>IF(ROW()&lt;7,"",IF(OR(AD270="",AD267=""),"",IF(AD267=0,"",(AD270/AD267)-1)))</f>
        <v/>
      </c>
      <c r="AG270" s="23" t="str">
        <f>IF(ROW()&lt;9,"",IF(OR(AD270="",AD265=""),"",IF(AD265=0,"",(AD270/AD265)-1)))</f>
        <v/>
      </c>
      <c r="AH270" s="23" t="str">
        <f>IF(OR(AF270="",AG270=""),"",IF(AND(AF270&gt;0,AG270&gt;0),"Bull",IF(AND(AF270&lt;0,AG270&lt;0),"Bear","Mixed")))</f>
        <v/>
      </c>
      <c r="AI270" s="13"/>
      <c r="AJ270" s="13" t="str">
        <f>IF(OR(AI270="",AI269=""),"",IF(AI269=0,"",(AI270/AI269)-1))</f>
        <v/>
      </c>
      <c r="AK270" s="23" t="str">
        <f>IF(OR(AJ270="",AJ269=""),"",IF(AJ269=0,"",(AJ270/AJ269)-1))</f>
        <v/>
      </c>
      <c r="AL270" s="23" t="str">
        <f>IF(ROW()&lt;7,"",IF(OR(AJ270="",AJ267=""),"",IF(AJ267=0,"",(AJ270/AJ267)-1)))</f>
        <v/>
      </c>
      <c r="AM270" s="23" t="str">
        <f>IF(ROW()&lt;9,"",IF(OR(AJ270="",AJ265=""),"",IF(AJ265=0,"",(AJ270/AJ265)-1)))</f>
        <v/>
      </c>
      <c r="AN270" t="str">
        <f>IF(OR(AL270="",AM270=""),"",IF(AND(AL270&gt;0,AM270&gt;0),"Bull",IF(AND(AL270&lt;0,AM270&lt;0),"Bear","Mixed")))</f>
        <v/>
      </c>
      <c r="AO270" t="str">
        <f>IF(OR(AH270="",AN270=""),"",IF(AND(AH270="Bull",AN270="Bull"),"YES","NO"))</f>
        <v/>
      </c>
      <c r="AP270" t="str">
        <f>IF(OR(AH270="",AN270=""),"",IF(AND(AH270="Bear",AN270="Bear"),"YES","NO"))</f>
        <v/>
      </c>
      <c r="AQ270" t="str">
        <f>IF(AO270="YES",IF(SUM(N(X270),N(Y270),N(Z270))&gt;0,"SOXL","TQQQ"),IF(AP270="YES",IF(SUM(N(AA270),N(AB270),N(AC270))&gt;0,"SOXS","SQQQ"),"WAIT"))</f>
        <v>WAIT</v>
      </c>
      <c r="AR270" s="23" t="str">
        <f>IF(AO270="YES",IF(SUM(N(X270),N(Y270),N(Z270))&gt;0,"TQQQ","SOXL"),IF(AP270="YES",IF(SUM(N(AA270),N(AB270),N(AC270))&gt;0,"SQQQ","SOXS"),""))</f>
        <v/>
      </c>
      <c r="AS270" s="23" t="str">
        <f>IF(AQ270="WAIT","",IF(AR270="",1,0.6))</f>
        <v/>
      </c>
      <c r="AT270" s="23">
        <f>IF(AR270="",0,0.4)</f>
        <v>0</v>
      </c>
      <c r="AU270" s="23" t="str">
        <f>IF(AQ270="WAIT","WAIT",IF(AO270="YES","BULL",IF(AP270="YES","BEAR","WAIT")))</f>
        <v>WAIT</v>
      </c>
      <c r="AV270" t="str">
        <f>IF(AQ270="WAIT","Low",IF(OR(AND(AU270="BULL",ABS(SUM(N(X270),N(Y270),N(Z270)))&gt;=0.15),AND(AU270="BEAR",ABS(SUM(N(AA270),N(AB270),N(AC270)))&gt;=0.15)),"Strong",IF(OR(AND(AU270="BULL",ABS(SUM(N(X270),N(Y270),N(Z270)))&gt;=0.05),AND(AU270="BEAR",ABS(SUM(N(AA270),N(AB270),N(AC270)))&gt;=0.05)),"Moderate","Low")))</f>
        <v>Low</v>
      </c>
      <c r="AW270" t="str">
        <f>IF(AQ270="WAIT","QQQ and SMH not aligned",IF(AU270="BULL",IF(AQ270="SOXL","Bull regime; semiconductors leading","Bull regime; tech leading"),IF(AQ270="SOXS","Bear regime; semiconductors weakest","Bear regime; tech weakest")))</f>
        <v>QQQ and SMH not aligned</v>
      </c>
      <c r="AX270" t="str">
        <f>IF(AR270="WAIT","QQQ and SMH not aligned",IF(AV270="BULL",IF(AR270="SOXL","Bull regime; semiconductors leading","Bull regime; tech leading"),IF(AR270="SOXS","Bear regime; semiconductors weakest","Bear regime; tech weakest")))</f>
        <v>Bear regime; tech weakest</v>
      </c>
    </row>
    <row r="271" spans="1:50" x14ac:dyDescent="0.2">
      <c r="A271" s="12"/>
      <c r="B271" s="13"/>
      <c r="C271" s="13"/>
      <c r="D271" s="13"/>
      <c r="E271" s="13"/>
      <c r="F271" s="11" t="str">
        <f>IF(OR(E271="",E270=""),"",IF(E270=0,"",(E271/E270)-1))</f>
        <v/>
      </c>
      <c r="G271" s="13"/>
      <c r="H271" s="11" t="str">
        <f>IF(OR(G271="",G270=""),"",IF(G270=0,"",(G271/G270)-1))</f>
        <v/>
      </c>
      <c r="I271" s="13"/>
      <c r="J271" s="13"/>
      <c r="K271" s="13"/>
      <c r="L271" s="13"/>
      <c r="M271" s="23" t="str">
        <f>IF(OR(L271="",L270=""),"",IF(L270=0,"",(L271/L270)-1))</f>
        <v/>
      </c>
      <c r="N271" s="26" t="str">
        <f>IFERROR((M271/M270)-1,"")</f>
        <v/>
      </c>
      <c r="O271" s="23" t="str">
        <f>IF(OR(N271="",N270=""),"",IF(N270=0,"",(N271/N270)-1))</f>
        <v/>
      </c>
      <c r="P271" s="11" t="str">
        <f>IF(ROW()&lt;7,"",IF(OR(E271="",E268=""),"",IF(E268=0,"",(E271/E268)-1)))</f>
        <v/>
      </c>
      <c r="Q271" s="23" t="str">
        <f>IF(ROW()&lt;9,"",IF(OR(E271="",E266=""),"",IF(E266=0,"",(E271/E266)-1)))</f>
        <v/>
      </c>
      <c r="R271" s="23" t="str">
        <f>IF(ROW()&lt;7,"",IF(OR(G271="",G268=""),"",IF(G268=0,"",(G271/G268)-1)))</f>
        <v/>
      </c>
      <c r="S271" s="23" t="str">
        <f>IF(ROW()&lt;9,"",IF(OR(G271="",G266=""),"",IF(G266=0,"",(G271/G266)-1)))</f>
        <v/>
      </c>
      <c r="T271" s="23" t="str">
        <f>IF(ROW()&lt;7,"",IF(OR(L271="",L268=""),"",IF(L268=0,"",(L271/L268)-1)))</f>
        <v/>
      </c>
      <c r="U271" s="23" t="str">
        <f>IF(ROW()&lt;9,"",IF(OR(L271="",L266=""),"",IF(L266=0,"",(L271/L266)-1)))</f>
        <v/>
      </c>
      <c r="V271" s="23" t="str">
        <f>IF(ROW()&lt;7,"",IF(OR(N271="",N268=""),"",IF(N268=0,"",(N271/N268)-1)))</f>
        <v/>
      </c>
      <c r="W271" s="23" t="str">
        <f>IF(ROW()&lt;9,"",IF(OR(N271="",N266=""),"",IF(N266=0,"",(N271/N266)-1)))</f>
        <v/>
      </c>
      <c r="X271" s="23" t="str">
        <f>IF(OR(F271="",M271=""),"",F271-M271)</f>
        <v/>
      </c>
      <c r="Y271" s="23" t="str">
        <f>IF(OR(P271="",T271=""),"",P271-T271)</f>
        <v/>
      </c>
      <c r="Z271" s="23" t="str">
        <f>IF(OR(Q271="",U271=""),"",Q271-U271)</f>
        <v/>
      </c>
      <c r="AA271" s="23" t="str">
        <f>IF(OR(H271="",O271=""),"",H271-O271)</f>
        <v/>
      </c>
      <c r="AB271" s="23" t="str">
        <f>IF(OR(R271="",V271=""),"",R271-V271)</f>
        <v/>
      </c>
      <c r="AC271" s="23" t="str">
        <f>IF(OR(S271="",W271=""),"",S271-W271)</f>
        <v/>
      </c>
      <c r="AD271" s="13"/>
      <c r="AE271" s="23" t="str">
        <f>IF(OR(AD271="",AD270=""),"",IF(AD270=0,"",(AD271/AD270)-1))</f>
        <v/>
      </c>
      <c r="AF271" s="23" t="str">
        <f>IF(ROW()&lt;7,"",IF(OR(AD271="",AD268=""),"",IF(AD268=0,"",(AD271/AD268)-1)))</f>
        <v/>
      </c>
      <c r="AG271" s="23" t="str">
        <f>IF(ROW()&lt;9,"",IF(OR(AD271="",AD266=""),"",IF(AD266=0,"",(AD271/AD266)-1)))</f>
        <v/>
      </c>
      <c r="AH271" s="23" t="str">
        <f>IF(OR(AF271="",AG271=""),"",IF(AND(AF271&gt;0,AG271&gt;0),"Bull",IF(AND(AF271&lt;0,AG271&lt;0),"Bear","Mixed")))</f>
        <v/>
      </c>
      <c r="AI271" s="13"/>
      <c r="AJ271" s="13" t="str">
        <f>IF(OR(AI271="",AI270=""),"",IF(AI270=0,"",(AI271/AI270)-1))</f>
        <v/>
      </c>
      <c r="AK271" s="23" t="str">
        <f>IF(OR(AJ271="",AJ270=""),"",IF(AJ270=0,"",(AJ271/AJ270)-1))</f>
        <v/>
      </c>
      <c r="AL271" s="23" t="str">
        <f>IF(ROW()&lt;7,"",IF(OR(AJ271="",AJ268=""),"",IF(AJ268=0,"",(AJ271/AJ268)-1)))</f>
        <v/>
      </c>
      <c r="AM271" s="23" t="str">
        <f>IF(ROW()&lt;9,"",IF(OR(AJ271="",AJ266=""),"",IF(AJ266=0,"",(AJ271/AJ266)-1)))</f>
        <v/>
      </c>
      <c r="AN271" t="str">
        <f>IF(OR(AL271="",AM271=""),"",IF(AND(AL271&gt;0,AM271&gt;0),"Bull",IF(AND(AL271&lt;0,AM271&lt;0),"Bear","Mixed")))</f>
        <v/>
      </c>
      <c r="AO271" t="str">
        <f>IF(OR(AH271="",AN271=""),"",IF(AND(AH271="Bull",AN271="Bull"),"YES","NO"))</f>
        <v/>
      </c>
      <c r="AP271" t="str">
        <f>IF(OR(AH271="",AN271=""),"",IF(AND(AH271="Bear",AN271="Bear"),"YES","NO"))</f>
        <v/>
      </c>
      <c r="AQ271" t="str">
        <f>IF(AO271="YES",IF(SUM(N(X271),N(Y271),N(Z271))&gt;0,"SOXL","TQQQ"),IF(AP271="YES",IF(SUM(N(AA271),N(AB271),N(AC271))&gt;0,"SOXS","SQQQ"),"WAIT"))</f>
        <v>WAIT</v>
      </c>
      <c r="AR271" s="23" t="str">
        <f>IF(AO271="YES",IF(SUM(N(X271),N(Y271),N(Z271))&gt;0,"TQQQ","SOXL"),IF(AP271="YES",IF(SUM(N(AA271),N(AB271),N(AC271))&gt;0,"SQQQ","SOXS"),""))</f>
        <v/>
      </c>
      <c r="AS271" s="23" t="str">
        <f>IF(AQ271="WAIT","",IF(AR271="",1,0.6))</f>
        <v/>
      </c>
      <c r="AT271" s="23">
        <f>IF(AR271="",0,0.4)</f>
        <v>0</v>
      </c>
      <c r="AU271" s="23" t="str">
        <f>IF(AQ271="WAIT","WAIT",IF(AO271="YES","BULL",IF(AP271="YES","BEAR","WAIT")))</f>
        <v>WAIT</v>
      </c>
      <c r="AV271" t="str">
        <f>IF(AQ271="WAIT","Low",IF(OR(AND(AU271="BULL",ABS(SUM(N(X271),N(Y271),N(Z271)))&gt;=0.15),AND(AU271="BEAR",ABS(SUM(N(AA271),N(AB271),N(AC271)))&gt;=0.15)),"Strong",IF(OR(AND(AU271="BULL",ABS(SUM(N(X271),N(Y271),N(Z271)))&gt;=0.05),AND(AU271="BEAR",ABS(SUM(N(AA271),N(AB271),N(AC271)))&gt;=0.05)),"Moderate","Low")))</f>
        <v>Low</v>
      </c>
      <c r="AW271" t="str">
        <f>IF(AQ271="WAIT","QQQ and SMH not aligned",IF(AU271="BULL",IF(AQ271="SOXL","Bull regime; semiconductors leading","Bull regime; tech leading"),IF(AQ271="SOXS","Bear regime; semiconductors weakest","Bear regime; tech weakest")))</f>
        <v>QQQ and SMH not aligned</v>
      </c>
      <c r="AX271" t="str">
        <f>IF(AR271="WAIT","QQQ and SMH not aligned",IF(AV271="BULL",IF(AR271="SOXL","Bull regime; semiconductors leading","Bull regime; tech leading"),IF(AR271="SOXS","Bear regime; semiconductors weakest","Bear regime; tech weakest")))</f>
        <v>Bear regime; tech weakest</v>
      </c>
    </row>
    <row r="272" spans="1:50" x14ac:dyDescent="0.2">
      <c r="A272" s="12"/>
      <c r="B272" s="13"/>
      <c r="C272" s="13"/>
      <c r="D272" s="13"/>
      <c r="E272" s="13"/>
      <c r="F272" s="11" t="str">
        <f>IF(OR(E272="",E271=""),"",IF(E271=0,"",(E272/E271)-1))</f>
        <v/>
      </c>
      <c r="G272" s="13"/>
      <c r="H272" s="11" t="str">
        <f>IF(OR(G272="",G271=""),"",IF(G271=0,"",(G272/G271)-1))</f>
        <v/>
      </c>
      <c r="I272" s="13"/>
      <c r="J272" s="13"/>
      <c r="K272" s="13"/>
      <c r="L272" s="13"/>
      <c r="M272" s="23" t="str">
        <f>IF(OR(L272="",L271=""),"",IF(L271=0,"",(L272/L271)-1))</f>
        <v/>
      </c>
      <c r="N272" s="26" t="str">
        <f>IFERROR((M272/M271)-1,"")</f>
        <v/>
      </c>
      <c r="O272" s="23" t="str">
        <f>IF(OR(N272="",N271=""),"",IF(N271=0,"",(N272/N271)-1))</f>
        <v/>
      </c>
      <c r="P272" s="11" t="str">
        <f>IF(ROW()&lt;7,"",IF(OR(E272="",E269=""),"",IF(E269=0,"",(E272/E269)-1)))</f>
        <v/>
      </c>
      <c r="Q272" s="23" t="str">
        <f>IF(ROW()&lt;9,"",IF(OR(E272="",E267=""),"",IF(E267=0,"",(E272/E267)-1)))</f>
        <v/>
      </c>
      <c r="R272" s="23" t="str">
        <f>IF(ROW()&lt;7,"",IF(OR(G272="",G269=""),"",IF(G269=0,"",(G272/G269)-1)))</f>
        <v/>
      </c>
      <c r="S272" s="23" t="str">
        <f>IF(ROW()&lt;9,"",IF(OR(G272="",G267=""),"",IF(G267=0,"",(G272/G267)-1)))</f>
        <v/>
      </c>
      <c r="T272" s="23" t="str">
        <f>IF(ROW()&lt;7,"",IF(OR(L272="",L269=""),"",IF(L269=0,"",(L272/L269)-1)))</f>
        <v/>
      </c>
      <c r="U272" s="23" t="str">
        <f>IF(ROW()&lt;9,"",IF(OR(L272="",L267=""),"",IF(L267=0,"",(L272/L267)-1)))</f>
        <v/>
      </c>
      <c r="V272" s="23" t="str">
        <f>IF(ROW()&lt;7,"",IF(OR(N272="",N269=""),"",IF(N269=0,"",(N272/N269)-1)))</f>
        <v/>
      </c>
      <c r="W272" s="23" t="str">
        <f>IF(ROW()&lt;9,"",IF(OR(N272="",N267=""),"",IF(N267=0,"",(N272/N267)-1)))</f>
        <v/>
      </c>
      <c r="X272" s="23" t="str">
        <f>IF(OR(F272="",M272=""),"",F272-M272)</f>
        <v/>
      </c>
      <c r="Y272" s="23" t="str">
        <f>IF(OR(P272="",T272=""),"",P272-T272)</f>
        <v/>
      </c>
      <c r="Z272" s="23" t="str">
        <f>IF(OR(Q272="",U272=""),"",Q272-U272)</f>
        <v/>
      </c>
      <c r="AA272" s="23" t="str">
        <f>IF(OR(H272="",O272=""),"",H272-O272)</f>
        <v/>
      </c>
      <c r="AB272" s="23" t="str">
        <f>IF(OR(R272="",V272=""),"",R272-V272)</f>
        <v/>
      </c>
      <c r="AC272" s="23" t="str">
        <f>IF(OR(S272="",W272=""),"",S272-W272)</f>
        <v/>
      </c>
      <c r="AD272" s="13"/>
      <c r="AE272" s="23" t="str">
        <f>IF(OR(AD272="",AD271=""),"",IF(AD271=0,"",(AD272/AD271)-1))</f>
        <v/>
      </c>
      <c r="AF272" s="23" t="str">
        <f>IF(ROW()&lt;7,"",IF(OR(AD272="",AD269=""),"",IF(AD269=0,"",(AD272/AD269)-1)))</f>
        <v/>
      </c>
      <c r="AG272" s="23" t="str">
        <f>IF(ROW()&lt;9,"",IF(OR(AD272="",AD267=""),"",IF(AD267=0,"",(AD272/AD267)-1)))</f>
        <v/>
      </c>
      <c r="AH272" s="23" t="str">
        <f>IF(OR(AF272="",AG272=""),"",IF(AND(AF272&gt;0,AG272&gt;0),"Bull",IF(AND(AF272&lt;0,AG272&lt;0),"Bear","Mixed")))</f>
        <v/>
      </c>
      <c r="AI272" s="13"/>
      <c r="AJ272" s="13" t="str">
        <f>IF(OR(AI272="",AI271=""),"",IF(AI271=0,"",(AI272/AI271)-1))</f>
        <v/>
      </c>
      <c r="AK272" s="23" t="str">
        <f>IF(OR(AJ272="",AJ271=""),"",IF(AJ271=0,"",(AJ272/AJ271)-1))</f>
        <v/>
      </c>
      <c r="AL272" s="23" t="str">
        <f>IF(ROW()&lt;7,"",IF(OR(AJ272="",AJ269=""),"",IF(AJ269=0,"",(AJ272/AJ269)-1)))</f>
        <v/>
      </c>
      <c r="AM272" s="23" t="str">
        <f>IF(ROW()&lt;9,"",IF(OR(AJ272="",AJ267=""),"",IF(AJ267=0,"",(AJ272/AJ267)-1)))</f>
        <v/>
      </c>
      <c r="AN272" t="str">
        <f>IF(OR(AL272="",AM272=""),"",IF(AND(AL272&gt;0,AM272&gt;0),"Bull",IF(AND(AL272&lt;0,AM272&lt;0),"Bear","Mixed")))</f>
        <v/>
      </c>
      <c r="AO272" t="str">
        <f>IF(OR(AH272="",AN272=""),"",IF(AND(AH272="Bull",AN272="Bull"),"YES","NO"))</f>
        <v/>
      </c>
      <c r="AP272" t="str">
        <f>IF(OR(AH272="",AN272=""),"",IF(AND(AH272="Bear",AN272="Bear"),"YES","NO"))</f>
        <v/>
      </c>
      <c r="AQ272" t="str">
        <f>IF(AO272="YES",IF(SUM(N(X272),N(Y272),N(Z272))&gt;0,"SOXL","TQQQ"),IF(AP272="YES",IF(SUM(N(AA272),N(AB272),N(AC272))&gt;0,"SOXS","SQQQ"),"WAIT"))</f>
        <v>WAIT</v>
      </c>
      <c r="AR272" s="23" t="str">
        <f>IF(AO272="YES",IF(SUM(N(X272),N(Y272),N(Z272))&gt;0,"TQQQ","SOXL"),IF(AP272="YES",IF(SUM(N(AA272),N(AB272),N(AC272))&gt;0,"SQQQ","SOXS"),""))</f>
        <v/>
      </c>
      <c r="AS272" s="23" t="str">
        <f>IF(AQ272="WAIT","",IF(AR272="",1,0.6))</f>
        <v/>
      </c>
      <c r="AT272" s="23">
        <f>IF(AR272="",0,0.4)</f>
        <v>0</v>
      </c>
      <c r="AU272" s="23" t="str">
        <f>IF(AQ272="WAIT","WAIT",IF(AO272="YES","BULL",IF(AP272="YES","BEAR","WAIT")))</f>
        <v>WAIT</v>
      </c>
      <c r="AV272" t="str">
        <f>IF(AQ272="WAIT","Low",IF(OR(AND(AU272="BULL",ABS(SUM(N(X272),N(Y272),N(Z272)))&gt;=0.15),AND(AU272="BEAR",ABS(SUM(N(AA272),N(AB272),N(AC272)))&gt;=0.15)),"Strong",IF(OR(AND(AU272="BULL",ABS(SUM(N(X272),N(Y272),N(Z272)))&gt;=0.05),AND(AU272="BEAR",ABS(SUM(N(AA272),N(AB272),N(AC272)))&gt;=0.05)),"Moderate","Low")))</f>
        <v>Low</v>
      </c>
      <c r="AW272" t="str">
        <f>IF(AQ272="WAIT","QQQ and SMH not aligned",IF(AU272="BULL",IF(AQ272="SOXL","Bull regime; semiconductors leading","Bull regime; tech leading"),IF(AQ272="SOXS","Bear regime; semiconductors weakest","Bear regime; tech weakest")))</f>
        <v>QQQ and SMH not aligned</v>
      </c>
      <c r="AX272" t="str">
        <f>IF(AR272="WAIT","QQQ and SMH not aligned",IF(AV272="BULL",IF(AR272="SOXL","Bull regime; semiconductors leading","Bull regime; tech leading"),IF(AR272="SOXS","Bear regime; semiconductors weakest","Bear regime; tech weakest")))</f>
        <v>Bear regime; tech weakest</v>
      </c>
    </row>
    <row r="273" spans="1:50" x14ac:dyDescent="0.2">
      <c r="A273" s="12"/>
      <c r="B273" s="13"/>
      <c r="C273" s="13"/>
      <c r="D273" s="13"/>
      <c r="E273" s="13"/>
      <c r="F273" s="11" t="str">
        <f>IF(OR(E273="",E272=""),"",IF(E272=0,"",(E273/E272)-1))</f>
        <v/>
      </c>
      <c r="G273" s="13"/>
      <c r="H273" s="11" t="str">
        <f>IF(OR(G273="",G272=""),"",IF(G272=0,"",(G273/G272)-1))</f>
        <v/>
      </c>
      <c r="I273" s="13"/>
      <c r="J273" s="13"/>
      <c r="K273" s="13"/>
      <c r="L273" s="13"/>
      <c r="M273" s="23" t="str">
        <f>IF(OR(L273="",L272=""),"",IF(L272=0,"",(L273/L272)-1))</f>
        <v/>
      </c>
      <c r="N273" s="26" t="str">
        <f>IFERROR((M273/M272)-1,"")</f>
        <v/>
      </c>
      <c r="O273" s="23" t="str">
        <f>IF(OR(N273="",N272=""),"",IF(N272=0,"",(N273/N272)-1))</f>
        <v/>
      </c>
      <c r="P273" s="11" t="str">
        <f>IF(ROW()&lt;7,"",IF(OR(E273="",E270=""),"",IF(E270=0,"",(E273/E270)-1)))</f>
        <v/>
      </c>
      <c r="Q273" s="23" t="str">
        <f>IF(ROW()&lt;9,"",IF(OR(E273="",E268=""),"",IF(E268=0,"",(E273/E268)-1)))</f>
        <v/>
      </c>
      <c r="R273" s="23" t="str">
        <f>IF(ROW()&lt;7,"",IF(OR(G273="",G270=""),"",IF(G270=0,"",(G273/G270)-1)))</f>
        <v/>
      </c>
      <c r="S273" s="23" t="str">
        <f>IF(ROW()&lt;9,"",IF(OR(G273="",G268=""),"",IF(G268=0,"",(G273/G268)-1)))</f>
        <v/>
      </c>
      <c r="T273" s="23" t="str">
        <f>IF(ROW()&lt;7,"",IF(OR(L273="",L270=""),"",IF(L270=0,"",(L273/L270)-1)))</f>
        <v/>
      </c>
      <c r="U273" s="23" t="str">
        <f>IF(ROW()&lt;9,"",IF(OR(L273="",L268=""),"",IF(L268=0,"",(L273/L268)-1)))</f>
        <v/>
      </c>
      <c r="V273" s="23" t="str">
        <f>IF(ROW()&lt;7,"",IF(OR(N273="",N270=""),"",IF(N270=0,"",(N273/N270)-1)))</f>
        <v/>
      </c>
      <c r="W273" s="23" t="str">
        <f>IF(ROW()&lt;9,"",IF(OR(N273="",N268=""),"",IF(N268=0,"",(N273/N268)-1)))</f>
        <v/>
      </c>
      <c r="X273" s="23" t="str">
        <f>IF(OR(F273="",M273=""),"",F273-M273)</f>
        <v/>
      </c>
      <c r="Y273" s="23" t="str">
        <f>IF(OR(P273="",T273=""),"",P273-T273)</f>
        <v/>
      </c>
      <c r="Z273" s="23" t="str">
        <f>IF(OR(Q273="",U273=""),"",Q273-U273)</f>
        <v/>
      </c>
      <c r="AA273" s="23" t="str">
        <f>IF(OR(H273="",O273=""),"",H273-O273)</f>
        <v/>
      </c>
      <c r="AB273" s="23" t="str">
        <f>IF(OR(R273="",V273=""),"",R273-V273)</f>
        <v/>
      </c>
      <c r="AC273" s="23" t="str">
        <f>IF(OR(S273="",W273=""),"",S273-W273)</f>
        <v/>
      </c>
      <c r="AD273" s="13"/>
      <c r="AE273" s="23" t="str">
        <f>IF(OR(AD273="",AD272=""),"",IF(AD272=0,"",(AD273/AD272)-1))</f>
        <v/>
      </c>
      <c r="AF273" s="23" t="str">
        <f>IF(ROW()&lt;7,"",IF(OR(AD273="",AD270=""),"",IF(AD270=0,"",(AD273/AD270)-1)))</f>
        <v/>
      </c>
      <c r="AG273" s="23" t="str">
        <f>IF(ROW()&lt;9,"",IF(OR(AD273="",AD268=""),"",IF(AD268=0,"",(AD273/AD268)-1)))</f>
        <v/>
      </c>
      <c r="AH273" s="23" t="str">
        <f>IF(OR(AF273="",AG273=""),"",IF(AND(AF273&gt;0,AG273&gt;0),"Bull",IF(AND(AF273&lt;0,AG273&lt;0),"Bear","Mixed")))</f>
        <v/>
      </c>
      <c r="AI273" s="13"/>
      <c r="AJ273" s="13" t="str">
        <f>IF(OR(AI273="",AI272=""),"",IF(AI272=0,"",(AI273/AI272)-1))</f>
        <v/>
      </c>
      <c r="AK273" s="23" t="str">
        <f>IF(OR(AJ273="",AJ272=""),"",IF(AJ272=0,"",(AJ273/AJ272)-1))</f>
        <v/>
      </c>
      <c r="AL273" s="23" t="str">
        <f>IF(ROW()&lt;7,"",IF(OR(AJ273="",AJ270=""),"",IF(AJ270=0,"",(AJ273/AJ270)-1)))</f>
        <v/>
      </c>
      <c r="AM273" s="23" t="str">
        <f>IF(ROW()&lt;9,"",IF(OR(AJ273="",AJ268=""),"",IF(AJ268=0,"",(AJ273/AJ268)-1)))</f>
        <v/>
      </c>
      <c r="AN273" t="str">
        <f>IF(OR(AL273="",AM273=""),"",IF(AND(AL273&gt;0,AM273&gt;0),"Bull",IF(AND(AL273&lt;0,AM273&lt;0),"Bear","Mixed")))</f>
        <v/>
      </c>
      <c r="AO273" t="str">
        <f>IF(OR(AH273="",AN273=""),"",IF(AND(AH273="Bull",AN273="Bull"),"YES","NO"))</f>
        <v/>
      </c>
      <c r="AP273" t="str">
        <f>IF(OR(AH273="",AN273=""),"",IF(AND(AH273="Bear",AN273="Bear"),"YES","NO"))</f>
        <v/>
      </c>
      <c r="AQ273" t="str">
        <f>IF(AO273="YES",IF(SUM(N(X273),N(Y273),N(Z273))&gt;0,"SOXL","TQQQ"),IF(AP273="YES",IF(SUM(N(AA273),N(AB273),N(AC273))&gt;0,"SOXS","SQQQ"),"WAIT"))</f>
        <v>WAIT</v>
      </c>
      <c r="AR273" s="23" t="str">
        <f>IF(AO273="YES",IF(SUM(N(X273),N(Y273),N(Z273))&gt;0,"TQQQ","SOXL"),IF(AP273="YES",IF(SUM(N(AA273),N(AB273),N(AC273))&gt;0,"SQQQ","SOXS"),""))</f>
        <v/>
      </c>
      <c r="AS273" s="23" t="str">
        <f>IF(AQ273="WAIT","",IF(AR273="",1,0.6))</f>
        <v/>
      </c>
      <c r="AT273" s="23">
        <f>IF(AR273="",0,0.4)</f>
        <v>0</v>
      </c>
      <c r="AU273" s="23" t="str">
        <f>IF(AQ273="WAIT","WAIT",IF(AO273="YES","BULL",IF(AP273="YES","BEAR","WAIT")))</f>
        <v>WAIT</v>
      </c>
      <c r="AV273" t="str">
        <f>IF(AQ273="WAIT","Low",IF(OR(AND(AU273="BULL",ABS(SUM(N(X273),N(Y273),N(Z273)))&gt;=0.15),AND(AU273="BEAR",ABS(SUM(N(AA273),N(AB273),N(AC273)))&gt;=0.15)),"Strong",IF(OR(AND(AU273="BULL",ABS(SUM(N(X273),N(Y273),N(Z273)))&gt;=0.05),AND(AU273="BEAR",ABS(SUM(N(AA273),N(AB273),N(AC273)))&gt;=0.05)),"Moderate","Low")))</f>
        <v>Low</v>
      </c>
      <c r="AW273" t="str">
        <f>IF(AQ273="WAIT","QQQ and SMH not aligned",IF(AU273="BULL",IF(AQ273="SOXL","Bull regime; semiconductors leading","Bull regime; tech leading"),IF(AQ273="SOXS","Bear regime; semiconductors weakest","Bear regime; tech weakest")))</f>
        <v>QQQ and SMH not aligned</v>
      </c>
      <c r="AX273" t="str">
        <f>IF(AR273="WAIT","QQQ and SMH not aligned",IF(AV273="BULL",IF(AR273="SOXL","Bull regime; semiconductors leading","Bull regime; tech leading"),IF(AR273="SOXS","Bear regime; semiconductors weakest","Bear regime; tech weakest")))</f>
        <v>Bear regime; tech weakest</v>
      </c>
    </row>
    <row r="274" spans="1:50" x14ac:dyDescent="0.2">
      <c r="A274" s="12"/>
      <c r="B274" s="13"/>
      <c r="C274" s="13"/>
      <c r="D274" s="13"/>
      <c r="E274" s="13"/>
      <c r="F274" s="11" t="str">
        <f>IF(OR(E274="",E273=""),"",IF(E273=0,"",(E274/E273)-1))</f>
        <v/>
      </c>
      <c r="G274" s="13"/>
      <c r="H274" s="11" t="str">
        <f>IF(OR(G274="",G273=""),"",IF(G273=0,"",(G274/G273)-1))</f>
        <v/>
      </c>
      <c r="I274" s="13"/>
      <c r="J274" s="13"/>
      <c r="K274" s="13"/>
      <c r="L274" s="13"/>
      <c r="M274" s="23" t="str">
        <f>IF(OR(L274="",L273=""),"",IF(L273=0,"",(L274/L273)-1))</f>
        <v/>
      </c>
      <c r="N274" s="26" t="str">
        <f>IFERROR((M274/M273)-1,"")</f>
        <v/>
      </c>
      <c r="O274" s="23" t="str">
        <f>IF(OR(N274="",N273=""),"",IF(N273=0,"",(N274/N273)-1))</f>
        <v/>
      </c>
      <c r="P274" s="11" t="str">
        <f>IF(ROW()&lt;7,"",IF(OR(E274="",E271=""),"",IF(E271=0,"",(E274/E271)-1)))</f>
        <v/>
      </c>
      <c r="Q274" s="23" t="str">
        <f>IF(ROW()&lt;9,"",IF(OR(E274="",E269=""),"",IF(E269=0,"",(E274/E269)-1)))</f>
        <v/>
      </c>
      <c r="R274" s="23" t="str">
        <f>IF(ROW()&lt;7,"",IF(OR(G274="",G271=""),"",IF(G271=0,"",(G274/G271)-1)))</f>
        <v/>
      </c>
      <c r="S274" s="23" t="str">
        <f>IF(ROW()&lt;9,"",IF(OR(G274="",G269=""),"",IF(G269=0,"",(G274/G269)-1)))</f>
        <v/>
      </c>
      <c r="T274" s="23" t="str">
        <f>IF(ROW()&lt;7,"",IF(OR(L274="",L271=""),"",IF(L271=0,"",(L274/L271)-1)))</f>
        <v/>
      </c>
      <c r="U274" s="23" t="str">
        <f>IF(ROW()&lt;9,"",IF(OR(L274="",L269=""),"",IF(L269=0,"",(L274/L269)-1)))</f>
        <v/>
      </c>
      <c r="V274" s="23" t="str">
        <f>IF(ROW()&lt;7,"",IF(OR(N274="",N271=""),"",IF(N271=0,"",(N274/N271)-1)))</f>
        <v/>
      </c>
      <c r="W274" s="23" t="str">
        <f>IF(ROW()&lt;9,"",IF(OR(N274="",N269=""),"",IF(N269=0,"",(N274/N269)-1)))</f>
        <v/>
      </c>
      <c r="X274" s="23" t="str">
        <f>IF(OR(F274="",M274=""),"",F274-M274)</f>
        <v/>
      </c>
      <c r="Y274" s="23" t="str">
        <f>IF(OR(P274="",T274=""),"",P274-T274)</f>
        <v/>
      </c>
      <c r="Z274" s="23" t="str">
        <f>IF(OR(Q274="",U274=""),"",Q274-U274)</f>
        <v/>
      </c>
      <c r="AA274" s="23" t="str">
        <f>IF(OR(H274="",O274=""),"",H274-O274)</f>
        <v/>
      </c>
      <c r="AB274" s="23" t="str">
        <f>IF(OR(R274="",V274=""),"",R274-V274)</f>
        <v/>
      </c>
      <c r="AC274" s="23" t="str">
        <f>IF(OR(S274="",W274=""),"",S274-W274)</f>
        <v/>
      </c>
      <c r="AD274" s="13"/>
      <c r="AE274" s="23" t="str">
        <f>IF(OR(AD274="",AD273=""),"",IF(AD273=0,"",(AD274/AD273)-1))</f>
        <v/>
      </c>
      <c r="AF274" s="23" t="str">
        <f>IF(ROW()&lt;7,"",IF(OR(AD274="",AD271=""),"",IF(AD271=0,"",(AD274/AD271)-1)))</f>
        <v/>
      </c>
      <c r="AG274" s="23" t="str">
        <f>IF(ROW()&lt;9,"",IF(OR(AD274="",AD269=""),"",IF(AD269=0,"",(AD274/AD269)-1)))</f>
        <v/>
      </c>
      <c r="AH274" s="23" t="str">
        <f>IF(OR(AF274="",AG274=""),"",IF(AND(AF274&gt;0,AG274&gt;0),"Bull",IF(AND(AF274&lt;0,AG274&lt;0),"Bear","Mixed")))</f>
        <v/>
      </c>
      <c r="AI274" s="13"/>
      <c r="AJ274" s="13" t="str">
        <f>IF(OR(AI274="",AI273=""),"",IF(AI273=0,"",(AI274/AI273)-1))</f>
        <v/>
      </c>
      <c r="AK274" s="23" t="str">
        <f>IF(OR(AJ274="",AJ273=""),"",IF(AJ273=0,"",(AJ274/AJ273)-1))</f>
        <v/>
      </c>
      <c r="AL274" s="23" t="str">
        <f>IF(ROW()&lt;7,"",IF(OR(AJ274="",AJ271=""),"",IF(AJ271=0,"",(AJ274/AJ271)-1)))</f>
        <v/>
      </c>
      <c r="AM274" s="23" t="str">
        <f>IF(ROW()&lt;9,"",IF(OR(AJ274="",AJ269=""),"",IF(AJ269=0,"",(AJ274/AJ269)-1)))</f>
        <v/>
      </c>
      <c r="AN274" t="str">
        <f>IF(OR(AL274="",AM274=""),"",IF(AND(AL274&gt;0,AM274&gt;0),"Bull",IF(AND(AL274&lt;0,AM274&lt;0),"Bear","Mixed")))</f>
        <v/>
      </c>
      <c r="AO274" t="str">
        <f>IF(OR(AH274="",AN274=""),"",IF(AND(AH274="Bull",AN274="Bull"),"YES","NO"))</f>
        <v/>
      </c>
      <c r="AP274" t="str">
        <f>IF(OR(AH274="",AN274=""),"",IF(AND(AH274="Bear",AN274="Bear"),"YES","NO"))</f>
        <v/>
      </c>
      <c r="AQ274" t="str">
        <f>IF(AO274="YES",IF(SUM(N(X274),N(Y274),N(Z274))&gt;0,"SOXL","TQQQ"),IF(AP274="YES",IF(SUM(N(AA274),N(AB274),N(AC274))&gt;0,"SOXS","SQQQ"),"WAIT"))</f>
        <v>WAIT</v>
      </c>
      <c r="AR274" s="23" t="str">
        <f>IF(AO274="YES",IF(SUM(N(X274),N(Y274),N(Z274))&gt;0,"TQQQ","SOXL"),IF(AP274="YES",IF(SUM(N(AA274),N(AB274),N(AC274))&gt;0,"SQQQ","SOXS"),""))</f>
        <v/>
      </c>
      <c r="AS274" s="23" t="str">
        <f>IF(AQ274="WAIT","",IF(AR274="",1,0.6))</f>
        <v/>
      </c>
      <c r="AT274" s="23">
        <f>IF(AR274="",0,0.4)</f>
        <v>0</v>
      </c>
      <c r="AU274" s="23" t="str">
        <f>IF(AQ274="WAIT","WAIT",IF(AO274="YES","BULL",IF(AP274="YES","BEAR","WAIT")))</f>
        <v>WAIT</v>
      </c>
      <c r="AV274" t="str">
        <f>IF(AQ274="WAIT","Low",IF(OR(AND(AU274="BULL",ABS(SUM(N(X274),N(Y274),N(Z274)))&gt;=0.15),AND(AU274="BEAR",ABS(SUM(N(AA274),N(AB274),N(AC274)))&gt;=0.15)),"Strong",IF(OR(AND(AU274="BULL",ABS(SUM(N(X274),N(Y274),N(Z274)))&gt;=0.05),AND(AU274="BEAR",ABS(SUM(N(AA274),N(AB274),N(AC274)))&gt;=0.05)),"Moderate","Low")))</f>
        <v>Low</v>
      </c>
      <c r="AW274" t="str">
        <f>IF(AQ274="WAIT","QQQ and SMH not aligned",IF(AU274="BULL",IF(AQ274="SOXL","Bull regime; semiconductors leading","Bull regime; tech leading"),IF(AQ274="SOXS","Bear regime; semiconductors weakest","Bear regime; tech weakest")))</f>
        <v>QQQ and SMH not aligned</v>
      </c>
      <c r="AX274" t="str">
        <f>IF(AR274="WAIT","QQQ and SMH not aligned",IF(AV274="BULL",IF(AR274="SOXL","Bull regime; semiconductors leading","Bull regime; tech leading"),IF(AR274="SOXS","Bear regime; semiconductors weakest","Bear regime; tech weakest")))</f>
        <v>Bear regime; tech weakest</v>
      </c>
    </row>
    <row r="275" spans="1:50" x14ac:dyDescent="0.2">
      <c r="A275" s="12"/>
      <c r="B275" s="13"/>
      <c r="C275" s="13"/>
      <c r="D275" s="13"/>
      <c r="E275" s="13"/>
      <c r="F275" s="11" t="str">
        <f>IF(OR(E275="",E274=""),"",IF(E274=0,"",(E275/E274)-1))</f>
        <v/>
      </c>
      <c r="G275" s="13"/>
      <c r="H275" s="11" t="str">
        <f>IF(OR(G275="",G274=""),"",IF(G274=0,"",(G275/G274)-1))</f>
        <v/>
      </c>
      <c r="I275" s="13"/>
      <c r="J275" s="13"/>
      <c r="K275" s="13"/>
      <c r="L275" s="13"/>
      <c r="M275" s="23" t="str">
        <f>IF(OR(L275="",L274=""),"",IF(L274=0,"",(L275/L274)-1))</f>
        <v/>
      </c>
      <c r="N275" s="26" t="str">
        <f>IFERROR((M275/M274)-1,"")</f>
        <v/>
      </c>
      <c r="O275" s="23" t="str">
        <f>IF(OR(N275="",N274=""),"",IF(N274=0,"",(N275/N274)-1))</f>
        <v/>
      </c>
      <c r="P275" s="11" t="str">
        <f>IF(ROW()&lt;7,"",IF(OR(E275="",E272=""),"",IF(E272=0,"",(E275/E272)-1)))</f>
        <v/>
      </c>
      <c r="Q275" s="23" t="str">
        <f>IF(ROW()&lt;9,"",IF(OR(E275="",E270=""),"",IF(E270=0,"",(E275/E270)-1)))</f>
        <v/>
      </c>
      <c r="R275" s="23" t="str">
        <f>IF(ROW()&lt;7,"",IF(OR(G275="",G272=""),"",IF(G272=0,"",(G275/G272)-1)))</f>
        <v/>
      </c>
      <c r="S275" s="23" t="str">
        <f>IF(ROW()&lt;9,"",IF(OR(G275="",G270=""),"",IF(G270=0,"",(G275/G270)-1)))</f>
        <v/>
      </c>
      <c r="T275" s="23" t="str">
        <f>IF(ROW()&lt;7,"",IF(OR(L275="",L272=""),"",IF(L272=0,"",(L275/L272)-1)))</f>
        <v/>
      </c>
      <c r="U275" s="23" t="str">
        <f>IF(ROW()&lt;9,"",IF(OR(L275="",L270=""),"",IF(L270=0,"",(L275/L270)-1)))</f>
        <v/>
      </c>
      <c r="V275" s="23" t="str">
        <f>IF(ROW()&lt;7,"",IF(OR(N275="",N272=""),"",IF(N272=0,"",(N275/N272)-1)))</f>
        <v/>
      </c>
      <c r="W275" s="23" t="str">
        <f>IF(ROW()&lt;9,"",IF(OR(N275="",N270=""),"",IF(N270=0,"",(N275/N270)-1)))</f>
        <v/>
      </c>
      <c r="X275" s="23" t="str">
        <f>IF(OR(F275="",M275=""),"",F275-M275)</f>
        <v/>
      </c>
      <c r="Y275" s="23" t="str">
        <f>IF(OR(P275="",T275=""),"",P275-T275)</f>
        <v/>
      </c>
      <c r="Z275" s="23" t="str">
        <f>IF(OR(Q275="",U275=""),"",Q275-U275)</f>
        <v/>
      </c>
      <c r="AA275" s="23" t="str">
        <f>IF(OR(H275="",O275=""),"",H275-O275)</f>
        <v/>
      </c>
      <c r="AB275" s="23" t="str">
        <f>IF(OR(R275="",V275=""),"",R275-V275)</f>
        <v/>
      </c>
      <c r="AC275" s="23" t="str">
        <f>IF(OR(S275="",W275=""),"",S275-W275)</f>
        <v/>
      </c>
      <c r="AD275" s="13"/>
      <c r="AE275" s="23" t="str">
        <f>IF(OR(AD275="",AD274=""),"",IF(AD274=0,"",(AD275/AD274)-1))</f>
        <v/>
      </c>
      <c r="AF275" s="23" t="str">
        <f>IF(ROW()&lt;7,"",IF(OR(AD275="",AD272=""),"",IF(AD272=0,"",(AD275/AD272)-1)))</f>
        <v/>
      </c>
      <c r="AG275" s="23" t="str">
        <f>IF(ROW()&lt;9,"",IF(OR(AD275="",AD270=""),"",IF(AD270=0,"",(AD275/AD270)-1)))</f>
        <v/>
      </c>
      <c r="AH275" s="23" t="str">
        <f>IF(OR(AF275="",AG275=""),"",IF(AND(AF275&gt;0,AG275&gt;0),"Bull",IF(AND(AF275&lt;0,AG275&lt;0),"Bear","Mixed")))</f>
        <v/>
      </c>
      <c r="AI275" s="13"/>
      <c r="AJ275" s="13" t="str">
        <f>IF(OR(AI275="",AI274=""),"",IF(AI274=0,"",(AI275/AI274)-1))</f>
        <v/>
      </c>
      <c r="AK275" s="23" t="str">
        <f>IF(OR(AJ275="",AJ274=""),"",IF(AJ274=0,"",(AJ275/AJ274)-1))</f>
        <v/>
      </c>
      <c r="AL275" s="23" t="str">
        <f>IF(ROW()&lt;7,"",IF(OR(AJ275="",AJ272=""),"",IF(AJ272=0,"",(AJ275/AJ272)-1)))</f>
        <v/>
      </c>
      <c r="AM275" s="23" t="str">
        <f>IF(ROW()&lt;9,"",IF(OR(AJ275="",AJ270=""),"",IF(AJ270=0,"",(AJ275/AJ270)-1)))</f>
        <v/>
      </c>
      <c r="AN275" t="str">
        <f>IF(OR(AL275="",AM275=""),"",IF(AND(AL275&gt;0,AM275&gt;0),"Bull",IF(AND(AL275&lt;0,AM275&lt;0),"Bear","Mixed")))</f>
        <v/>
      </c>
      <c r="AO275" t="str">
        <f>IF(OR(AH275="",AN275=""),"",IF(AND(AH275="Bull",AN275="Bull"),"YES","NO"))</f>
        <v/>
      </c>
      <c r="AP275" t="str">
        <f>IF(OR(AH275="",AN275=""),"",IF(AND(AH275="Bear",AN275="Bear"),"YES","NO"))</f>
        <v/>
      </c>
      <c r="AQ275" t="str">
        <f>IF(AO275="YES",IF(SUM(N(X275),N(Y275),N(Z275))&gt;0,"SOXL","TQQQ"),IF(AP275="YES",IF(SUM(N(AA275),N(AB275),N(AC275))&gt;0,"SOXS","SQQQ"),"WAIT"))</f>
        <v>WAIT</v>
      </c>
      <c r="AR275" s="23" t="str">
        <f>IF(AO275="YES",IF(SUM(N(X275),N(Y275),N(Z275))&gt;0,"TQQQ","SOXL"),IF(AP275="YES",IF(SUM(N(AA275),N(AB275),N(AC275))&gt;0,"SQQQ","SOXS"),""))</f>
        <v/>
      </c>
      <c r="AS275" s="23" t="str">
        <f>IF(AQ275="WAIT","",IF(AR275="",1,0.6))</f>
        <v/>
      </c>
      <c r="AT275" s="23">
        <f>IF(AR275="",0,0.4)</f>
        <v>0</v>
      </c>
      <c r="AU275" s="23" t="str">
        <f>IF(AQ275="WAIT","WAIT",IF(AO275="YES","BULL",IF(AP275="YES","BEAR","WAIT")))</f>
        <v>WAIT</v>
      </c>
      <c r="AV275" t="str">
        <f>IF(AQ275="WAIT","Low",IF(OR(AND(AU275="BULL",ABS(SUM(N(X275),N(Y275),N(Z275)))&gt;=0.15),AND(AU275="BEAR",ABS(SUM(N(AA275),N(AB275),N(AC275)))&gt;=0.15)),"Strong",IF(OR(AND(AU275="BULL",ABS(SUM(N(X275),N(Y275),N(Z275)))&gt;=0.05),AND(AU275="BEAR",ABS(SUM(N(AA275),N(AB275),N(AC275)))&gt;=0.05)),"Moderate","Low")))</f>
        <v>Low</v>
      </c>
      <c r="AW275" t="str">
        <f>IF(AQ275="WAIT","QQQ and SMH not aligned",IF(AU275="BULL",IF(AQ275="SOXL","Bull regime; semiconductors leading","Bull regime; tech leading"),IF(AQ275="SOXS","Bear regime; semiconductors weakest","Bear regime; tech weakest")))</f>
        <v>QQQ and SMH not aligned</v>
      </c>
      <c r="AX275" t="str">
        <f>IF(AR275="WAIT","QQQ and SMH not aligned",IF(AV275="BULL",IF(AR275="SOXL","Bull regime; semiconductors leading","Bull regime; tech leading"),IF(AR275="SOXS","Bear regime; semiconductors weakest","Bear regime; tech weakest")))</f>
        <v>Bear regime; tech weakest</v>
      </c>
    </row>
    <row r="276" spans="1:50" x14ac:dyDescent="0.2">
      <c r="A276" s="12"/>
      <c r="B276" s="13"/>
      <c r="C276" s="13"/>
      <c r="D276" s="13"/>
      <c r="E276" s="13"/>
      <c r="F276" s="11" t="str">
        <f>IF(OR(E276="",E275=""),"",IF(E275=0,"",(E276/E275)-1))</f>
        <v/>
      </c>
      <c r="G276" s="13"/>
      <c r="H276" s="11" t="str">
        <f>IF(OR(G276="",G275=""),"",IF(G275=0,"",(G276/G275)-1))</f>
        <v/>
      </c>
      <c r="I276" s="13"/>
      <c r="J276" s="13"/>
      <c r="K276" s="13"/>
      <c r="L276" s="13"/>
      <c r="M276" s="23" t="str">
        <f>IF(OR(L276="",L275=""),"",IF(L275=0,"",(L276/L275)-1))</f>
        <v/>
      </c>
      <c r="N276" s="26" t="str">
        <f>IFERROR((M276/M275)-1,"")</f>
        <v/>
      </c>
      <c r="O276" s="23" t="str">
        <f>IF(OR(N276="",N275=""),"",IF(N275=0,"",(N276/N275)-1))</f>
        <v/>
      </c>
      <c r="P276" s="11" t="str">
        <f>IF(ROW()&lt;7,"",IF(OR(E276="",E273=""),"",IF(E273=0,"",(E276/E273)-1)))</f>
        <v/>
      </c>
      <c r="Q276" s="23" t="str">
        <f>IF(ROW()&lt;9,"",IF(OR(E276="",E271=""),"",IF(E271=0,"",(E276/E271)-1)))</f>
        <v/>
      </c>
      <c r="R276" s="23" t="str">
        <f>IF(ROW()&lt;7,"",IF(OR(G276="",G273=""),"",IF(G273=0,"",(G276/G273)-1)))</f>
        <v/>
      </c>
      <c r="S276" s="23" t="str">
        <f>IF(ROW()&lt;9,"",IF(OR(G276="",G271=""),"",IF(G271=0,"",(G276/G271)-1)))</f>
        <v/>
      </c>
      <c r="T276" s="23" t="str">
        <f>IF(ROW()&lt;7,"",IF(OR(L276="",L273=""),"",IF(L273=0,"",(L276/L273)-1)))</f>
        <v/>
      </c>
      <c r="U276" s="23" t="str">
        <f>IF(ROW()&lt;9,"",IF(OR(L276="",L271=""),"",IF(L271=0,"",(L276/L271)-1)))</f>
        <v/>
      </c>
      <c r="V276" s="23" t="str">
        <f>IF(ROW()&lt;7,"",IF(OR(N276="",N273=""),"",IF(N273=0,"",(N276/N273)-1)))</f>
        <v/>
      </c>
      <c r="W276" s="23" t="str">
        <f>IF(ROW()&lt;9,"",IF(OR(N276="",N271=""),"",IF(N271=0,"",(N276/N271)-1)))</f>
        <v/>
      </c>
      <c r="X276" s="23" t="str">
        <f>IF(OR(F276="",M276=""),"",F276-M276)</f>
        <v/>
      </c>
      <c r="Y276" s="23" t="str">
        <f>IF(OR(P276="",T276=""),"",P276-T276)</f>
        <v/>
      </c>
      <c r="Z276" s="23" t="str">
        <f>IF(OR(Q276="",U276=""),"",Q276-U276)</f>
        <v/>
      </c>
      <c r="AA276" s="23" t="str">
        <f>IF(OR(H276="",O276=""),"",H276-O276)</f>
        <v/>
      </c>
      <c r="AB276" s="23" t="str">
        <f>IF(OR(R276="",V276=""),"",R276-V276)</f>
        <v/>
      </c>
      <c r="AC276" s="23" t="str">
        <f>IF(OR(S276="",W276=""),"",S276-W276)</f>
        <v/>
      </c>
      <c r="AD276" s="13"/>
      <c r="AE276" s="23" t="str">
        <f>IF(OR(AD276="",AD275=""),"",IF(AD275=0,"",(AD276/AD275)-1))</f>
        <v/>
      </c>
      <c r="AF276" s="23" t="str">
        <f>IF(ROW()&lt;7,"",IF(OR(AD276="",AD273=""),"",IF(AD273=0,"",(AD276/AD273)-1)))</f>
        <v/>
      </c>
      <c r="AG276" s="23" t="str">
        <f>IF(ROW()&lt;9,"",IF(OR(AD276="",AD271=""),"",IF(AD271=0,"",(AD276/AD271)-1)))</f>
        <v/>
      </c>
      <c r="AH276" s="23" t="str">
        <f>IF(OR(AF276="",AG276=""),"",IF(AND(AF276&gt;0,AG276&gt;0),"Bull",IF(AND(AF276&lt;0,AG276&lt;0),"Bear","Mixed")))</f>
        <v/>
      </c>
      <c r="AI276" s="13"/>
      <c r="AJ276" s="13" t="str">
        <f>IF(OR(AI276="",AI275=""),"",IF(AI275=0,"",(AI276/AI275)-1))</f>
        <v/>
      </c>
      <c r="AK276" s="23" t="str">
        <f>IF(OR(AJ276="",AJ275=""),"",IF(AJ275=0,"",(AJ276/AJ275)-1))</f>
        <v/>
      </c>
      <c r="AL276" s="23" t="str">
        <f>IF(ROW()&lt;7,"",IF(OR(AJ276="",AJ273=""),"",IF(AJ273=0,"",(AJ276/AJ273)-1)))</f>
        <v/>
      </c>
      <c r="AM276" s="23" t="str">
        <f>IF(ROW()&lt;9,"",IF(OR(AJ276="",AJ271=""),"",IF(AJ271=0,"",(AJ276/AJ271)-1)))</f>
        <v/>
      </c>
      <c r="AN276" t="str">
        <f>IF(OR(AL276="",AM276=""),"",IF(AND(AL276&gt;0,AM276&gt;0),"Bull",IF(AND(AL276&lt;0,AM276&lt;0),"Bear","Mixed")))</f>
        <v/>
      </c>
      <c r="AO276" t="str">
        <f>IF(OR(AH276="",AN276=""),"",IF(AND(AH276="Bull",AN276="Bull"),"YES","NO"))</f>
        <v/>
      </c>
      <c r="AP276" t="str">
        <f>IF(OR(AH276="",AN276=""),"",IF(AND(AH276="Bear",AN276="Bear"),"YES","NO"))</f>
        <v/>
      </c>
      <c r="AQ276" t="str">
        <f>IF(AO276="YES",IF(SUM(N(X276),N(Y276),N(Z276))&gt;0,"SOXL","TQQQ"),IF(AP276="YES",IF(SUM(N(AA276),N(AB276),N(AC276))&gt;0,"SOXS","SQQQ"),"WAIT"))</f>
        <v>WAIT</v>
      </c>
      <c r="AR276" s="23" t="str">
        <f>IF(AO276="YES",IF(SUM(N(X276),N(Y276),N(Z276))&gt;0,"TQQQ","SOXL"),IF(AP276="YES",IF(SUM(N(AA276),N(AB276),N(AC276))&gt;0,"SQQQ","SOXS"),""))</f>
        <v/>
      </c>
      <c r="AS276" s="23" t="str">
        <f>IF(AQ276="WAIT","",IF(AR276="",1,0.6))</f>
        <v/>
      </c>
      <c r="AT276" s="23">
        <f>IF(AR276="",0,0.4)</f>
        <v>0</v>
      </c>
      <c r="AU276" s="23" t="str">
        <f>IF(AQ276="WAIT","WAIT",IF(AO276="YES","BULL",IF(AP276="YES","BEAR","WAIT")))</f>
        <v>WAIT</v>
      </c>
      <c r="AV276" t="str">
        <f>IF(AQ276="WAIT","Low",IF(OR(AND(AU276="BULL",ABS(SUM(N(X276),N(Y276),N(Z276)))&gt;=0.15),AND(AU276="BEAR",ABS(SUM(N(AA276),N(AB276),N(AC276)))&gt;=0.15)),"Strong",IF(OR(AND(AU276="BULL",ABS(SUM(N(X276),N(Y276),N(Z276)))&gt;=0.05),AND(AU276="BEAR",ABS(SUM(N(AA276),N(AB276),N(AC276)))&gt;=0.05)),"Moderate","Low")))</f>
        <v>Low</v>
      </c>
      <c r="AW276" t="str">
        <f>IF(AQ276="WAIT","QQQ and SMH not aligned",IF(AU276="BULL",IF(AQ276="SOXL","Bull regime; semiconductors leading","Bull regime; tech leading"),IF(AQ276="SOXS","Bear regime; semiconductors weakest","Bear regime; tech weakest")))</f>
        <v>QQQ and SMH not aligned</v>
      </c>
      <c r="AX276" t="str">
        <f>IF(AR276="WAIT","QQQ and SMH not aligned",IF(AV276="BULL",IF(AR276="SOXL","Bull regime; semiconductors leading","Bull regime; tech leading"),IF(AR276="SOXS","Bear regime; semiconductors weakest","Bear regime; tech weakest")))</f>
        <v>Bear regime; tech weakest</v>
      </c>
    </row>
    <row r="277" spans="1:50" x14ac:dyDescent="0.2">
      <c r="A277" s="12"/>
      <c r="B277" s="13"/>
      <c r="C277" s="13"/>
      <c r="D277" s="13"/>
      <c r="E277" s="13"/>
      <c r="F277" s="11" t="str">
        <f>IF(OR(E277="",E276=""),"",IF(E276=0,"",(E277/E276)-1))</f>
        <v/>
      </c>
      <c r="G277" s="13"/>
      <c r="H277" s="11" t="str">
        <f>IF(OR(G277="",G276=""),"",IF(G276=0,"",(G277/G276)-1))</f>
        <v/>
      </c>
      <c r="I277" s="13"/>
      <c r="J277" s="13"/>
      <c r="K277" s="13"/>
      <c r="L277" s="13"/>
      <c r="M277" s="23" t="str">
        <f>IF(OR(L277="",L276=""),"",IF(L276=0,"",(L277/L276)-1))</f>
        <v/>
      </c>
      <c r="N277" s="26" t="str">
        <f>IFERROR((M277/M276)-1,"")</f>
        <v/>
      </c>
      <c r="O277" s="23" t="str">
        <f>IF(OR(N277="",N276=""),"",IF(N276=0,"",(N277/N276)-1))</f>
        <v/>
      </c>
      <c r="P277" s="11" t="str">
        <f>IF(ROW()&lt;7,"",IF(OR(E277="",E274=""),"",IF(E274=0,"",(E277/E274)-1)))</f>
        <v/>
      </c>
      <c r="Q277" s="23" t="str">
        <f>IF(ROW()&lt;9,"",IF(OR(E277="",E272=""),"",IF(E272=0,"",(E277/E272)-1)))</f>
        <v/>
      </c>
      <c r="R277" s="23" t="str">
        <f>IF(ROW()&lt;7,"",IF(OR(G277="",G274=""),"",IF(G274=0,"",(G277/G274)-1)))</f>
        <v/>
      </c>
      <c r="S277" s="23" t="str">
        <f>IF(ROW()&lt;9,"",IF(OR(G277="",G272=""),"",IF(G272=0,"",(G277/G272)-1)))</f>
        <v/>
      </c>
      <c r="T277" s="23" t="str">
        <f>IF(ROW()&lt;7,"",IF(OR(L277="",L274=""),"",IF(L274=0,"",(L277/L274)-1)))</f>
        <v/>
      </c>
      <c r="U277" s="23" t="str">
        <f>IF(ROW()&lt;9,"",IF(OR(L277="",L272=""),"",IF(L272=0,"",(L277/L272)-1)))</f>
        <v/>
      </c>
      <c r="V277" s="23" t="str">
        <f>IF(ROW()&lt;7,"",IF(OR(N277="",N274=""),"",IF(N274=0,"",(N277/N274)-1)))</f>
        <v/>
      </c>
      <c r="W277" s="23" t="str">
        <f>IF(ROW()&lt;9,"",IF(OR(N277="",N272=""),"",IF(N272=0,"",(N277/N272)-1)))</f>
        <v/>
      </c>
      <c r="X277" s="23" t="str">
        <f>IF(OR(F277="",M277=""),"",F277-M277)</f>
        <v/>
      </c>
      <c r="Y277" s="23" t="str">
        <f>IF(OR(P277="",T277=""),"",P277-T277)</f>
        <v/>
      </c>
      <c r="Z277" s="23" t="str">
        <f>IF(OR(Q277="",U277=""),"",Q277-U277)</f>
        <v/>
      </c>
      <c r="AA277" s="23" t="str">
        <f>IF(OR(H277="",O277=""),"",H277-O277)</f>
        <v/>
      </c>
      <c r="AB277" s="23" t="str">
        <f>IF(OR(R277="",V277=""),"",R277-V277)</f>
        <v/>
      </c>
      <c r="AC277" s="23" t="str">
        <f>IF(OR(S277="",W277=""),"",S277-W277)</f>
        <v/>
      </c>
      <c r="AD277" s="13"/>
      <c r="AE277" s="23" t="str">
        <f>IF(OR(AD277="",AD276=""),"",IF(AD276=0,"",(AD277/AD276)-1))</f>
        <v/>
      </c>
      <c r="AF277" s="23" t="str">
        <f>IF(ROW()&lt;7,"",IF(OR(AD277="",AD274=""),"",IF(AD274=0,"",(AD277/AD274)-1)))</f>
        <v/>
      </c>
      <c r="AG277" s="23" t="str">
        <f>IF(ROW()&lt;9,"",IF(OR(AD277="",AD272=""),"",IF(AD272=0,"",(AD277/AD272)-1)))</f>
        <v/>
      </c>
      <c r="AH277" s="23" t="str">
        <f>IF(OR(AF277="",AG277=""),"",IF(AND(AF277&gt;0,AG277&gt;0),"Bull",IF(AND(AF277&lt;0,AG277&lt;0),"Bear","Mixed")))</f>
        <v/>
      </c>
      <c r="AI277" s="13"/>
      <c r="AJ277" s="13" t="str">
        <f>IF(OR(AI277="",AI276=""),"",IF(AI276=0,"",(AI277/AI276)-1))</f>
        <v/>
      </c>
      <c r="AK277" s="23" t="str">
        <f>IF(OR(AJ277="",AJ276=""),"",IF(AJ276=0,"",(AJ277/AJ276)-1))</f>
        <v/>
      </c>
      <c r="AL277" s="23" t="str">
        <f>IF(ROW()&lt;7,"",IF(OR(AJ277="",AJ274=""),"",IF(AJ274=0,"",(AJ277/AJ274)-1)))</f>
        <v/>
      </c>
      <c r="AM277" s="23" t="str">
        <f>IF(ROW()&lt;9,"",IF(OR(AJ277="",AJ272=""),"",IF(AJ272=0,"",(AJ277/AJ272)-1)))</f>
        <v/>
      </c>
      <c r="AN277" t="str">
        <f>IF(OR(AL277="",AM277=""),"",IF(AND(AL277&gt;0,AM277&gt;0),"Bull",IF(AND(AL277&lt;0,AM277&lt;0),"Bear","Mixed")))</f>
        <v/>
      </c>
      <c r="AO277" t="str">
        <f>IF(OR(AH277="",AN277=""),"",IF(AND(AH277="Bull",AN277="Bull"),"YES","NO"))</f>
        <v/>
      </c>
      <c r="AP277" t="str">
        <f>IF(OR(AH277="",AN277=""),"",IF(AND(AH277="Bear",AN277="Bear"),"YES","NO"))</f>
        <v/>
      </c>
      <c r="AQ277" t="str">
        <f>IF(AO277="YES",IF(SUM(N(X277),N(Y277),N(Z277))&gt;0,"SOXL","TQQQ"),IF(AP277="YES",IF(SUM(N(AA277),N(AB277),N(AC277))&gt;0,"SOXS","SQQQ"),"WAIT"))</f>
        <v>WAIT</v>
      </c>
      <c r="AR277" s="23" t="str">
        <f>IF(AO277="YES",IF(SUM(N(X277),N(Y277),N(Z277))&gt;0,"TQQQ","SOXL"),IF(AP277="YES",IF(SUM(N(AA277),N(AB277),N(AC277))&gt;0,"SQQQ","SOXS"),""))</f>
        <v/>
      </c>
      <c r="AS277" s="23" t="str">
        <f>IF(AQ277="WAIT","",IF(AR277="",1,0.6))</f>
        <v/>
      </c>
      <c r="AT277" s="23">
        <f>IF(AR277="",0,0.4)</f>
        <v>0</v>
      </c>
      <c r="AU277" s="23" t="str">
        <f>IF(AQ277="WAIT","WAIT",IF(AO277="YES","BULL",IF(AP277="YES","BEAR","WAIT")))</f>
        <v>WAIT</v>
      </c>
      <c r="AV277" t="str">
        <f>IF(AQ277="WAIT","Low",IF(OR(AND(AU277="BULL",ABS(SUM(N(X277),N(Y277),N(Z277)))&gt;=0.15),AND(AU277="BEAR",ABS(SUM(N(AA277),N(AB277),N(AC277)))&gt;=0.15)),"Strong",IF(OR(AND(AU277="BULL",ABS(SUM(N(X277),N(Y277),N(Z277)))&gt;=0.05),AND(AU277="BEAR",ABS(SUM(N(AA277),N(AB277),N(AC277)))&gt;=0.05)),"Moderate","Low")))</f>
        <v>Low</v>
      </c>
      <c r="AW277" t="str">
        <f>IF(AQ277="WAIT","QQQ and SMH not aligned",IF(AU277="BULL",IF(AQ277="SOXL","Bull regime; semiconductors leading","Bull regime; tech leading"),IF(AQ277="SOXS","Bear regime; semiconductors weakest","Bear regime; tech weakest")))</f>
        <v>QQQ and SMH not aligned</v>
      </c>
      <c r="AX277" t="str">
        <f>IF(AR277="WAIT","QQQ and SMH not aligned",IF(AV277="BULL",IF(AR277="SOXL","Bull regime; semiconductors leading","Bull regime; tech leading"),IF(AR277="SOXS","Bear regime; semiconductors weakest","Bear regime; tech weakest")))</f>
        <v>Bear regime; tech weakest</v>
      </c>
    </row>
    <row r="278" spans="1:50" x14ac:dyDescent="0.2">
      <c r="A278" s="12"/>
      <c r="B278" s="13"/>
      <c r="C278" s="13"/>
      <c r="D278" s="13"/>
      <c r="E278" s="13"/>
      <c r="F278" s="11" t="str">
        <f>IF(OR(E278="",E277=""),"",IF(E277=0,"",(E278/E277)-1))</f>
        <v/>
      </c>
      <c r="G278" s="13"/>
      <c r="H278" s="11" t="str">
        <f>IF(OR(G278="",G277=""),"",IF(G277=0,"",(G278/G277)-1))</f>
        <v/>
      </c>
      <c r="I278" s="13"/>
      <c r="J278" s="13"/>
      <c r="K278" s="13"/>
      <c r="L278" s="13"/>
      <c r="M278" s="23" t="str">
        <f>IF(OR(L278="",L277=""),"",IF(L277=0,"",(L278/L277)-1))</f>
        <v/>
      </c>
      <c r="N278" s="26" t="str">
        <f>IFERROR((M278/M277)-1,"")</f>
        <v/>
      </c>
      <c r="O278" s="23" t="str">
        <f>IF(OR(N278="",N277=""),"",IF(N277=0,"",(N278/N277)-1))</f>
        <v/>
      </c>
      <c r="P278" s="11" t="str">
        <f>IF(ROW()&lt;7,"",IF(OR(E278="",E275=""),"",IF(E275=0,"",(E278/E275)-1)))</f>
        <v/>
      </c>
      <c r="Q278" s="23" t="str">
        <f>IF(ROW()&lt;9,"",IF(OR(E278="",E273=""),"",IF(E273=0,"",(E278/E273)-1)))</f>
        <v/>
      </c>
      <c r="R278" s="23" t="str">
        <f>IF(ROW()&lt;7,"",IF(OR(G278="",G275=""),"",IF(G275=0,"",(G278/G275)-1)))</f>
        <v/>
      </c>
      <c r="S278" s="23" t="str">
        <f>IF(ROW()&lt;9,"",IF(OR(G278="",G273=""),"",IF(G273=0,"",(G278/G273)-1)))</f>
        <v/>
      </c>
      <c r="T278" s="23" t="str">
        <f>IF(ROW()&lt;7,"",IF(OR(L278="",L275=""),"",IF(L275=0,"",(L278/L275)-1)))</f>
        <v/>
      </c>
      <c r="U278" s="23" t="str">
        <f>IF(ROW()&lt;9,"",IF(OR(L278="",L273=""),"",IF(L273=0,"",(L278/L273)-1)))</f>
        <v/>
      </c>
      <c r="V278" s="23" t="str">
        <f>IF(ROW()&lt;7,"",IF(OR(N278="",N275=""),"",IF(N275=0,"",(N278/N275)-1)))</f>
        <v/>
      </c>
      <c r="W278" s="23" t="str">
        <f>IF(ROW()&lt;9,"",IF(OR(N278="",N273=""),"",IF(N273=0,"",(N278/N273)-1)))</f>
        <v/>
      </c>
      <c r="X278" s="23" t="str">
        <f>IF(OR(F278="",M278=""),"",F278-M278)</f>
        <v/>
      </c>
      <c r="Y278" s="23" t="str">
        <f>IF(OR(P278="",T278=""),"",P278-T278)</f>
        <v/>
      </c>
      <c r="Z278" s="23" t="str">
        <f>IF(OR(Q278="",U278=""),"",Q278-U278)</f>
        <v/>
      </c>
      <c r="AA278" s="23" t="str">
        <f>IF(OR(H278="",O278=""),"",H278-O278)</f>
        <v/>
      </c>
      <c r="AB278" s="23" t="str">
        <f>IF(OR(R278="",V278=""),"",R278-V278)</f>
        <v/>
      </c>
      <c r="AC278" s="23" t="str">
        <f>IF(OR(S278="",W278=""),"",S278-W278)</f>
        <v/>
      </c>
      <c r="AD278" s="13"/>
      <c r="AE278" s="23" t="str">
        <f>IF(OR(AD278="",AD277=""),"",IF(AD277=0,"",(AD278/AD277)-1))</f>
        <v/>
      </c>
      <c r="AF278" s="23" t="str">
        <f>IF(ROW()&lt;7,"",IF(OR(AD278="",AD275=""),"",IF(AD275=0,"",(AD278/AD275)-1)))</f>
        <v/>
      </c>
      <c r="AG278" s="23" t="str">
        <f>IF(ROW()&lt;9,"",IF(OR(AD278="",AD273=""),"",IF(AD273=0,"",(AD278/AD273)-1)))</f>
        <v/>
      </c>
      <c r="AH278" s="23" t="str">
        <f>IF(OR(AF278="",AG278=""),"",IF(AND(AF278&gt;0,AG278&gt;0),"Bull",IF(AND(AF278&lt;0,AG278&lt;0),"Bear","Mixed")))</f>
        <v/>
      </c>
      <c r="AI278" s="13"/>
      <c r="AJ278" s="13" t="str">
        <f>IF(OR(AI278="",AI277=""),"",IF(AI277=0,"",(AI278/AI277)-1))</f>
        <v/>
      </c>
      <c r="AK278" s="23" t="str">
        <f>IF(OR(AJ278="",AJ277=""),"",IF(AJ277=0,"",(AJ278/AJ277)-1))</f>
        <v/>
      </c>
      <c r="AL278" s="23" t="str">
        <f>IF(ROW()&lt;7,"",IF(OR(AJ278="",AJ275=""),"",IF(AJ275=0,"",(AJ278/AJ275)-1)))</f>
        <v/>
      </c>
      <c r="AM278" s="23" t="str">
        <f>IF(ROW()&lt;9,"",IF(OR(AJ278="",AJ273=""),"",IF(AJ273=0,"",(AJ278/AJ273)-1)))</f>
        <v/>
      </c>
      <c r="AN278" t="str">
        <f>IF(OR(AL278="",AM278=""),"",IF(AND(AL278&gt;0,AM278&gt;0),"Bull",IF(AND(AL278&lt;0,AM278&lt;0),"Bear","Mixed")))</f>
        <v/>
      </c>
      <c r="AO278" t="str">
        <f>IF(OR(AH278="",AN278=""),"",IF(AND(AH278="Bull",AN278="Bull"),"YES","NO"))</f>
        <v/>
      </c>
      <c r="AP278" t="str">
        <f>IF(OR(AH278="",AN278=""),"",IF(AND(AH278="Bear",AN278="Bear"),"YES","NO"))</f>
        <v/>
      </c>
      <c r="AQ278" t="str">
        <f>IF(AO278="YES",IF(SUM(N(X278),N(Y278),N(Z278))&gt;0,"SOXL","TQQQ"),IF(AP278="YES",IF(SUM(N(AA278),N(AB278),N(AC278))&gt;0,"SOXS","SQQQ"),"WAIT"))</f>
        <v>WAIT</v>
      </c>
      <c r="AR278" s="23" t="str">
        <f>IF(AO278="YES",IF(SUM(N(X278),N(Y278),N(Z278))&gt;0,"TQQQ","SOXL"),IF(AP278="YES",IF(SUM(N(AA278),N(AB278),N(AC278))&gt;0,"SQQQ","SOXS"),""))</f>
        <v/>
      </c>
      <c r="AS278" s="23" t="str">
        <f>IF(AQ278="WAIT","",IF(AR278="",1,0.6))</f>
        <v/>
      </c>
      <c r="AT278" s="23">
        <f>IF(AR278="",0,0.4)</f>
        <v>0</v>
      </c>
      <c r="AU278" s="23" t="str">
        <f>IF(AQ278="WAIT","WAIT",IF(AO278="YES","BULL",IF(AP278="YES","BEAR","WAIT")))</f>
        <v>WAIT</v>
      </c>
      <c r="AV278" t="str">
        <f>IF(AQ278="WAIT","Low",IF(OR(AND(AU278="BULL",ABS(SUM(N(X278),N(Y278),N(Z278)))&gt;=0.15),AND(AU278="BEAR",ABS(SUM(N(AA278),N(AB278),N(AC278)))&gt;=0.15)),"Strong",IF(OR(AND(AU278="BULL",ABS(SUM(N(X278),N(Y278),N(Z278)))&gt;=0.05),AND(AU278="BEAR",ABS(SUM(N(AA278),N(AB278),N(AC278)))&gt;=0.05)),"Moderate","Low")))</f>
        <v>Low</v>
      </c>
      <c r="AW278" t="str">
        <f>IF(AQ278="WAIT","QQQ and SMH not aligned",IF(AU278="BULL",IF(AQ278="SOXL","Bull regime; semiconductors leading","Bull regime; tech leading"),IF(AQ278="SOXS","Bear regime; semiconductors weakest","Bear regime; tech weakest")))</f>
        <v>QQQ and SMH not aligned</v>
      </c>
      <c r="AX278" t="str">
        <f>IF(AR278="WAIT","QQQ and SMH not aligned",IF(AV278="BULL",IF(AR278="SOXL","Bull regime; semiconductors leading","Bull regime; tech leading"),IF(AR278="SOXS","Bear regime; semiconductors weakest","Bear regime; tech weakest")))</f>
        <v>Bear regime; tech weakest</v>
      </c>
    </row>
    <row r="279" spans="1:50" x14ac:dyDescent="0.2">
      <c r="A279" s="12"/>
      <c r="B279" s="13"/>
      <c r="C279" s="13"/>
      <c r="D279" s="13"/>
      <c r="E279" s="13"/>
      <c r="F279" s="11" t="str">
        <f>IF(OR(E279="",E278=""),"",IF(E278=0,"",(E279/E278)-1))</f>
        <v/>
      </c>
      <c r="G279" s="13"/>
      <c r="H279" s="11" t="str">
        <f>IF(OR(G279="",G278=""),"",IF(G278=0,"",(G279/G278)-1))</f>
        <v/>
      </c>
      <c r="I279" s="13"/>
      <c r="J279" s="13"/>
      <c r="K279" s="13"/>
      <c r="L279" s="13"/>
      <c r="M279" s="23" t="str">
        <f>IF(OR(L279="",L278=""),"",IF(L278=0,"",(L279/L278)-1))</f>
        <v/>
      </c>
      <c r="N279" s="26" t="str">
        <f>IFERROR((M279/M278)-1,"")</f>
        <v/>
      </c>
      <c r="O279" s="23" t="str">
        <f>IF(OR(N279="",N278=""),"",IF(N278=0,"",(N279/N278)-1))</f>
        <v/>
      </c>
      <c r="P279" s="11" t="str">
        <f>IF(ROW()&lt;7,"",IF(OR(E279="",E276=""),"",IF(E276=0,"",(E279/E276)-1)))</f>
        <v/>
      </c>
      <c r="Q279" s="23" t="str">
        <f>IF(ROW()&lt;9,"",IF(OR(E279="",E274=""),"",IF(E274=0,"",(E279/E274)-1)))</f>
        <v/>
      </c>
      <c r="R279" s="23" t="str">
        <f>IF(ROW()&lt;7,"",IF(OR(G279="",G276=""),"",IF(G276=0,"",(G279/G276)-1)))</f>
        <v/>
      </c>
      <c r="S279" s="23" t="str">
        <f>IF(ROW()&lt;9,"",IF(OR(G279="",G274=""),"",IF(G274=0,"",(G279/G274)-1)))</f>
        <v/>
      </c>
      <c r="T279" s="23" t="str">
        <f>IF(ROW()&lt;7,"",IF(OR(L279="",L276=""),"",IF(L276=0,"",(L279/L276)-1)))</f>
        <v/>
      </c>
      <c r="U279" s="23" t="str">
        <f>IF(ROW()&lt;9,"",IF(OR(L279="",L274=""),"",IF(L274=0,"",(L279/L274)-1)))</f>
        <v/>
      </c>
      <c r="V279" s="23" t="str">
        <f>IF(ROW()&lt;7,"",IF(OR(N279="",N276=""),"",IF(N276=0,"",(N279/N276)-1)))</f>
        <v/>
      </c>
      <c r="W279" s="23" t="str">
        <f>IF(ROW()&lt;9,"",IF(OR(N279="",N274=""),"",IF(N274=0,"",(N279/N274)-1)))</f>
        <v/>
      </c>
      <c r="X279" s="23" t="str">
        <f>IF(OR(F279="",M279=""),"",F279-M279)</f>
        <v/>
      </c>
      <c r="Y279" s="23" t="str">
        <f>IF(OR(P279="",T279=""),"",P279-T279)</f>
        <v/>
      </c>
      <c r="Z279" s="23" t="str">
        <f>IF(OR(Q279="",U279=""),"",Q279-U279)</f>
        <v/>
      </c>
      <c r="AA279" s="23" t="str">
        <f>IF(OR(H279="",O279=""),"",H279-O279)</f>
        <v/>
      </c>
      <c r="AB279" s="23" t="str">
        <f>IF(OR(R279="",V279=""),"",R279-V279)</f>
        <v/>
      </c>
      <c r="AC279" s="23" t="str">
        <f>IF(OR(S279="",W279=""),"",S279-W279)</f>
        <v/>
      </c>
      <c r="AD279" s="13"/>
      <c r="AE279" s="23" t="str">
        <f>IF(OR(AD279="",AD278=""),"",IF(AD278=0,"",(AD279/AD278)-1))</f>
        <v/>
      </c>
      <c r="AF279" s="23" t="str">
        <f>IF(ROW()&lt;7,"",IF(OR(AD279="",AD276=""),"",IF(AD276=0,"",(AD279/AD276)-1)))</f>
        <v/>
      </c>
      <c r="AG279" s="23" t="str">
        <f>IF(ROW()&lt;9,"",IF(OR(AD279="",AD274=""),"",IF(AD274=0,"",(AD279/AD274)-1)))</f>
        <v/>
      </c>
      <c r="AH279" s="23" t="str">
        <f>IF(OR(AF279="",AG279=""),"",IF(AND(AF279&gt;0,AG279&gt;0),"Bull",IF(AND(AF279&lt;0,AG279&lt;0),"Bear","Mixed")))</f>
        <v/>
      </c>
      <c r="AI279" s="13"/>
      <c r="AJ279" s="13" t="str">
        <f>IF(OR(AI279="",AI278=""),"",IF(AI278=0,"",(AI279/AI278)-1))</f>
        <v/>
      </c>
      <c r="AK279" s="23" t="str">
        <f>IF(OR(AJ279="",AJ278=""),"",IF(AJ278=0,"",(AJ279/AJ278)-1))</f>
        <v/>
      </c>
      <c r="AL279" s="23" t="str">
        <f>IF(ROW()&lt;7,"",IF(OR(AJ279="",AJ276=""),"",IF(AJ276=0,"",(AJ279/AJ276)-1)))</f>
        <v/>
      </c>
      <c r="AM279" s="23" t="str">
        <f>IF(ROW()&lt;9,"",IF(OR(AJ279="",AJ274=""),"",IF(AJ274=0,"",(AJ279/AJ274)-1)))</f>
        <v/>
      </c>
      <c r="AN279" t="str">
        <f>IF(OR(AL279="",AM279=""),"",IF(AND(AL279&gt;0,AM279&gt;0),"Bull",IF(AND(AL279&lt;0,AM279&lt;0),"Bear","Mixed")))</f>
        <v/>
      </c>
      <c r="AO279" t="str">
        <f>IF(OR(AH279="",AN279=""),"",IF(AND(AH279="Bull",AN279="Bull"),"YES","NO"))</f>
        <v/>
      </c>
      <c r="AP279" t="str">
        <f>IF(OR(AH279="",AN279=""),"",IF(AND(AH279="Bear",AN279="Bear"),"YES","NO"))</f>
        <v/>
      </c>
      <c r="AQ279" t="str">
        <f>IF(AO279="YES",IF(SUM(N(X279),N(Y279),N(Z279))&gt;0,"SOXL","TQQQ"),IF(AP279="YES",IF(SUM(N(AA279),N(AB279),N(AC279))&gt;0,"SOXS","SQQQ"),"WAIT"))</f>
        <v>WAIT</v>
      </c>
      <c r="AR279" s="23" t="str">
        <f>IF(AO279="YES",IF(SUM(N(X279),N(Y279),N(Z279))&gt;0,"TQQQ","SOXL"),IF(AP279="YES",IF(SUM(N(AA279),N(AB279),N(AC279))&gt;0,"SQQQ","SOXS"),""))</f>
        <v/>
      </c>
      <c r="AS279" s="23" t="str">
        <f>IF(AQ279="WAIT","",IF(AR279="",1,0.6))</f>
        <v/>
      </c>
      <c r="AT279" s="23">
        <f>IF(AR279="",0,0.4)</f>
        <v>0</v>
      </c>
      <c r="AU279" s="23" t="str">
        <f>IF(AQ279="WAIT","WAIT",IF(AO279="YES","BULL",IF(AP279="YES","BEAR","WAIT")))</f>
        <v>WAIT</v>
      </c>
      <c r="AV279" t="str">
        <f>IF(AQ279="WAIT","Low",IF(OR(AND(AU279="BULL",ABS(SUM(N(X279),N(Y279),N(Z279)))&gt;=0.15),AND(AU279="BEAR",ABS(SUM(N(AA279),N(AB279),N(AC279)))&gt;=0.15)),"Strong",IF(OR(AND(AU279="BULL",ABS(SUM(N(X279),N(Y279),N(Z279)))&gt;=0.05),AND(AU279="BEAR",ABS(SUM(N(AA279),N(AB279),N(AC279)))&gt;=0.05)),"Moderate","Low")))</f>
        <v>Low</v>
      </c>
      <c r="AW279" t="str">
        <f>IF(AQ279="WAIT","QQQ and SMH not aligned",IF(AU279="BULL",IF(AQ279="SOXL","Bull regime; semiconductors leading","Bull regime; tech leading"),IF(AQ279="SOXS","Bear regime; semiconductors weakest","Bear regime; tech weakest")))</f>
        <v>QQQ and SMH not aligned</v>
      </c>
      <c r="AX279" t="str">
        <f>IF(AR279="WAIT","QQQ and SMH not aligned",IF(AV279="BULL",IF(AR279="SOXL","Bull regime; semiconductors leading","Bull regime; tech leading"),IF(AR279="SOXS","Bear regime; semiconductors weakest","Bear regime; tech weakest")))</f>
        <v>Bear regime; tech weakest</v>
      </c>
    </row>
    <row r="280" spans="1:50" x14ac:dyDescent="0.2">
      <c r="A280" s="12"/>
      <c r="B280" s="13"/>
      <c r="C280" s="13"/>
      <c r="D280" s="13"/>
      <c r="E280" s="13"/>
      <c r="F280" s="11" t="str">
        <f>IF(OR(E280="",E279=""),"",IF(E279=0,"",(E280/E279)-1))</f>
        <v/>
      </c>
      <c r="G280" s="13"/>
      <c r="H280" s="11" t="str">
        <f>IF(OR(G280="",G279=""),"",IF(G279=0,"",(G280/G279)-1))</f>
        <v/>
      </c>
      <c r="I280" s="13"/>
      <c r="J280" s="13"/>
      <c r="K280" s="13"/>
      <c r="L280" s="13"/>
      <c r="M280" s="23" t="str">
        <f>IF(OR(L280="",L279=""),"",IF(L279=0,"",(L280/L279)-1))</f>
        <v/>
      </c>
      <c r="N280" s="26" t="str">
        <f>IFERROR((M280/M279)-1,"")</f>
        <v/>
      </c>
      <c r="O280" s="23" t="str">
        <f>IF(OR(N280="",N279=""),"",IF(N279=0,"",(N280/N279)-1))</f>
        <v/>
      </c>
      <c r="P280" s="11" t="str">
        <f>IF(ROW()&lt;7,"",IF(OR(E280="",E277=""),"",IF(E277=0,"",(E280/E277)-1)))</f>
        <v/>
      </c>
      <c r="Q280" s="23" t="str">
        <f>IF(ROW()&lt;9,"",IF(OR(E280="",E275=""),"",IF(E275=0,"",(E280/E275)-1)))</f>
        <v/>
      </c>
      <c r="R280" s="23" t="str">
        <f>IF(ROW()&lt;7,"",IF(OR(G280="",G277=""),"",IF(G277=0,"",(G280/G277)-1)))</f>
        <v/>
      </c>
      <c r="S280" s="23" t="str">
        <f>IF(ROW()&lt;9,"",IF(OR(G280="",G275=""),"",IF(G275=0,"",(G280/G275)-1)))</f>
        <v/>
      </c>
      <c r="T280" s="23" t="str">
        <f>IF(ROW()&lt;7,"",IF(OR(L280="",L277=""),"",IF(L277=0,"",(L280/L277)-1)))</f>
        <v/>
      </c>
      <c r="U280" s="23" t="str">
        <f>IF(ROW()&lt;9,"",IF(OR(L280="",L275=""),"",IF(L275=0,"",(L280/L275)-1)))</f>
        <v/>
      </c>
      <c r="V280" s="23" t="str">
        <f>IF(ROW()&lt;7,"",IF(OR(N280="",N277=""),"",IF(N277=0,"",(N280/N277)-1)))</f>
        <v/>
      </c>
      <c r="W280" s="23" t="str">
        <f>IF(ROW()&lt;9,"",IF(OR(N280="",N275=""),"",IF(N275=0,"",(N280/N275)-1)))</f>
        <v/>
      </c>
      <c r="X280" s="23" t="str">
        <f>IF(OR(F280="",M280=""),"",F280-M280)</f>
        <v/>
      </c>
      <c r="Y280" s="23" t="str">
        <f>IF(OR(P280="",T280=""),"",P280-T280)</f>
        <v/>
      </c>
      <c r="Z280" s="23" t="str">
        <f>IF(OR(Q280="",U280=""),"",Q280-U280)</f>
        <v/>
      </c>
      <c r="AA280" s="23" t="str">
        <f>IF(OR(H280="",O280=""),"",H280-O280)</f>
        <v/>
      </c>
      <c r="AB280" s="23" t="str">
        <f>IF(OR(R280="",V280=""),"",R280-V280)</f>
        <v/>
      </c>
      <c r="AC280" s="23" t="str">
        <f>IF(OR(S280="",W280=""),"",S280-W280)</f>
        <v/>
      </c>
      <c r="AD280" s="13"/>
      <c r="AE280" s="23" t="str">
        <f>IF(OR(AD280="",AD279=""),"",IF(AD279=0,"",(AD280/AD279)-1))</f>
        <v/>
      </c>
      <c r="AF280" s="23" t="str">
        <f>IF(ROW()&lt;7,"",IF(OR(AD280="",AD277=""),"",IF(AD277=0,"",(AD280/AD277)-1)))</f>
        <v/>
      </c>
      <c r="AG280" s="23" t="str">
        <f>IF(ROW()&lt;9,"",IF(OR(AD280="",AD275=""),"",IF(AD275=0,"",(AD280/AD275)-1)))</f>
        <v/>
      </c>
      <c r="AH280" s="23" t="str">
        <f>IF(OR(AF280="",AG280=""),"",IF(AND(AF280&gt;0,AG280&gt;0),"Bull",IF(AND(AF280&lt;0,AG280&lt;0),"Bear","Mixed")))</f>
        <v/>
      </c>
      <c r="AI280" s="13"/>
      <c r="AJ280" s="13" t="str">
        <f>IF(OR(AI280="",AI279=""),"",IF(AI279=0,"",(AI280/AI279)-1))</f>
        <v/>
      </c>
      <c r="AK280" s="23" t="str">
        <f>IF(OR(AJ280="",AJ279=""),"",IF(AJ279=0,"",(AJ280/AJ279)-1))</f>
        <v/>
      </c>
      <c r="AL280" s="23" t="str">
        <f>IF(ROW()&lt;7,"",IF(OR(AJ280="",AJ277=""),"",IF(AJ277=0,"",(AJ280/AJ277)-1)))</f>
        <v/>
      </c>
      <c r="AM280" s="23" t="str">
        <f>IF(ROW()&lt;9,"",IF(OR(AJ280="",AJ275=""),"",IF(AJ275=0,"",(AJ280/AJ275)-1)))</f>
        <v/>
      </c>
      <c r="AN280" t="str">
        <f>IF(OR(AL280="",AM280=""),"",IF(AND(AL280&gt;0,AM280&gt;0),"Bull",IF(AND(AL280&lt;0,AM280&lt;0),"Bear","Mixed")))</f>
        <v/>
      </c>
      <c r="AO280" t="str">
        <f>IF(OR(AH280="",AN280=""),"",IF(AND(AH280="Bull",AN280="Bull"),"YES","NO"))</f>
        <v/>
      </c>
      <c r="AP280" t="str">
        <f>IF(OR(AH280="",AN280=""),"",IF(AND(AH280="Bear",AN280="Bear"),"YES","NO"))</f>
        <v/>
      </c>
      <c r="AQ280" t="str">
        <f>IF(AO280="YES",IF(SUM(N(X280),N(Y280),N(Z280))&gt;0,"SOXL","TQQQ"),IF(AP280="YES",IF(SUM(N(AA280),N(AB280),N(AC280))&gt;0,"SOXS","SQQQ"),"WAIT"))</f>
        <v>WAIT</v>
      </c>
      <c r="AR280" s="23" t="str">
        <f>IF(AO280="YES",IF(SUM(N(X280),N(Y280),N(Z280))&gt;0,"TQQQ","SOXL"),IF(AP280="YES",IF(SUM(N(AA280),N(AB280),N(AC280))&gt;0,"SQQQ","SOXS"),""))</f>
        <v/>
      </c>
      <c r="AS280" s="23" t="str">
        <f>IF(AQ280="WAIT","",IF(AR280="",1,0.6))</f>
        <v/>
      </c>
      <c r="AT280" s="23">
        <f>IF(AR280="",0,0.4)</f>
        <v>0</v>
      </c>
      <c r="AU280" s="23" t="str">
        <f>IF(AQ280="WAIT","WAIT",IF(AO280="YES","BULL",IF(AP280="YES","BEAR","WAIT")))</f>
        <v>WAIT</v>
      </c>
      <c r="AV280" t="str">
        <f>IF(AQ280="WAIT","Low",IF(OR(AND(AU280="BULL",ABS(SUM(N(X280),N(Y280),N(Z280)))&gt;=0.15),AND(AU280="BEAR",ABS(SUM(N(AA280),N(AB280),N(AC280)))&gt;=0.15)),"Strong",IF(OR(AND(AU280="BULL",ABS(SUM(N(X280),N(Y280),N(Z280)))&gt;=0.05),AND(AU280="BEAR",ABS(SUM(N(AA280),N(AB280),N(AC280)))&gt;=0.05)),"Moderate","Low")))</f>
        <v>Low</v>
      </c>
      <c r="AW280" t="str">
        <f>IF(AQ280="WAIT","QQQ and SMH not aligned",IF(AU280="BULL",IF(AQ280="SOXL","Bull regime; semiconductors leading","Bull regime; tech leading"),IF(AQ280="SOXS","Bear regime; semiconductors weakest","Bear regime; tech weakest")))</f>
        <v>QQQ and SMH not aligned</v>
      </c>
      <c r="AX280" t="str">
        <f>IF(AR280="WAIT","QQQ and SMH not aligned",IF(AV280="BULL",IF(AR280="SOXL","Bull regime; semiconductors leading","Bull regime; tech leading"),IF(AR280="SOXS","Bear regime; semiconductors weakest","Bear regime; tech weakest")))</f>
        <v>Bear regime; tech weakest</v>
      </c>
    </row>
    <row r="281" spans="1:50" x14ac:dyDescent="0.2">
      <c r="A281" s="12"/>
      <c r="B281" s="13"/>
      <c r="C281" s="13"/>
      <c r="D281" s="13"/>
      <c r="E281" s="13"/>
      <c r="F281" s="11" t="str">
        <f>IF(OR(E281="",E280=""),"",IF(E280=0,"",(E281/E280)-1))</f>
        <v/>
      </c>
      <c r="G281" s="13"/>
      <c r="H281" s="11" t="str">
        <f>IF(OR(G281="",G280=""),"",IF(G280=0,"",(G281/G280)-1))</f>
        <v/>
      </c>
      <c r="I281" s="13"/>
      <c r="J281" s="13"/>
      <c r="K281" s="13"/>
      <c r="L281" s="13"/>
      <c r="M281" s="23" t="str">
        <f>IF(OR(L281="",L280=""),"",IF(L280=0,"",(L281/L280)-1))</f>
        <v/>
      </c>
      <c r="N281" s="26" t="str">
        <f>IFERROR((M281/M280)-1,"")</f>
        <v/>
      </c>
      <c r="O281" s="23" t="str">
        <f>IF(OR(N281="",N280=""),"",IF(N280=0,"",(N281/N280)-1))</f>
        <v/>
      </c>
      <c r="P281" s="11" t="str">
        <f>IF(ROW()&lt;7,"",IF(OR(E281="",E278=""),"",IF(E278=0,"",(E281/E278)-1)))</f>
        <v/>
      </c>
      <c r="Q281" s="23" t="str">
        <f>IF(ROW()&lt;9,"",IF(OR(E281="",E276=""),"",IF(E276=0,"",(E281/E276)-1)))</f>
        <v/>
      </c>
      <c r="R281" s="23" t="str">
        <f>IF(ROW()&lt;7,"",IF(OR(G281="",G278=""),"",IF(G278=0,"",(G281/G278)-1)))</f>
        <v/>
      </c>
      <c r="S281" s="23" t="str">
        <f>IF(ROW()&lt;9,"",IF(OR(G281="",G276=""),"",IF(G276=0,"",(G281/G276)-1)))</f>
        <v/>
      </c>
      <c r="T281" s="23" t="str">
        <f>IF(ROW()&lt;7,"",IF(OR(L281="",L278=""),"",IF(L278=0,"",(L281/L278)-1)))</f>
        <v/>
      </c>
      <c r="U281" s="23" t="str">
        <f>IF(ROW()&lt;9,"",IF(OR(L281="",L276=""),"",IF(L276=0,"",(L281/L276)-1)))</f>
        <v/>
      </c>
      <c r="V281" s="23" t="str">
        <f>IF(ROW()&lt;7,"",IF(OR(N281="",N278=""),"",IF(N278=0,"",(N281/N278)-1)))</f>
        <v/>
      </c>
      <c r="W281" s="23" t="str">
        <f>IF(ROW()&lt;9,"",IF(OR(N281="",N276=""),"",IF(N276=0,"",(N281/N276)-1)))</f>
        <v/>
      </c>
      <c r="X281" s="23" t="str">
        <f>IF(OR(F281="",M281=""),"",F281-M281)</f>
        <v/>
      </c>
      <c r="Y281" s="23" t="str">
        <f>IF(OR(P281="",T281=""),"",P281-T281)</f>
        <v/>
      </c>
      <c r="Z281" s="23" t="str">
        <f>IF(OR(Q281="",U281=""),"",Q281-U281)</f>
        <v/>
      </c>
      <c r="AA281" s="23" t="str">
        <f>IF(OR(H281="",O281=""),"",H281-O281)</f>
        <v/>
      </c>
      <c r="AB281" s="23" t="str">
        <f>IF(OR(R281="",V281=""),"",R281-V281)</f>
        <v/>
      </c>
      <c r="AC281" s="23" t="str">
        <f>IF(OR(S281="",W281=""),"",S281-W281)</f>
        <v/>
      </c>
      <c r="AD281" s="13"/>
      <c r="AE281" s="23" t="str">
        <f>IF(OR(AD281="",AD280=""),"",IF(AD280=0,"",(AD281/AD280)-1))</f>
        <v/>
      </c>
      <c r="AF281" s="23" t="str">
        <f>IF(ROW()&lt;7,"",IF(OR(AD281="",AD278=""),"",IF(AD278=0,"",(AD281/AD278)-1)))</f>
        <v/>
      </c>
      <c r="AG281" s="23" t="str">
        <f>IF(ROW()&lt;9,"",IF(OR(AD281="",AD276=""),"",IF(AD276=0,"",(AD281/AD276)-1)))</f>
        <v/>
      </c>
      <c r="AH281" s="23" t="str">
        <f>IF(OR(AF281="",AG281=""),"",IF(AND(AF281&gt;0,AG281&gt;0),"Bull",IF(AND(AF281&lt;0,AG281&lt;0),"Bear","Mixed")))</f>
        <v/>
      </c>
      <c r="AI281" s="13"/>
      <c r="AJ281" s="13" t="str">
        <f>IF(OR(AI281="",AI280=""),"",IF(AI280=0,"",(AI281/AI280)-1))</f>
        <v/>
      </c>
      <c r="AK281" s="23" t="str">
        <f>IF(OR(AJ281="",AJ280=""),"",IF(AJ280=0,"",(AJ281/AJ280)-1))</f>
        <v/>
      </c>
      <c r="AL281" s="23" t="str">
        <f>IF(ROW()&lt;7,"",IF(OR(AJ281="",AJ278=""),"",IF(AJ278=0,"",(AJ281/AJ278)-1)))</f>
        <v/>
      </c>
      <c r="AM281" s="23" t="str">
        <f>IF(ROW()&lt;9,"",IF(OR(AJ281="",AJ276=""),"",IF(AJ276=0,"",(AJ281/AJ276)-1)))</f>
        <v/>
      </c>
      <c r="AN281" t="str">
        <f>IF(OR(AL281="",AM281=""),"",IF(AND(AL281&gt;0,AM281&gt;0),"Bull",IF(AND(AL281&lt;0,AM281&lt;0),"Bear","Mixed")))</f>
        <v/>
      </c>
      <c r="AO281" t="str">
        <f>IF(OR(AH281="",AN281=""),"",IF(AND(AH281="Bull",AN281="Bull"),"YES","NO"))</f>
        <v/>
      </c>
      <c r="AP281" t="str">
        <f>IF(OR(AH281="",AN281=""),"",IF(AND(AH281="Bear",AN281="Bear"),"YES","NO"))</f>
        <v/>
      </c>
      <c r="AQ281" t="str">
        <f>IF(AO281="YES",IF(SUM(N(X281),N(Y281),N(Z281))&gt;0,"SOXL","TQQQ"),IF(AP281="YES",IF(SUM(N(AA281),N(AB281),N(AC281))&gt;0,"SOXS","SQQQ"),"WAIT"))</f>
        <v>WAIT</v>
      </c>
      <c r="AR281" s="23" t="str">
        <f>IF(AO281="YES",IF(SUM(N(X281),N(Y281),N(Z281))&gt;0,"TQQQ","SOXL"),IF(AP281="YES",IF(SUM(N(AA281),N(AB281),N(AC281))&gt;0,"SQQQ","SOXS"),""))</f>
        <v/>
      </c>
      <c r="AS281" s="23" t="str">
        <f>IF(AQ281="WAIT","",IF(AR281="",1,0.6))</f>
        <v/>
      </c>
      <c r="AT281" s="23">
        <f>IF(AR281="",0,0.4)</f>
        <v>0</v>
      </c>
      <c r="AU281" s="23" t="str">
        <f>IF(AQ281="WAIT","WAIT",IF(AO281="YES","BULL",IF(AP281="YES","BEAR","WAIT")))</f>
        <v>WAIT</v>
      </c>
      <c r="AV281" t="str">
        <f>IF(AQ281="WAIT","Low",IF(OR(AND(AU281="BULL",ABS(SUM(N(X281),N(Y281),N(Z281)))&gt;=0.15),AND(AU281="BEAR",ABS(SUM(N(AA281),N(AB281),N(AC281)))&gt;=0.15)),"Strong",IF(OR(AND(AU281="BULL",ABS(SUM(N(X281),N(Y281),N(Z281)))&gt;=0.05),AND(AU281="BEAR",ABS(SUM(N(AA281),N(AB281),N(AC281)))&gt;=0.05)),"Moderate","Low")))</f>
        <v>Low</v>
      </c>
      <c r="AW281" t="str">
        <f>IF(AQ281="WAIT","QQQ and SMH not aligned",IF(AU281="BULL",IF(AQ281="SOXL","Bull regime; semiconductors leading","Bull regime; tech leading"),IF(AQ281="SOXS","Bear regime; semiconductors weakest","Bear regime; tech weakest")))</f>
        <v>QQQ and SMH not aligned</v>
      </c>
      <c r="AX281" t="str">
        <f>IF(AR281="WAIT","QQQ and SMH not aligned",IF(AV281="BULL",IF(AR281="SOXL","Bull regime; semiconductors leading","Bull regime; tech leading"),IF(AR281="SOXS","Bear regime; semiconductors weakest","Bear regime; tech weakest")))</f>
        <v>Bear regime; tech weakest</v>
      </c>
    </row>
    <row r="282" spans="1:50" x14ac:dyDescent="0.2">
      <c r="A282" s="12"/>
      <c r="B282" s="13"/>
      <c r="C282" s="13"/>
      <c r="D282" s="13"/>
      <c r="E282" s="13"/>
      <c r="F282" s="11" t="str">
        <f>IF(OR(E282="",E281=""),"",IF(E281=0,"",(E282/E281)-1))</f>
        <v/>
      </c>
      <c r="G282" s="13"/>
      <c r="H282" s="11" t="str">
        <f>IF(OR(G282="",G281=""),"",IF(G281=0,"",(G282/G281)-1))</f>
        <v/>
      </c>
      <c r="I282" s="13"/>
      <c r="J282" s="13"/>
      <c r="K282" s="13"/>
      <c r="L282" s="13"/>
      <c r="M282" s="23" t="str">
        <f>IF(OR(L282="",L281=""),"",IF(L281=0,"",(L282/L281)-1))</f>
        <v/>
      </c>
      <c r="N282" s="26" t="str">
        <f>IFERROR((M282/M281)-1,"")</f>
        <v/>
      </c>
      <c r="O282" s="23" t="str">
        <f>IF(OR(N282="",N281=""),"",IF(N281=0,"",(N282/N281)-1))</f>
        <v/>
      </c>
      <c r="P282" s="11" t="str">
        <f>IF(ROW()&lt;7,"",IF(OR(E282="",E279=""),"",IF(E279=0,"",(E282/E279)-1)))</f>
        <v/>
      </c>
      <c r="Q282" s="23" t="str">
        <f>IF(ROW()&lt;9,"",IF(OR(E282="",E277=""),"",IF(E277=0,"",(E282/E277)-1)))</f>
        <v/>
      </c>
      <c r="R282" s="23" t="str">
        <f>IF(ROW()&lt;7,"",IF(OR(G282="",G279=""),"",IF(G279=0,"",(G282/G279)-1)))</f>
        <v/>
      </c>
      <c r="S282" s="23" t="str">
        <f>IF(ROW()&lt;9,"",IF(OR(G282="",G277=""),"",IF(G277=0,"",(G282/G277)-1)))</f>
        <v/>
      </c>
      <c r="T282" s="23" t="str">
        <f>IF(ROW()&lt;7,"",IF(OR(L282="",L279=""),"",IF(L279=0,"",(L282/L279)-1)))</f>
        <v/>
      </c>
      <c r="U282" s="23" t="str">
        <f>IF(ROW()&lt;9,"",IF(OR(L282="",L277=""),"",IF(L277=0,"",(L282/L277)-1)))</f>
        <v/>
      </c>
      <c r="V282" s="23" t="str">
        <f>IF(ROW()&lt;7,"",IF(OR(N282="",N279=""),"",IF(N279=0,"",(N282/N279)-1)))</f>
        <v/>
      </c>
      <c r="W282" s="23" t="str">
        <f>IF(ROW()&lt;9,"",IF(OR(N282="",N277=""),"",IF(N277=0,"",(N282/N277)-1)))</f>
        <v/>
      </c>
      <c r="X282" s="23" t="str">
        <f>IF(OR(F282="",M282=""),"",F282-M282)</f>
        <v/>
      </c>
      <c r="Y282" s="23" t="str">
        <f>IF(OR(P282="",T282=""),"",P282-T282)</f>
        <v/>
      </c>
      <c r="Z282" s="23" t="str">
        <f>IF(OR(Q282="",U282=""),"",Q282-U282)</f>
        <v/>
      </c>
      <c r="AA282" s="23" t="str">
        <f>IF(OR(H282="",O282=""),"",H282-O282)</f>
        <v/>
      </c>
      <c r="AB282" s="23" t="str">
        <f>IF(OR(R282="",V282=""),"",R282-V282)</f>
        <v/>
      </c>
      <c r="AC282" s="23" t="str">
        <f>IF(OR(S282="",W282=""),"",S282-W282)</f>
        <v/>
      </c>
      <c r="AD282" s="13"/>
      <c r="AE282" s="23" t="str">
        <f>IF(OR(AD282="",AD281=""),"",IF(AD281=0,"",(AD282/AD281)-1))</f>
        <v/>
      </c>
      <c r="AF282" s="23" t="str">
        <f>IF(ROW()&lt;7,"",IF(OR(AD282="",AD279=""),"",IF(AD279=0,"",(AD282/AD279)-1)))</f>
        <v/>
      </c>
      <c r="AG282" s="23" t="str">
        <f>IF(ROW()&lt;9,"",IF(OR(AD282="",AD277=""),"",IF(AD277=0,"",(AD282/AD277)-1)))</f>
        <v/>
      </c>
      <c r="AH282" s="23" t="str">
        <f>IF(OR(AF282="",AG282=""),"",IF(AND(AF282&gt;0,AG282&gt;0),"Bull",IF(AND(AF282&lt;0,AG282&lt;0),"Bear","Mixed")))</f>
        <v/>
      </c>
      <c r="AI282" s="13"/>
      <c r="AJ282" s="13" t="str">
        <f>IF(OR(AI282="",AI281=""),"",IF(AI281=0,"",(AI282/AI281)-1))</f>
        <v/>
      </c>
      <c r="AK282" s="23" t="str">
        <f>IF(OR(AJ282="",AJ281=""),"",IF(AJ281=0,"",(AJ282/AJ281)-1))</f>
        <v/>
      </c>
      <c r="AL282" s="23" t="str">
        <f>IF(ROW()&lt;7,"",IF(OR(AJ282="",AJ279=""),"",IF(AJ279=0,"",(AJ282/AJ279)-1)))</f>
        <v/>
      </c>
      <c r="AM282" s="23" t="str">
        <f>IF(ROW()&lt;9,"",IF(OR(AJ282="",AJ277=""),"",IF(AJ277=0,"",(AJ282/AJ277)-1)))</f>
        <v/>
      </c>
      <c r="AN282" t="str">
        <f>IF(OR(AL282="",AM282=""),"",IF(AND(AL282&gt;0,AM282&gt;0),"Bull",IF(AND(AL282&lt;0,AM282&lt;0),"Bear","Mixed")))</f>
        <v/>
      </c>
      <c r="AO282" t="str">
        <f>IF(OR(AH282="",AN282=""),"",IF(AND(AH282="Bull",AN282="Bull"),"YES","NO"))</f>
        <v/>
      </c>
      <c r="AP282" t="str">
        <f>IF(OR(AH282="",AN282=""),"",IF(AND(AH282="Bear",AN282="Bear"),"YES","NO"))</f>
        <v/>
      </c>
      <c r="AQ282" t="str">
        <f>IF(AO282="YES",IF(SUM(N(X282),N(Y282),N(Z282))&gt;0,"SOXL","TQQQ"),IF(AP282="YES",IF(SUM(N(AA282),N(AB282),N(AC282))&gt;0,"SOXS","SQQQ"),"WAIT"))</f>
        <v>WAIT</v>
      </c>
      <c r="AR282" s="23" t="str">
        <f>IF(AO282="YES",IF(SUM(N(X282),N(Y282),N(Z282))&gt;0,"TQQQ","SOXL"),IF(AP282="YES",IF(SUM(N(AA282),N(AB282),N(AC282))&gt;0,"SQQQ","SOXS"),""))</f>
        <v/>
      </c>
      <c r="AS282" s="23" t="str">
        <f>IF(AQ282="WAIT","",IF(AR282="",1,0.6))</f>
        <v/>
      </c>
      <c r="AT282" s="23">
        <f>IF(AR282="",0,0.4)</f>
        <v>0</v>
      </c>
      <c r="AU282" s="23" t="str">
        <f>IF(AQ282="WAIT","WAIT",IF(AO282="YES","BULL",IF(AP282="YES","BEAR","WAIT")))</f>
        <v>WAIT</v>
      </c>
      <c r="AV282" t="str">
        <f>IF(AQ282="WAIT","Low",IF(OR(AND(AU282="BULL",ABS(SUM(N(X282),N(Y282),N(Z282)))&gt;=0.15),AND(AU282="BEAR",ABS(SUM(N(AA282),N(AB282),N(AC282)))&gt;=0.15)),"Strong",IF(OR(AND(AU282="BULL",ABS(SUM(N(X282),N(Y282),N(Z282)))&gt;=0.05),AND(AU282="BEAR",ABS(SUM(N(AA282),N(AB282),N(AC282)))&gt;=0.05)),"Moderate","Low")))</f>
        <v>Low</v>
      </c>
      <c r="AW282" t="str">
        <f>IF(AQ282="WAIT","QQQ and SMH not aligned",IF(AU282="BULL",IF(AQ282="SOXL","Bull regime; semiconductors leading","Bull regime; tech leading"),IF(AQ282="SOXS","Bear regime; semiconductors weakest","Bear regime; tech weakest")))</f>
        <v>QQQ and SMH not aligned</v>
      </c>
      <c r="AX282" t="str">
        <f>IF(AR282="WAIT","QQQ and SMH not aligned",IF(AV282="BULL",IF(AR282="SOXL","Bull regime; semiconductors leading","Bull regime; tech leading"),IF(AR282="SOXS","Bear regime; semiconductors weakest","Bear regime; tech weakest")))</f>
        <v>Bear regime; tech weakest</v>
      </c>
    </row>
    <row r="283" spans="1:50" x14ac:dyDescent="0.2">
      <c r="A283" s="12"/>
      <c r="B283" s="13"/>
      <c r="C283" s="13"/>
      <c r="D283" s="13"/>
      <c r="E283" s="13"/>
      <c r="F283" s="11" t="str">
        <f>IF(OR(E283="",E282=""),"",IF(E282=0,"",(E283/E282)-1))</f>
        <v/>
      </c>
      <c r="G283" s="13"/>
      <c r="H283" s="11" t="str">
        <f>IF(OR(G283="",G282=""),"",IF(G282=0,"",(G283/G282)-1))</f>
        <v/>
      </c>
      <c r="I283" s="13"/>
      <c r="J283" s="13"/>
      <c r="K283" s="13"/>
      <c r="L283" s="13"/>
      <c r="M283" s="23" t="str">
        <f>IF(OR(L283="",L282=""),"",IF(L282=0,"",(L283/L282)-1))</f>
        <v/>
      </c>
      <c r="N283" s="26" t="str">
        <f>IFERROR((M283/M282)-1,"")</f>
        <v/>
      </c>
      <c r="O283" s="23" t="str">
        <f>IF(OR(N283="",N282=""),"",IF(N282=0,"",(N283/N282)-1))</f>
        <v/>
      </c>
      <c r="P283" s="11" t="str">
        <f>IF(ROW()&lt;7,"",IF(OR(E283="",E280=""),"",IF(E280=0,"",(E283/E280)-1)))</f>
        <v/>
      </c>
      <c r="Q283" s="23" t="str">
        <f>IF(ROW()&lt;9,"",IF(OR(E283="",E278=""),"",IF(E278=0,"",(E283/E278)-1)))</f>
        <v/>
      </c>
      <c r="R283" s="23" t="str">
        <f>IF(ROW()&lt;7,"",IF(OR(G283="",G280=""),"",IF(G280=0,"",(G283/G280)-1)))</f>
        <v/>
      </c>
      <c r="S283" s="23" t="str">
        <f>IF(ROW()&lt;9,"",IF(OR(G283="",G278=""),"",IF(G278=0,"",(G283/G278)-1)))</f>
        <v/>
      </c>
      <c r="T283" s="23" t="str">
        <f>IF(ROW()&lt;7,"",IF(OR(L283="",L280=""),"",IF(L280=0,"",(L283/L280)-1)))</f>
        <v/>
      </c>
      <c r="U283" s="23" t="str">
        <f>IF(ROW()&lt;9,"",IF(OR(L283="",L278=""),"",IF(L278=0,"",(L283/L278)-1)))</f>
        <v/>
      </c>
      <c r="V283" s="23" t="str">
        <f>IF(ROW()&lt;7,"",IF(OR(N283="",N280=""),"",IF(N280=0,"",(N283/N280)-1)))</f>
        <v/>
      </c>
      <c r="W283" s="23" t="str">
        <f>IF(ROW()&lt;9,"",IF(OR(N283="",N278=""),"",IF(N278=0,"",(N283/N278)-1)))</f>
        <v/>
      </c>
      <c r="X283" s="23" t="str">
        <f>IF(OR(F283="",M283=""),"",F283-M283)</f>
        <v/>
      </c>
      <c r="Y283" s="23" t="str">
        <f>IF(OR(P283="",T283=""),"",P283-T283)</f>
        <v/>
      </c>
      <c r="Z283" s="23" t="str">
        <f>IF(OR(Q283="",U283=""),"",Q283-U283)</f>
        <v/>
      </c>
      <c r="AA283" s="23" t="str">
        <f>IF(OR(H283="",O283=""),"",H283-O283)</f>
        <v/>
      </c>
      <c r="AB283" s="23" t="str">
        <f>IF(OR(R283="",V283=""),"",R283-V283)</f>
        <v/>
      </c>
      <c r="AC283" s="23" t="str">
        <f>IF(OR(S283="",W283=""),"",S283-W283)</f>
        <v/>
      </c>
      <c r="AD283" s="13"/>
      <c r="AE283" s="23" t="str">
        <f>IF(OR(AD283="",AD282=""),"",IF(AD282=0,"",(AD283/AD282)-1))</f>
        <v/>
      </c>
      <c r="AF283" s="23" t="str">
        <f>IF(ROW()&lt;7,"",IF(OR(AD283="",AD280=""),"",IF(AD280=0,"",(AD283/AD280)-1)))</f>
        <v/>
      </c>
      <c r="AG283" s="23" t="str">
        <f>IF(ROW()&lt;9,"",IF(OR(AD283="",AD278=""),"",IF(AD278=0,"",(AD283/AD278)-1)))</f>
        <v/>
      </c>
      <c r="AH283" s="23" t="str">
        <f>IF(OR(AF283="",AG283=""),"",IF(AND(AF283&gt;0,AG283&gt;0),"Bull",IF(AND(AF283&lt;0,AG283&lt;0),"Bear","Mixed")))</f>
        <v/>
      </c>
      <c r="AI283" s="13"/>
      <c r="AJ283" s="13" t="str">
        <f>IF(OR(AI283="",AI282=""),"",IF(AI282=0,"",(AI283/AI282)-1))</f>
        <v/>
      </c>
      <c r="AK283" s="23" t="str">
        <f>IF(OR(AJ283="",AJ282=""),"",IF(AJ282=0,"",(AJ283/AJ282)-1))</f>
        <v/>
      </c>
      <c r="AL283" s="23" t="str">
        <f>IF(ROW()&lt;7,"",IF(OR(AJ283="",AJ280=""),"",IF(AJ280=0,"",(AJ283/AJ280)-1)))</f>
        <v/>
      </c>
      <c r="AM283" s="23" t="str">
        <f>IF(ROW()&lt;9,"",IF(OR(AJ283="",AJ278=""),"",IF(AJ278=0,"",(AJ283/AJ278)-1)))</f>
        <v/>
      </c>
      <c r="AN283" t="str">
        <f>IF(OR(AL283="",AM283=""),"",IF(AND(AL283&gt;0,AM283&gt;0),"Bull",IF(AND(AL283&lt;0,AM283&lt;0),"Bear","Mixed")))</f>
        <v/>
      </c>
      <c r="AO283" t="str">
        <f>IF(OR(AH283="",AN283=""),"",IF(AND(AH283="Bull",AN283="Bull"),"YES","NO"))</f>
        <v/>
      </c>
      <c r="AP283" t="str">
        <f>IF(OR(AH283="",AN283=""),"",IF(AND(AH283="Bear",AN283="Bear"),"YES","NO"))</f>
        <v/>
      </c>
      <c r="AQ283" t="str">
        <f>IF(AO283="YES",IF(SUM(N(X283),N(Y283),N(Z283))&gt;0,"SOXL","TQQQ"),IF(AP283="YES",IF(SUM(N(AA283),N(AB283),N(AC283))&gt;0,"SOXS","SQQQ"),"WAIT"))</f>
        <v>WAIT</v>
      </c>
      <c r="AR283" s="23" t="str">
        <f>IF(AO283="YES",IF(SUM(N(X283),N(Y283),N(Z283))&gt;0,"TQQQ","SOXL"),IF(AP283="YES",IF(SUM(N(AA283),N(AB283),N(AC283))&gt;0,"SQQQ","SOXS"),""))</f>
        <v/>
      </c>
      <c r="AS283" s="23" t="str">
        <f>IF(AQ283="WAIT","",IF(AR283="",1,0.6))</f>
        <v/>
      </c>
      <c r="AT283" s="23">
        <f>IF(AR283="",0,0.4)</f>
        <v>0</v>
      </c>
      <c r="AU283" s="23" t="str">
        <f>IF(AQ283="WAIT","WAIT",IF(AO283="YES","BULL",IF(AP283="YES","BEAR","WAIT")))</f>
        <v>WAIT</v>
      </c>
      <c r="AV283" t="str">
        <f>IF(AQ283="WAIT","Low",IF(OR(AND(AU283="BULL",ABS(SUM(N(X283),N(Y283),N(Z283)))&gt;=0.15),AND(AU283="BEAR",ABS(SUM(N(AA283),N(AB283),N(AC283)))&gt;=0.15)),"Strong",IF(OR(AND(AU283="BULL",ABS(SUM(N(X283),N(Y283),N(Z283)))&gt;=0.05),AND(AU283="BEAR",ABS(SUM(N(AA283),N(AB283),N(AC283)))&gt;=0.05)),"Moderate","Low")))</f>
        <v>Low</v>
      </c>
      <c r="AW283" t="str">
        <f>IF(AQ283="WAIT","QQQ and SMH not aligned",IF(AU283="BULL",IF(AQ283="SOXL","Bull regime; semiconductors leading","Bull regime; tech leading"),IF(AQ283="SOXS","Bear regime; semiconductors weakest","Bear regime; tech weakest")))</f>
        <v>QQQ and SMH not aligned</v>
      </c>
      <c r="AX283" t="str">
        <f>IF(AR283="WAIT","QQQ and SMH not aligned",IF(AV283="BULL",IF(AR283="SOXL","Bull regime; semiconductors leading","Bull regime; tech leading"),IF(AR283="SOXS","Bear regime; semiconductors weakest","Bear regime; tech weakest")))</f>
        <v>Bear regime; tech weakest</v>
      </c>
    </row>
    <row r="284" spans="1:50" x14ac:dyDescent="0.2">
      <c r="A284" s="12"/>
      <c r="B284" s="13"/>
      <c r="C284" s="13"/>
      <c r="D284" s="13"/>
      <c r="E284" s="13"/>
      <c r="F284" s="11" t="str">
        <f>IF(OR(E284="",E283=""),"",IF(E283=0,"",(E284/E283)-1))</f>
        <v/>
      </c>
      <c r="G284" s="13"/>
      <c r="H284" s="11" t="str">
        <f>IF(OR(G284="",G283=""),"",IF(G283=0,"",(G284/G283)-1))</f>
        <v/>
      </c>
      <c r="I284" s="13"/>
      <c r="J284" s="13"/>
      <c r="K284" s="13"/>
      <c r="L284" s="13"/>
      <c r="M284" s="23" t="str">
        <f>IF(OR(L284="",L283=""),"",IF(L283=0,"",(L284/L283)-1))</f>
        <v/>
      </c>
      <c r="N284" s="26" t="str">
        <f>IFERROR((M284/M283)-1,"")</f>
        <v/>
      </c>
      <c r="O284" s="23" t="str">
        <f>IF(OR(N284="",N283=""),"",IF(N283=0,"",(N284/N283)-1))</f>
        <v/>
      </c>
      <c r="P284" s="11" t="str">
        <f>IF(ROW()&lt;7,"",IF(OR(E284="",E281=""),"",IF(E281=0,"",(E284/E281)-1)))</f>
        <v/>
      </c>
      <c r="Q284" s="23" t="str">
        <f>IF(ROW()&lt;9,"",IF(OR(E284="",E279=""),"",IF(E279=0,"",(E284/E279)-1)))</f>
        <v/>
      </c>
      <c r="R284" s="23" t="str">
        <f>IF(ROW()&lt;7,"",IF(OR(G284="",G281=""),"",IF(G281=0,"",(G284/G281)-1)))</f>
        <v/>
      </c>
      <c r="S284" s="23" t="str">
        <f>IF(ROW()&lt;9,"",IF(OR(G284="",G279=""),"",IF(G279=0,"",(G284/G279)-1)))</f>
        <v/>
      </c>
      <c r="T284" s="23" t="str">
        <f>IF(ROW()&lt;7,"",IF(OR(L284="",L281=""),"",IF(L281=0,"",(L284/L281)-1)))</f>
        <v/>
      </c>
      <c r="U284" s="23" t="str">
        <f>IF(ROW()&lt;9,"",IF(OR(L284="",L279=""),"",IF(L279=0,"",(L284/L279)-1)))</f>
        <v/>
      </c>
      <c r="V284" s="23" t="str">
        <f>IF(ROW()&lt;7,"",IF(OR(N284="",N281=""),"",IF(N281=0,"",(N284/N281)-1)))</f>
        <v/>
      </c>
      <c r="W284" s="23" t="str">
        <f>IF(ROW()&lt;9,"",IF(OR(N284="",N279=""),"",IF(N279=0,"",(N284/N279)-1)))</f>
        <v/>
      </c>
      <c r="X284" s="23" t="str">
        <f>IF(OR(F284="",M284=""),"",F284-M284)</f>
        <v/>
      </c>
      <c r="Y284" s="23" t="str">
        <f>IF(OR(P284="",T284=""),"",P284-T284)</f>
        <v/>
      </c>
      <c r="Z284" s="23" t="str">
        <f>IF(OR(Q284="",U284=""),"",Q284-U284)</f>
        <v/>
      </c>
      <c r="AA284" s="23" t="str">
        <f>IF(OR(H284="",O284=""),"",H284-O284)</f>
        <v/>
      </c>
      <c r="AB284" s="23" t="str">
        <f>IF(OR(R284="",V284=""),"",R284-V284)</f>
        <v/>
      </c>
      <c r="AC284" s="23" t="str">
        <f>IF(OR(S284="",W284=""),"",S284-W284)</f>
        <v/>
      </c>
      <c r="AD284" s="13"/>
      <c r="AE284" s="23" t="str">
        <f>IF(OR(AD284="",AD283=""),"",IF(AD283=0,"",(AD284/AD283)-1))</f>
        <v/>
      </c>
      <c r="AF284" s="23" t="str">
        <f>IF(ROW()&lt;7,"",IF(OR(AD284="",AD281=""),"",IF(AD281=0,"",(AD284/AD281)-1)))</f>
        <v/>
      </c>
      <c r="AG284" s="23" t="str">
        <f>IF(ROW()&lt;9,"",IF(OR(AD284="",AD279=""),"",IF(AD279=0,"",(AD284/AD279)-1)))</f>
        <v/>
      </c>
      <c r="AH284" s="23" t="str">
        <f>IF(OR(AF284="",AG284=""),"",IF(AND(AF284&gt;0,AG284&gt;0),"Bull",IF(AND(AF284&lt;0,AG284&lt;0),"Bear","Mixed")))</f>
        <v/>
      </c>
      <c r="AI284" s="13"/>
      <c r="AJ284" s="13" t="str">
        <f>IF(OR(AI284="",AI283=""),"",IF(AI283=0,"",(AI284/AI283)-1))</f>
        <v/>
      </c>
      <c r="AK284" s="23" t="str">
        <f>IF(OR(AJ284="",AJ283=""),"",IF(AJ283=0,"",(AJ284/AJ283)-1))</f>
        <v/>
      </c>
      <c r="AL284" s="23" t="str">
        <f>IF(ROW()&lt;7,"",IF(OR(AJ284="",AJ281=""),"",IF(AJ281=0,"",(AJ284/AJ281)-1)))</f>
        <v/>
      </c>
      <c r="AM284" s="23" t="str">
        <f>IF(ROW()&lt;9,"",IF(OR(AJ284="",AJ279=""),"",IF(AJ279=0,"",(AJ284/AJ279)-1)))</f>
        <v/>
      </c>
      <c r="AN284" t="str">
        <f>IF(OR(AL284="",AM284=""),"",IF(AND(AL284&gt;0,AM284&gt;0),"Bull",IF(AND(AL284&lt;0,AM284&lt;0),"Bear","Mixed")))</f>
        <v/>
      </c>
      <c r="AO284" t="str">
        <f>IF(OR(AH284="",AN284=""),"",IF(AND(AH284="Bull",AN284="Bull"),"YES","NO"))</f>
        <v/>
      </c>
      <c r="AP284" t="str">
        <f>IF(OR(AH284="",AN284=""),"",IF(AND(AH284="Bear",AN284="Bear"),"YES","NO"))</f>
        <v/>
      </c>
      <c r="AQ284" t="str">
        <f>IF(AO284="YES",IF(SUM(N(X284),N(Y284),N(Z284))&gt;0,"SOXL","TQQQ"),IF(AP284="YES",IF(SUM(N(AA284),N(AB284),N(AC284))&gt;0,"SOXS","SQQQ"),"WAIT"))</f>
        <v>WAIT</v>
      </c>
      <c r="AR284" s="23" t="str">
        <f>IF(AO284="YES",IF(SUM(N(X284),N(Y284),N(Z284))&gt;0,"TQQQ","SOXL"),IF(AP284="YES",IF(SUM(N(AA284),N(AB284),N(AC284))&gt;0,"SQQQ","SOXS"),""))</f>
        <v/>
      </c>
      <c r="AS284" s="23" t="str">
        <f>IF(AQ284="WAIT","",IF(AR284="",1,0.6))</f>
        <v/>
      </c>
      <c r="AT284" s="23">
        <f>IF(AR284="",0,0.4)</f>
        <v>0</v>
      </c>
      <c r="AU284" s="23" t="str">
        <f>IF(AQ284="WAIT","WAIT",IF(AO284="YES","BULL",IF(AP284="YES","BEAR","WAIT")))</f>
        <v>WAIT</v>
      </c>
      <c r="AV284" t="str">
        <f>IF(AQ284="WAIT","Low",IF(OR(AND(AU284="BULL",ABS(SUM(N(X284),N(Y284),N(Z284)))&gt;=0.15),AND(AU284="BEAR",ABS(SUM(N(AA284),N(AB284),N(AC284)))&gt;=0.15)),"Strong",IF(OR(AND(AU284="BULL",ABS(SUM(N(X284),N(Y284),N(Z284)))&gt;=0.05),AND(AU284="BEAR",ABS(SUM(N(AA284),N(AB284),N(AC284)))&gt;=0.05)),"Moderate","Low")))</f>
        <v>Low</v>
      </c>
      <c r="AW284" t="str">
        <f>IF(AQ284="WAIT","QQQ and SMH not aligned",IF(AU284="BULL",IF(AQ284="SOXL","Bull regime; semiconductors leading","Bull regime; tech leading"),IF(AQ284="SOXS","Bear regime; semiconductors weakest","Bear regime; tech weakest")))</f>
        <v>QQQ and SMH not aligned</v>
      </c>
      <c r="AX284" t="str">
        <f>IF(AR284="WAIT","QQQ and SMH not aligned",IF(AV284="BULL",IF(AR284="SOXL","Bull regime; semiconductors leading","Bull regime; tech leading"),IF(AR284="SOXS","Bear regime; semiconductors weakest","Bear regime; tech weakest")))</f>
        <v>Bear regime; tech weakest</v>
      </c>
    </row>
    <row r="285" spans="1:50" x14ac:dyDescent="0.2">
      <c r="A285" s="12"/>
      <c r="B285" s="13"/>
      <c r="C285" s="13"/>
      <c r="D285" s="13"/>
      <c r="E285" s="13"/>
      <c r="F285" s="11" t="str">
        <f>IF(OR(E285="",E284=""),"",IF(E284=0,"",(E285/E284)-1))</f>
        <v/>
      </c>
      <c r="G285" s="13"/>
      <c r="H285" s="11" t="str">
        <f>IF(OR(G285="",G284=""),"",IF(G284=0,"",(G285/G284)-1))</f>
        <v/>
      </c>
      <c r="I285" s="13"/>
      <c r="J285" s="13"/>
      <c r="K285" s="13"/>
      <c r="L285" s="13"/>
      <c r="M285" s="23" t="str">
        <f>IF(OR(L285="",L284=""),"",IF(L284=0,"",(L285/L284)-1))</f>
        <v/>
      </c>
      <c r="N285" s="26" t="str">
        <f>IFERROR((M285/M284)-1,"")</f>
        <v/>
      </c>
      <c r="O285" s="23" t="str">
        <f>IF(OR(N285="",N284=""),"",IF(N284=0,"",(N285/N284)-1))</f>
        <v/>
      </c>
      <c r="P285" s="11" t="str">
        <f>IF(ROW()&lt;7,"",IF(OR(E285="",E282=""),"",IF(E282=0,"",(E285/E282)-1)))</f>
        <v/>
      </c>
      <c r="Q285" s="23" t="str">
        <f>IF(ROW()&lt;9,"",IF(OR(E285="",E280=""),"",IF(E280=0,"",(E285/E280)-1)))</f>
        <v/>
      </c>
      <c r="R285" s="23" t="str">
        <f>IF(ROW()&lt;7,"",IF(OR(G285="",G282=""),"",IF(G282=0,"",(G285/G282)-1)))</f>
        <v/>
      </c>
      <c r="S285" s="23" t="str">
        <f>IF(ROW()&lt;9,"",IF(OR(G285="",G280=""),"",IF(G280=0,"",(G285/G280)-1)))</f>
        <v/>
      </c>
      <c r="T285" s="23" t="str">
        <f>IF(ROW()&lt;7,"",IF(OR(L285="",L282=""),"",IF(L282=0,"",(L285/L282)-1)))</f>
        <v/>
      </c>
      <c r="U285" s="23" t="str">
        <f>IF(ROW()&lt;9,"",IF(OR(L285="",L280=""),"",IF(L280=0,"",(L285/L280)-1)))</f>
        <v/>
      </c>
      <c r="V285" s="23" t="str">
        <f>IF(ROW()&lt;7,"",IF(OR(N285="",N282=""),"",IF(N282=0,"",(N285/N282)-1)))</f>
        <v/>
      </c>
      <c r="W285" s="23" t="str">
        <f>IF(ROW()&lt;9,"",IF(OR(N285="",N280=""),"",IF(N280=0,"",(N285/N280)-1)))</f>
        <v/>
      </c>
      <c r="X285" s="23" t="str">
        <f>IF(OR(F285="",M285=""),"",F285-M285)</f>
        <v/>
      </c>
      <c r="Y285" s="23" t="str">
        <f>IF(OR(P285="",T285=""),"",P285-T285)</f>
        <v/>
      </c>
      <c r="Z285" s="23" t="str">
        <f>IF(OR(Q285="",U285=""),"",Q285-U285)</f>
        <v/>
      </c>
      <c r="AA285" s="23" t="str">
        <f>IF(OR(H285="",O285=""),"",H285-O285)</f>
        <v/>
      </c>
      <c r="AB285" s="23" t="str">
        <f>IF(OR(R285="",V285=""),"",R285-V285)</f>
        <v/>
      </c>
      <c r="AC285" s="23" t="str">
        <f>IF(OR(S285="",W285=""),"",S285-W285)</f>
        <v/>
      </c>
      <c r="AD285" s="13"/>
      <c r="AE285" s="23" t="str">
        <f>IF(OR(AD285="",AD284=""),"",IF(AD284=0,"",(AD285/AD284)-1))</f>
        <v/>
      </c>
      <c r="AF285" s="23" t="str">
        <f>IF(ROW()&lt;7,"",IF(OR(AD285="",AD282=""),"",IF(AD282=0,"",(AD285/AD282)-1)))</f>
        <v/>
      </c>
      <c r="AG285" s="23" t="str">
        <f>IF(ROW()&lt;9,"",IF(OR(AD285="",AD280=""),"",IF(AD280=0,"",(AD285/AD280)-1)))</f>
        <v/>
      </c>
      <c r="AH285" s="23" t="str">
        <f>IF(OR(AF285="",AG285=""),"",IF(AND(AF285&gt;0,AG285&gt;0),"Bull",IF(AND(AF285&lt;0,AG285&lt;0),"Bear","Mixed")))</f>
        <v/>
      </c>
      <c r="AI285" s="13"/>
      <c r="AJ285" s="13" t="str">
        <f>IF(OR(AI285="",AI284=""),"",IF(AI284=0,"",(AI285/AI284)-1))</f>
        <v/>
      </c>
      <c r="AK285" s="23" t="str">
        <f>IF(OR(AJ285="",AJ284=""),"",IF(AJ284=0,"",(AJ285/AJ284)-1))</f>
        <v/>
      </c>
      <c r="AL285" s="23" t="str">
        <f>IF(ROW()&lt;7,"",IF(OR(AJ285="",AJ282=""),"",IF(AJ282=0,"",(AJ285/AJ282)-1)))</f>
        <v/>
      </c>
      <c r="AM285" s="23" t="str">
        <f>IF(ROW()&lt;9,"",IF(OR(AJ285="",AJ280=""),"",IF(AJ280=0,"",(AJ285/AJ280)-1)))</f>
        <v/>
      </c>
      <c r="AN285" t="str">
        <f>IF(OR(AL285="",AM285=""),"",IF(AND(AL285&gt;0,AM285&gt;0),"Bull",IF(AND(AL285&lt;0,AM285&lt;0),"Bear","Mixed")))</f>
        <v/>
      </c>
      <c r="AO285" t="str">
        <f>IF(OR(AH285="",AN285=""),"",IF(AND(AH285="Bull",AN285="Bull"),"YES","NO"))</f>
        <v/>
      </c>
      <c r="AP285" t="str">
        <f>IF(OR(AH285="",AN285=""),"",IF(AND(AH285="Bear",AN285="Bear"),"YES","NO"))</f>
        <v/>
      </c>
      <c r="AQ285" t="str">
        <f>IF(AO285="YES",IF(SUM(N(X285),N(Y285),N(Z285))&gt;0,"SOXL","TQQQ"),IF(AP285="YES",IF(SUM(N(AA285),N(AB285),N(AC285))&gt;0,"SOXS","SQQQ"),"WAIT"))</f>
        <v>WAIT</v>
      </c>
      <c r="AR285" s="23" t="str">
        <f>IF(AO285="YES",IF(SUM(N(X285),N(Y285),N(Z285))&gt;0,"TQQQ","SOXL"),IF(AP285="YES",IF(SUM(N(AA285),N(AB285),N(AC285))&gt;0,"SQQQ","SOXS"),""))</f>
        <v/>
      </c>
      <c r="AS285" s="23" t="str">
        <f>IF(AQ285="WAIT","",IF(AR285="",1,0.6))</f>
        <v/>
      </c>
      <c r="AT285" s="23">
        <f>IF(AR285="",0,0.4)</f>
        <v>0</v>
      </c>
      <c r="AU285" s="23" t="str">
        <f>IF(AQ285="WAIT","WAIT",IF(AO285="YES","BULL",IF(AP285="YES","BEAR","WAIT")))</f>
        <v>WAIT</v>
      </c>
      <c r="AV285" t="str">
        <f>IF(AQ285="WAIT","Low",IF(OR(AND(AU285="BULL",ABS(SUM(N(X285),N(Y285),N(Z285)))&gt;=0.15),AND(AU285="BEAR",ABS(SUM(N(AA285),N(AB285),N(AC285)))&gt;=0.15)),"Strong",IF(OR(AND(AU285="BULL",ABS(SUM(N(X285),N(Y285),N(Z285)))&gt;=0.05),AND(AU285="BEAR",ABS(SUM(N(AA285),N(AB285),N(AC285)))&gt;=0.05)),"Moderate","Low")))</f>
        <v>Low</v>
      </c>
      <c r="AW285" t="str">
        <f>IF(AQ285="WAIT","QQQ and SMH not aligned",IF(AU285="BULL",IF(AQ285="SOXL","Bull regime; semiconductors leading","Bull regime; tech leading"),IF(AQ285="SOXS","Bear regime; semiconductors weakest","Bear regime; tech weakest")))</f>
        <v>QQQ and SMH not aligned</v>
      </c>
      <c r="AX285" t="str">
        <f>IF(AR285="WAIT","QQQ and SMH not aligned",IF(AV285="BULL",IF(AR285="SOXL","Bull regime; semiconductors leading","Bull regime; tech leading"),IF(AR285="SOXS","Bear regime; semiconductors weakest","Bear regime; tech weakest")))</f>
        <v>Bear regime; tech weakest</v>
      </c>
    </row>
    <row r="286" spans="1:50" x14ac:dyDescent="0.2">
      <c r="A286" s="12"/>
      <c r="B286" s="13"/>
      <c r="C286" s="13"/>
      <c r="D286" s="13"/>
      <c r="E286" s="13"/>
      <c r="F286" s="11" t="str">
        <f>IF(OR(E286="",E285=""),"",IF(E285=0,"",(E286/E285)-1))</f>
        <v/>
      </c>
      <c r="G286" s="13"/>
      <c r="H286" s="11" t="str">
        <f>IF(OR(G286="",G285=""),"",IF(G285=0,"",(G286/G285)-1))</f>
        <v/>
      </c>
      <c r="I286" s="13"/>
      <c r="J286" s="13"/>
      <c r="K286" s="13"/>
      <c r="L286" s="13"/>
      <c r="M286" s="23" t="str">
        <f>IF(OR(L286="",L285=""),"",IF(L285=0,"",(L286/L285)-1))</f>
        <v/>
      </c>
      <c r="N286" s="26" t="str">
        <f>IFERROR((M286/M285)-1,"")</f>
        <v/>
      </c>
      <c r="O286" s="23" t="str">
        <f>IF(OR(N286="",N285=""),"",IF(N285=0,"",(N286/N285)-1))</f>
        <v/>
      </c>
      <c r="P286" s="11" t="str">
        <f>IF(ROW()&lt;7,"",IF(OR(E286="",E283=""),"",IF(E283=0,"",(E286/E283)-1)))</f>
        <v/>
      </c>
      <c r="Q286" s="23" t="str">
        <f>IF(ROW()&lt;9,"",IF(OR(E286="",E281=""),"",IF(E281=0,"",(E286/E281)-1)))</f>
        <v/>
      </c>
      <c r="R286" s="23" t="str">
        <f>IF(ROW()&lt;7,"",IF(OR(G286="",G283=""),"",IF(G283=0,"",(G286/G283)-1)))</f>
        <v/>
      </c>
      <c r="S286" s="23" t="str">
        <f>IF(ROW()&lt;9,"",IF(OR(G286="",G281=""),"",IF(G281=0,"",(G286/G281)-1)))</f>
        <v/>
      </c>
      <c r="T286" s="23" t="str">
        <f>IF(ROW()&lt;7,"",IF(OR(L286="",L283=""),"",IF(L283=0,"",(L286/L283)-1)))</f>
        <v/>
      </c>
      <c r="U286" s="23" t="str">
        <f>IF(ROW()&lt;9,"",IF(OR(L286="",L281=""),"",IF(L281=0,"",(L286/L281)-1)))</f>
        <v/>
      </c>
      <c r="V286" s="23" t="str">
        <f>IF(ROW()&lt;7,"",IF(OR(N286="",N283=""),"",IF(N283=0,"",(N286/N283)-1)))</f>
        <v/>
      </c>
      <c r="W286" s="23" t="str">
        <f>IF(ROW()&lt;9,"",IF(OR(N286="",N281=""),"",IF(N281=0,"",(N286/N281)-1)))</f>
        <v/>
      </c>
      <c r="X286" s="23" t="str">
        <f>IF(OR(F286="",M286=""),"",F286-M286)</f>
        <v/>
      </c>
      <c r="Y286" s="23" t="str">
        <f>IF(OR(P286="",T286=""),"",P286-T286)</f>
        <v/>
      </c>
      <c r="Z286" s="23" t="str">
        <f>IF(OR(Q286="",U286=""),"",Q286-U286)</f>
        <v/>
      </c>
      <c r="AA286" s="23" t="str">
        <f>IF(OR(H286="",O286=""),"",H286-O286)</f>
        <v/>
      </c>
      <c r="AB286" s="23" t="str">
        <f>IF(OR(R286="",V286=""),"",R286-V286)</f>
        <v/>
      </c>
      <c r="AC286" s="23" t="str">
        <f>IF(OR(S286="",W286=""),"",S286-W286)</f>
        <v/>
      </c>
      <c r="AD286" s="13"/>
      <c r="AE286" s="23" t="str">
        <f>IF(OR(AD286="",AD285=""),"",IF(AD285=0,"",(AD286/AD285)-1))</f>
        <v/>
      </c>
      <c r="AF286" s="23" t="str">
        <f>IF(ROW()&lt;7,"",IF(OR(AD286="",AD283=""),"",IF(AD283=0,"",(AD286/AD283)-1)))</f>
        <v/>
      </c>
      <c r="AG286" s="23" t="str">
        <f>IF(ROW()&lt;9,"",IF(OR(AD286="",AD281=""),"",IF(AD281=0,"",(AD286/AD281)-1)))</f>
        <v/>
      </c>
      <c r="AH286" s="23" t="str">
        <f>IF(OR(AF286="",AG286=""),"",IF(AND(AF286&gt;0,AG286&gt;0),"Bull",IF(AND(AF286&lt;0,AG286&lt;0),"Bear","Mixed")))</f>
        <v/>
      </c>
      <c r="AI286" s="13"/>
      <c r="AJ286" s="13" t="str">
        <f>IF(OR(AI286="",AI285=""),"",IF(AI285=0,"",(AI286/AI285)-1))</f>
        <v/>
      </c>
      <c r="AK286" s="23" t="str">
        <f>IF(OR(AJ286="",AJ285=""),"",IF(AJ285=0,"",(AJ286/AJ285)-1))</f>
        <v/>
      </c>
      <c r="AL286" s="23" t="str">
        <f>IF(ROW()&lt;7,"",IF(OR(AJ286="",AJ283=""),"",IF(AJ283=0,"",(AJ286/AJ283)-1)))</f>
        <v/>
      </c>
      <c r="AM286" s="23" t="str">
        <f>IF(ROW()&lt;9,"",IF(OR(AJ286="",AJ281=""),"",IF(AJ281=0,"",(AJ286/AJ281)-1)))</f>
        <v/>
      </c>
      <c r="AN286" t="str">
        <f>IF(OR(AL286="",AM286=""),"",IF(AND(AL286&gt;0,AM286&gt;0),"Bull",IF(AND(AL286&lt;0,AM286&lt;0),"Bear","Mixed")))</f>
        <v/>
      </c>
      <c r="AO286" t="str">
        <f>IF(OR(AH286="",AN286=""),"",IF(AND(AH286="Bull",AN286="Bull"),"YES","NO"))</f>
        <v/>
      </c>
      <c r="AP286" t="str">
        <f>IF(OR(AH286="",AN286=""),"",IF(AND(AH286="Bear",AN286="Bear"),"YES","NO"))</f>
        <v/>
      </c>
      <c r="AQ286" t="str">
        <f>IF(AO286="YES",IF(SUM(N(X286),N(Y286),N(Z286))&gt;0,"SOXL","TQQQ"),IF(AP286="YES",IF(SUM(N(AA286),N(AB286),N(AC286))&gt;0,"SOXS","SQQQ"),"WAIT"))</f>
        <v>WAIT</v>
      </c>
      <c r="AR286" s="23" t="str">
        <f>IF(AO286="YES",IF(SUM(N(X286),N(Y286),N(Z286))&gt;0,"TQQQ","SOXL"),IF(AP286="YES",IF(SUM(N(AA286),N(AB286),N(AC286))&gt;0,"SQQQ","SOXS"),""))</f>
        <v/>
      </c>
      <c r="AS286" s="23" t="str">
        <f>IF(AQ286="WAIT","",IF(AR286="",1,0.6))</f>
        <v/>
      </c>
      <c r="AT286" s="23">
        <f>IF(AR286="",0,0.4)</f>
        <v>0</v>
      </c>
      <c r="AU286" s="23" t="str">
        <f>IF(AQ286="WAIT","WAIT",IF(AO286="YES","BULL",IF(AP286="YES","BEAR","WAIT")))</f>
        <v>WAIT</v>
      </c>
      <c r="AV286" t="str">
        <f>IF(AQ286="WAIT","Low",IF(OR(AND(AU286="BULL",ABS(SUM(N(X286),N(Y286),N(Z286)))&gt;=0.15),AND(AU286="BEAR",ABS(SUM(N(AA286),N(AB286),N(AC286)))&gt;=0.15)),"Strong",IF(OR(AND(AU286="BULL",ABS(SUM(N(X286),N(Y286),N(Z286)))&gt;=0.05),AND(AU286="BEAR",ABS(SUM(N(AA286),N(AB286),N(AC286)))&gt;=0.05)),"Moderate","Low")))</f>
        <v>Low</v>
      </c>
      <c r="AW286" t="str">
        <f>IF(AQ286="WAIT","QQQ and SMH not aligned",IF(AU286="BULL",IF(AQ286="SOXL","Bull regime; semiconductors leading","Bull regime; tech leading"),IF(AQ286="SOXS","Bear regime; semiconductors weakest","Bear regime; tech weakest")))</f>
        <v>QQQ and SMH not aligned</v>
      </c>
      <c r="AX286" t="str">
        <f>IF(AR286="WAIT","QQQ and SMH not aligned",IF(AV286="BULL",IF(AR286="SOXL","Bull regime; semiconductors leading","Bull regime; tech leading"),IF(AR286="SOXS","Bear regime; semiconductors weakest","Bear regime; tech weakest")))</f>
        <v>Bear regime; tech weakest</v>
      </c>
    </row>
    <row r="287" spans="1:50" x14ac:dyDescent="0.2">
      <c r="A287" s="12"/>
      <c r="B287" s="13"/>
      <c r="C287" s="13"/>
      <c r="D287" s="13"/>
      <c r="E287" s="13"/>
      <c r="F287" s="11" t="str">
        <f>IF(OR(E287="",E286=""),"",IF(E286=0,"",(E287/E286)-1))</f>
        <v/>
      </c>
      <c r="G287" s="13"/>
      <c r="H287" s="11" t="str">
        <f>IF(OR(G287="",G286=""),"",IF(G286=0,"",(G287/G286)-1))</f>
        <v/>
      </c>
      <c r="I287" s="13"/>
      <c r="J287" s="13"/>
      <c r="K287" s="13"/>
      <c r="L287" s="13"/>
      <c r="M287" s="23" t="str">
        <f>IF(OR(L287="",L286=""),"",IF(L286=0,"",(L287/L286)-1))</f>
        <v/>
      </c>
      <c r="N287" s="26" t="str">
        <f>IFERROR((M287/M286)-1,"")</f>
        <v/>
      </c>
      <c r="O287" s="23" t="str">
        <f>IF(OR(N287="",N286=""),"",IF(N286=0,"",(N287/N286)-1))</f>
        <v/>
      </c>
      <c r="P287" s="11" t="str">
        <f>IF(ROW()&lt;7,"",IF(OR(E287="",E284=""),"",IF(E284=0,"",(E287/E284)-1)))</f>
        <v/>
      </c>
      <c r="Q287" s="23" t="str">
        <f>IF(ROW()&lt;9,"",IF(OR(E287="",E282=""),"",IF(E282=0,"",(E287/E282)-1)))</f>
        <v/>
      </c>
      <c r="R287" s="23" t="str">
        <f>IF(ROW()&lt;7,"",IF(OR(G287="",G284=""),"",IF(G284=0,"",(G287/G284)-1)))</f>
        <v/>
      </c>
      <c r="S287" s="23" t="str">
        <f>IF(ROW()&lt;9,"",IF(OR(G287="",G282=""),"",IF(G282=0,"",(G287/G282)-1)))</f>
        <v/>
      </c>
      <c r="T287" s="23" t="str">
        <f>IF(ROW()&lt;7,"",IF(OR(L287="",L284=""),"",IF(L284=0,"",(L287/L284)-1)))</f>
        <v/>
      </c>
      <c r="U287" s="23" t="str">
        <f>IF(ROW()&lt;9,"",IF(OR(L287="",L282=""),"",IF(L282=0,"",(L287/L282)-1)))</f>
        <v/>
      </c>
      <c r="V287" s="23" t="str">
        <f>IF(ROW()&lt;7,"",IF(OR(N287="",N284=""),"",IF(N284=0,"",(N287/N284)-1)))</f>
        <v/>
      </c>
      <c r="W287" s="23" t="str">
        <f>IF(ROW()&lt;9,"",IF(OR(N287="",N282=""),"",IF(N282=0,"",(N287/N282)-1)))</f>
        <v/>
      </c>
      <c r="X287" s="23" t="str">
        <f>IF(OR(F287="",M287=""),"",F287-M287)</f>
        <v/>
      </c>
      <c r="Y287" s="23" t="str">
        <f>IF(OR(P287="",T287=""),"",P287-T287)</f>
        <v/>
      </c>
      <c r="Z287" s="23" t="str">
        <f>IF(OR(Q287="",U287=""),"",Q287-U287)</f>
        <v/>
      </c>
      <c r="AA287" s="23" t="str">
        <f>IF(OR(H287="",O287=""),"",H287-O287)</f>
        <v/>
      </c>
      <c r="AB287" s="23" t="str">
        <f>IF(OR(R287="",V287=""),"",R287-V287)</f>
        <v/>
      </c>
      <c r="AC287" s="23" t="str">
        <f>IF(OR(S287="",W287=""),"",S287-W287)</f>
        <v/>
      </c>
      <c r="AD287" s="13"/>
      <c r="AE287" s="23" t="str">
        <f>IF(OR(AD287="",AD286=""),"",IF(AD286=0,"",(AD287/AD286)-1))</f>
        <v/>
      </c>
      <c r="AF287" s="23" t="str">
        <f>IF(ROW()&lt;7,"",IF(OR(AD287="",AD284=""),"",IF(AD284=0,"",(AD287/AD284)-1)))</f>
        <v/>
      </c>
      <c r="AG287" s="23" t="str">
        <f>IF(ROW()&lt;9,"",IF(OR(AD287="",AD282=""),"",IF(AD282=0,"",(AD287/AD282)-1)))</f>
        <v/>
      </c>
      <c r="AH287" s="23" t="str">
        <f>IF(OR(AF287="",AG287=""),"",IF(AND(AF287&gt;0,AG287&gt;0),"Bull",IF(AND(AF287&lt;0,AG287&lt;0),"Bear","Mixed")))</f>
        <v/>
      </c>
      <c r="AI287" s="13"/>
      <c r="AJ287" s="13" t="str">
        <f>IF(OR(AI287="",AI286=""),"",IF(AI286=0,"",(AI287/AI286)-1))</f>
        <v/>
      </c>
      <c r="AK287" s="23" t="str">
        <f>IF(OR(AJ287="",AJ286=""),"",IF(AJ286=0,"",(AJ287/AJ286)-1))</f>
        <v/>
      </c>
      <c r="AL287" s="23" t="str">
        <f>IF(ROW()&lt;7,"",IF(OR(AJ287="",AJ284=""),"",IF(AJ284=0,"",(AJ287/AJ284)-1)))</f>
        <v/>
      </c>
      <c r="AM287" s="23" t="str">
        <f>IF(ROW()&lt;9,"",IF(OR(AJ287="",AJ282=""),"",IF(AJ282=0,"",(AJ287/AJ282)-1)))</f>
        <v/>
      </c>
      <c r="AN287" t="str">
        <f>IF(OR(AL287="",AM287=""),"",IF(AND(AL287&gt;0,AM287&gt;0),"Bull",IF(AND(AL287&lt;0,AM287&lt;0),"Bear","Mixed")))</f>
        <v/>
      </c>
      <c r="AO287" t="str">
        <f>IF(OR(AH287="",AN287=""),"",IF(AND(AH287="Bull",AN287="Bull"),"YES","NO"))</f>
        <v/>
      </c>
      <c r="AP287" t="str">
        <f>IF(OR(AH287="",AN287=""),"",IF(AND(AH287="Bear",AN287="Bear"),"YES","NO"))</f>
        <v/>
      </c>
      <c r="AQ287" t="str">
        <f>IF(AO287="YES",IF(SUM(N(X287),N(Y287),N(Z287))&gt;0,"SOXL","TQQQ"),IF(AP287="YES",IF(SUM(N(AA287),N(AB287),N(AC287))&gt;0,"SOXS","SQQQ"),"WAIT"))</f>
        <v>WAIT</v>
      </c>
      <c r="AR287" s="23" t="str">
        <f>IF(AO287="YES",IF(SUM(N(X287),N(Y287),N(Z287))&gt;0,"TQQQ","SOXL"),IF(AP287="YES",IF(SUM(N(AA287),N(AB287),N(AC287))&gt;0,"SQQQ","SOXS"),""))</f>
        <v/>
      </c>
      <c r="AS287" s="23" t="str">
        <f>IF(AQ287="WAIT","",IF(AR287="",1,0.6))</f>
        <v/>
      </c>
      <c r="AT287" s="23">
        <f>IF(AR287="",0,0.4)</f>
        <v>0</v>
      </c>
      <c r="AU287" s="23" t="str">
        <f>IF(AQ287="WAIT","WAIT",IF(AO287="YES","BULL",IF(AP287="YES","BEAR","WAIT")))</f>
        <v>WAIT</v>
      </c>
      <c r="AV287" t="str">
        <f>IF(AQ287="WAIT","Low",IF(OR(AND(AU287="BULL",ABS(SUM(N(X287),N(Y287),N(Z287)))&gt;=0.15),AND(AU287="BEAR",ABS(SUM(N(AA287),N(AB287),N(AC287)))&gt;=0.15)),"Strong",IF(OR(AND(AU287="BULL",ABS(SUM(N(X287),N(Y287),N(Z287)))&gt;=0.05),AND(AU287="BEAR",ABS(SUM(N(AA287),N(AB287),N(AC287)))&gt;=0.05)),"Moderate","Low")))</f>
        <v>Low</v>
      </c>
      <c r="AW287" t="str">
        <f>IF(AQ287="WAIT","QQQ and SMH not aligned",IF(AU287="BULL",IF(AQ287="SOXL","Bull regime; semiconductors leading","Bull regime; tech leading"),IF(AQ287="SOXS","Bear regime; semiconductors weakest","Bear regime; tech weakest")))</f>
        <v>QQQ and SMH not aligned</v>
      </c>
      <c r="AX287" t="str">
        <f>IF(AR287="WAIT","QQQ and SMH not aligned",IF(AV287="BULL",IF(AR287="SOXL","Bull regime; semiconductors leading","Bull regime; tech leading"),IF(AR287="SOXS","Bear regime; semiconductors weakest","Bear regime; tech weakest")))</f>
        <v>Bear regime; tech weakest</v>
      </c>
    </row>
    <row r="288" spans="1:50" x14ac:dyDescent="0.2">
      <c r="A288" s="12"/>
      <c r="B288" s="13"/>
      <c r="C288" s="13"/>
      <c r="D288" s="13"/>
      <c r="E288" s="13"/>
      <c r="F288" s="11" t="str">
        <f>IF(OR(E288="",E287=""),"",IF(E287=0,"",(E288/E287)-1))</f>
        <v/>
      </c>
      <c r="G288" s="13"/>
      <c r="H288" s="11" t="str">
        <f>IF(OR(G288="",G287=""),"",IF(G287=0,"",(G288/G287)-1))</f>
        <v/>
      </c>
      <c r="I288" s="13"/>
      <c r="J288" s="13"/>
      <c r="K288" s="13"/>
      <c r="L288" s="13"/>
      <c r="M288" s="23" t="str">
        <f>IF(OR(L288="",L287=""),"",IF(L287=0,"",(L288/L287)-1))</f>
        <v/>
      </c>
      <c r="N288" s="26" t="str">
        <f>IFERROR((M288/M287)-1,"")</f>
        <v/>
      </c>
      <c r="O288" s="23" t="str">
        <f>IF(OR(N288="",N287=""),"",IF(N287=0,"",(N288/N287)-1))</f>
        <v/>
      </c>
      <c r="P288" s="11" t="str">
        <f>IF(ROW()&lt;7,"",IF(OR(E288="",E285=""),"",IF(E285=0,"",(E288/E285)-1)))</f>
        <v/>
      </c>
      <c r="Q288" s="23" t="str">
        <f>IF(ROW()&lt;9,"",IF(OR(E288="",E283=""),"",IF(E283=0,"",(E288/E283)-1)))</f>
        <v/>
      </c>
      <c r="R288" s="23" t="str">
        <f>IF(ROW()&lt;7,"",IF(OR(G288="",G285=""),"",IF(G285=0,"",(G288/G285)-1)))</f>
        <v/>
      </c>
      <c r="S288" s="23" t="str">
        <f>IF(ROW()&lt;9,"",IF(OR(G288="",G283=""),"",IF(G283=0,"",(G288/G283)-1)))</f>
        <v/>
      </c>
      <c r="T288" s="23" t="str">
        <f>IF(ROW()&lt;7,"",IF(OR(L288="",L285=""),"",IF(L285=0,"",(L288/L285)-1)))</f>
        <v/>
      </c>
      <c r="U288" s="23" t="str">
        <f>IF(ROW()&lt;9,"",IF(OR(L288="",L283=""),"",IF(L283=0,"",(L288/L283)-1)))</f>
        <v/>
      </c>
      <c r="V288" s="23" t="str">
        <f>IF(ROW()&lt;7,"",IF(OR(N288="",N285=""),"",IF(N285=0,"",(N288/N285)-1)))</f>
        <v/>
      </c>
      <c r="W288" s="23" t="str">
        <f>IF(ROW()&lt;9,"",IF(OR(N288="",N283=""),"",IF(N283=0,"",(N288/N283)-1)))</f>
        <v/>
      </c>
      <c r="X288" s="23" t="str">
        <f>IF(OR(F288="",M288=""),"",F288-M288)</f>
        <v/>
      </c>
      <c r="Y288" s="23" t="str">
        <f>IF(OR(P288="",T288=""),"",P288-T288)</f>
        <v/>
      </c>
      <c r="Z288" s="23" t="str">
        <f>IF(OR(Q288="",U288=""),"",Q288-U288)</f>
        <v/>
      </c>
      <c r="AA288" s="23" t="str">
        <f>IF(OR(H288="",O288=""),"",H288-O288)</f>
        <v/>
      </c>
      <c r="AB288" s="23" t="str">
        <f>IF(OR(R288="",V288=""),"",R288-V288)</f>
        <v/>
      </c>
      <c r="AC288" s="23" t="str">
        <f>IF(OR(S288="",W288=""),"",S288-W288)</f>
        <v/>
      </c>
      <c r="AD288" s="13"/>
      <c r="AE288" s="23" t="str">
        <f>IF(OR(AD288="",AD287=""),"",IF(AD287=0,"",(AD288/AD287)-1))</f>
        <v/>
      </c>
      <c r="AF288" s="23" t="str">
        <f>IF(ROW()&lt;7,"",IF(OR(AD288="",AD285=""),"",IF(AD285=0,"",(AD288/AD285)-1)))</f>
        <v/>
      </c>
      <c r="AG288" s="23" t="str">
        <f>IF(ROW()&lt;9,"",IF(OR(AD288="",AD283=""),"",IF(AD283=0,"",(AD288/AD283)-1)))</f>
        <v/>
      </c>
      <c r="AH288" s="23" t="str">
        <f>IF(OR(AF288="",AG288=""),"",IF(AND(AF288&gt;0,AG288&gt;0),"Bull",IF(AND(AF288&lt;0,AG288&lt;0),"Bear","Mixed")))</f>
        <v/>
      </c>
      <c r="AI288" s="13"/>
      <c r="AJ288" s="13" t="str">
        <f>IF(OR(AI288="",AI287=""),"",IF(AI287=0,"",(AI288/AI287)-1))</f>
        <v/>
      </c>
      <c r="AK288" s="23" t="str">
        <f>IF(OR(AJ288="",AJ287=""),"",IF(AJ287=0,"",(AJ288/AJ287)-1))</f>
        <v/>
      </c>
      <c r="AL288" s="23" t="str">
        <f>IF(ROW()&lt;7,"",IF(OR(AJ288="",AJ285=""),"",IF(AJ285=0,"",(AJ288/AJ285)-1)))</f>
        <v/>
      </c>
      <c r="AM288" s="23" t="str">
        <f>IF(ROW()&lt;9,"",IF(OR(AJ288="",AJ283=""),"",IF(AJ283=0,"",(AJ288/AJ283)-1)))</f>
        <v/>
      </c>
      <c r="AN288" t="str">
        <f>IF(OR(AL288="",AM288=""),"",IF(AND(AL288&gt;0,AM288&gt;0),"Bull",IF(AND(AL288&lt;0,AM288&lt;0),"Bear","Mixed")))</f>
        <v/>
      </c>
      <c r="AO288" t="str">
        <f>IF(OR(AH288="",AN288=""),"",IF(AND(AH288="Bull",AN288="Bull"),"YES","NO"))</f>
        <v/>
      </c>
      <c r="AP288" t="str">
        <f>IF(OR(AH288="",AN288=""),"",IF(AND(AH288="Bear",AN288="Bear"),"YES","NO"))</f>
        <v/>
      </c>
      <c r="AQ288" t="str">
        <f>IF(AO288="YES",IF(SUM(N(X288),N(Y288),N(Z288))&gt;0,"SOXL","TQQQ"),IF(AP288="YES",IF(SUM(N(AA288),N(AB288),N(AC288))&gt;0,"SOXS","SQQQ"),"WAIT"))</f>
        <v>WAIT</v>
      </c>
      <c r="AR288" s="23" t="str">
        <f>IF(AO288="YES",IF(SUM(N(X288),N(Y288),N(Z288))&gt;0,"TQQQ","SOXL"),IF(AP288="YES",IF(SUM(N(AA288),N(AB288),N(AC288))&gt;0,"SQQQ","SOXS"),""))</f>
        <v/>
      </c>
      <c r="AS288" s="23" t="str">
        <f>IF(AQ288="WAIT","",IF(AR288="",1,0.6))</f>
        <v/>
      </c>
      <c r="AT288" s="23">
        <f>IF(AR288="",0,0.4)</f>
        <v>0</v>
      </c>
      <c r="AU288" s="23" t="str">
        <f>IF(AQ288="WAIT","WAIT",IF(AO288="YES","BULL",IF(AP288="YES","BEAR","WAIT")))</f>
        <v>WAIT</v>
      </c>
      <c r="AV288" t="str">
        <f>IF(AQ288="WAIT","Low",IF(OR(AND(AU288="BULL",ABS(SUM(N(X288),N(Y288),N(Z288)))&gt;=0.15),AND(AU288="BEAR",ABS(SUM(N(AA288),N(AB288),N(AC288)))&gt;=0.15)),"Strong",IF(OR(AND(AU288="BULL",ABS(SUM(N(X288),N(Y288),N(Z288)))&gt;=0.05),AND(AU288="BEAR",ABS(SUM(N(AA288),N(AB288),N(AC288)))&gt;=0.05)),"Moderate","Low")))</f>
        <v>Low</v>
      </c>
      <c r="AW288" t="str">
        <f>IF(AQ288="WAIT","QQQ and SMH not aligned",IF(AU288="BULL",IF(AQ288="SOXL","Bull regime; semiconductors leading","Bull regime; tech leading"),IF(AQ288="SOXS","Bear regime; semiconductors weakest","Bear regime; tech weakest")))</f>
        <v>QQQ and SMH not aligned</v>
      </c>
      <c r="AX288" t="str">
        <f>IF(AR288="WAIT","QQQ and SMH not aligned",IF(AV288="BULL",IF(AR288="SOXL","Bull regime; semiconductors leading","Bull regime; tech leading"),IF(AR288="SOXS","Bear regime; semiconductors weakest","Bear regime; tech weakest")))</f>
        <v>Bear regime; tech weakest</v>
      </c>
    </row>
    <row r="289" spans="1:50" x14ac:dyDescent="0.2">
      <c r="A289" s="12"/>
      <c r="B289" s="13"/>
      <c r="C289" s="13"/>
      <c r="D289" s="13"/>
      <c r="E289" s="13"/>
      <c r="F289" s="11" t="str">
        <f>IF(OR(E289="",E288=""),"",IF(E288=0,"",(E289/E288)-1))</f>
        <v/>
      </c>
      <c r="G289" s="13"/>
      <c r="H289" s="11" t="str">
        <f>IF(OR(G289="",G288=""),"",IF(G288=0,"",(G289/G288)-1))</f>
        <v/>
      </c>
      <c r="I289" s="13"/>
      <c r="J289" s="13"/>
      <c r="K289" s="13"/>
      <c r="L289" s="13"/>
      <c r="M289" s="23" t="str">
        <f>IF(OR(L289="",L288=""),"",IF(L288=0,"",(L289/L288)-1))</f>
        <v/>
      </c>
      <c r="N289" s="26" t="str">
        <f>IFERROR((M289/M288)-1,"")</f>
        <v/>
      </c>
      <c r="O289" s="23" t="str">
        <f>IF(OR(N289="",N288=""),"",IF(N288=0,"",(N289/N288)-1))</f>
        <v/>
      </c>
      <c r="P289" s="11" t="str">
        <f>IF(ROW()&lt;7,"",IF(OR(E289="",E286=""),"",IF(E286=0,"",(E289/E286)-1)))</f>
        <v/>
      </c>
      <c r="Q289" s="23" t="str">
        <f>IF(ROW()&lt;9,"",IF(OR(E289="",E284=""),"",IF(E284=0,"",(E289/E284)-1)))</f>
        <v/>
      </c>
      <c r="R289" s="23" t="str">
        <f>IF(ROW()&lt;7,"",IF(OR(G289="",G286=""),"",IF(G286=0,"",(G289/G286)-1)))</f>
        <v/>
      </c>
      <c r="S289" s="23" t="str">
        <f>IF(ROW()&lt;9,"",IF(OR(G289="",G284=""),"",IF(G284=0,"",(G289/G284)-1)))</f>
        <v/>
      </c>
      <c r="T289" s="23" t="str">
        <f>IF(ROW()&lt;7,"",IF(OR(L289="",L286=""),"",IF(L286=0,"",(L289/L286)-1)))</f>
        <v/>
      </c>
      <c r="U289" s="23" t="str">
        <f>IF(ROW()&lt;9,"",IF(OR(L289="",L284=""),"",IF(L284=0,"",(L289/L284)-1)))</f>
        <v/>
      </c>
      <c r="V289" s="23" t="str">
        <f>IF(ROW()&lt;7,"",IF(OR(N289="",N286=""),"",IF(N286=0,"",(N289/N286)-1)))</f>
        <v/>
      </c>
      <c r="W289" s="23" t="str">
        <f>IF(ROW()&lt;9,"",IF(OR(N289="",N284=""),"",IF(N284=0,"",(N289/N284)-1)))</f>
        <v/>
      </c>
      <c r="X289" s="23" t="str">
        <f>IF(OR(F289="",M289=""),"",F289-M289)</f>
        <v/>
      </c>
      <c r="Y289" s="23" t="str">
        <f>IF(OR(P289="",T289=""),"",P289-T289)</f>
        <v/>
      </c>
      <c r="Z289" s="23" t="str">
        <f>IF(OR(Q289="",U289=""),"",Q289-U289)</f>
        <v/>
      </c>
      <c r="AA289" s="23" t="str">
        <f>IF(OR(H289="",O289=""),"",H289-O289)</f>
        <v/>
      </c>
      <c r="AB289" s="23" t="str">
        <f>IF(OR(R289="",V289=""),"",R289-V289)</f>
        <v/>
      </c>
      <c r="AC289" s="23" t="str">
        <f>IF(OR(S289="",W289=""),"",S289-W289)</f>
        <v/>
      </c>
      <c r="AD289" s="13"/>
      <c r="AE289" s="23" t="str">
        <f>IF(OR(AD289="",AD288=""),"",IF(AD288=0,"",(AD289/AD288)-1))</f>
        <v/>
      </c>
      <c r="AF289" s="23" t="str">
        <f>IF(ROW()&lt;7,"",IF(OR(AD289="",AD286=""),"",IF(AD286=0,"",(AD289/AD286)-1)))</f>
        <v/>
      </c>
      <c r="AG289" s="23" t="str">
        <f>IF(ROW()&lt;9,"",IF(OR(AD289="",AD284=""),"",IF(AD284=0,"",(AD289/AD284)-1)))</f>
        <v/>
      </c>
      <c r="AH289" s="23" t="str">
        <f>IF(OR(AF289="",AG289=""),"",IF(AND(AF289&gt;0,AG289&gt;0),"Bull",IF(AND(AF289&lt;0,AG289&lt;0),"Bear","Mixed")))</f>
        <v/>
      </c>
      <c r="AI289" s="13"/>
      <c r="AJ289" s="13" t="str">
        <f>IF(OR(AI289="",AI288=""),"",IF(AI288=0,"",(AI289/AI288)-1))</f>
        <v/>
      </c>
      <c r="AK289" s="23" t="str">
        <f>IF(OR(AJ289="",AJ288=""),"",IF(AJ288=0,"",(AJ289/AJ288)-1))</f>
        <v/>
      </c>
      <c r="AL289" s="23" t="str">
        <f>IF(ROW()&lt;7,"",IF(OR(AJ289="",AJ286=""),"",IF(AJ286=0,"",(AJ289/AJ286)-1)))</f>
        <v/>
      </c>
      <c r="AM289" s="23" t="str">
        <f>IF(ROW()&lt;9,"",IF(OR(AJ289="",AJ284=""),"",IF(AJ284=0,"",(AJ289/AJ284)-1)))</f>
        <v/>
      </c>
      <c r="AN289" t="str">
        <f>IF(OR(AL289="",AM289=""),"",IF(AND(AL289&gt;0,AM289&gt;0),"Bull",IF(AND(AL289&lt;0,AM289&lt;0),"Bear","Mixed")))</f>
        <v/>
      </c>
      <c r="AO289" t="str">
        <f>IF(OR(AH289="",AN289=""),"",IF(AND(AH289="Bull",AN289="Bull"),"YES","NO"))</f>
        <v/>
      </c>
      <c r="AP289" t="str">
        <f>IF(OR(AH289="",AN289=""),"",IF(AND(AH289="Bear",AN289="Bear"),"YES","NO"))</f>
        <v/>
      </c>
      <c r="AQ289" t="str">
        <f>IF(AO289="YES",IF(SUM(N(X289),N(Y289),N(Z289))&gt;0,"SOXL","TQQQ"),IF(AP289="YES",IF(SUM(N(AA289),N(AB289),N(AC289))&gt;0,"SOXS","SQQQ"),"WAIT"))</f>
        <v>WAIT</v>
      </c>
      <c r="AR289" s="23" t="str">
        <f>IF(AO289="YES",IF(SUM(N(X289),N(Y289),N(Z289))&gt;0,"TQQQ","SOXL"),IF(AP289="YES",IF(SUM(N(AA289),N(AB289),N(AC289))&gt;0,"SQQQ","SOXS"),""))</f>
        <v/>
      </c>
      <c r="AS289" s="23" t="str">
        <f>IF(AQ289="WAIT","",IF(AR289="",1,0.6))</f>
        <v/>
      </c>
      <c r="AT289" s="23">
        <f>IF(AR289="",0,0.4)</f>
        <v>0</v>
      </c>
      <c r="AU289" s="23" t="str">
        <f>IF(AQ289="WAIT","WAIT",IF(AO289="YES","BULL",IF(AP289="YES","BEAR","WAIT")))</f>
        <v>WAIT</v>
      </c>
      <c r="AV289" t="str">
        <f>IF(AQ289="WAIT","Low",IF(OR(AND(AU289="BULL",ABS(SUM(N(X289),N(Y289),N(Z289)))&gt;=0.15),AND(AU289="BEAR",ABS(SUM(N(AA289),N(AB289),N(AC289)))&gt;=0.15)),"Strong",IF(OR(AND(AU289="BULL",ABS(SUM(N(X289),N(Y289),N(Z289)))&gt;=0.05),AND(AU289="BEAR",ABS(SUM(N(AA289),N(AB289),N(AC289)))&gt;=0.05)),"Moderate","Low")))</f>
        <v>Low</v>
      </c>
      <c r="AW289" t="str">
        <f>IF(AQ289="WAIT","QQQ and SMH not aligned",IF(AU289="BULL",IF(AQ289="SOXL","Bull regime; semiconductors leading","Bull regime; tech leading"),IF(AQ289="SOXS","Bear regime; semiconductors weakest","Bear regime; tech weakest")))</f>
        <v>QQQ and SMH not aligned</v>
      </c>
      <c r="AX289" t="str">
        <f>IF(AR289="WAIT","QQQ and SMH not aligned",IF(AV289="BULL",IF(AR289="SOXL","Bull regime; semiconductors leading","Bull regime; tech leading"),IF(AR289="SOXS","Bear regime; semiconductors weakest","Bear regime; tech weakest")))</f>
        <v>Bear regime; tech weakest</v>
      </c>
    </row>
    <row r="290" spans="1:50" x14ac:dyDescent="0.2">
      <c r="A290" s="12"/>
      <c r="B290" s="13"/>
      <c r="C290" s="13"/>
      <c r="D290" s="13"/>
      <c r="E290" s="13"/>
      <c r="F290" s="11" t="str">
        <f>IF(OR(E290="",E289=""),"",IF(E289=0,"",(E290/E289)-1))</f>
        <v/>
      </c>
      <c r="G290" s="13"/>
      <c r="H290" s="11" t="str">
        <f>IF(OR(G290="",G289=""),"",IF(G289=0,"",(G290/G289)-1))</f>
        <v/>
      </c>
      <c r="I290" s="13"/>
      <c r="J290" s="13"/>
      <c r="K290" s="13"/>
      <c r="L290" s="13"/>
      <c r="M290" s="23" t="str">
        <f>IF(OR(L290="",L289=""),"",IF(L289=0,"",(L290/L289)-1))</f>
        <v/>
      </c>
      <c r="N290" s="26" t="str">
        <f>IFERROR((M290/M289)-1,"")</f>
        <v/>
      </c>
      <c r="O290" s="23" t="str">
        <f>IF(OR(N290="",N289=""),"",IF(N289=0,"",(N290/N289)-1))</f>
        <v/>
      </c>
      <c r="P290" s="11" t="str">
        <f>IF(ROW()&lt;7,"",IF(OR(E290="",E287=""),"",IF(E287=0,"",(E290/E287)-1)))</f>
        <v/>
      </c>
      <c r="Q290" s="23" t="str">
        <f>IF(ROW()&lt;9,"",IF(OR(E290="",E285=""),"",IF(E285=0,"",(E290/E285)-1)))</f>
        <v/>
      </c>
      <c r="R290" s="23" t="str">
        <f>IF(ROW()&lt;7,"",IF(OR(G290="",G287=""),"",IF(G287=0,"",(G290/G287)-1)))</f>
        <v/>
      </c>
      <c r="S290" s="23" t="str">
        <f>IF(ROW()&lt;9,"",IF(OR(G290="",G285=""),"",IF(G285=0,"",(G290/G285)-1)))</f>
        <v/>
      </c>
      <c r="T290" s="23" t="str">
        <f>IF(ROW()&lt;7,"",IF(OR(L290="",L287=""),"",IF(L287=0,"",(L290/L287)-1)))</f>
        <v/>
      </c>
      <c r="U290" s="23" t="str">
        <f>IF(ROW()&lt;9,"",IF(OR(L290="",L285=""),"",IF(L285=0,"",(L290/L285)-1)))</f>
        <v/>
      </c>
      <c r="V290" s="23" t="str">
        <f>IF(ROW()&lt;7,"",IF(OR(N290="",N287=""),"",IF(N287=0,"",(N290/N287)-1)))</f>
        <v/>
      </c>
      <c r="W290" s="23" t="str">
        <f>IF(ROW()&lt;9,"",IF(OR(N290="",N285=""),"",IF(N285=0,"",(N290/N285)-1)))</f>
        <v/>
      </c>
      <c r="X290" s="23" t="str">
        <f>IF(OR(F290="",M290=""),"",F290-M290)</f>
        <v/>
      </c>
      <c r="Y290" s="23" t="str">
        <f>IF(OR(P290="",T290=""),"",P290-T290)</f>
        <v/>
      </c>
      <c r="Z290" s="23" t="str">
        <f>IF(OR(Q290="",U290=""),"",Q290-U290)</f>
        <v/>
      </c>
      <c r="AA290" s="23" t="str">
        <f>IF(OR(H290="",O290=""),"",H290-O290)</f>
        <v/>
      </c>
      <c r="AB290" s="23" t="str">
        <f>IF(OR(R290="",V290=""),"",R290-V290)</f>
        <v/>
      </c>
      <c r="AC290" s="23" t="str">
        <f>IF(OR(S290="",W290=""),"",S290-W290)</f>
        <v/>
      </c>
      <c r="AD290" s="13"/>
      <c r="AE290" s="23" t="str">
        <f>IF(OR(AD290="",AD289=""),"",IF(AD289=0,"",(AD290/AD289)-1))</f>
        <v/>
      </c>
      <c r="AF290" s="23" t="str">
        <f>IF(ROW()&lt;7,"",IF(OR(AD290="",AD287=""),"",IF(AD287=0,"",(AD290/AD287)-1)))</f>
        <v/>
      </c>
      <c r="AG290" s="23" t="str">
        <f>IF(ROW()&lt;9,"",IF(OR(AD290="",AD285=""),"",IF(AD285=0,"",(AD290/AD285)-1)))</f>
        <v/>
      </c>
      <c r="AH290" s="23" t="str">
        <f>IF(OR(AF290="",AG290=""),"",IF(AND(AF290&gt;0,AG290&gt;0),"Bull",IF(AND(AF290&lt;0,AG290&lt;0),"Bear","Mixed")))</f>
        <v/>
      </c>
      <c r="AI290" s="13"/>
      <c r="AJ290" s="13" t="str">
        <f>IF(OR(AI290="",AI289=""),"",IF(AI289=0,"",(AI290/AI289)-1))</f>
        <v/>
      </c>
      <c r="AK290" s="23" t="str">
        <f>IF(OR(AJ290="",AJ289=""),"",IF(AJ289=0,"",(AJ290/AJ289)-1))</f>
        <v/>
      </c>
      <c r="AL290" s="23" t="str">
        <f>IF(ROW()&lt;7,"",IF(OR(AJ290="",AJ287=""),"",IF(AJ287=0,"",(AJ290/AJ287)-1)))</f>
        <v/>
      </c>
      <c r="AM290" s="23" t="str">
        <f>IF(ROW()&lt;9,"",IF(OR(AJ290="",AJ285=""),"",IF(AJ285=0,"",(AJ290/AJ285)-1)))</f>
        <v/>
      </c>
      <c r="AN290" t="str">
        <f>IF(OR(AL290="",AM290=""),"",IF(AND(AL290&gt;0,AM290&gt;0),"Bull",IF(AND(AL290&lt;0,AM290&lt;0),"Bear","Mixed")))</f>
        <v/>
      </c>
      <c r="AO290" t="str">
        <f>IF(OR(AH290="",AN290=""),"",IF(AND(AH290="Bull",AN290="Bull"),"YES","NO"))</f>
        <v/>
      </c>
      <c r="AP290" t="str">
        <f>IF(OR(AH290="",AN290=""),"",IF(AND(AH290="Bear",AN290="Bear"),"YES","NO"))</f>
        <v/>
      </c>
      <c r="AQ290" t="str">
        <f>IF(AO290="YES",IF(SUM(N(X290),N(Y290),N(Z290))&gt;0,"SOXL","TQQQ"),IF(AP290="YES",IF(SUM(N(AA290),N(AB290),N(AC290))&gt;0,"SOXS","SQQQ"),"WAIT"))</f>
        <v>WAIT</v>
      </c>
      <c r="AR290" s="23" t="str">
        <f>IF(AO290="YES",IF(SUM(N(X290),N(Y290),N(Z290))&gt;0,"TQQQ","SOXL"),IF(AP290="YES",IF(SUM(N(AA290),N(AB290),N(AC290))&gt;0,"SQQQ","SOXS"),""))</f>
        <v/>
      </c>
      <c r="AS290" s="23" t="str">
        <f>IF(AQ290="WAIT","",IF(AR290="",1,0.6))</f>
        <v/>
      </c>
      <c r="AT290" s="23">
        <f>IF(AR290="",0,0.4)</f>
        <v>0</v>
      </c>
      <c r="AU290" s="23" t="str">
        <f>IF(AQ290="WAIT","WAIT",IF(AO290="YES","BULL",IF(AP290="YES","BEAR","WAIT")))</f>
        <v>WAIT</v>
      </c>
      <c r="AV290" t="str">
        <f>IF(AQ290="WAIT","Low",IF(OR(AND(AU290="BULL",ABS(SUM(N(X290),N(Y290),N(Z290)))&gt;=0.15),AND(AU290="BEAR",ABS(SUM(N(AA290),N(AB290),N(AC290)))&gt;=0.15)),"Strong",IF(OR(AND(AU290="BULL",ABS(SUM(N(X290),N(Y290),N(Z290)))&gt;=0.05),AND(AU290="BEAR",ABS(SUM(N(AA290),N(AB290),N(AC290)))&gt;=0.05)),"Moderate","Low")))</f>
        <v>Low</v>
      </c>
      <c r="AW290" t="str">
        <f>IF(AQ290="WAIT","QQQ and SMH not aligned",IF(AU290="BULL",IF(AQ290="SOXL","Bull regime; semiconductors leading","Bull regime; tech leading"),IF(AQ290="SOXS","Bear regime; semiconductors weakest","Bear regime; tech weakest")))</f>
        <v>QQQ and SMH not aligned</v>
      </c>
      <c r="AX290" t="str">
        <f>IF(AR290="WAIT","QQQ and SMH not aligned",IF(AV290="BULL",IF(AR290="SOXL","Bull regime; semiconductors leading","Bull regime; tech leading"),IF(AR290="SOXS","Bear regime; semiconductors weakest","Bear regime; tech weakest")))</f>
        <v>Bear regime; tech weakest</v>
      </c>
    </row>
    <row r="291" spans="1:50" x14ac:dyDescent="0.2">
      <c r="A291" s="12"/>
      <c r="B291" s="13"/>
      <c r="C291" s="13"/>
      <c r="D291" s="13"/>
      <c r="E291" s="13"/>
      <c r="F291" s="11" t="str">
        <f>IF(OR(E291="",E290=""),"",IF(E290=0,"",(E291/E290)-1))</f>
        <v/>
      </c>
      <c r="G291" s="13"/>
      <c r="H291" s="11" t="str">
        <f>IF(OR(G291="",G290=""),"",IF(G290=0,"",(G291/G290)-1))</f>
        <v/>
      </c>
      <c r="I291" s="13"/>
      <c r="J291" s="13"/>
      <c r="K291" s="13"/>
      <c r="L291" s="13"/>
      <c r="M291" s="23" t="str">
        <f>IF(OR(L291="",L290=""),"",IF(L290=0,"",(L291/L290)-1))</f>
        <v/>
      </c>
      <c r="N291" s="26" t="str">
        <f>IFERROR((M291/M290)-1,"")</f>
        <v/>
      </c>
      <c r="O291" s="23" t="str">
        <f>IF(OR(N291="",N290=""),"",IF(N290=0,"",(N291/N290)-1))</f>
        <v/>
      </c>
      <c r="P291" s="11" t="str">
        <f>IF(ROW()&lt;7,"",IF(OR(E291="",E288=""),"",IF(E288=0,"",(E291/E288)-1)))</f>
        <v/>
      </c>
      <c r="Q291" s="23" t="str">
        <f>IF(ROW()&lt;9,"",IF(OR(E291="",E286=""),"",IF(E286=0,"",(E291/E286)-1)))</f>
        <v/>
      </c>
      <c r="R291" s="23" t="str">
        <f>IF(ROW()&lt;7,"",IF(OR(G291="",G288=""),"",IF(G288=0,"",(G291/G288)-1)))</f>
        <v/>
      </c>
      <c r="S291" s="23" t="str">
        <f>IF(ROW()&lt;9,"",IF(OR(G291="",G286=""),"",IF(G286=0,"",(G291/G286)-1)))</f>
        <v/>
      </c>
      <c r="T291" s="23" t="str">
        <f>IF(ROW()&lt;7,"",IF(OR(L291="",L288=""),"",IF(L288=0,"",(L291/L288)-1)))</f>
        <v/>
      </c>
      <c r="U291" s="23" t="str">
        <f>IF(ROW()&lt;9,"",IF(OR(L291="",L286=""),"",IF(L286=0,"",(L291/L286)-1)))</f>
        <v/>
      </c>
      <c r="V291" s="23" t="str">
        <f>IF(ROW()&lt;7,"",IF(OR(N291="",N288=""),"",IF(N288=0,"",(N291/N288)-1)))</f>
        <v/>
      </c>
      <c r="W291" s="23" t="str">
        <f>IF(ROW()&lt;9,"",IF(OR(N291="",N286=""),"",IF(N286=0,"",(N291/N286)-1)))</f>
        <v/>
      </c>
      <c r="X291" s="23" t="str">
        <f>IF(OR(F291="",M291=""),"",F291-M291)</f>
        <v/>
      </c>
      <c r="Y291" s="23" t="str">
        <f>IF(OR(P291="",T291=""),"",P291-T291)</f>
        <v/>
      </c>
      <c r="Z291" s="23" t="str">
        <f>IF(OR(Q291="",U291=""),"",Q291-U291)</f>
        <v/>
      </c>
      <c r="AA291" s="23" t="str">
        <f>IF(OR(H291="",O291=""),"",H291-O291)</f>
        <v/>
      </c>
      <c r="AB291" s="23" t="str">
        <f>IF(OR(R291="",V291=""),"",R291-V291)</f>
        <v/>
      </c>
      <c r="AC291" s="23" t="str">
        <f>IF(OR(S291="",W291=""),"",S291-W291)</f>
        <v/>
      </c>
      <c r="AD291" s="13"/>
      <c r="AE291" s="23" t="str">
        <f>IF(OR(AD291="",AD290=""),"",IF(AD290=0,"",(AD291/AD290)-1))</f>
        <v/>
      </c>
      <c r="AF291" s="23" t="str">
        <f>IF(ROW()&lt;7,"",IF(OR(AD291="",AD288=""),"",IF(AD288=0,"",(AD291/AD288)-1)))</f>
        <v/>
      </c>
      <c r="AG291" s="23" t="str">
        <f>IF(ROW()&lt;9,"",IF(OR(AD291="",AD286=""),"",IF(AD286=0,"",(AD291/AD286)-1)))</f>
        <v/>
      </c>
      <c r="AH291" s="23" t="str">
        <f>IF(OR(AF291="",AG291=""),"",IF(AND(AF291&gt;0,AG291&gt;0),"Bull",IF(AND(AF291&lt;0,AG291&lt;0),"Bear","Mixed")))</f>
        <v/>
      </c>
      <c r="AI291" s="13"/>
      <c r="AJ291" s="13" t="str">
        <f>IF(OR(AI291="",AI290=""),"",IF(AI290=0,"",(AI291/AI290)-1))</f>
        <v/>
      </c>
      <c r="AK291" s="23" t="str">
        <f>IF(OR(AJ291="",AJ290=""),"",IF(AJ290=0,"",(AJ291/AJ290)-1))</f>
        <v/>
      </c>
      <c r="AL291" s="23" t="str">
        <f>IF(ROW()&lt;7,"",IF(OR(AJ291="",AJ288=""),"",IF(AJ288=0,"",(AJ291/AJ288)-1)))</f>
        <v/>
      </c>
      <c r="AM291" s="23" t="str">
        <f>IF(ROW()&lt;9,"",IF(OR(AJ291="",AJ286=""),"",IF(AJ286=0,"",(AJ291/AJ286)-1)))</f>
        <v/>
      </c>
      <c r="AN291" t="str">
        <f>IF(OR(AL291="",AM291=""),"",IF(AND(AL291&gt;0,AM291&gt;0),"Bull",IF(AND(AL291&lt;0,AM291&lt;0),"Bear","Mixed")))</f>
        <v/>
      </c>
      <c r="AO291" t="str">
        <f>IF(OR(AH291="",AN291=""),"",IF(AND(AH291="Bull",AN291="Bull"),"YES","NO"))</f>
        <v/>
      </c>
      <c r="AP291" t="str">
        <f>IF(OR(AH291="",AN291=""),"",IF(AND(AH291="Bear",AN291="Bear"),"YES","NO"))</f>
        <v/>
      </c>
      <c r="AQ291" t="str">
        <f>IF(AO291="YES",IF(SUM(N(X291),N(Y291),N(Z291))&gt;0,"SOXL","TQQQ"),IF(AP291="YES",IF(SUM(N(AA291),N(AB291),N(AC291))&gt;0,"SOXS","SQQQ"),"WAIT"))</f>
        <v>WAIT</v>
      </c>
      <c r="AR291" s="23" t="str">
        <f>IF(AO291="YES",IF(SUM(N(X291),N(Y291),N(Z291))&gt;0,"TQQQ","SOXL"),IF(AP291="YES",IF(SUM(N(AA291),N(AB291),N(AC291))&gt;0,"SQQQ","SOXS"),""))</f>
        <v/>
      </c>
      <c r="AS291" s="23" t="str">
        <f>IF(AQ291="WAIT","",IF(AR291="",1,0.6))</f>
        <v/>
      </c>
      <c r="AT291" s="23">
        <f>IF(AR291="",0,0.4)</f>
        <v>0</v>
      </c>
      <c r="AU291" s="23" t="str">
        <f>IF(AQ291="WAIT","WAIT",IF(AO291="YES","BULL",IF(AP291="YES","BEAR","WAIT")))</f>
        <v>WAIT</v>
      </c>
      <c r="AV291" t="str">
        <f>IF(AQ291="WAIT","Low",IF(OR(AND(AU291="BULL",ABS(SUM(N(X291),N(Y291),N(Z291)))&gt;=0.15),AND(AU291="BEAR",ABS(SUM(N(AA291),N(AB291),N(AC291)))&gt;=0.15)),"Strong",IF(OR(AND(AU291="BULL",ABS(SUM(N(X291),N(Y291),N(Z291)))&gt;=0.05),AND(AU291="BEAR",ABS(SUM(N(AA291),N(AB291),N(AC291)))&gt;=0.05)),"Moderate","Low")))</f>
        <v>Low</v>
      </c>
      <c r="AW291" t="str">
        <f>IF(AQ291="WAIT","QQQ and SMH not aligned",IF(AU291="BULL",IF(AQ291="SOXL","Bull regime; semiconductors leading","Bull regime; tech leading"),IF(AQ291="SOXS","Bear regime; semiconductors weakest","Bear regime; tech weakest")))</f>
        <v>QQQ and SMH not aligned</v>
      </c>
      <c r="AX291" t="str">
        <f>IF(AR291="WAIT","QQQ and SMH not aligned",IF(AV291="BULL",IF(AR291="SOXL","Bull regime; semiconductors leading","Bull regime; tech leading"),IF(AR291="SOXS","Bear regime; semiconductors weakest","Bear regime; tech weakest")))</f>
        <v>Bear regime; tech weakest</v>
      </c>
    </row>
    <row r="292" spans="1:50" x14ac:dyDescent="0.2">
      <c r="A292" s="12"/>
      <c r="B292" s="13"/>
      <c r="C292" s="13"/>
      <c r="D292" s="13"/>
      <c r="E292" s="13"/>
      <c r="F292" s="11" t="str">
        <f>IF(OR(E292="",E291=""),"",IF(E291=0,"",(E292/E291)-1))</f>
        <v/>
      </c>
      <c r="G292" s="13"/>
      <c r="H292" s="11" t="str">
        <f>IF(OR(G292="",G291=""),"",IF(G291=0,"",(G292/G291)-1))</f>
        <v/>
      </c>
      <c r="I292" s="13"/>
      <c r="J292" s="13"/>
      <c r="K292" s="13"/>
      <c r="L292" s="13"/>
      <c r="M292" s="23" t="str">
        <f>IF(OR(L292="",L291=""),"",IF(L291=0,"",(L292/L291)-1))</f>
        <v/>
      </c>
      <c r="N292" s="26" t="str">
        <f>IFERROR((M292/M291)-1,"")</f>
        <v/>
      </c>
      <c r="O292" s="23" t="str">
        <f>IF(OR(N292="",N291=""),"",IF(N291=0,"",(N292/N291)-1))</f>
        <v/>
      </c>
      <c r="P292" s="11" t="str">
        <f>IF(ROW()&lt;7,"",IF(OR(E292="",E289=""),"",IF(E289=0,"",(E292/E289)-1)))</f>
        <v/>
      </c>
      <c r="Q292" s="23" t="str">
        <f>IF(ROW()&lt;9,"",IF(OR(E292="",E287=""),"",IF(E287=0,"",(E292/E287)-1)))</f>
        <v/>
      </c>
      <c r="R292" s="23" t="str">
        <f>IF(ROW()&lt;7,"",IF(OR(G292="",G289=""),"",IF(G289=0,"",(G292/G289)-1)))</f>
        <v/>
      </c>
      <c r="S292" s="23" t="str">
        <f>IF(ROW()&lt;9,"",IF(OR(G292="",G287=""),"",IF(G287=0,"",(G292/G287)-1)))</f>
        <v/>
      </c>
      <c r="T292" s="23" t="str">
        <f>IF(ROW()&lt;7,"",IF(OR(L292="",L289=""),"",IF(L289=0,"",(L292/L289)-1)))</f>
        <v/>
      </c>
      <c r="U292" s="23" t="str">
        <f>IF(ROW()&lt;9,"",IF(OR(L292="",L287=""),"",IF(L287=0,"",(L292/L287)-1)))</f>
        <v/>
      </c>
      <c r="V292" s="23" t="str">
        <f>IF(ROW()&lt;7,"",IF(OR(N292="",N289=""),"",IF(N289=0,"",(N292/N289)-1)))</f>
        <v/>
      </c>
      <c r="W292" s="23" t="str">
        <f>IF(ROW()&lt;9,"",IF(OR(N292="",N287=""),"",IF(N287=0,"",(N292/N287)-1)))</f>
        <v/>
      </c>
      <c r="X292" s="23" t="str">
        <f>IF(OR(F292="",M292=""),"",F292-M292)</f>
        <v/>
      </c>
      <c r="Y292" s="23" t="str">
        <f>IF(OR(P292="",T292=""),"",P292-T292)</f>
        <v/>
      </c>
      <c r="Z292" s="23" t="str">
        <f>IF(OR(Q292="",U292=""),"",Q292-U292)</f>
        <v/>
      </c>
      <c r="AA292" s="23" t="str">
        <f>IF(OR(H292="",O292=""),"",H292-O292)</f>
        <v/>
      </c>
      <c r="AB292" s="23" t="str">
        <f>IF(OR(R292="",V292=""),"",R292-V292)</f>
        <v/>
      </c>
      <c r="AC292" s="23" t="str">
        <f>IF(OR(S292="",W292=""),"",S292-W292)</f>
        <v/>
      </c>
      <c r="AD292" s="13"/>
      <c r="AE292" s="23" t="str">
        <f>IF(OR(AD292="",AD291=""),"",IF(AD291=0,"",(AD292/AD291)-1))</f>
        <v/>
      </c>
      <c r="AF292" s="23" t="str">
        <f>IF(ROW()&lt;7,"",IF(OR(AD292="",AD289=""),"",IF(AD289=0,"",(AD292/AD289)-1)))</f>
        <v/>
      </c>
      <c r="AG292" s="23" t="str">
        <f>IF(ROW()&lt;9,"",IF(OR(AD292="",AD287=""),"",IF(AD287=0,"",(AD292/AD287)-1)))</f>
        <v/>
      </c>
      <c r="AH292" s="23" t="str">
        <f>IF(OR(AF292="",AG292=""),"",IF(AND(AF292&gt;0,AG292&gt;0),"Bull",IF(AND(AF292&lt;0,AG292&lt;0),"Bear","Mixed")))</f>
        <v/>
      </c>
      <c r="AI292" s="13"/>
      <c r="AJ292" s="13" t="str">
        <f>IF(OR(AI292="",AI291=""),"",IF(AI291=0,"",(AI292/AI291)-1))</f>
        <v/>
      </c>
      <c r="AK292" s="23" t="str">
        <f>IF(OR(AJ292="",AJ291=""),"",IF(AJ291=0,"",(AJ292/AJ291)-1))</f>
        <v/>
      </c>
      <c r="AL292" s="23" t="str">
        <f>IF(ROW()&lt;7,"",IF(OR(AJ292="",AJ289=""),"",IF(AJ289=0,"",(AJ292/AJ289)-1)))</f>
        <v/>
      </c>
      <c r="AM292" s="23" t="str">
        <f>IF(ROW()&lt;9,"",IF(OR(AJ292="",AJ287=""),"",IF(AJ287=0,"",(AJ292/AJ287)-1)))</f>
        <v/>
      </c>
      <c r="AN292" t="str">
        <f>IF(OR(AL292="",AM292=""),"",IF(AND(AL292&gt;0,AM292&gt;0),"Bull",IF(AND(AL292&lt;0,AM292&lt;0),"Bear","Mixed")))</f>
        <v/>
      </c>
      <c r="AO292" t="str">
        <f>IF(OR(AH292="",AN292=""),"",IF(AND(AH292="Bull",AN292="Bull"),"YES","NO"))</f>
        <v/>
      </c>
      <c r="AP292" t="str">
        <f>IF(OR(AH292="",AN292=""),"",IF(AND(AH292="Bear",AN292="Bear"),"YES","NO"))</f>
        <v/>
      </c>
      <c r="AQ292" t="str">
        <f>IF(AO292="YES",IF(SUM(N(X292),N(Y292),N(Z292))&gt;0,"SOXL","TQQQ"),IF(AP292="YES",IF(SUM(N(AA292),N(AB292),N(AC292))&gt;0,"SOXS","SQQQ"),"WAIT"))</f>
        <v>WAIT</v>
      </c>
      <c r="AR292" s="23" t="str">
        <f>IF(AO292="YES",IF(SUM(N(X292),N(Y292),N(Z292))&gt;0,"TQQQ","SOXL"),IF(AP292="YES",IF(SUM(N(AA292),N(AB292),N(AC292))&gt;0,"SQQQ","SOXS"),""))</f>
        <v/>
      </c>
      <c r="AS292" s="23" t="str">
        <f>IF(AQ292="WAIT","",IF(AR292="",1,0.6))</f>
        <v/>
      </c>
      <c r="AT292" s="23">
        <f>IF(AR292="",0,0.4)</f>
        <v>0</v>
      </c>
      <c r="AU292" s="23" t="str">
        <f>IF(AQ292="WAIT","WAIT",IF(AO292="YES","BULL",IF(AP292="YES","BEAR","WAIT")))</f>
        <v>WAIT</v>
      </c>
      <c r="AV292" t="str">
        <f>IF(AQ292="WAIT","Low",IF(OR(AND(AU292="BULL",ABS(SUM(N(X292),N(Y292),N(Z292)))&gt;=0.15),AND(AU292="BEAR",ABS(SUM(N(AA292),N(AB292),N(AC292)))&gt;=0.15)),"Strong",IF(OR(AND(AU292="BULL",ABS(SUM(N(X292),N(Y292),N(Z292)))&gt;=0.05),AND(AU292="BEAR",ABS(SUM(N(AA292),N(AB292),N(AC292)))&gt;=0.05)),"Moderate","Low")))</f>
        <v>Low</v>
      </c>
      <c r="AW292" t="str">
        <f>IF(AQ292="WAIT","QQQ and SMH not aligned",IF(AU292="BULL",IF(AQ292="SOXL","Bull regime; semiconductors leading","Bull regime; tech leading"),IF(AQ292="SOXS","Bear regime; semiconductors weakest","Bear regime; tech weakest")))</f>
        <v>QQQ and SMH not aligned</v>
      </c>
      <c r="AX292" t="str">
        <f>IF(AR292="WAIT","QQQ and SMH not aligned",IF(AV292="BULL",IF(AR292="SOXL","Bull regime; semiconductors leading","Bull regime; tech leading"),IF(AR292="SOXS","Bear regime; semiconductors weakest","Bear regime; tech weakest")))</f>
        <v>Bear regime; tech weakest</v>
      </c>
    </row>
    <row r="293" spans="1:50" x14ac:dyDescent="0.2">
      <c r="A293" s="12"/>
      <c r="B293" s="13"/>
      <c r="C293" s="13"/>
      <c r="D293" s="13"/>
      <c r="E293" s="13"/>
      <c r="F293" s="11" t="str">
        <f>IF(OR(E293="",E292=""),"",IF(E292=0,"",(E293/E292)-1))</f>
        <v/>
      </c>
      <c r="G293" s="13"/>
      <c r="H293" s="11" t="str">
        <f>IF(OR(G293="",G292=""),"",IF(G292=0,"",(G293/G292)-1))</f>
        <v/>
      </c>
      <c r="I293" s="13"/>
      <c r="J293" s="13"/>
      <c r="K293" s="13"/>
      <c r="L293" s="13"/>
      <c r="M293" s="23" t="str">
        <f>IF(OR(L293="",L292=""),"",IF(L292=0,"",(L293/L292)-1))</f>
        <v/>
      </c>
      <c r="N293" s="26" t="str">
        <f>IFERROR((M293/M292)-1,"")</f>
        <v/>
      </c>
      <c r="O293" s="23" t="str">
        <f>IF(OR(N293="",N292=""),"",IF(N292=0,"",(N293/N292)-1))</f>
        <v/>
      </c>
      <c r="P293" s="11" t="str">
        <f>IF(ROW()&lt;7,"",IF(OR(E293="",E290=""),"",IF(E290=0,"",(E293/E290)-1)))</f>
        <v/>
      </c>
      <c r="Q293" s="23" t="str">
        <f>IF(ROW()&lt;9,"",IF(OR(E293="",E288=""),"",IF(E288=0,"",(E293/E288)-1)))</f>
        <v/>
      </c>
      <c r="R293" s="23" t="str">
        <f>IF(ROW()&lt;7,"",IF(OR(G293="",G290=""),"",IF(G290=0,"",(G293/G290)-1)))</f>
        <v/>
      </c>
      <c r="S293" s="23" t="str">
        <f>IF(ROW()&lt;9,"",IF(OR(G293="",G288=""),"",IF(G288=0,"",(G293/G288)-1)))</f>
        <v/>
      </c>
      <c r="T293" s="23" t="str">
        <f>IF(ROW()&lt;7,"",IF(OR(L293="",L290=""),"",IF(L290=0,"",(L293/L290)-1)))</f>
        <v/>
      </c>
      <c r="U293" s="23" t="str">
        <f>IF(ROW()&lt;9,"",IF(OR(L293="",L288=""),"",IF(L288=0,"",(L293/L288)-1)))</f>
        <v/>
      </c>
      <c r="V293" s="23" t="str">
        <f>IF(ROW()&lt;7,"",IF(OR(N293="",N290=""),"",IF(N290=0,"",(N293/N290)-1)))</f>
        <v/>
      </c>
      <c r="W293" s="23" t="str">
        <f>IF(ROW()&lt;9,"",IF(OR(N293="",N288=""),"",IF(N288=0,"",(N293/N288)-1)))</f>
        <v/>
      </c>
      <c r="X293" s="23" t="str">
        <f>IF(OR(F293="",M293=""),"",F293-M293)</f>
        <v/>
      </c>
      <c r="Y293" s="23" t="str">
        <f>IF(OR(P293="",T293=""),"",P293-T293)</f>
        <v/>
      </c>
      <c r="Z293" s="23" t="str">
        <f>IF(OR(Q293="",U293=""),"",Q293-U293)</f>
        <v/>
      </c>
      <c r="AA293" s="23" t="str">
        <f>IF(OR(H293="",O293=""),"",H293-O293)</f>
        <v/>
      </c>
      <c r="AB293" s="23" t="str">
        <f>IF(OR(R293="",V293=""),"",R293-V293)</f>
        <v/>
      </c>
      <c r="AC293" s="23" t="str">
        <f>IF(OR(S293="",W293=""),"",S293-W293)</f>
        <v/>
      </c>
      <c r="AD293" s="13"/>
      <c r="AE293" s="23" t="str">
        <f>IF(OR(AD293="",AD292=""),"",IF(AD292=0,"",(AD293/AD292)-1))</f>
        <v/>
      </c>
      <c r="AF293" s="23" t="str">
        <f>IF(ROW()&lt;7,"",IF(OR(AD293="",AD290=""),"",IF(AD290=0,"",(AD293/AD290)-1)))</f>
        <v/>
      </c>
      <c r="AG293" s="23" t="str">
        <f>IF(ROW()&lt;9,"",IF(OR(AD293="",AD288=""),"",IF(AD288=0,"",(AD293/AD288)-1)))</f>
        <v/>
      </c>
      <c r="AH293" s="23" t="str">
        <f>IF(OR(AF293="",AG293=""),"",IF(AND(AF293&gt;0,AG293&gt;0),"Bull",IF(AND(AF293&lt;0,AG293&lt;0),"Bear","Mixed")))</f>
        <v/>
      </c>
      <c r="AI293" s="13"/>
      <c r="AJ293" s="13" t="str">
        <f>IF(OR(AI293="",AI292=""),"",IF(AI292=0,"",(AI293/AI292)-1))</f>
        <v/>
      </c>
      <c r="AK293" s="23" t="str">
        <f>IF(OR(AJ293="",AJ292=""),"",IF(AJ292=0,"",(AJ293/AJ292)-1))</f>
        <v/>
      </c>
      <c r="AL293" s="23" t="str">
        <f>IF(ROW()&lt;7,"",IF(OR(AJ293="",AJ290=""),"",IF(AJ290=0,"",(AJ293/AJ290)-1)))</f>
        <v/>
      </c>
      <c r="AM293" s="23" t="str">
        <f>IF(ROW()&lt;9,"",IF(OR(AJ293="",AJ288=""),"",IF(AJ288=0,"",(AJ293/AJ288)-1)))</f>
        <v/>
      </c>
      <c r="AN293" t="str">
        <f>IF(OR(AL293="",AM293=""),"",IF(AND(AL293&gt;0,AM293&gt;0),"Bull",IF(AND(AL293&lt;0,AM293&lt;0),"Bear","Mixed")))</f>
        <v/>
      </c>
      <c r="AO293" t="str">
        <f>IF(OR(AH293="",AN293=""),"",IF(AND(AH293="Bull",AN293="Bull"),"YES","NO"))</f>
        <v/>
      </c>
      <c r="AP293" t="str">
        <f>IF(OR(AH293="",AN293=""),"",IF(AND(AH293="Bear",AN293="Bear"),"YES","NO"))</f>
        <v/>
      </c>
      <c r="AQ293" t="str">
        <f>IF(AO293="YES",IF(SUM(N(X293),N(Y293),N(Z293))&gt;0,"SOXL","TQQQ"),IF(AP293="YES",IF(SUM(N(AA293),N(AB293),N(AC293))&gt;0,"SOXS","SQQQ"),"WAIT"))</f>
        <v>WAIT</v>
      </c>
      <c r="AR293" s="23" t="str">
        <f>IF(AO293="YES",IF(SUM(N(X293),N(Y293),N(Z293))&gt;0,"TQQQ","SOXL"),IF(AP293="YES",IF(SUM(N(AA293),N(AB293),N(AC293))&gt;0,"SQQQ","SOXS"),""))</f>
        <v/>
      </c>
      <c r="AS293" s="23" t="str">
        <f>IF(AQ293="WAIT","",IF(AR293="",1,0.6))</f>
        <v/>
      </c>
      <c r="AT293" s="23">
        <f>IF(AR293="",0,0.4)</f>
        <v>0</v>
      </c>
      <c r="AU293" s="23" t="str">
        <f>IF(AQ293="WAIT","WAIT",IF(AO293="YES","BULL",IF(AP293="YES","BEAR","WAIT")))</f>
        <v>WAIT</v>
      </c>
      <c r="AV293" t="str">
        <f>IF(AQ293="WAIT","Low",IF(OR(AND(AU293="BULL",ABS(SUM(N(X293),N(Y293),N(Z293)))&gt;=0.15),AND(AU293="BEAR",ABS(SUM(N(AA293),N(AB293),N(AC293)))&gt;=0.15)),"Strong",IF(OR(AND(AU293="BULL",ABS(SUM(N(X293),N(Y293),N(Z293)))&gt;=0.05),AND(AU293="BEAR",ABS(SUM(N(AA293),N(AB293),N(AC293)))&gt;=0.05)),"Moderate","Low")))</f>
        <v>Low</v>
      </c>
      <c r="AW293" t="str">
        <f>IF(AQ293="WAIT","QQQ and SMH not aligned",IF(AU293="BULL",IF(AQ293="SOXL","Bull regime; semiconductors leading","Bull regime; tech leading"),IF(AQ293="SOXS","Bear regime; semiconductors weakest","Bear regime; tech weakest")))</f>
        <v>QQQ and SMH not aligned</v>
      </c>
      <c r="AX293" t="str">
        <f>IF(AR293="WAIT","QQQ and SMH not aligned",IF(AV293="BULL",IF(AR293="SOXL","Bull regime; semiconductors leading","Bull regime; tech leading"),IF(AR293="SOXS","Bear regime; semiconductors weakest","Bear regime; tech weakest")))</f>
        <v>Bear regime; tech weakest</v>
      </c>
    </row>
    <row r="294" spans="1:50" x14ac:dyDescent="0.2">
      <c r="A294" s="12"/>
      <c r="B294" s="13"/>
      <c r="C294" s="13"/>
      <c r="D294" s="13"/>
      <c r="E294" s="13"/>
      <c r="F294" s="11" t="str">
        <f>IF(OR(E294="",E293=""),"",IF(E293=0,"",(E294/E293)-1))</f>
        <v/>
      </c>
      <c r="G294" s="13"/>
      <c r="H294" s="11" t="str">
        <f>IF(OR(G294="",G293=""),"",IF(G293=0,"",(G294/G293)-1))</f>
        <v/>
      </c>
      <c r="I294" s="13"/>
      <c r="J294" s="13"/>
      <c r="K294" s="13"/>
      <c r="L294" s="13"/>
      <c r="M294" s="23" t="str">
        <f>IF(OR(L294="",L293=""),"",IF(L293=0,"",(L294/L293)-1))</f>
        <v/>
      </c>
      <c r="N294" s="26" t="str">
        <f>IFERROR((M294/M293)-1,"")</f>
        <v/>
      </c>
      <c r="O294" s="23" t="str">
        <f>IF(OR(N294="",N293=""),"",IF(N293=0,"",(N294/N293)-1))</f>
        <v/>
      </c>
      <c r="P294" s="11" t="str">
        <f>IF(ROW()&lt;7,"",IF(OR(E294="",E291=""),"",IF(E291=0,"",(E294/E291)-1)))</f>
        <v/>
      </c>
      <c r="Q294" s="23" t="str">
        <f>IF(ROW()&lt;9,"",IF(OR(E294="",E289=""),"",IF(E289=0,"",(E294/E289)-1)))</f>
        <v/>
      </c>
      <c r="R294" s="23" t="str">
        <f>IF(ROW()&lt;7,"",IF(OR(G294="",G291=""),"",IF(G291=0,"",(G294/G291)-1)))</f>
        <v/>
      </c>
      <c r="S294" s="23" t="str">
        <f>IF(ROW()&lt;9,"",IF(OR(G294="",G289=""),"",IF(G289=0,"",(G294/G289)-1)))</f>
        <v/>
      </c>
      <c r="T294" s="23" t="str">
        <f>IF(ROW()&lt;7,"",IF(OR(L294="",L291=""),"",IF(L291=0,"",(L294/L291)-1)))</f>
        <v/>
      </c>
      <c r="U294" s="23" t="str">
        <f>IF(ROW()&lt;9,"",IF(OR(L294="",L289=""),"",IF(L289=0,"",(L294/L289)-1)))</f>
        <v/>
      </c>
      <c r="V294" s="23" t="str">
        <f>IF(ROW()&lt;7,"",IF(OR(N294="",N291=""),"",IF(N291=0,"",(N294/N291)-1)))</f>
        <v/>
      </c>
      <c r="W294" s="23" t="str">
        <f>IF(ROW()&lt;9,"",IF(OR(N294="",N289=""),"",IF(N289=0,"",(N294/N289)-1)))</f>
        <v/>
      </c>
      <c r="X294" s="23" t="str">
        <f>IF(OR(F294="",M294=""),"",F294-M294)</f>
        <v/>
      </c>
      <c r="Y294" s="23" t="str">
        <f>IF(OR(P294="",T294=""),"",P294-T294)</f>
        <v/>
      </c>
      <c r="Z294" s="23" t="str">
        <f>IF(OR(Q294="",U294=""),"",Q294-U294)</f>
        <v/>
      </c>
      <c r="AA294" s="23" t="str">
        <f>IF(OR(H294="",O294=""),"",H294-O294)</f>
        <v/>
      </c>
      <c r="AB294" s="23" t="str">
        <f>IF(OR(R294="",V294=""),"",R294-V294)</f>
        <v/>
      </c>
      <c r="AC294" s="23" t="str">
        <f>IF(OR(S294="",W294=""),"",S294-W294)</f>
        <v/>
      </c>
      <c r="AD294" s="13"/>
      <c r="AE294" s="23" t="str">
        <f>IF(OR(AD294="",AD293=""),"",IF(AD293=0,"",(AD294/AD293)-1))</f>
        <v/>
      </c>
      <c r="AF294" s="23" t="str">
        <f>IF(ROW()&lt;7,"",IF(OR(AD294="",AD291=""),"",IF(AD291=0,"",(AD294/AD291)-1)))</f>
        <v/>
      </c>
      <c r="AG294" s="23" t="str">
        <f>IF(ROW()&lt;9,"",IF(OR(AD294="",AD289=""),"",IF(AD289=0,"",(AD294/AD289)-1)))</f>
        <v/>
      </c>
      <c r="AH294" s="23" t="str">
        <f>IF(OR(AF294="",AG294=""),"",IF(AND(AF294&gt;0,AG294&gt;0),"Bull",IF(AND(AF294&lt;0,AG294&lt;0),"Bear","Mixed")))</f>
        <v/>
      </c>
      <c r="AI294" s="13"/>
      <c r="AJ294" s="13" t="str">
        <f>IF(OR(AI294="",AI293=""),"",IF(AI293=0,"",(AI294/AI293)-1))</f>
        <v/>
      </c>
      <c r="AK294" s="23" t="str">
        <f>IF(OR(AJ294="",AJ293=""),"",IF(AJ293=0,"",(AJ294/AJ293)-1))</f>
        <v/>
      </c>
      <c r="AL294" s="23" t="str">
        <f>IF(ROW()&lt;7,"",IF(OR(AJ294="",AJ291=""),"",IF(AJ291=0,"",(AJ294/AJ291)-1)))</f>
        <v/>
      </c>
      <c r="AM294" s="23" t="str">
        <f>IF(ROW()&lt;9,"",IF(OR(AJ294="",AJ289=""),"",IF(AJ289=0,"",(AJ294/AJ289)-1)))</f>
        <v/>
      </c>
      <c r="AN294" t="str">
        <f>IF(OR(AL294="",AM294=""),"",IF(AND(AL294&gt;0,AM294&gt;0),"Bull",IF(AND(AL294&lt;0,AM294&lt;0),"Bear","Mixed")))</f>
        <v/>
      </c>
      <c r="AO294" t="str">
        <f>IF(OR(AH294="",AN294=""),"",IF(AND(AH294="Bull",AN294="Bull"),"YES","NO"))</f>
        <v/>
      </c>
      <c r="AP294" t="str">
        <f>IF(OR(AH294="",AN294=""),"",IF(AND(AH294="Bear",AN294="Bear"),"YES","NO"))</f>
        <v/>
      </c>
      <c r="AQ294" t="str">
        <f>IF(AO294="YES",IF(SUM(N(X294),N(Y294),N(Z294))&gt;0,"SOXL","TQQQ"),IF(AP294="YES",IF(SUM(N(AA294),N(AB294),N(AC294))&gt;0,"SOXS","SQQQ"),"WAIT"))</f>
        <v>WAIT</v>
      </c>
      <c r="AR294" s="23" t="str">
        <f>IF(AO294="YES",IF(SUM(N(X294),N(Y294),N(Z294))&gt;0,"TQQQ","SOXL"),IF(AP294="YES",IF(SUM(N(AA294),N(AB294),N(AC294))&gt;0,"SQQQ","SOXS"),""))</f>
        <v/>
      </c>
      <c r="AS294" s="23" t="str">
        <f>IF(AQ294="WAIT","",IF(AR294="",1,0.6))</f>
        <v/>
      </c>
      <c r="AT294" s="23">
        <f>IF(AR294="",0,0.4)</f>
        <v>0</v>
      </c>
      <c r="AU294" s="23" t="str">
        <f>IF(AQ294="WAIT","WAIT",IF(AO294="YES","BULL",IF(AP294="YES","BEAR","WAIT")))</f>
        <v>WAIT</v>
      </c>
      <c r="AV294" t="str">
        <f>IF(AQ294="WAIT","Low",IF(OR(AND(AU294="BULL",ABS(SUM(N(X294),N(Y294),N(Z294)))&gt;=0.15),AND(AU294="BEAR",ABS(SUM(N(AA294),N(AB294),N(AC294)))&gt;=0.15)),"Strong",IF(OR(AND(AU294="BULL",ABS(SUM(N(X294),N(Y294),N(Z294)))&gt;=0.05),AND(AU294="BEAR",ABS(SUM(N(AA294),N(AB294),N(AC294)))&gt;=0.05)),"Moderate","Low")))</f>
        <v>Low</v>
      </c>
      <c r="AW294" t="str">
        <f>IF(AQ294="WAIT","QQQ and SMH not aligned",IF(AU294="BULL",IF(AQ294="SOXL","Bull regime; semiconductors leading","Bull regime; tech leading"),IF(AQ294="SOXS","Bear regime; semiconductors weakest","Bear regime; tech weakest")))</f>
        <v>QQQ and SMH not aligned</v>
      </c>
      <c r="AX294" t="str">
        <f>IF(AR294="WAIT","QQQ and SMH not aligned",IF(AV294="BULL",IF(AR294="SOXL","Bull regime; semiconductors leading","Bull regime; tech leading"),IF(AR294="SOXS","Bear regime; semiconductors weakest","Bear regime; tech weakest")))</f>
        <v>Bear regime; tech weakest</v>
      </c>
    </row>
    <row r="295" spans="1:50" x14ac:dyDescent="0.2">
      <c r="A295" s="12"/>
      <c r="B295" s="13"/>
      <c r="C295" s="13"/>
      <c r="D295" s="13"/>
      <c r="E295" s="13"/>
      <c r="F295" s="11" t="str">
        <f>IF(OR(E295="",E294=""),"",IF(E294=0,"",(E295/E294)-1))</f>
        <v/>
      </c>
      <c r="G295" s="13"/>
      <c r="H295" s="11" t="str">
        <f>IF(OR(G295="",G294=""),"",IF(G294=0,"",(G295/G294)-1))</f>
        <v/>
      </c>
      <c r="I295" s="13"/>
      <c r="J295" s="13"/>
      <c r="K295" s="13"/>
      <c r="L295" s="13"/>
      <c r="M295" s="23" t="str">
        <f>IF(OR(L295="",L294=""),"",IF(L294=0,"",(L295/L294)-1))</f>
        <v/>
      </c>
      <c r="N295" s="26" t="str">
        <f>IFERROR((M295/M294)-1,"")</f>
        <v/>
      </c>
      <c r="O295" s="23" t="str">
        <f>IF(OR(N295="",N294=""),"",IF(N294=0,"",(N295/N294)-1))</f>
        <v/>
      </c>
      <c r="P295" s="11" t="str">
        <f>IF(ROW()&lt;7,"",IF(OR(E295="",E292=""),"",IF(E292=0,"",(E295/E292)-1)))</f>
        <v/>
      </c>
      <c r="Q295" s="23" t="str">
        <f>IF(ROW()&lt;9,"",IF(OR(E295="",E290=""),"",IF(E290=0,"",(E295/E290)-1)))</f>
        <v/>
      </c>
      <c r="R295" s="23" t="str">
        <f>IF(ROW()&lt;7,"",IF(OR(G295="",G292=""),"",IF(G292=0,"",(G295/G292)-1)))</f>
        <v/>
      </c>
      <c r="S295" s="23" t="str">
        <f>IF(ROW()&lt;9,"",IF(OR(G295="",G290=""),"",IF(G290=0,"",(G295/G290)-1)))</f>
        <v/>
      </c>
      <c r="T295" s="23" t="str">
        <f>IF(ROW()&lt;7,"",IF(OR(L295="",L292=""),"",IF(L292=0,"",(L295/L292)-1)))</f>
        <v/>
      </c>
      <c r="U295" s="23" t="str">
        <f>IF(ROW()&lt;9,"",IF(OR(L295="",L290=""),"",IF(L290=0,"",(L295/L290)-1)))</f>
        <v/>
      </c>
      <c r="V295" s="23" t="str">
        <f>IF(ROW()&lt;7,"",IF(OR(N295="",N292=""),"",IF(N292=0,"",(N295/N292)-1)))</f>
        <v/>
      </c>
      <c r="W295" s="23" t="str">
        <f>IF(ROW()&lt;9,"",IF(OR(N295="",N290=""),"",IF(N290=0,"",(N295/N290)-1)))</f>
        <v/>
      </c>
      <c r="X295" s="23" t="str">
        <f>IF(OR(F295="",M295=""),"",F295-M295)</f>
        <v/>
      </c>
      <c r="Y295" s="23" t="str">
        <f>IF(OR(P295="",T295=""),"",P295-T295)</f>
        <v/>
      </c>
      <c r="Z295" s="23" t="str">
        <f>IF(OR(Q295="",U295=""),"",Q295-U295)</f>
        <v/>
      </c>
      <c r="AA295" s="23" t="str">
        <f>IF(OR(H295="",O295=""),"",H295-O295)</f>
        <v/>
      </c>
      <c r="AB295" s="23" t="str">
        <f>IF(OR(R295="",V295=""),"",R295-V295)</f>
        <v/>
      </c>
      <c r="AC295" s="23" t="str">
        <f>IF(OR(S295="",W295=""),"",S295-W295)</f>
        <v/>
      </c>
      <c r="AD295" s="13"/>
      <c r="AE295" s="23" t="str">
        <f>IF(OR(AD295="",AD294=""),"",IF(AD294=0,"",(AD295/AD294)-1))</f>
        <v/>
      </c>
      <c r="AF295" s="23" t="str">
        <f>IF(ROW()&lt;7,"",IF(OR(AD295="",AD292=""),"",IF(AD292=0,"",(AD295/AD292)-1)))</f>
        <v/>
      </c>
      <c r="AG295" s="23" t="str">
        <f>IF(ROW()&lt;9,"",IF(OR(AD295="",AD290=""),"",IF(AD290=0,"",(AD295/AD290)-1)))</f>
        <v/>
      </c>
      <c r="AH295" s="23" t="str">
        <f>IF(OR(AF295="",AG295=""),"",IF(AND(AF295&gt;0,AG295&gt;0),"Bull",IF(AND(AF295&lt;0,AG295&lt;0),"Bear","Mixed")))</f>
        <v/>
      </c>
      <c r="AI295" s="13"/>
      <c r="AJ295" s="13" t="str">
        <f>IF(OR(AI295="",AI294=""),"",IF(AI294=0,"",(AI295/AI294)-1))</f>
        <v/>
      </c>
      <c r="AK295" s="23" t="str">
        <f>IF(OR(AJ295="",AJ294=""),"",IF(AJ294=0,"",(AJ295/AJ294)-1))</f>
        <v/>
      </c>
      <c r="AL295" s="23" t="str">
        <f>IF(ROW()&lt;7,"",IF(OR(AJ295="",AJ292=""),"",IF(AJ292=0,"",(AJ295/AJ292)-1)))</f>
        <v/>
      </c>
      <c r="AM295" s="23" t="str">
        <f>IF(ROW()&lt;9,"",IF(OR(AJ295="",AJ290=""),"",IF(AJ290=0,"",(AJ295/AJ290)-1)))</f>
        <v/>
      </c>
      <c r="AN295" t="str">
        <f>IF(OR(AL295="",AM295=""),"",IF(AND(AL295&gt;0,AM295&gt;0),"Bull",IF(AND(AL295&lt;0,AM295&lt;0),"Bear","Mixed")))</f>
        <v/>
      </c>
      <c r="AO295" t="str">
        <f>IF(OR(AH295="",AN295=""),"",IF(AND(AH295="Bull",AN295="Bull"),"YES","NO"))</f>
        <v/>
      </c>
      <c r="AP295" t="str">
        <f>IF(OR(AH295="",AN295=""),"",IF(AND(AH295="Bear",AN295="Bear"),"YES","NO"))</f>
        <v/>
      </c>
      <c r="AQ295" t="str">
        <f>IF(AO295="YES",IF(SUM(N(X295),N(Y295),N(Z295))&gt;0,"SOXL","TQQQ"),IF(AP295="YES",IF(SUM(N(AA295),N(AB295),N(AC295))&gt;0,"SOXS","SQQQ"),"WAIT"))</f>
        <v>WAIT</v>
      </c>
      <c r="AR295" s="23" t="str">
        <f>IF(AO295="YES",IF(SUM(N(X295),N(Y295),N(Z295))&gt;0,"TQQQ","SOXL"),IF(AP295="YES",IF(SUM(N(AA295),N(AB295),N(AC295))&gt;0,"SQQQ","SOXS"),""))</f>
        <v/>
      </c>
      <c r="AS295" s="23" t="str">
        <f>IF(AQ295="WAIT","",IF(AR295="",1,0.6))</f>
        <v/>
      </c>
      <c r="AT295" s="23">
        <f>IF(AR295="",0,0.4)</f>
        <v>0</v>
      </c>
      <c r="AU295" s="23" t="str">
        <f>IF(AQ295="WAIT","WAIT",IF(AO295="YES","BULL",IF(AP295="YES","BEAR","WAIT")))</f>
        <v>WAIT</v>
      </c>
      <c r="AV295" t="str">
        <f>IF(AQ295="WAIT","Low",IF(OR(AND(AU295="BULL",ABS(SUM(N(X295),N(Y295),N(Z295)))&gt;=0.15),AND(AU295="BEAR",ABS(SUM(N(AA295),N(AB295),N(AC295)))&gt;=0.15)),"Strong",IF(OR(AND(AU295="BULL",ABS(SUM(N(X295),N(Y295),N(Z295)))&gt;=0.05),AND(AU295="BEAR",ABS(SUM(N(AA295),N(AB295),N(AC295)))&gt;=0.05)),"Moderate","Low")))</f>
        <v>Low</v>
      </c>
      <c r="AW295" t="str">
        <f>IF(AQ295="WAIT","QQQ and SMH not aligned",IF(AU295="BULL",IF(AQ295="SOXL","Bull regime; semiconductors leading","Bull regime; tech leading"),IF(AQ295="SOXS","Bear regime; semiconductors weakest","Bear regime; tech weakest")))</f>
        <v>QQQ and SMH not aligned</v>
      </c>
      <c r="AX295" t="str">
        <f>IF(AR295="WAIT","QQQ and SMH not aligned",IF(AV295="BULL",IF(AR295="SOXL","Bull regime; semiconductors leading","Bull regime; tech leading"),IF(AR295="SOXS","Bear regime; semiconductors weakest","Bear regime; tech weakest")))</f>
        <v>Bear regime; tech weakest</v>
      </c>
    </row>
    <row r="296" spans="1:50" x14ac:dyDescent="0.2">
      <c r="A296" s="12"/>
      <c r="B296" s="13"/>
      <c r="C296" s="13"/>
      <c r="D296" s="13"/>
      <c r="E296" s="13"/>
      <c r="F296" s="11" t="str">
        <f>IF(OR(E296="",E295=""),"",IF(E295=0,"",(E296/E295)-1))</f>
        <v/>
      </c>
      <c r="G296" s="13"/>
      <c r="H296" s="11" t="str">
        <f>IF(OR(G296="",G295=""),"",IF(G295=0,"",(G296/G295)-1))</f>
        <v/>
      </c>
      <c r="I296" s="13"/>
      <c r="J296" s="13"/>
      <c r="K296" s="13"/>
      <c r="L296" s="13"/>
      <c r="M296" s="23" t="str">
        <f>IF(OR(L296="",L295=""),"",IF(L295=0,"",(L296/L295)-1))</f>
        <v/>
      </c>
      <c r="N296" s="26" t="str">
        <f>IFERROR((M296/M295)-1,"")</f>
        <v/>
      </c>
      <c r="O296" s="23" t="str">
        <f>IF(OR(N296="",N295=""),"",IF(N295=0,"",(N296/N295)-1))</f>
        <v/>
      </c>
      <c r="P296" s="11" t="str">
        <f>IF(ROW()&lt;7,"",IF(OR(E296="",E293=""),"",IF(E293=0,"",(E296/E293)-1)))</f>
        <v/>
      </c>
      <c r="Q296" s="23" t="str">
        <f>IF(ROW()&lt;9,"",IF(OR(E296="",E291=""),"",IF(E291=0,"",(E296/E291)-1)))</f>
        <v/>
      </c>
      <c r="R296" s="23" t="str">
        <f>IF(ROW()&lt;7,"",IF(OR(G296="",G293=""),"",IF(G293=0,"",(G296/G293)-1)))</f>
        <v/>
      </c>
      <c r="S296" s="23" t="str">
        <f>IF(ROW()&lt;9,"",IF(OR(G296="",G291=""),"",IF(G291=0,"",(G296/G291)-1)))</f>
        <v/>
      </c>
      <c r="T296" s="23" t="str">
        <f>IF(ROW()&lt;7,"",IF(OR(L296="",L293=""),"",IF(L293=0,"",(L296/L293)-1)))</f>
        <v/>
      </c>
      <c r="U296" s="23" t="str">
        <f>IF(ROW()&lt;9,"",IF(OR(L296="",L291=""),"",IF(L291=0,"",(L296/L291)-1)))</f>
        <v/>
      </c>
      <c r="V296" s="23" t="str">
        <f>IF(ROW()&lt;7,"",IF(OR(N296="",N293=""),"",IF(N293=0,"",(N296/N293)-1)))</f>
        <v/>
      </c>
      <c r="W296" s="23" t="str">
        <f>IF(ROW()&lt;9,"",IF(OR(N296="",N291=""),"",IF(N291=0,"",(N296/N291)-1)))</f>
        <v/>
      </c>
      <c r="X296" s="23" t="str">
        <f>IF(OR(F296="",M296=""),"",F296-M296)</f>
        <v/>
      </c>
      <c r="Y296" s="23" t="str">
        <f>IF(OR(P296="",T296=""),"",P296-T296)</f>
        <v/>
      </c>
      <c r="Z296" s="23" t="str">
        <f>IF(OR(Q296="",U296=""),"",Q296-U296)</f>
        <v/>
      </c>
      <c r="AA296" s="23" t="str">
        <f>IF(OR(H296="",O296=""),"",H296-O296)</f>
        <v/>
      </c>
      <c r="AB296" s="23" t="str">
        <f>IF(OR(R296="",V296=""),"",R296-V296)</f>
        <v/>
      </c>
      <c r="AC296" s="23" t="str">
        <f>IF(OR(S296="",W296=""),"",S296-W296)</f>
        <v/>
      </c>
      <c r="AD296" s="13"/>
      <c r="AE296" s="23" t="str">
        <f>IF(OR(AD296="",AD295=""),"",IF(AD295=0,"",(AD296/AD295)-1))</f>
        <v/>
      </c>
      <c r="AF296" s="23" t="str">
        <f>IF(ROW()&lt;7,"",IF(OR(AD296="",AD293=""),"",IF(AD293=0,"",(AD296/AD293)-1)))</f>
        <v/>
      </c>
      <c r="AG296" s="23" t="str">
        <f>IF(ROW()&lt;9,"",IF(OR(AD296="",AD291=""),"",IF(AD291=0,"",(AD296/AD291)-1)))</f>
        <v/>
      </c>
      <c r="AH296" s="23" t="str">
        <f>IF(OR(AF296="",AG296=""),"",IF(AND(AF296&gt;0,AG296&gt;0),"Bull",IF(AND(AF296&lt;0,AG296&lt;0),"Bear","Mixed")))</f>
        <v/>
      </c>
      <c r="AI296" s="13"/>
      <c r="AJ296" s="13" t="str">
        <f>IF(OR(AI296="",AI295=""),"",IF(AI295=0,"",(AI296/AI295)-1))</f>
        <v/>
      </c>
      <c r="AK296" s="23" t="str">
        <f>IF(OR(AJ296="",AJ295=""),"",IF(AJ295=0,"",(AJ296/AJ295)-1))</f>
        <v/>
      </c>
      <c r="AL296" s="23" t="str">
        <f>IF(ROW()&lt;7,"",IF(OR(AJ296="",AJ293=""),"",IF(AJ293=0,"",(AJ296/AJ293)-1)))</f>
        <v/>
      </c>
      <c r="AM296" s="23" t="str">
        <f>IF(ROW()&lt;9,"",IF(OR(AJ296="",AJ291=""),"",IF(AJ291=0,"",(AJ296/AJ291)-1)))</f>
        <v/>
      </c>
      <c r="AN296" t="str">
        <f>IF(OR(AL296="",AM296=""),"",IF(AND(AL296&gt;0,AM296&gt;0),"Bull",IF(AND(AL296&lt;0,AM296&lt;0),"Bear","Mixed")))</f>
        <v/>
      </c>
      <c r="AO296" t="str">
        <f>IF(OR(AH296="",AN296=""),"",IF(AND(AH296="Bull",AN296="Bull"),"YES","NO"))</f>
        <v/>
      </c>
      <c r="AP296" t="str">
        <f>IF(OR(AH296="",AN296=""),"",IF(AND(AH296="Bear",AN296="Bear"),"YES","NO"))</f>
        <v/>
      </c>
      <c r="AQ296" t="str">
        <f>IF(AO296="YES",IF(SUM(N(X296),N(Y296),N(Z296))&gt;0,"SOXL","TQQQ"),IF(AP296="YES",IF(SUM(N(AA296),N(AB296),N(AC296))&gt;0,"SOXS","SQQQ"),"WAIT"))</f>
        <v>WAIT</v>
      </c>
      <c r="AR296" s="23" t="str">
        <f>IF(AO296="YES",IF(SUM(N(X296),N(Y296),N(Z296))&gt;0,"TQQQ","SOXL"),IF(AP296="YES",IF(SUM(N(AA296),N(AB296),N(AC296))&gt;0,"SQQQ","SOXS"),""))</f>
        <v/>
      </c>
      <c r="AS296" s="23" t="str">
        <f>IF(AQ296="WAIT","",IF(AR296="",1,0.6))</f>
        <v/>
      </c>
      <c r="AT296" s="23">
        <f>IF(AR296="",0,0.4)</f>
        <v>0</v>
      </c>
      <c r="AU296" s="23" t="str">
        <f>IF(AQ296="WAIT","WAIT",IF(AO296="YES","BULL",IF(AP296="YES","BEAR","WAIT")))</f>
        <v>WAIT</v>
      </c>
      <c r="AV296" t="str">
        <f>IF(AQ296="WAIT","Low",IF(OR(AND(AU296="BULL",ABS(SUM(N(X296),N(Y296),N(Z296)))&gt;=0.15),AND(AU296="BEAR",ABS(SUM(N(AA296),N(AB296),N(AC296)))&gt;=0.15)),"Strong",IF(OR(AND(AU296="BULL",ABS(SUM(N(X296),N(Y296),N(Z296)))&gt;=0.05),AND(AU296="BEAR",ABS(SUM(N(AA296),N(AB296),N(AC296)))&gt;=0.05)),"Moderate","Low")))</f>
        <v>Low</v>
      </c>
      <c r="AW296" t="str">
        <f>IF(AQ296="WAIT","QQQ and SMH not aligned",IF(AU296="BULL",IF(AQ296="SOXL","Bull regime; semiconductors leading","Bull regime; tech leading"),IF(AQ296="SOXS","Bear regime; semiconductors weakest","Bear regime; tech weakest")))</f>
        <v>QQQ and SMH not aligned</v>
      </c>
      <c r="AX296" t="str">
        <f>IF(AR296="WAIT","QQQ and SMH not aligned",IF(AV296="BULL",IF(AR296="SOXL","Bull regime; semiconductors leading","Bull regime; tech leading"),IF(AR296="SOXS","Bear regime; semiconductors weakest","Bear regime; tech weakest")))</f>
        <v>Bear regime; tech weakest</v>
      </c>
    </row>
    <row r="297" spans="1:50" x14ac:dyDescent="0.2">
      <c r="A297" s="12"/>
      <c r="B297" s="13"/>
      <c r="C297" s="13"/>
      <c r="D297" s="13"/>
      <c r="E297" s="13"/>
      <c r="F297" s="11" t="str">
        <f>IF(OR(E297="",E296=""),"",IF(E296=0,"",(E297/E296)-1))</f>
        <v/>
      </c>
      <c r="G297" s="13"/>
      <c r="H297" s="11" t="str">
        <f>IF(OR(G297="",G296=""),"",IF(G296=0,"",(G297/G296)-1))</f>
        <v/>
      </c>
      <c r="I297" s="13"/>
      <c r="J297" s="13"/>
      <c r="K297" s="13"/>
      <c r="L297" s="13"/>
      <c r="M297" s="23" t="str">
        <f>IF(OR(L297="",L296=""),"",IF(L296=0,"",(L297/L296)-1))</f>
        <v/>
      </c>
      <c r="N297" s="26" t="str">
        <f>IFERROR((M297/M296)-1,"")</f>
        <v/>
      </c>
      <c r="O297" s="23" t="str">
        <f>IF(OR(N297="",N296=""),"",IF(N296=0,"",(N297/N296)-1))</f>
        <v/>
      </c>
      <c r="P297" s="11" t="str">
        <f>IF(ROW()&lt;7,"",IF(OR(E297="",E294=""),"",IF(E294=0,"",(E297/E294)-1)))</f>
        <v/>
      </c>
      <c r="Q297" s="23" t="str">
        <f>IF(ROW()&lt;9,"",IF(OR(E297="",E292=""),"",IF(E292=0,"",(E297/E292)-1)))</f>
        <v/>
      </c>
      <c r="R297" s="23" t="str">
        <f>IF(ROW()&lt;7,"",IF(OR(G297="",G294=""),"",IF(G294=0,"",(G297/G294)-1)))</f>
        <v/>
      </c>
      <c r="S297" s="23" t="str">
        <f>IF(ROW()&lt;9,"",IF(OR(G297="",G292=""),"",IF(G292=0,"",(G297/G292)-1)))</f>
        <v/>
      </c>
      <c r="T297" s="23" t="str">
        <f>IF(ROW()&lt;7,"",IF(OR(L297="",L294=""),"",IF(L294=0,"",(L297/L294)-1)))</f>
        <v/>
      </c>
      <c r="U297" s="23" t="str">
        <f>IF(ROW()&lt;9,"",IF(OR(L297="",L292=""),"",IF(L292=0,"",(L297/L292)-1)))</f>
        <v/>
      </c>
      <c r="V297" s="23" t="str">
        <f>IF(ROW()&lt;7,"",IF(OR(N297="",N294=""),"",IF(N294=0,"",(N297/N294)-1)))</f>
        <v/>
      </c>
      <c r="W297" s="23" t="str">
        <f>IF(ROW()&lt;9,"",IF(OR(N297="",N292=""),"",IF(N292=0,"",(N297/N292)-1)))</f>
        <v/>
      </c>
      <c r="X297" s="23" t="str">
        <f>IF(OR(F297="",M297=""),"",F297-M297)</f>
        <v/>
      </c>
      <c r="Y297" s="23" t="str">
        <f>IF(OR(P297="",T297=""),"",P297-T297)</f>
        <v/>
      </c>
      <c r="Z297" s="23" t="str">
        <f>IF(OR(Q297="",U297=""),"",Q297-U297)</f>
        <v/>
      </c>
      <c r="AA297" s="23" t="str">
        <f>IF(OR(H297="",O297=""),"",H297-O297)</f>
        <v/>
      </c>
      <c r="AB297" s="23" t="str">
        <f>IF(OR(R297="",V297=""),"",R297-V297)</f>
        <v/>
      </c>
      <c r="AC297" s="23" t="str">
        <f>IF(OR(S297="",W297=""),"",S297-W297)</f>
        <v/>
      </c>
      <c r="AD297" s="13"/>
      <c r="AE297" s="23" t="str">
        <f>IF(OR(AD297="",AD296=""),"",IF(AD296=0,"",(AD297/AD296)-1))</f>
        <v/>
      </c>
      <c r="AF297" s="23" t="str">
        <f>IF(ROW()&lt;7,"",IF(OR(AD297="",AD294=""),"",IF(AD294=0,"",(AD297/AD294)-1)))</f>
        <v/>
      </c>
      <c r="AG297" s="23" t="str">
        <f>IF(ROW()&lt;9,"",IF(OR(AD297="",AD292=""),"",IF(AD292=0,"",(AD297/AD292)-1)))</f>
        <v/>
      </c>
      <c r="AH297" s="23" t="str">
        <f>IF(OR(AF297="",AG297=""),"",IF(AND(AF297&gt;0,AG297&gt;0),"Bull",IF(AND(AF297&lt;0,AG297&lt;0),"Bear","Mixed")))</f>
        <v/>
      </c>
      <c r="AI297" s="13"/>
      <c r="AJ297" s="13" t="str">
        <f>IF(OR(AI297="",AI296=""),"",IF(AI296=0,"",(AI297/AI296)-1))</f>
        <v/>
      </c>
      <c r="AK297" s="23" t="str">
        <f>IF(OR(AJ297="",AJ296=""),"",IF(AJ296=0,"",(AJ297/AJ296)-1))</f>
        <v/>
      </c>
      <c r="AL297" s="23" t="str">
        <f>IF(ROW()&lt;7,"",IF(OR(AJ297="",AJ294=""),"",IF(AJ294=0,"",(AJ297/AJ294)-1)))</f>
        <v/>
      </c>
      <c r="AM297" s="23" t="str">
        <f>IF(ROW()&lt;9,"",IF(OR(AJ297="",AJ292=""),"",IF(AJ292=0,"",(AJ297/AJ292)-1)))</f>
        <v/>
      </c>
      <c r="AN297" t="str">
        <f>IF(OR(AL297="",AM297=""),"",IF(AND(AL297&gt;0,AM297&gt;0),"Bull",IF(AND(AL297&lt;0,AM297&lt;0),"Bear","Mixed")))</f>
        <v/>
      </c>
      <c r="AO297" t="str">
        <f>IF(OR(AH297="",AN297=""),"",IF(AND(AH297="Bull",AN297="Bull"),"YES","NO"))</f>
        <v/>
      </c>
      <c r="AP297" t="str">
        <f>IF(OR(AH297="",AN297=""),"",IF(AND(AH297="Bear",AN297="Bear"),"YES","NO"))</f>
        <v/>
      </c>
      <c r="AQ297" t="str">
        <f>IF(AO297="YES",IF(SUM(N(X297),N(Y297),N(Z297))&gt;0,"SOXL","TQQQ"),IF(AP297="YES",IF(SUM(N(AA297),N(AB297),N(AC297))&gt;0,"SOXS","SQQQ"),"WAIT"))</f>
        <v>WAIT</v>
      </c>
      <c r="AR297" s="23" t="str">
        <f>IF(AO297="YES",IF(SUM(N(X297),N(Y297),N(Z297))&gt;0,"TQQQ","SOXL"),IF(AP297="YES",IF(SUM(N(AA297),N(AB297),N(AC297))&gt;0,"SQQQ","SOXS"),""))</f>
        <v/>
      </c>
      <c r="AS297" s="23" t="str">
        <f>IF(AQ297="WAIT","",IF(AR297="",1,0.6))</f>
        <v/>
      </c>
      <c r="AT297" s="23">
        <f>IF(AR297="",0,0.4)</f>
        <v>0</v>
      </c>
      <c r="AU297" s="23" t="str">
        <f>IF(AQ297="WAIT","WAIT",IF(AO297="YES","BULL",IF(AP297="YES","BEAR","WAIT")))</f>
        <v>WAIT</v>
      </c>
      <c r="AV297" t="str">
        <f>IF(AQ297="WAIT","Low",IF(OR(AND(AU297="BULL",ABS(SUM(N(X297),N(Y297),N(Z297)))&gt;=0.15),AND(AU297="BEAR",ABS(SUM(N(AA297),N(AB297),N(AC297)))&gt;=0.15)),"Strong",IF(OR(AND(AU297="BULL",ABS(SUM(N(X297),N(Y297),N(Z297)))&gt;=0.05),AND(AU297="BEAR",ABS(SUM(N(AA297),N(AB297),N(AC297)))&gt;=0.05)),"Moderate","Low")))</f>
        <v>Low</v>
      </c>
      <c r="AW297" t="str">
        <f>IF(AQ297="WAIT","QQQ and SMH not aligned",IF(AU297="BULL",IF(AQ297="SOXL","Bull regime; semiconductors leading","Bull regime; tech leading"),IF(AQ297="SOXS","Bear regime; semiconductors weakest","Bear regime; tech weakest")))</f>
        <v>QQQ and SMH not aligned</v>
      </c>
      <c r="AX297" t="str">
        <f>IF(AR297="WAIT","QQQ and SMH not aligned",IF(AV297="BULL",IF(AR297="SOXL","Bull regime; semiconductors leading","Bull regime; tech leading"),IF(AR297="SOXS","Bear regime; semiconductors weakest","Bear regime; tech weakest")))</f>
        <v>Bear regime; tech weakest</v>
      </c>
    </row>
    <row r="298" spans="1:50" x14ac:dyDescent="0.2">
      <c r="A298" s="12"/>
      <c r="B298" s="13"/>
      <c r="C298" s="13"/>
      <c r="D298" s="13"/>
      <c r="E298" s="13"/>
      <c r="F298" s="11" t="str">
        <f>IF(OR(E298="",E297=""),"",IF(E297=0,"",(E298/E297)-1))</f>
        <v/>
      </c>
      <c r="G298" s="13"/>
      <c r="H298" s="11" t="str">
        <f>IF(OR(G298="",G297=""),"",IF(G297=0,"",(G298/G297)-1))</f>
        <v/>
      </c>
      <c r="I298" s="13"/>
      <c r="J298" s="13"/>
      <c r="K298" s="13"/>
      <c r="L298" s="13"/>
      <c r="M298" s="23" t="str">
        <f>IF(OR(L298="",L297=""),"",IF(L297=0,"",(L298/L297)-1))</f>
        <v/>
      </c>
      <c r="N298" s="26" t="str">
        <f>IFERROR((M298/M297)-1,"")</f>
        <v/>
      </c>
      <c r="O298" s="23" t="str">
        <f>IF(OR(N298="",N297=""),"",IF(N297=0,"",(N298/N297)-1))</f>
        <v/>
      </c>
      <c r="P298" s="11" t="str">
        <f>IF(ROW()&lt;7,"",IF(OR(E298="",E295=""),"",IF(E295=0,"",(E298/E295)-1)))</f>
        <v/>
      </c>
      <c r="Q298" s="23" t="str">
        <f>IF(ROW()&lt;9,"",IF(OR(E298="",E293=""),"",IF(E293=0,"",(E298/E293)-1)))</f>
        <v/>
      </c>
      <c r="R298" s="23" t="str">
        <f>IF(ROW()&lt;7,"",IF(OR(G298="",G295=""),"",IF(G295=0,"",(G298/G295)-1)))</f>
        <v/>
      </c>
      <c r="S298" s="23" t="str">
        <f>IF(ROW()&lt;9,"",IF(OR(G298="",G293=""),"",IF(G293=0,"",(G298/G293)-1)))</f>
        <v/>
      </c>
      <c r="T298" s="23" t="str">
        <f>IF(ROW()&lt;7,"",IF(OR(L298="",L295=""),"",IF(L295=0,"",(L298/L295)-1)))</f>
        <v/>
      </c>
      <c r="U298" s="23" t="str">
        <f>IF(ROW()&lt;9,"",IF(OR(L298="",L293=""),"",IF(L293=0,"",(L298/L293)-1)))</f>
        <v/>
      </c>
      <c r="V298" s="23" t="str">
        <f>IF(ROW()&lt;7,"",IF(OR(N298="",N295=""),"",IF(N295=0,"",(N298/N295)-1)))</f>
        <v/>
      </c>
      <c r="W298" s="23" t="str">
        <f>IF(ROW()&lt;9,"",IF(OR(N298="",N293=""),"",IF(N293=0,"",(N298/N293)-1)))</f>
        <v/>
      </c>
      <c r="X298" s="23" t="str">
        <f>IF(OR(F298="",M298=""),"",F298-M298)</f>
        <v/>
      </c>
      <c r="Y298" s="23" t="str">
        <f>IF(OR(P298="",T298=""),"",P298-T298)</f>
        <v/>
      </c>
      <c r="Z298" s="23" t="str">
        <f>IF(OR(Q298="",U298=""),"",Q298-U298)</f>
        <v/>
      </c>
      <c r="AA298" s="23" t="str">
        <f>IF(OR(H298="",O298=""),"",H298-O298)</f>
        <v/>
      </c>
      <c r="AB298" s="23" t="str">
        <f>IF(OR(R298="",V298=""),"",R298-V298)</f>
        <v/>
      </c>
      <c r="AC298" s="23" t="str">
        <f>IF(OR(S298="",W298=""),"",S298-W298)</f>
        <v/>
      </c>
      <c r="AD298" s="13"/>
      <c r="AE298" s="23" t="str">
        <f>IF(OR(AD298="",AD297=""),"",IF(AD297=0,"",(AD298/AD297)-1))</f>
        <v/>
      </c>
      <c r="AF298" s="23" t="str">
        <f>IF(ROW()&lt;7,"",IF(OR(AD298="",AD295=""),"",IF(AD295=0,"",(AD298/AD295)-1)))</f>
        <v/>
      </c>
      <c r="AG298" s="23" t="str">
        <f>IF(ROW()&lt;9,"",IF(OR(AD298="",AD293=""),"",IF(AD293=0,"",(AD298/AD293)-1)))</f>
        <v/>
      </c>
      <c r="AH298" s="23" t="str">
        <f>IF(OR(AF298="",AG298=""),"",IF(AND(AF298&gt;0,AG298&gt;0),"Bull",IF(AND(AF298&lt;0,AG298&lt;0),"Bear","Mixed")))</f>
        <v/>
      </c>
      <c r="AI298" s="13"/>
      <c r="AJ298" s="13" t="str">
        <f>IF(OR(AI298="",AI297=""),"",IF(AI297=0,"",(AI298/AI297)-1))</f>
        <v/>
      </c>
      <c r="AK298" s="23" t="str">
        <f>IF(OR(AJ298="",AJ297=""),"",IF(AJ297=0,"",(AJ298/AJ297)-1))</f>
        <v/>
      </c>
      <c r="AL298" s="23" t="str">
        <f>IF(ROW()&lt;7,"",IF(OR(AJ298="",AJ295=""),"",IF(AJ295=0,"",(AJ298/AJ295)-1)))</f>
        <v/>
      </c>
      <c r="AM298" s="23" t="str">
        <f>IF(ROW()&lt;9,"",IF(OR(AJ298="",AJ293=""),"",IF(AJ293=0,"",(AJ298/AJ293)-1)))</f>
        <v/>
      </c>
      <c r="AN298" t="str">
        <f>IF(OR(AL298="",AM298=""),"",IF(AND(AL298&gt;0,AM298&gt;0),"Bull",IF(AND(AL298&lt;0,AM298&lt;0),"Bear","Mixed")))</f>
        <v/>
      </c>
      <c r="AO298" t="str">
        <f>IF(OR(AH298="",AN298=""),"",IF(AND(AH298="Bull",AN298="Bull"),"YES","NO"))</f>
        <v/>
      </c>
      <c r="AP298" t="str">
        <f>IF(OR(AH298="",AN298=""),"",IF(AND(AH298="Bear",AN298="Bear"),"YES","NO"))</f>
        <v/>
      </c>
      <c r="AQ298" t="str">
        <f>IF(AO298="YES",IF(SUM(N(X298),N(Y298),N(Z298))&gt;0,"SOXL","TQQQ"),IF(AP298="YES",IF(SUM(N(AA298),N(AB298),N(AC298))&gt;0,"SOXS","SQQQ"),"WAIT"))</f>
        <v>WAIT</v>
      </c>
      <c r="AR298" s="23" t="str">
        <f>IF(AO298="YES",IF(SUM(N(X298),N(Y298),N(Z298))&gt;0,"TQQQ","SOXL"),IF(AP298="YES",IF(SUM(N(AA298),N(AB298),N(AC298))&gt;0,"SQQQ","SOXS"),""))</f>
        <v/>
      </c>
      <c r="AS298" s="23" t="str">
        <f>IF(AQ298="WAIT","",IF(AR298="",1,0.6))</f>
        <v/>
      </c>
      <c r="AT298" s="23">
        <f>IF(AR298="",0,0.4)</f>
        <v>0</v>
      </c>
      <c r="AU298" s="23" t="str">
        <f>IF(AQ298="WAIT","WAIT",IF(AO298="YES","BULL",IF(AP298="YES","BEAR","WAIT")))</f>
        <v>WAIT</v>
      </c>
      <c r="AV298" t="str">
        <f>IF(AQ298="WAIT","Low",IF(OR(AND(AU298="BULL",ABS(SUM(N(X298),N(Y298),N(Z298)))&gt;=0.15),AND(AU298="BEAR",ABS(SUM(N(AA298),N(AB298),N(AC298)))&gt;=0.15)),"Strong",IF(OR(AND(AU298="BULL",ABS(SUM(N(X298),N(Y298),N(Z298)))&gt;=0.05),AND(AU298="BEAR",ABS(SUM(N(AA298),N(AB298),N(AC298)))&gt;=0.05)),"Moderate","Low")))</f>
        <v>Low</v>
      </c>
      <c r="AW298" t="str">
        <f>IF(AQ298="WAIT","QQQ and SMH not aligned",IF(AU298="BULL",IF(AQ298="SOXL","Bull regime; semiconductors leading","Bull regime; tech leading"),IF(AQ298="SOXS","Bear regime; semiconductors weakest","Bear regime; tech weakest")))</f>
        <v>QQQ and SMH not aligned</v>
      </c>
      <c r="AX298" t="str">
        <f>IF(AR298="WAIT","QQQ and SMH not aligned",IF(AV298="BULL",IF(AR298="SOXL","Bull regime; semiconductors leading","Bull regime; tech leading"),IF(AR298="SOXS","Bear regime; semiconductors weakest","Bear regime; tech weakest")))</f>
        <v>Bear regime; tech weakest</v>
      </c>
    </row>
    <row r="299" spans="1:50" x14ac:dyDescent="0.2">
      <c r="A299" s="12"/>
      <c r="B299" s="13"/>
      <c r="C299" s="13"/>
      <c r="D299" s="13"/>
      <c r="E299" s="13"/>
      <c r="F299" s="11" t="str">
        <f>IF(OR(E299="",E298=""),"",IF(E298=0,"",(E299/E298)-1))</f>
        <v/>
      </c>
      <c r="G299" s="13"/>
      <c r="H299" s="11" t="str">
        <f>IF(OR(G299="",G298=""),"",IF(G298=0,"",(G299/G298)-1))</f>
        <v/>
      </c>
      <c r="I299" s="13"/>
      <c r="J299" s="13"/>
      <c r="K299" s="13"/>
      <c r="L299" s="13"/>
      <c r="M299" s="23" t="str">
        <f>IF(OR(L299="",L298=""),"",IF(L298=0,"",(L299/L298)-1))</f>
        <v/>
      </c>
      <c r="N299" s="26" t="str">
        <f>IFERROR((M299/M298)-1,"")</f>
        <v/>
      </c>
      <c r="O299" s="23" t="str">
        <f>IF(OR(N299="",N298=""),"",IF(N298=0,"",(N299/N298)-1))</f>
        <v/>
      </c>
      <c r="P299" s="11" t="str">
        <f>IF(ROW()&lt;7,"",IF(OR(E299="",E296=""),"",IF(E296=0,"",(E299/E296)-1)))</f>
        <v/>
      </c>
      <c r="Q299" s="23" t="str">
        <f>IF(ROW()&lt;9,"",IF(OR(E299="",E294=""),"",IF(E294=0,"",(E299/E294)-1)))</f>
        <v/>
      </c>
      <c r="R299" s="23" t="str">
        <f>IF(ROW()&lt;7,"",IF(OR(G299="",G296=""),"",IF(G296=0,"",(G299/G296)-1)))</f>
        <v/>
      </c>
      <c r="S299" s="23" t="str">
        <f>IF(ROW()&lt;9,"",IF(OR(G299="",G294=""),"",IF(G294=0,"",(G299/G294)-1)))</f>
        <v/>
      </c>
      <c r="T299" s="23" t="str">
        <f>IF(ROW()&lt;7,"",IF(OR(L299="",L296=""),"",IF(L296=0,"",(L299/L296)-1)))</f>
        <v/>
      </c>
      <c r="U299" s="23" t="str">
        <f>IF(ROW()&lt;9,"",IF(OR(L299="",L294=""),"",IF(L294=0,"",(L299/L294)-1)))</f>
        <v/>
      </c>
      <c r="V299" s="23" t="str">
        <f>IF(ROW()&lt;7,"",IF(OR(N299="",N296=""),"",IF(N296=0,"",(N299/N296)-1)))</f>
        <v/>
      </c>
      <c r="W299" s="23" t="str">
        <f>IF(ROW()&lt;9,"",IF(OR(N299="",N294=""),"",IF(N294=0,"",(N299/N294)-1)))</f>
        <v/>
      </c>
      <c r="X299" s="23" t="str">
        <f>IF(OR(F299="",M299=""),"",F299-M299)</f>
        <v/>
      </c>
      <c r="Y299" s="23" t="str">
        <f>IF(OR(P299="",T299=""),"",P299-T299)</f>
        <v/>
      </c>
      <c r="Z299" s="23" t="str">
        <f>IF(OR(Q299="",U299=""),"",Q299-U299)</f>
        <v/>
      </c>
      <c r="AA299" s="23" t="str">
        <f>IF(OR(H299="",O299=""),"",H299-O299)</f>
        <v/>
      </c>
      <c r="AB299" s="23" t="str">
        <f>IF(OR(R299="",V299=""),"",R299-V299)</f>
        <v/>
      </c>
      <c r="AC299" s="23" t="str">
        <f>IF(OR(S299="",W299=""),"",S299-W299)</f>
        <v/>
      </c>
      <c r="AD299" s="13"/>
      <c r="AE299" s="23" t="str">
        <f>IF(OR(AD299="",AD298=""),"",IF(AD298=0,"",(AD299/AD298)-1))</f>
        <v/>
      </c>
      <c r="AF299" s="23" t="str">
        <f>IF(ROW()&lt;7,"",IF(OR(AD299="",AD296=""),"",IF(AD296=0,"",(AD299/AD296)-1)))</f>
        <v/>
      </c>
      <c r="AG299" s="23" t="str">
        <f>IF(ROW()&lt;9,"",IF(OR(AD299="",AD294=""),"",IF(AD294=0,"",(AD299/AD294)-1)))</f>
        <v/>
      </c>
      <c r="AH299" s="23" t="str">
        <f>IF(OR(AF299="",AG299=""),"",IF(AND(AF299&gt;0,AG299&gt;0),"Bull",IF(AND(AF299&lt;0,AG299&lt;0),"Bear","Mixed")))</f>
        <v/>
      </c>
      <c r="AI299" s="13"/>
      <c r="AJ299" s="13" t="str">
        <f>IF(OR(AI299="",AI298=""),"",IF(AI298=0,"",(AI299/AI298)-1))</f>
        <v/>
      </c>
      <c r="AK299" s="23" t="str">
        <f>IF(OR(AJ299="",AJ298=""),"",IF(AJ298=0,"",(AJ299/AJ298)-1))</f>
        <v/>
      </c>
      <c r="AL299" s="23" t="str">
        <f>IF(ROW()&lt;7,"",IF(OR(AJ299="",AJ296=""),"",IF(AJ296=0,"",(AJ299/AJ296)-1)))</f>
        <v/>
      </c>
      <c r="AM299" s="23" t="str">
        <f>IF(ROW()&lt;9,"",IF(OR(AJ299="",AJ294=""),"",IF(AJ294=0,"",(AJ299/AJ294)-1)))</f>
        <v/>
      </c>
      <c r="AN299" t="str">
        <f>IF(OR(AL299="",AM299=""),"",IF(AND(AL299&gt;0,AM299&gt;0),"Bull",IF(AND(AL299&lt;0,AM299&lt;0),"Bear","Mixed")))</f>
        <v/>
      </c>
      <c r="AO299" t="str">
        <f>IF(OR(AH299="",AN299=""),"",IF(AND(AH299="Bull",AN299="Bull"),"YES","NO"))</f>
        <v/>
      </c>
      <c r="AP299" t="str">
        <f>IF(OR(AH299="",AN299=""),"",IF(AND(AH299="Bear",AN299="Bear"),"YES","NO"))</f>
        <v/>
      </c>
      <c r="AQ299" t="str">
        <f>IF(AO299="YES",IF(SUM(N(X299),N(Y299),N(Z299))&gt;0,"SOXL","TQQQ"),IF(AP299="YES",IF(SUM(N(AA299),N(AB299),N(AC299))&gt;0,"SOXS","SQQQ"),"WAIT"))</f>
        <v>WAIT</v>
      </c>
      <c r="AR299" s="23" t="str">
        <f>IF(AO299="YES",IF(SUM(N(X299),N(Y299),N(Z299))&gt;0,"TQQQ","SOXL"),IF(AP299="YES",IF(SUM(N(AA299),N(AB299),N(AC299))&gt;0,"SQQQ","SOXS"),""))</f>
        <v/>
      </c>
      <c r="AS299" s="23" t="str">
        <f>IF(AQ299="WAIT","",IF(AR299="",1,0.6))</f>
        <v/>
      </c>
      <c r="AT299" s="23">
        <f>IF(AR299="",0,0.4)</f>
        <v>0</v>
      </c>
      <c r="AU299" s="23" t="str">
        <f>IF(AQ299="WAIT","WAIT",IF(AO299="YES","BULL",IF(AP299="YES","BEAR","WAIT")))</f>
        <v>WAIT</v>
      </c>
      <c r="AV299" t="str">
        <f>IF(AQ299="WAIT","Low",IF(OR(AND(AU299="BULL",ABS(SUM(N(X299),N(Y299),N(Z299)))&gt;=0.15),AND(AU299="BEAR",ABS(SUM(N(AA299),N(AB299),N(AC299)))&gt;=0.15)),"Strong",IF(OR(AND(AU299="BULL",ABS(SUM(N(X299),N(Y299),N(Z299)))&gt;=0.05),AND(AU299="BEAR",ABS(SUM(N(AA299),N(AB299),N(AC299)))&gt;=0.05)),"Moderate","Low")))</f>
        <v>Low</v>
      </c>
      <c r="AW299" t="str">
        <f>IF(AQ299="WAIT","QQQ and SMH not aligned",IF(AU299="BULL",IF(AQ299="SOXL","Bull regime; semiconductors leading","Bull regime; tech leading"),IF(AQ299="SOXS","Bear regime; semiconductors weakest","Bear regime; tech weakest")))</f>
        <v>QQQ and SMH not aligned</v>
      </c>
      <c r="AX299" t="str">
        <f>IF(AR299="WAIT","QQQ and SMH not aligned",IF(AV299="BULL",IF(AR299="SOXL","Bull regime; semiconductors leading","Bull regime; tech leading"),IF(AR299="SOXS","Bear regime; semiconductors weakest","Bear regime; tech weakest")))</f>
        <v>Bear regime; tech weakest</v>
      </c>
    </row>
    <row r="300" spans="1:50" x14ac:dyDescent="0.2">
      <c r="A300" s="12"/>
      <c r="B300" s="13"/>
      <c r="C300" s="13"/>
      <c r="D300" s="13"/>
      <c r="E300" s="13"/>
      <c r="F300" s="11" t="str">
        <f>IF(OR(E300="",E299=""),"",IF(E299=0,"",(E300/E299)-1))</f>
        <v/>
      </c>
      <c r="G300" s="13"/>
      <c r="H300" s="11" t="str">
        <f>IF(OR(G300="",G299=""),"",IF(G299=0,"",(G300/G299)-1))</f>
        <v/>
      </c>
      <c r="I300" s="13"/>
      <c r="J300" s="13"/>
      <c r="K300" s="13"/>
      <c r="L300" s="13"/>
      <c r="M300" s="23" t="str">
        <f>IF(OR(L300="",L299=""),"",IF(L299=0,"",(L300/L299)-1))</f>
        <v/>
      </c>
      <c r="N300" s="26" t="str">
        <f>IFERROR((M300/M299)-1,"")</f>
        <v/>
      </c>
      <c r="O300" s="23" t="str">
        <f>IF(OR(N300="",N299=""),"",IF(N299=0,"",(N300/N299)-1))</f>
        <v/>
      </c>
      <c r="P300" s="11" t="str">
        <f>IF(ROW()&lt;7,"",IF(OR(E300="",E297=""),"",IF(E297=0,"",(E300/E297)-1)))</f>
        <v/>
      </c>
      <c r="Q300" s="23" t="str">
        <f>IF(ROW()&lt;9,"",IF(OR(E300="",E295=""),"",IF(E295=0,"",(E300/E295)-1)))</f>
        <v/>
      </c>
      <c r="R300" s="23" t="str">
        <f>IF(ROW()&lt;7,"",IF(OR(G300="",G297=""),"",IF(G297=0,"",(G300/G297)-1)))</f>
        <v/>
      </c>
      <c r="S300" s="23" t="str">
        <f>IF(ROW()&lt;9,"",IF(OR(G300="",G295=""),"",IF(G295=0,"",(G300/G295)-1)))</f>
        <v/>
      </c>
      <c r="T300" s="23" t="str">
        <f>IF(ROW()&lt;7,"",IF(OR(L300="",L297=""),"",IF(L297=0,"",(L300/L297)-1)))</f>
        <v/>
      </c>
      <c r="U300" s="23" t="str">
        <f>IF(ROW()&lt;9,"",IF(OR(L300="",L295=""),"",IF(L295=0,"",(L300/L295)-1)))</f>
        <v/>
      </c>
      <c r="V300" s="23" t="str">
        <f>IF(ROW()&lt;7,"",IF(OR(N300="",N297=""),"",IF(N297=0,"",(N300/N297)-1)))</f>
        <v/>
      </c>
      <c r="W300" s="23" t="str">
        <f>IF(ROW()&lt;9,"",IF(OR(N300="",N295=""),"",IF(N295=0,"",(N300/N295)-1)))</f>
        <v/>
      </c>
      <c r="X300" s="23" t="str">
        <f>IF(OR(F300="",M300=""),"",F300-M300)</f>
        <v/>
      </c>
      <c r="Y300" s="23" t="str">
        <f>IF(OR(P300="",T300=""),"",P300-T300)</f>
        <v/>
      </c>
      <c r="Z300" s="23" t="str">
        <f>IF(OR(Q300="",U300=""),"",Q300-U300)</f>
        <v/>
      </c>
      <c r="AA300" s="23" t="str">
        <f>IF(OR(H300="",O300=""),"",H300-O300)</f>
        <v/>
      </c>
      <c r="AB300" s="23" t="str">
        <f>IF(OR(R300="",V300=""),"",R300-V300)</f>
        <v/>
      </c>
      <c r="AC300" s="23" t="str">
        <f>IF(OR(S300="",W300=""),"",S300-W300)</f>
        <v/>
      </c>
      <c r="AD300" s="13"/>
      <c r="AE300" s="23" t="str">
        <f>IF(OR(AD300="",AD299=""),"",IF(AD299=0,"",(AD300/AD299)-1))</f>
        <v/>
      </c>
      <c r="AF300" s="23" t="str">
        <f>IF(ROW()&lt;7,"",IF(OR(AD300="",AD297=""),"",IF(AD297=0,"",(AD300/AD297)-1)))</f>
        <v/>
      </c>
      <c r="AG300" s="23" t="str">
        <f>IF(ROW()&lt;9,"",IF(OR(AD300="",AD295=""),"",IF(AD295=0,"",(AD300/AD295)-1)))</f>
        <v/>
      </c>
      <c r="AH300" s="23" t="str">
        <f>IF(OR(AF300="",AG300=""),"",IF(AND(AF300&gt;0,AG300&gt;0),"Bull",IF(AND(AF300&lt;0,AG300&lt;0),"Bear","Mixed")))</f>
        <v/>
      </c>
      <c r="AI300" s="13"/>
      <c r="AJ300" s="13" t="str">
        <f>IF(OR(AI300="",AI299=""),"",IF(AI299=0,"",(AI300/AI299)-1))</f>
        <v/>
      </c>
      <c r="AK300" s="23" t="str">
        <f>IF(OR(AJ300="",AJ299=""),"",IF(AJ299=0,"",(AJ300/AJ299)-1))</f>
        <v/>
      </c>
      <c r="AL300" s="23" t="str">
        <f>IF(ROW()&lt;7,"",IF(OR(AJ300="",AJ297=""),"",IF(AJ297=0,"",(AJ300/AJ297)-1)))</f>
        <v/>
      </c>
      <c r="AM300" s="23" t="str">
        <f>IF(ROW()&lt;9,"",IF(OR(AJ300="",AJ295=""),"",IF(AJ295=0,"",(AJ300/AJ295)-1)))</f>
        <v/>
      </c>
      <c r="AN300" t="str">
        <f>IF(OR(AL300="",AM300=""),"",IF(AND(AL300&gt;0,AM300&gt;0),"Bull",IF(AND(AL300&lt;0,AM300&lt;0),"Bear","Mixed")))</f>
        <v/>
      </c>
      <c r="AO300" t="str">
        <f>IF(OR(AH300="",AN300=""),"",IF(AND(AH300="Bull",AN300="Bull"),"YES","NO"))</f>
        <v/>
      </c>
      <c r="AP300" t="str">
        <f>IF(OR(AH300="",AN300=""),"",IF(AND(AH300="Bear",AN300="Bear"),"YES","NO"))</f>
        <v/>
      </c>
      <c r="AQ300" t="str">
        <f>IF(AO300="YES",IF(SUM(N(X300),N(Y300),N(Z300))&gt;0,"SOXL","TQQQ"),IF(AP300="YES",IF(SUM(N(AA300),N(AB300),N(AC300))&gt;0,"SOXS","SQQQ"),"WAIT"))</f>
        <v>WAIT</v>
      </c>
      <c r="AR300" s="23" t="str">
        <f>IF(AO300="YES",IF(SUM(N(X300),N(Y300),N(Z300))&gt;0,"TQQQ","SOXL"),IF(AP300="YES",IF(SUM(N(AA300),N(AB300),N(AC300))&gt;0,"SQQQ","SOXS"),""))</f>
        <v/>
      </c>
      <c r="AS300" s="23" t="str">
        <f>IF(AQ300="WAIT","",IF(AR300="",1,0.6))</f>
        <v/>
      </c>
      <c r="AT300" s="23">
        <f>IF(AR300="",0,0.4)</f>
        <v>0</v>
      </c>
      <c r="AU300" s="23" t="str">
        <f>IF(AQ300="WAIT","WAIT",IF(AO300="YES","BULL",IF(AP300="YES","BEAR","WAIT")))</f>
        <v>WAIT</v>
      </c>
      <c r="AV300" t="str">
        <f>IF(AQ300="WAIT","Low",IF(OR(AND(AU300="BULL",ABS(SUM(N(X300),N(Y300),N(Z300)))&gt;=0.15),AND(AU300="BEAR",ABS(SUM(N(AA300),N(AB300),N(AC300)))&gt;=0.15)),"Strong",IF(OR(AND(AU300="BULL",ABS(SUM(N(X300),N(Y300),N(Z300)))&gt;=0.05),AND(AU300="BEAR",ABS(SUM(N(AA300),N(AB300),N(AC300)))&gt;=0.05)),"Moderate","Low")))</f>
        <v>Low</v>
      </c>
      <c r="AW300" t="str">
        <f>IF(AQ300="WAIT","QQQ and SMH not aligned",IF(AU300="BULL",IF(AQ300="SOXL","Bull regime; semiconductors leading","Bull regime; tech leading"),IF(AQ300="SOXS","Bear regime; semiconductors weakest","Bear regime; tech weakest")))</f>
        <v>QQQ and SMH not aligned</v>
      </c>
      <c r="AX300" t="str">
        <f>IF(AR300="WAIT","QQQ and SMH not aligned",IF(AV300="BULL",IF(AR300="SOXL","Bull regime; semiconductors leading","Bull regime; tech leading"),IF(AR300="SOXS","Bear regime; semiconductors weakest","Bear regime; tech weakest")))</f>
        <v>Bear regime; tech weakest</v>
      </c>
    </row>
    <row r="301" spans="1:50" x14ac:dyDescent="0.2">
      <c r="A301" s="12"/>
      <c r="B301" s="13"/>
      <c r="C301" s="13"/>
      <c r="D301" s="13"/>
      <c r="E301" s="13"/>
      <c r="F301" s="11" t="str">
        <f>IF(OR(E301="",E300=""),"",IF(E300=0,"",(E301/E300)-1))</f>
        <v/>
      </c>
      <c r="G301" s="13"/>
      <c r="H301" s="11" t="str">
        <f>IF(OR(G301="",G300=""),"",IF(G300=0,"",(G301/G300)-1))</f>
        <v/>
      </c>
      <c r="I301" s="13"/>
      <c r="J301" s="13"/>
      <c r="K301" s="13"/>
      <c r="L301" s="13"/>
      <c r="M301" s="23" t="str">
        <f>IF(OR(L301="",L300=""),"",IF(L300=0,"",(L301/L300)-1))</f>
        <v/>
      </c>
      <c r="N301" s="26" t="str">
        <f>IFERROR((M301/M300)-1,"")</f>
        <v/>
      </c>
      <c r="O301" s="23" t="str">
        <f>IF(OR(N301="",N300=""),"",IF(N300=0,"",(N301/N300)-1))</f>
        <v/>
      </c>
      <c r="P301" s="11" t="str">
        <f>IF(ROW()&lt;7,"",IF(OR(E301="",E298=""),"",IF(E298=0,"",(E301/E298)-1)))</f>
        <v/>
      </c>
      <c r="Q301" s="23" t="str">
        <f>IF(ROW()&lt;9,"",IF(OR(E301="",E296=""),"",IF(E296=0,"",(E301/E296)-1)))</f>
        <v/>
      </c>
      <c r="R301" s="23" t="str">
        <f>IF(ROW()&lt;7,"",IF(OR(G301="",G298=""),"",IF(G298=0,"",(G301/G298)-1)))</f>
        <v/>
      </c>
      <c r="S301" s="23" t="str">
        <f>IF(ROW()&lt;9,"",IF(OR(G301="",G296=""),"",IF(G296=0,"",(G301/G296)-1)))</f>
        <v/>
      </c>
      <c r="T301" s="23" t="str">
        <f>IF(ROW()&lt;7,"",IF(OR(L301="",L298=""),"",IF(L298=0,"",(L301/L298)-1)))</f>
        <v/>
      </c>
      <c r="U301" s="23" t="str">
        <f>IF(ROW()&lt;9,"",IF(OR(L301="",L296=""),"",IF(L296=0,"",(L301/L296)-1)))</f>
        <v/>
      </c>
      <c r="V301" s="23" t="str">
        <f>IF(ROW()&lt;7,"",IF(OR(N301="",N298=""),"",IF(N298=0,"",(N301/N298)-1)))</f>
        <v/>
      </c>
      <c r="W301" s="23" t="str">
        <f>IF(ROW()&lt;9,"",IF(OR(N301="",N296=""),"",IF(N296=0,"",(N301/N296)-1)))</f>
        <v/>
      </c>
      <c r="X301" s="23" t="str">
        <f>IF(OR(F301="",M301=""),"",F301-M301)</f>
        <v/>
      </c>
      <c r="Y301" s="23" t="str">
        <f>IF(OR(P301="",T301=""),"",P301-T301)</f>
        <v/>
      </c>
      <c r="Z301" s="23" t="str">
        <f>IF(OR(Q301="",U301=""),"",Q301-U301)</f>
        <v/>
      </c>
      <c r="AA301" s="23" t="str">
        <f>IF(OR(H301="",O301=""),"",H301-O301)</f>
        <v/>
      </c>
      <c r="AB301" s="23" t="str">
        <f>IF(OR(R301="",V301=""),"",R301-V301)</f>
        <v/>
      </c>
      <c r="AC301" s="23" t="str">
        <f>IF(OR(S301="",W301=""),"",S301-W301)</f>
        <v/>
      </c>
      <c r="AD301" s="13"/>
      <c r="AE301" s="23" t="str">
        <f>IF(OR(AD301="",AD300=""),"",IF(AD300=0,"",(AD301/AD300)-1))</f>
        <v/>
      </c>
      <c r="AF301" s="23" t="str">
        <f>IF(ROW()&lt;7,"",IF(OR(AD301="",AD298=""),"",IF(AD298=0,"",(AD301/AD298)-1)))</f>
        <v/>
      </c>
      <c r="AG301" s="23" t="str">
        <f>IF(ROW()&lt;9,"",IF(OR(AD301="",AD296=""),"",IF(AD296=0,"",(AD301/AD296)-1)))</f>
        <v/>
      </c>
      <c r="AH301" s="23" t="str">
        <f>IF(OR(AF301="",AG301=""),"",IF(AND(AF301&gt;0,AG301&gt;0),"Bull",IF(AND(AF301&lt;0,AG301&lt;0),"Bear","Mixed")))</f>
        <v/>
      </c>
      <c r="AI301" s="13"/>
      <c r="AJ301" s="13" t="str">
        <f>IF(OR(AI301="",AI300=""),"",IF(AI300=0,"",(AI301/AI300)-1))</f>
        <v/>
      </c>
      <c r="AK301" s="23" t="str">
        <f>IF(OR(AJ301="",AJ300=""),"",IF(AJ300=0,"",(AJ301/AJ300)-1))</f>
        <v/>
      </c>
      <c r="AL301" s="23" t="str">
        <f>IF(ROW()&lt;7,"",IF(OR(AJ301="",AJ298=""),"",IF(AJ298=0,"",(AJ301/AJ298)-1)))</f>
        <v/>
      </c>
      <c r="AM301" s="23" t="str">
        <f>IF(ROW()&lt;9,"",IF(OR(AJ301="",AJ296=""),"",IF(AJ296=0,"",(AJ301/AJ296)-1)))</f>
        <v/>
      </c>
      <c r="AN301" t="str">
        <f>IF(OR(AL301="",AM301=""),"",IF(AND(AL301&gt;0,AM301&gt;0),"Bull",IF(AND(AL301&lt;0,AM301&lt;0),"Bear","Mixed")))</f>
        <v/>
      </c>
      <c r="AO301" t="str">
        <f>IF(OR(AH301="",AN301=""),"",IF(AND(AH301="Bull",AN301="Bull"),"YES","NO"))</f>
        <v/>
      </c>
      <c r="AP301" t="str">
        <f>IF(OR(AH301="",AN301=""),"",IF(AND(AH301="Bear",AN301="Bear"),"YES","NO"))</f>
        <v/>
      </c>
      <c r="AQ301" t="str">
        <f>IF(AO301="YES",IF(SUM(N(X301),N(Y301),N(Z301))&gt;0,"SOXL","TQQQ"),IF(AP301="YES",IF(SUM(N(AA301),N(AB301),N(AC301))&gt;0,"SOXS","SQQQ"),"WAIT"))</f>
        <v>WAIT</v>
      </c>
      <c r="AR301" s="23" t="str">
        <f>IF(AO301="YES",IF(SUM(N(X301),N(Y301),N(Z301))&gt;0,"TQQQ","SOXL"),IF(AP301="YES",IF(SUM(N(AA301),N(AB301),N(AC301))&gt;0,"SQQQ","SOXS"),""))</f>
        <v/>
      </c>
      <c r="AS301" s="23" t="str">
        <f>IF(AQ301="WAIT","",IF(AR301="",1,0.6))</f>
        <v/>
      </c>
      <c r="AT301" s="23">
        <f>IF(AR301="",0,0.4)</f>
        <v>0</v>
      </c>
      <c r="AU301" s="23" t="str">
        <f>IF(AQ301="WAIT","WAIT",IF(AO301="YES","BULL",IF(AP301="YES","BEAR","WAIT")))</f>
        <v>WAIT</v>
      </c>
      <c r="AV301" t="str">
        <f>IF(AQ301="WAIT","Low",IF(OR(AND(AU301="BULL",ABS(SUM(N(X301),N(Y301),N(Z301)))&gt;=0.15),AND(AU301="BEAR",ABS(SUM(N(AA301),N(AB301),N(AC301)))&gt;=0.15)),"Strong",IF(OR(AND(AU301="BULL",ABS(SUM(N(X301),N(Y301),N(Z301)))&gt;=0.05),AND(AU301="BEAR",ABS(SUM(N(AA301),N(AB301),N(AC301)))&gt;=0.05)),"Moderate","Low")))</f>
        <v>Low</v>
      </c>
      <c r="AW301" t="str">
        <f>IF(AQ301="WAIT","QQQ and SMH not aligned",IF(AU301="BULL",IF(AQ301="SOXL","Bull regime; semiconductors leading","Bull regime; tech leading"),IF(AQ301="SOXS","Bear regime; semiconductors weakest","Bear regime; tech weakest")))</f>
        <v>QQQ and SMH not aligned</v>
      </c>
      <c r="AX301" t="str">
        <f>IF(AR301="WAIT","QQQ and SMH not aligned",IF(AV301="BULL",IF(AR301="SOXL","Bull regime; semiconductors leading","Bull regime; tech leading"),IF(AR301="SOXS","Bear regime; semiconductors weakest","Bear regime; tech weakest")))</f>
        <v>Bear regime; tech weakest</v>
      </c>
    </row>
    <row r="302" spans="1:50" x14ac:dyDescent="0.2">
      <c r="A302" s="12"/>
      <c r="B302" s="13"/>
      <c r="C302" s="13"/>
      <c r="D302" s="13"/>
      <c r="E302" s="13"/>
      <c r="F302" s="11" t="str">
        <f>IF(OR(E302="",E301=""),"",IF(E301=0,"",(E302/E301)-1))</f>
        <v/>
      </c>
      <c r="G302" s="13"/>
      <c r="H302" s="11" t="str">
        <f>IF(OR(G302="",G301=""),"",IF(G301=0,"",(G302/G301)-1))</f>
        <v/>
      </c>
      <c r="I302" s="13"/>
      <c r="J302" s="13"/>
      <c r="K302" s="13"/>
      <c r="L302" s="13"/>
      <c r="M302" s="23" t="str">
        <f>IF(OR(L302="",L301=""),"",IF(L301=0,"",(L302/L301)-1))</f>
        <v/>
      </c>
      <c r="N302" s="26" t="str">
        <f>IFERROR((M302/M301)-1,"")</f>
        <v/>
      </c>
      <c r="O302" s="23" t="str">
        <f>IF(OR(N302="",N301=""),"",IF(N301=0,"",(N302/N301)-1))</f>
        <v/>
      </c>
      <c r="P302" s="11" t="str">
        <f>IF(ROW()&lt;7,"",IF(OR(E302="",E299=""),"",IF(E299=0,"",(E302/E299)-1)))</f>
        <v/>
      </c>
      <c r="Q302" s="23" t="str">
        <f>IF(ROW()&lt;9,"",IF(OR(E302="",E297=""),"",IF(E297=0,"",(E302/E297)-1)))</f>
        <v/>
      </c>
      <c r="R302" s="23" t="str">
        <f>IF(ROW()&lt;7,"",IF(OR(G302="",G299=""),"",IF(G299=0,"",(G302/G299)-1)))</f>
        <v/>
      </c>
      <c r="S302" s="23" t="str">
        <f>IF(ROW()&lt;9,"",IF(OR(G302="",G297=""),"",IF(G297=0,"",(G302/G297)-1)))</f>
        <v/>
      </c>
      <c r="T302" s="23" t="str">
        <f>IF(ROW()&lt;7,"",IF(OR(L302="",L299=""),"",IF(L299=0,"",(L302/L299)-1)))</f>
        <v/>
      </c>
      <c r="U302" s="23" t="str">
        <f>IF(ROW()&lt;9,"",IF(OR(L302="",L297=""),"",IF(L297=0,"",(L302/L297)-1)))</f>
        <v/>
      </c>
      <c r="V302" s="23" t="str">
        <f>IF(ROW()&lt;7,"",IF(OR(N302="",N299=""),"",IF(N299=0,"",(N302/N299)-1)))</f>
        <v/>
      </c>
      <c r="W302" s="23" t="str">
        <f>IF(ROW()&lt;9,"",IF(OR(N302="",N297=""),"",IF(N297=0,"",(N302/N297)-1)))</f>
        <v/>
      </c>
      <c r="X302" s="23" t="str">
        <f>IF(OR(F302="",M302=""),"",F302-M302)</f>
        <v/>
      </c>
      <c r="Y302" s="23" t="str">
        <f>IF(OR(P302="",T302=""),"",P302-T302)</f>
        <v/>
      </c>
      <c r="Z302" s="23" t="str">
        <f>IF(OR(Q302="",U302=""),"",Q302-U302)</f>
        <v/>
      </c>
      <c r="AA302" s="23" t="str">
        <f>IF(OR(H302="",O302=""),"",H302-O302)</f>
        <v/>
      </c>
      <c r="AB302" s="23" t="str">
        <f>IF(OR(R302="",V302=""),"",R302-V302)</f>
        <v/>
      </c>
      <c r="AC302" s="23" t="str">
        <f>IF(OR(S302="",W302=""),"",S302-W302)</f>
        <v/>
      </c>
      <c r="AD302" s="13"/>
      <c r="AE302" s="23" t="str">
        <f>IF(OR(AD302="",AD301=""),"",IF(AD301=0,"",(AD302/AD301)-1))</f>
        <v/>
      </c>
      <c r="AF302" s="23" t="str">
        <f>IF(ROW()&lt;7,"",IF(OR(AD302="",AD299=""),"",IF(AD299=0,"",(AD302/AD299)-1)))</f>
        <v/>
      </c>
      <c r="AG302" s="23" t="str">
        <f>IF(ROW()&lt;9,"",IF(OR(AD302="",AD297=""),"",IF(AD297=0,"",(AD302/AD297)-1)))</f>
        <v/>
      </c>
      <c r="AH302" s="23" t="str">
        <f>IF(OR(AF302="",AG302=""),"",IF(AND(AF302&gt;0,AG302&gt;0),"Bull",IF(AND(AF302&lt;0,AG302&lt;0),"Bear","Mixed")))</f>
        <v/>
      </c>
      <c r="AI302" s="13"/>
      <c r="AJ302" s="13" t="str">
        <f>IF(OR(AI302="",AI301=""),"",IF(AI301=0,"",(AI302/AI301)-1))</f>
        <v/>
      </c>
      <c r="AK302" s="23" t="str">
        <f>IF(OR(AJ302="",AJ301=""),"",IF(AJ301=0,"",(AJ302/AJ301)-1))</f>
        <v/>
      </c>
      <c r="AL302" s="23" t="str">
        <f>IF(ROW()&lt;7,"",IF(OR(AJ302="",AJ299=""),"",IF(AJ299=0,"",(AJ302/AJ299)-1)))</f>
        <v/>
      </c>
      <c r="AM302" s="23" t="str">
        <f>IF(ROW()&lt;9,"",IF(OR(AJ302="",AJ297=""),"",IF(AJ297=0,"",(AJ302/AJ297)-1)))</f>
        <v/>
      </c>
      <c r="AN302" t="str">
        <f>IF(OR(AL302="",AM302=""),"",IF(AND(AL302&gt;0,AM302&gt;0),"Bull",IF(AND(AL302&lt;0,AM302&lt;0),"Bear","Mixed")))</f>
        <v/>
      </c>
      <c r="AO302" t="str">
        <f>IF(OR(AH302="",AN302=""),"",IF(AND(AH302="Bull",AN302="Bull"),"YES","NO"))</f>
        <v/>
      </c>
      <c r="AP302" t="str">
        <f>IF(OR(AH302="",AN302=""),"",IF(AND(AH302="Bear",AN302="Bear"),"YES","NO"))</f>
        <v/>
      </c>
      <c r="AQ302" t="str">
        <f>IF(AO302="YES",IF(SUM(N(X302),N(Y302),N(Z302))&gt;0,"SOXL","TQQQ"),IF(AP302="YES",IF(SUM(N(AA302),N(AB302),N(AC302))&gt;0,"SOXS","SQQQ"),"WAIT"))</f>
        <v>WAIT</v>
      </c>
      <c r="AR302" s="23" t="str">
        <f>IF(AO302="YES",IF(SUM(N(X302),N(Y302),N(Z302))&gt;0,"TQQQ","SOXL"),IF(AP302="YES",IF(SUM(N(AA302),N(AB302),N(AC302))&gt;0,"SQQQ","SOXS"),""))</f>
        <v/>
      </c>
      <c r="AS302" s="23" t="str">
        <f>IF(AQ302="WAIT","",IF(AR302="",1,0.6))</f>
        <v/>
      </c>
      <c r="AT302" s="23">
        <f>IF(AR302="",0,0.4)</f>
        <v>0</v>
      </c>
      <c r="AU302" s="23" t="str">
        <f>IF(AQ302="WAIT","WAIT",IF(AO302="YES","BULL",IF(AP302="YES","BEAR","WAIT")))</f>
        <v>WAIT</v>
      </c>
      <c r="AV302" t="str">
        <f>IF(AQ302="WAIT","Low",IF(OR(AND(AU302="BULL",ABS(SUM(N(X302),N(Y302),N(Z302)))&gt;=0.15),AND(AU302="BEAR",ABS(SUM(N(AA302),N(AB302),N(AC302)))&gt;=0.15)),"Strong",IF(OR(AND(AU302="BULL",ABS(SUM(N(X302),N(Y302),N(Z302)))&gt;=0.05),AND(AU302="BEAR",ABS(SUM(N(AA302),N(AB302),N(AC302)))&gt;=0.05)),"Moderate","Low")))</f>
        <v>Low</v>
      </c>
      <c r="AW302" t="str">
        <f>IF(AQ302="WAIT","QQQ and SMH not aligned",IF(AU302="BULL",IF(AQ302="SOXL","Bull regime; semiconductors leading","Bull regime; tech leading"),IF(AQ302="SOXS","Bear regime; semiconductors weakest","Bear regime; tech weakest")))</f>
        <v>QQQ and SMH not aligned</v>
      </c>
      <c r="AX302" t="str">
        <f>IF(AR302="WAIT","QQQ and SMH not aligned",IF(AV302="BULL",IF(AR302="SOXL","Bull regime; semiconductors leading","Bull regime; tech leading"),IF(AR302="SOXS","Bear regime; semiconductors weakest","Bear regime; tech weakest")))</f>
        <v>Bear regime; tech weakest</v>
      </c>
    </row>
    <row r="303" spans="1:50" x14ac:dyDescent="0.2">
      <c r="A303" s="12"/>
      <c r="B303" s="13"/>
      <c r="C303" s="13"/>
      <c r="D303" s="13"/>
      <c r="E303" s="13"/>
      <c r="F303" s="11" t="str">
        <f>IF(OR(E303="",E302=""),"",IF(E302=0,"",(E303/E302)-1))</f>
        <v/>
      </c>
      <c r="G303" s="13"/>
      <c r="H303" s="11" t="str">
        <f>IF(OR(G303="",G302=""),"",IF(G302=0,"",(G303/G302)-1))</f>
        <v/>
      </c>
      <c r="I303" s="13"/>
      <c r="J303" s="13"/>
      <c r="K303" s="13"/>
      <c r="L303" s="13"/>
      <c r="M303" s="23" t="str">
        <f>IF(OR(L303="",L302=""),"",IF(L302=0,"",(L303/L302)-1))</f>
        <v/>
      </c>
      <c r="N303" s="26" t="str">
        <f>IFERROR((M303/M302)-1,"")</f>
        <v/>
      </c>
      <c r="O303" s="23" t="str">
        <f>IF(OR(N303="",N302=""),"",IF(N302=0,"",(N303/N302)-1))</f>
        <v/>
      </c>
      <c r="P303" s="11" t="str">
        <f>IF(ROW()&lt;7,"",IF(OR(E303="",E300=""),"",IF(E300=0,"",(E303/E300)-1)))</f>
        <v/>
      </c>
      <c r="Q303" s="23" t="str">
        <f>IF(ROW()&lt;9,"",IF(OR(E303="",E298=""),"",IF(E298=0,"",(E303/E298)-1)))</f>
        <v/>
      </c>
      <c r="R303" s="23" t="str">
        <f>IF(ROW()&lt;7,"",IF(OR(G303="",G300=""),"",IF(G300=0,"",(G303/G300)-1)))</f>
        <v/>
      </c>
      <c r="S303" s="23" t="str">
        <f>IF(ROW()&lt;9,"",IF(OR(G303="",G298=""),"",IF(G298=0,"",(G303/G298)-1)))</f>
        <v/>
      </c>
      <c r="T303" s="23" t="str">
        <f>IF(ROW()&lt;7,"",IF(OR(L303="",L300=""),"",IF(L300=0,"",(L303/L300)-1)))</f>
        <v/>
      </c>
      <c r="U303" s="23" t="str">
        <f>IF(ROW()&lt;9,"",IF(OR(L303="",L298=""),"",IF(L298=0,"",(L303/L298)-1)))</f>
        <v/>
      </c>
      <c r="V303" s="23" t="str">
        <f>IF(ROW()&lt;7,"",IF(OR(N303="",N300=""),"",IF(N300=0,"",(N303/N300)-1)))</f>
        <v/>
      </c>
      <c r="W303" s="23" t="str">
        <f>IF(ROW()&lt;9,"",IF(OR(N303="",N298=""),"",IF(N298=0,"",(N303/N298)-1)))</f>
        <v/>
      </c>
      <c r="X303" s="23" t="str">
        <f>IF(OR(F303="",M303=""),"",F303-M303)</f>
        <v/>
      </c>
      <c r="Y303" s="23" t="str">
        <f>IF(OR(P303="",T303=""),"",P303-T303)</f>
        <v/>
      </c>
      <c r="Z303" s="23" t="str">
        <f>IF(OR(Q303="",U303=""),"",Q303-U303)</f>
        <v/>
      </c>
      <c r="AA303" s="23" t="str">
        <f>IF(OR(H303="",O303=""),"",H303-O303)</f>
        <v/>
      </c>
      <c r="AB303" s="23" t="str">
        <f>IF(OR(R303="",V303=""),"",R303-V303)</f>
        <v/>
      </c>
      <c r="AC303" s="23" t="str">
        <f>IF(OR(S303="",W303=""),"",S303-W303)</f>
        <v/>
      </c>
      <c r="AD303" s="13"/>
      <c r="AE303" s="23" t="str">
        <f>IF(OR(AD303="",AD302=""),"",IF(AD302=0,"",(AD303/AD302)-1))</f>
        <v/>
      </c>
      <c r="AF303" s="23" t="str">
        <f>IF(ROW()&lt;7,"",IF(OR(AD303="",AD300=""),"",IF(AD300=0,"",(AD303/AD300)-1)))</f>
        <v/>
      </c>
      <c r="AG303" s="23" t="str">
        <f>IF(ROW()&lt;9,"",IF(OR(AD303="",AD298=""),"",IF(AD298=0,"",(AD303/AD298)-1)))</f>
        <v/>
      </c>
      <c r="AH303" s="23" t="str">
        <f>IF(OR(AF303="",AG303=""),"",IF(AND(AF303&gt;0,AG303&gt;0),"Bull",IF(AND(AF303&lt;0,AG303&lt;0),"Bear","Mixed")))</f>
        <v/>
      </c>
      <c r="AI303" s="13"/>
      <c r="AJ303" s="13" t="str">
        <f>IF(OR(AI303="",AI302=""),"",IF(AI302=0,"",(AI303/AI302)-1))</f>
        <v/>
      </c>
      <c r="AK303" s="23" t="str">
        <f>IF(OR(AJ303="",AJ302=""),"",IF(AJ302=0,"",(AJ303/AJ302)-1))</f>
        <v/>
      </c>
      <c r="AL303" s="23" t="str">
        <f>IF(ROW()&lt;7,"",IF(OR(AJ303="",AJ300=""),"",IF(AJ300=0,"",(AJ303/AJ300)-1)))</f>
        <v/>
      </c>
      <c r="AM303" s="23" t="str">
        <f>IF(ROW()&lt;9,"",IF(OR(AJ303="",AJ298=""),"",IF(AJ298=0,"",(AJ303/AJ298)-1)))</f>
        <v/>
      </c>
      <c r="AN303" t="str">
        <f>IF(OR(AL303="",AM303=""),"",IF(AND(AL303&gt;0,AM303&gt;0),"Bull",IF(AND(AL303&lt;0,AM303&lt;0),"Bear","Mixed")))</f>
        <v/>
      </c>
      <c r="AO303" t="str">
        <f>IF(OR(AH303="",AN303=""),"",IF(AND(AH303="Bull",AN303="Bull"),"YES","NO"))</f>
        <v/>
      </c>
      <c r="AP303" t="str">
        <f>IF(OR(AH303="",AN303=""),"",IF(AND(AH303="Bear",AN303="Bear"),"YES","NO"))</f>
        <v/>
      </c>
      <c r="AQ303" t="str">
        <f>IF(AO303="YES",IF(SUM(N(X303),N(Y303),N(Z303))&gt;0,"SOXL","TQQQ"),IF(AP303="YES",IF(SUM(N(AA303),N(AB303),N(AC303))&gt;0,"SOXS","SQQQ"),"WAIT"))</f>
        <v>WAIT</v>
      </c>
      <c r="AR303" s="23" t="str">
        <f>IF(AO303="YES",IF(SUM(N(X303),N(Y303),N(Z303))&gt;0,"TQQQ","SOXL"),IF(AP303="YES",IF(SUM(N(AA303),N(AB303),N(AC303))&gt;0,"SQQQ","SOXS"),""))</f>
        <v/>
      </c>
      <c r="AS303" s="23" t="str">
        <f>IF(AQ303="WAIT","",IF(AR303="",1,0.6))</f>
        <v/>
      </c>
      <c r="AT303" s="23">
        <f>IF(AR303="",0,0.4)</f>
        <v>0</v>
      </c>
      <c r="AU303" s="23" t="str">
        <f>IF(AQ303="WAIT","WAIT",IF(AO303="YES","BULL",IF(AP303="YES","BEAR","WAIT")))</f>
        <v>WAIT</v>
      </c>
      <c r="AV303" t="str">
        <f>IF(AQ303="WAIT","Low",IF(OR(AND(AU303="BULL",ABS(SUM(N(X303),N(Y303),N(Z303)))&gt;=0.15),AND(AU303="BEAR",ABS(SUM(N(AA303),N(AB303),N(AC303)))&gt;=0.15)),"Strong",IF(OR(AND(AU303="BULL",ABS(SUM(N(X303),N(Y303),N(Z303)))&gt;=0.05),AND(AU303="BEAR",ABS(SUM(N(AA303),N(AB303),N(AC303)))&gt;=0.05)),"Moderate","Low")))</f>
        <v>Low</v>
      </c>
      <c r="AW303" t="str">
        <f>IF(AQ303="WAIT","QQQ and SMH not aligned",IF(AU303="BULL",IF(AQ303="SOXL","Bull regime; semiconductors leading","Bull regime; tech leading"),IF(AQ303="SOXS","Bear regime; semiconductors weakest","Bear regime; tech weakest")))</f>
        <v>QQQ and SMH not aligned</v>
      </c>
      <c r="AX303" t="str">
        <f>IF(AR303="WAIT","QQQ and SMH not aligned",IF(AV303="BULL",IF(AR303="SOXL","Bull regime; semiconductors leading","Bull regime; tech leading"),IF(AR303="SOXS","Bear regime; semiconductors weakest","Bear regime; tech weakest")))</f>
        <v>Bear regime; tech weakest</v>
      </c>
    </row>
    <row r="304" spans="1:50" x14ac:dyDescent="0.2">
      <c r="A304" s="12"/>
      <c r="B304" s="13"/>
      <c r="C304" s="13"/>
      <c r="D304" s="13"/>
      <c r="E304" s="13"/>
      <c r="F304" s="11" t="str">
        <f>IF(OR(E304="",E303=""),"",IF(E303=0,"",(E304/E303)-1))</f>
        <v/>
      </c>
      <c r="G304" s="13"/>
      <c r="H304" s="11" t="str">
        <f>IF(OR(G304="",G303=""),"",IF(G303=0,"",(G304/G303)-1))</f>
        <v/>
      </c>
      <c r="I304" s="13"/>
      <c r="J304" s="13"/>
      <c r="K304" s="13"/>
      <c r="L304" s="13"/>
      <c r="M304" s="23" t="str">
        <f>IF(OR(L304="",L303=""),"",IF(L303=0,"",(L304/L303)-1))</f>
        <v/>
      </c>
      <c r="N304" s="26" t="str">
        <f>IFERROR((M304/M303)-1,"")</f>
        <v/>
      </c>
      <c r="O304" s="23" t="str">
        <f>IF(OR(N304="",N303=""),"",IF(N303=0,"",(N304/N303)-1))</f>
        <v/>
      </c>
      <c r="P304" s="11" t="str">
        <f>IF(ROW()&lt;7,"",IF(OR(E304="",E301=""),"",IF(E301=0,"",(E304/E301)-1)))</f>
        <v/>
      </c>
      <c r="Q304" s="23" t="str">
        <f>IF(ROW()&lt;9,"",IF(OR(E304="",E299=""),"",IF(E299=0,"",(E304/E299)-1)))</f>
        <v/>
      </c>
      <c r="R304" s="23" t="str">
        <f>IF(ROW()&lt;7,"",IF(OR(G304="",G301=""),"",IF(G301=0,"",(G304/G301)-1)))</f>
        <v/>
      </c>
      <c r="S304" s="23" t="str">
        <f>IF(ROW()&lt;9,"",IF(OR(G304="",G299=""),"",IF(G299=0,"",(G304/G299)-1)))</f>
        <v/>
      </c>
      <c r="T304" s="23" t="str">
        <f>IF(ROW()&lt;7,"",IF(OR(L304="",L301=""),"",IF(L301=0,"",(L304/L301)-1)))</f>
        <v/>
      </c>
      <c r="U304" s="23" t="str">
        <f>IF(ROW()&lt;9,"",IF(OR(L304="",L299=""),"",IF(L299=0,"",(L304/L299)-1)))</f>
        <v/>
      </c>
      <c r="V304" s="23" t="str">
        <f>IF(ROW()&lt;7,"",IF(OR(N304="",N301=""),"",IF(N301=0,"",(N304/N301)-1)))</f>
        <v/>
      </c>
      <c r="W304" s="23" t="str">
        <f>IF(ROW()&lt;9,"",IF(OR(N304="",N299=""),"",IF(N299=0,"",(N304/N299)-1)))</f>
        <v/>
      </c>
      <c r="X304" s="23" t="str">
        <f>IF(OR(F304="",M304=""),"",F304-M304)</f>
        <v/>
      </c>
      <c r="Y304" s="23" t="str">
        <f>IF(OR(P304="",T304=""),"",P304-T304)</f>
        <v/>
      </c>
      <c r="Z304" s="23" t="str">
        <f>IF(OR(Q304="",U304=""),"",Q304-U304)</f>
        <v/>
      </c>
      <c r="AA304" s="23" t="str">
        <f>IF(OR(H304="",O304=""),"",H304-O304)</f>
        <v/>
      </c>
      <c r="AB304" s="23" t="str">
        <f>IF(OR(R304="",V304=""),"",R304-V304)</f>
        <v/>
      </c>
      <c r="AC304" s="23" t="str">
        <f>IF(OR(S304="",W304=""),"",S304-W304)</f>
        <v/>
      </c>
      <c r="AD304" s="13"/>
      <c r="AE304" s="23" t="str">
        <f>IF(OR(AD304="",AD303=""),"",IF(AD303=0,"",(AD304/AD303)-1))</f>
        <v/>
      </c>
      <c r="AF304" s="23" t="str">
        <f>IF(ROW()&lt;7,"",IF(OR(AD304="",AD301=""),"",IF(AD301=0,"",(AD304/AD301)-1)))</f>
        <v/>
      </c>
      <c r="AG304" s="23" t="str">
        <f>IF(ROW()&lt;9,"",IF(OR(AD304="",AD299=""),"",IF(AD299=0,"",(AD304/AD299)-1)))</f>
        <v/>
      </c>
      <c r="AH304" s="23" t="str">
        <f>IF(OR(AF304="",AG304=""),"",IF(AND(AF304&gt;0,AG304&gt;0),"Bull",IF(AND(AF304&lt;0,AG304&lt;0),"Bear","Mixed")))</f>
        <v/>
      </c>
      <c r="AI304" s="13"/>
      <c r="AJ304" s="13" t="str">
        <f>IF(OR(AI304="",AI303=""),"",IF(AI303=0,"",(AI304/AI303)-1))</f>
        <v/>
      </c>
      <c r="AK304" s="23" t="str">
        <f>IF(OR(AJ304="",AJ303=""),"",IF(AJ303=0,"",(AJ304/AJ303)-1))</f>
        <v/>
      </c>
      <c r="AL304" s="23" t="str">
        <f>IF(ROW()&lt;7,"",IF(OR(AJ304="",AJ301=""),"",IF(AJ301=0,"",(AJ304/AJ301)-1)))</f>
        <v/>
      </c>
      <c r="AM304" s="23" t="str">
        <f>IF(ROW()&lt;9,"",IF(OR(AJ304="",AJ299=""),"",IF(AJ299=0,"",(AJ304/AJ299)-1)))</f>
        <v/>
      </c>
      <c r="AN304" t="str">
        <f>IF(OR(AL304="",AM304=""),"",IF(AND(AL304&gt;0,AM304&gt;0),"Bull",IF(AND(AL304&lt;0,AM304&lt;0),"Bear","Mixed")))</f>
        <v/>
      </c>
      <c r="AO304" t="str">
        <f>IF(OR(AH304="",AN304=""),"",IF(AND(AH304="Bull",AN304="Bull"),"YES","NO"))</f>
        <v/>
      </c>
      <c r="AP304" t="str">
        <f>IF(OR(AH304="",AN304=""),"",IF(AND(AH304="Bear",AN304="Bear"),"YES","NO"))</f>
        <v/>
      </c>
      <c r="AQ304" t="str">
        <f>IF(AO304="YES",IF(SUM(N(X304),N(Y304),N(Z304))&gt;0,"SOXL","TQQQ"),IF(AP304="YES",IF(SUM(N(AA304),N(AB304),N(AC304))&gt;0,"SOXS","SQQQ"),"WAIT"))</f>
        <v>WAIT</v>
      </c>
      <c r="AR304" s="23" t="str">
        <f>IF(AO304="YES",IF(SUM(N(X304),N(Y304),N(Z304))&gt;0,"TQQQ","SOXL"),IF(AP304="YES",IF(SUM(N(AA304),N(AB304),N(AC304))&gt;0,"SQQQ","SOXS"),""))</f>
        <v/>
      </c>
      <c r="AS304" s="23" t="str">
        <f>IF(AQ304="WAIT","",IF(AR304="",1,0.6))</f>
        <v/>
      </c>
      <c r="AT304" s="23">
        <f>IF(AR304="",0,0.4)</f>
        <v>0</v>
      </c>
      <c r="AU304" s="23" t="str">
        <f>IF(AQ304="WAIT","WAIT",IF(AO304="YES","BULL",IF(AP304="YES","BEAR","WAIT")))</f>
        <v>WAIT</v>
      </c>
      <c r="AV304" t="str">
        <f>IF(AQ304="WAIT","Low",IF(OR(AND(AU304="BULL",ABS(SUM(N(X304),N(Y304),N(Z304)))&gt;=0.15),AND(AU304="BEAR",ABS(SUM(N(AA304),N(AB304),N(AC304)))&gt;=0.15)),"Strong",IF(OR(AND(AU304="BULL",ABS(SUM(N(X304),N(Y304),N(Z304)))&gt;=0.05),AND(AU304="BEAR",ABS(SUM(N(AA304),N(AB304),N(AC304)))&gt;=0.05)),"Moderate","Low")))</f>
        <v>Low</v>
      </c>
      <c r="AW304" t="str">
        <f>IF(AQ304="WAIT","QQQ and SMH not aligned",IF(AU304="BULL",IF(AQ304="SOXL","Bull regime; semiconductors leading","Bull regime; tech leading"),IF(AQ304="SOXS","Bear regime; semiconductors weakest","Bear regime; tech weakest")))</f>
        <v>QQQ and SMH not aligned</v>
      </c>
      <c r="AX304" t="str">
        <f>IF(AR304="WAIT","QQQ and SMH not aligned",IF(AV304="BULL",IF(AR304="SOXL","Bull regime; semiconductors leading","Bull regime; tech leading"),IF(AR304="SOXS","Bear regime; semiconductors weakest","Bear regime; tech weakest")))</f>
        <v>Bear regime; tech weakest</v>
      </c>
    </row>
    <row r="305" spans="1:50" x14ac:dyDescent="0.2">
      <c r="A305" s="12"/>
      <c r="B305" s="13"/>
      <c r="C305" s="13"/>
      <c r="D305" s="13"/>
      <c r="E305" s="13"/>
      <c r="F305" s="11" t="str">
        <f>IF(OR(E305="",E304=""),"",IF(E304=0,"",(E305/E304)-1))</f>
        <v/>
      </c>
      <c r="G305" s="13"/>
      <c r="H305" s="11" t="str">
        <f>IF(OR(G305="",G304=""),"",IF(G304=0,"",(G305/G304)-1))</f>
        <v/>
      </c>
      <c r="I305" s="13"/>
      <c r="J305" s="13"/>
      <c r="K305" s="13"/>
      <c r="L305" s="13"/>
      <c r="M305" s="23" t="str">
        <f>IF(OR(L305="",L304=""),"",IF(L304=0,"",(L305/L304)-1))</f>
        <v/>
      </c>
      <c r="N305" s="26" t="str">
        <f>IFERROR((M305/M304)-1,"")</f>
        <v/>
      </c>
      <c r="O305" s="23" t="str">
        <f>IF(OR(N305="",N304=""),"",IF(N304=0,"",(N305/N304)-1))</f>
        <v/>
      </c>
      <c r="P305" s="11" t="str">
        <f>IF(ROW()&lt;7,"",IF(OR(E305="",E302=""),"",IF(E302=0,"",(E305/E302)-1)))</f>
        <v/>
      </c>
      <c r="Q305" s="23" t="str">
        <f>IF(ROW()&lt;9,"",IF(OR(E305="",E300=""),"",IF(E300=0,"",(E305/E300)-1)))</f>
        <v/>
      </c>
      <c r="R305" s="23" t="str">
        <f>IF(ROW()&lt;7,"",IF(OR(G305="",G302=""),"",IF(G302=0,"",(G305/G302)-1)))</f>
        <v/>
      </c>
      <c r="S305" s="23" t="str">
        <f>IF(ROW()&lt;9,"",IF(OR(G305="",G300=""),"",IF(G300=0,"",(G305/G300)-1)))</f>
        <v/>
      </c>
      <c r="T305" s="23" t="str">
        <f>IF(ROW()&lt;7,"",IF(OR(L305="",L302=""),"",IF(L302=0,"",(L305/L302)-1)))</f>
        <v/>
      </c>
      <c r="U305" s="23" t="str">
        <f>IF(ROW()&lt;9,"",IF(OR(L305="",L300=""),"",IF(L300=0,"",(L305/L300)-1)))</f>
        <v/>
      </c>
      <c r="V305" s="23" t="str">
        <f>IF(ROW()&lt;7,"",IF(OR(N305="",N302=""),"",IF(N302=0,"",(N305/N302)-1)))</f>
        <v/>
      </c>
      <c r="W305" s="23" t="str">
        <f>IF(ROW()&lt;9,"",IF(OR(N305="",N300=""),"",IF(N300=0,"",(N305/N300)-1)))</f>
        <v/>
      </c>
      <c r="X305" s="23" t="str">
        <f>IF(OR(F305="",M305=""),"",F305-M305)</f>
        <v/>
      </c>
      <c r="Y305" s="23" t="str">
        <f>IF(OR(P305="",T305=""),"",P305-T305)</f>
        <v/>
      </c>
      <c r="Z305" s="23" t="str">
        <f>IF(OR(Q305="",U305=""),"",Q305-U305)</f>
        <v/>
      </c>
      <c r="AA305" s="23" t="str">
        <f>IF(OR(H305="",O305=""),"",H305-O305)</f>
        <v/>
      </c>
      <c r="AB305" s="23" t="str">
        <f>IF(OR(R305="",V305=""),"",R305-V305)</f>
        <v/>
      </c>
      <c r="AC305" s="23" t="str">
        <f>IF(OR(S305="",W305=""),"",S305-W305)</f>
        <v/>
      </c>
      <c r="AD305" s="13"/>
      <c r="AE305" s="23" t="str">
        <f>IF(OR(AD305="",AD304=""),"",IF(AD304=0,"",(AD305/AD304)-1))</f>
        <v/>
      </c>
      <c r="AF305" s="23" t="str">
        <f>IF(ROW()&lt;7,"",IF(OR(AD305="",AD302=""),"",IF(AD302=0,"",(AD305/AD302)-1)))</f>
        <v/>
      </c>
      <c r="AG305" s="23" t="str">
        <f>IF(ROW()&lt;9,"",IF(OR(AD305="",AD300=""),"",IF(AD300=0,"",(AD305/AD300)-1)))</f>
        <v/>
      </c>
      <c r="AH305" s="23" t="str">
        <f>IF(OR(AF305="",AG305=""),"",IF(AND(AF305&gt;0,AG305&gt;0),"Bull",IF(AND(AF305&lt;0,AG305&lt;0),"Bear","Mixed")))</f>
        <v/>
      </c>
      <c r="AI305" s="13"/>
      <c r="AJ305" s="13" t="str">
        <f>IF(OR(AI305="",AI304=""),"",IF(AI304=0,"",(AI305/AI304)-1))</f>
        <v/>
      </c>
      <c r="AK305" s="23" t="str">
        <f>IF(OR(AJ305="",AJ304=""),"",IF(AJ304=0,"",(AJ305/AJ304)-1))</f>
        <v/>
      </c>
      <c r="AL305" s="23" t="str">
        <f>IF(ROW()&lt;7,"",IF(OR(AJ305="",AJ302=""),"",IF(AJ302=0,"",(AJ305/AJ302)-1)))</f>
        <v/>
      </c>
      <c r="AM305" s="23" t="str">
        <f>IF(ROW()&lt;9,"",IF(OR(AJ305="",AJ300=""),"",IF(AJ300=0,"",(AJ305/AJ300)-1)))</f>
        <v/>
      </c>
      <c r="AN305" t="str">
        <f>IF(OR(AL305="",AM305=""),"",IF(AND(AL305&gt;0,AM305&gt;0),"Bull",IF(AND(AL305&lt;0,AM305&lt;0),"Bear","Mixed")))</f>
        <v/>
      </c>
      <c r="AO305" t="str">
        <f>IF(OR(AH305="",AN305=""),"",IF(AND(AH305="Bull",AN305="Bull"),"YES","NO"))</f>
        <v/>
      </c>
      <c r="AP305" t="str">
        <f>IF(OR(AH305="",AN305=""),"",IF(AND(AH305="Bear",AN305="Bear"),"YES","NO"))</f>
        <v/>
      </c>
      <c r="AQ305" t="str">
        <f>IF(AO305="YES",IF(SUM(N(X305),N(Y305),N(Z305))&gt;0,"SOXL","TQQQ"),IF(AP305="YES",IF(SUM(N(AA305),N(AB305),N(AC305))&gt;0,"SOXS","SQQQ"),"WAIT"))</f>
        <v>WAIT</v>
      </c>
      <c r="AR305" s="23" t="str">
        <f>IF(AO305="YES",IF(SUM(N(X305),N(Y305),N(Z305))&gt;0,"TQQQ","SOXL"),IF(AP305="YES",IF(SUM(N(AA305),N(AB305),N(AC305))&gt;0,"SQQQ","SOXS"),""))</f>
        <v/>
      </c>
      <c r="AS305" s="23" t="str">
        <f>IF(AQ305="WAIT","",IF(AR305="",1,0.6))</f>
        <v/>
      </c>
      <c r="AT305" s="23">
        <f>IF(AR305="",0,0.4)</f>
        <v>0</v>
      </c>
      <c r="AU305" s="23" t="str">
        <f>IF(AQ305="WAIT","WAIT",IF(AO305="YES","BULL",IF(AP305="YES","BEAR","WAIT")))</f>
        <v>WAIT</v>
      </c>
      <c r="AV305" t="str">
        <f>IF(AQ305="WAIT","Low",IF(OR(AND(AU305="BULL",ABS(SUM(N(X305),N(Y305),N(Z305)))&gt;=0.15),AND(AU305="BEAR",ABS(SUM(N(AA305),N(AB305),N(AC305)))&gt;=0.15)),"Strong",IF(OR(AND(AU305="BULL",ABS(SUM(N(X305),N(Y305),N(Z305)))&gt;=0.05),AND(AU305="BEAR",ABS(SUM(N(AA305),N(AB305),N(AC305)))&gt;=0.05)),"Moderate","Low")))</f>
        <v>Low</v>
      </c>
      <c r="AW305" t="str">
        <f>IF(AQ305="WAIT","QQQ and SMH not aligned",IF(AU305="BULL",IF(AQ305="SOXL","Bull regime; semiconductors leading","Bull regime; tech leading"),IF(AQ305="SOXS","Bear regime; semiconductors weakest","Bear regime; tech weakest")))</f>
        <v>QQQ and SMH not aligned</v>
      </c>
      <c r="AX305" t="str">
        <f>IF(AR305="WAIT","QQQ and SMH not aligned",IF(AV305="BULL",IF(AR305="SOXL","Bull regime; semiconductors leading","Bull regime; tech leading"),IF(AR305="SOXS","Bear regime; semiconductors weakest","Bear regime; tech weakest")))</f>
        <v>Bear regime; tech weakest</v>
      </c>
    </row>
    <row r="306" spans="1:50" x14ac:dyDescent="0.2">
      <c r="A306" s="12"/>
      <c r="B306" s="13"/>
      <c r="C306" s="13"/>
      <c r="D306" s="13"/>
      <c r="E306" s="13"/>
      <c r="F306" s="11" t="str">
        <f>IF(OR(E306="",E305=""),"",IF(E305=0,"",(E306/E305)-1))</f>
        <v/>
      </c>
      <c r="G306" s="13"/>
      <c r="H306" s="11" t="str">
        <f>IF(OR(G306="",G305=""),"",IF(G305=0,"",(G306/G305)-1))</f>
        <v/>
      </c>
      <c r="I306" s="13"/>
      <c r="J306" s="13"/>
      <c r="K306" s="13"/>
      <c r="L306" s="13"/>
      <c r="M306" s="23" t="str">
        <f>IF(OR(L306="",L305=""),"",IF(L305=0,"",(L306/L305)-1))</f>
        <v/>
      </c>
      <c r="N306" s="26" t="str">
        <f>IFERROR((M306/M305)-1,"")</f>
        <v/>
      </c>
      <c r="O306" s="23" t="str">
        <f>IF(OR(N306="",N305=""),"",IF(N305=0,"",(N306/N305)-1))</f>
        <v/>
      </c>
      <c r="P306" s="11" t="str">
        <f>IF(ROW()&lt;7,"",IF(OR(E306="",E303=""),"",IF(E303=0,"",(E306/E303)-1)))</f>
        <v/>
      </c>
      <c r="Q306" s="23" t="str">
        <f>IF(ROW()&lt;9,"",IF(OR(E306="",E301=""),"",IF(E301=0,"",(E306/E301)-1)))</f>
        <v/>
      </c>
      <c r="R306" s="23" t="str">
        <f>IF(ROW()&lt;7,"",IF(OR(G306="",G303=""),"",IF(G303=0,"",(G306/G303)-1)))</f>
        <v/>
      </c>
      <c r="S306" s="23" t="str">
        <f>IF(ROW()&lt;9,"",IF(OR(G306="",G301=""),"",IF(G301=0,"",(G306/G301)-1)))</f>
        <v/>
      </c>
      <c r="T306" s="23" t="str">
        <f>IF(ROW()&lt;7,"",IF(OR(L306="",L303=""),"",IF(L303=0,"",(L306/L303)-1)))</f>
        <v/>
      </c>
      <c r="U306" s="23" t="str">
        <f>IF(ROW()&lt;9,"",IF(OR(L306="",L301=""),"",IF(L301=0,"",(L306/L301)-1)))</f>
        <v/>
      </c>
      <c r="V306" s="23" t="str">
        <f>IF(ROW()&lt;7,"",IF(OR(N306="",N303=""),"",IF(N303=0,"",(N306/N303)-1)))</f>
        <v/>
      </c>
      <c r="W306" s="23" t="str">
        <f>IF(ROW()&lt;9,"",IF(OR(N306="",N301=""),"",IF(N301=0,"",(N306/N301)-1)))</f>
        <v/>
      </c>
      <c r="X306" s="23" t="str">
        <f>IF(OR(F306="",M306=""),"",F306-M306)</f>
        <v/>
      </c>
      <c r="Y306" s="23" t="str">
        <f>IF(OR(P306="",T306=""),"",P306-T306)</f>
        <v/>
      </c>
      <c r="Z306" s="23" t="str">
        <f>IF(OR(Q306="",U306=""),"",Q306-U306)</f>
        <v/>
      </c>
      <c r="AA306" s="23" t="str">
        <f>IF(OR(H306="",O306=""),"",H306-O306)</f>
        <v/>
      </c>
      <c r="AB306" s="23" t="str">
        <f>IF(OR(R306="",V306=""),"",R306-V306)</f>
        <v/>
      </c>
      <c r="AC306" s="23" t="str">
        <f>IF(OR(S306="",W306=""),"",S306-W306)</f>
        <v/>
      </c>
      <c r="AD306" s="13"/>
      <c r="AE306" s="23" t="str">
        <f>IF(OR(AD306="",AD305=""),"",IF(AD305=0,"",(AD306/AD305)-1))</f>
        <v/>
      </c>
      <c r="AF306" s="23" t="str">
        <f>IF(ROW()&lt;7,"",IF(OR(AD306="",AD303=""),"",IF(AD303=0,"",(AD306/AD303)-1)))</f>
        <v/>
      </c>
      <c r="AG306" s="23" t="str">
        <f>IF(ROW()&lt;9,"",IF(OR(AD306="",AD301=""),"",IF(AD301=0,"",(AD306/AD301)-1)))</f>
        <v/>
      </c>
      <c r="AH306" s="23" t="str">
        <f>IF(OR(AF306="",AG306=""),"",IF(AND(AF306&gt;0,AG306&gt;0),"Bull",IF(AND(AF306&lt;0,AG306&lt;0),"Bear","Mixed")))</f>
        <v/>
      </c>
      <c r="AI306" s="13"/>
      <c r="AJ306" s="13" t="str">
        <f>IF(OR(AI306="",AI305=""),"",IF(AI305=0,"",(AI306/AI305)-1))</f>
        <v/>
      </c>
      <c r="AK306" s="23" t="str">
        <f>IF(OR(AJ306="",AJ305=""),"",IF(AJ305=0,"",(AJ306/AJ305)-1))</f>
        <v/>
      </c>
      <c r="AL306" s="23" t="str">
        <f>IF(ROW()&lt;7,"",IF(OR(AJ306="",AJ303=""),"",IF(AJ303=0,"",(AJ306/AJ303)-1)))</f>
        <v/>
      </c>
      <c r="AM306" s="23" t="str">
        <f>IF(ROW()&lt;9,"",IF(OR(AJ306="",AJ301=""),"",IF(AJ301=0,"",(AJ306/AJ301)-1)))</f>
        <v/>
      </c>
      <c r="AN306" t="str">
        <f>IF(OR(AL306="",AM306=""),"",IF(AND(AL306&gt;0,AM306&gt;0),"Bull",IF(AND(AL306&lt;0,AM306&lt;0),"Bear","Mixed")))</f>
        <v/>
      </c>
      <c r="AO306" t="str">
        <f>IF(OR(AH306="",AN306=""),"",IF(AND(AH306="Bull",AN306="Bull"),"YES","NO"))</f>
        <v/>
      </c>
      <c r="AP306" t="str">
        <f>IF(OR(AH306="",AN306=""),"",IF(AND(AH306="Bear",AN306="Bear"),"YES","NO"))</f>
        <v/>
      </c>
      <c r="AQ306" t="str">
        <f>IF(AO306="YES",IF(SUM(N(X306),N(Y306),N(Z306))&gt;0,"SOXL","TQQQ"),IF(AP306="YES",IF(SUM(N(AA306),N(AB306),N(AC306))&gt;0,"SOXS","SQQQ"),"WAIT"))</f>
        <v>WAIT</v>
      </c>
      <c r="AR306" s="23" t="str">
        <f>IF(AO306="YES",IF(SUM(N(X306),N(Y306),N(Z306))&gt;0,"TQQQ","SOXL"),IF(AP306="YES",IF(SUM(N(AA306),N(AB306),N(AC306))&gt;0,"SQQQ","SOXS"),""))</f>
        <v/>
      </c>
      <c r="AS306" s="23" t="str">
        <f>IF(AQ306="WAIT","",IF(AR306="",1,0.6))</f>
        <v/>
      </c>
      <c r="AT306" s="23">
        <f>IF(AR306="",0,0.4)</f>
        <v>0</v>
      </c>
      <c r="AU306" s="23" t="str">
        <f>IF(AQ306="WAIT","WAIT",IF(AO306="YES","BULL",IF(AP306="YES","BEAR","WAIT")))</f>
        <v>WAIT</v>
      </c>
      <c r="AV306" t="str">
        <f>IF(AQ306="WAIT","Low",IF(OR(AND(AU306="BULL",ABS(SUM(N(X306),N(Y306),N(Z306)))&gt;=0.15),AND(AU306="BEAR",ABS(SUM(N(AA306),N(AB306),N(AC306)))&gt;=0.15)),"Strong",IF(OR(AND(AU306="BULL",ABS(SUM(N(X306),N(Y306),N(Z306)))&gt;=0.05),AND(AU306="BEAR",ABS(SUM(N(AA306),N(AB306),N(AC306)))&gt;=0.05)),"Moderate","Low")))</f>
        <v>Low</v>
      </c>
      <c r="AW306" t="str">
        <f>IF(AQ306="WAIT","QQQ and SMH not aligned",IF(AU306="BULL",IF(AQ306="SOXL","Bull regime; semiconductors leading","Bull regime; tech leading"),IF(AQ306="SOXS","Bear regime; semiconductors weakest","Bear regime; tech weakest")))</f>
        <v>QQQ and SMH not aligned</v>
      </c>
      <c r="AX306" t="str">
        <f>IF(AR306="WAIT","QQQ and SMH not aligned",IF(AV306="BULL",IF(AR306="SOXL","Bull regime; semiconductors leading","Bull regime; tech leading"),IF(AR306="SOXS","Bear regime; semiconductors weakest","Bear regime; tech weakest")))</f>
        <v>Bear regime; tech weakest</v>
      </c>
    </row>
    <row r="307" spans="1:50" x14ac:dyDescent="0.2">
      <c r="A307" s="12"/>
      <c r="B307" s="13"/>
      <c r="C307" s="13"/>
      <c r="D307" s="13"/>
      <c r="E307" s="13"/>
      <c r="F307" s="11" t="str">
        <f>IF(OR(E307="",E306=""),"",IF(E306=0,"",(E307/E306)-1))</f>
        <v/>
      </c>
      <c r="G307" s="13"/>
      <c r="H307" s="11" t="str">
        <f>IF(OR(G307="",G306=""),"",IF(G306=0,"",(G307/G306)-1))</f>
        <v/>
      </c>
      <c r="I307" s="13"/>
      <c r="J307" s="13"/>
      <c r="K307" s="13"/>
      <c r="L307" s="13"/>
      <c r="M307" s="23" t="str">
        <f>IF(OR(L307="",L306=""),"",IF(L306=0,"",(L307/L306)-1))</f>
        <v/>
      </c>
      <c r="N307" s="26" t="str">
        <f>IFERROR((M307/M306)-1,"")</f>
        <v/>
      </c>
      <c r="O307" s="23" t="str">
        <f>IF(OR(N307="",N306=""),"",IF(N306=0,"",(N307/N306)-1))</f>
        <v/>
      </c>
      <c r="P307" s="11" t="str">
        <f>IF(ROW()&lt;7,"",IF(OR(E307="",E304=""),"",IF(E304=0,"",(E307/E304)-1)))</f>
        <v/>
      </c>
      <c r="Q307" s="23" t="str">
        <f>IF(ROW()&lt;9,"",IF(OR(E307="",E302=""),"",IF(E302=0,"",(E307/E302)-1)))</f>
        <v/>
      </c>
      <c r="R307" s="23" t="str">
        <f>IF(ROW()&lt;7,"",IF(OR(G307="",G304=""),"",IF(G304=0,"",(G307/G304)-1)))</f>
        <v/>
      </c>
      <c r="S307" s="23" t="str">
        <f>IF(ROW()&lt;9,"",IF(OR(G307="",G302=""),"",IF(G302=0,"",(G307/G302)-1)))</f>
        <v/>
      </c>
      <c r="T307" s="23" t="str">
        <f>IF(ROW()&lt;7,"",IF(OR(L307="",L304=""),"",IF(L304=0,"",(L307/L304)-1)))</f>
        <v/>
      </c>
      <c r="U307" s="23" t="str">
        <f>IF(ROW()&lt;9,"",IF(OR(L307="",L302=""),"",IF(L302=0,"",(L307/L302)-1)))</f>
        <v/>
      </c>
      <c r="V307" s="23" t="str">
        <f>IF(ROW()&lt;7,"",IF(OR(N307="",N304=""),"",IF(N304=0,"",(N307/N304)-1)))</f>
        <v/>
      </c>
      <c r="W307" s="23" t="str">
        <f>IF(ROW()&lt;9,"",IF(OR(N307="",N302=""),"",IF(N302=0,"",(N307/N302)-1)))</f>
        <v/>
      </c>
      <c r="X307" s="23" t="str">
        <f>IF(OR(F307="",M307=""),"",F307-M307)</f>
        <v/>
      </c>
      <c r="Y307" s="23" t="str">
        <f>IF(OR(P307="",T307=""),"",P307-T307)</f>
        <v/>
      </c>
      <c r="Z307" s="23" t="str">
        <f>IF(OR(Q307="",U307=""),"",Q307-U307)</f>
        <v/>
      </c>
      <c r="AA307" s="23" t="str">
        <f>IF(OR(H307="",O307=""),"",H307-O307)</f>
        <v/>
      </c>
      <c r="AB307" s="23" t="str">
        <f>IF(OR(R307="",V307=""),"",R307-V307)</f>
        <v/>
      </c>
      <c r="AC307" s="23" t="str">
        <f>IF(OR(S307="",W307=""),"",S307-W307)</f>
        <v/>
      </c>
      <c r="AD307" s="13"/>
      <c r="AE307" s="23" t="str">
        <f>IF(OR(AD307="",AD306=""),"",IF(AD306=0,"",(AD307/AD306)-1))</f>
        <v/>
      </c>
      <c r="AF307" s="23" t="str">
        <f>IF(ROW()&lt;7,"",IF(OR(AD307="",AD304=""),"",IF(AD304=0,"",(AD307/AD304)-1)))</f>
        <v/>
      </c>
      <c r="AG307" s="23" t="str">
        <f>IF(ROW()&lt;9,"",IF(OR(AD307="",AD302=""),"",IF(AD302=0,"",(AD307/AD302)-1)))</f>
        <v/>
      </c>
      <c r="AH307" s="23" t="str">
        <f>IF(OR(AF307="",AG307=""),"",IF(AND(AF307&gt;0,AG307&gt;0),"Bull",IF(AND(AF307&lt;0,AG307&lt;0),"Bear","Mixed")))</f>
        <v/>
      </c>
      <c r="AI307" s="13"/>
      <c r="AJ307" s="13" t="str">
        <f>IF(OR(AI307="",AI306=""),"",IF(AI306=0,"",(AI307/AI306)-1))</f>
        <v/>
      </c>
      <c r="AK307" s="23" t="str">
        <f>IF(OR(AJ307="",AJ306=""),"",IF(AJ306=0,"",(AJ307/AJ306)-1))</f>
        <v/>
      </c>
      <c r="AL307" s="23" t="str">
        <f>IF(ROW()&lt;7,"",IF(OR(AJ307="",AJ304=""),"",IF(AJ304=0,"",(AJ307/AJ304)-1)))</f>
        <v/>
      </c>
      <c r="AM307" s="23" t="str">
        <f>IF(ROW()&lt;9,"",IF(OR(AJ307="",AJ302=""),"",IF(AJ302=0,"",(AJ307/AJ302)-1)))</f>
        <v/>
      </c>
      <c r="AN307" t="str">
        <f>IF(OR(AL307="",AM307=""),"",IF(AND(AL307&gt;0,AM307&gt;0),"Bull",IF(AND(AL307&lt;0,AM307&lt;0),"Bear","Mixed")))</f>
        <v/>
      </c>
      <c r="AO307" t="str">
        <f>IF(OR(AH307="",AN307=""),"",IF(AND(AH307="Bull",AN307="Bull"),"YES","NO"))</f>
        <v/>
      </c>
      <c r="AP307" t="str">
        <f>IF(OR(AH307="",AN307=""),"",IF(AND(AH307="Bear",AN307="Bear"),"YES","NO"))</f>
        <v/>
      </c>
      <c r="AQ307" t="str">
        <f>IF(AO307="YES",IF(SUM(N(X307),N(Y307),N(Z307))&gt;0,"SOXL","TQQQ"),IF(AP307="YES",IF(SUM(N(AA307),N(AB307),N(AC307))&gt;0,"SOXS","SQQQ"),"WAIT"))</f>
        <v>WAIT</v>
      </c>
      <c r="AR307" s="23" t="str">
        <f>IF(AO307="YES",IF(SUM(N(X307),N(Y307),N(Z307))&gt;0,"TQQQ","SOXL"),IF(AP307="YES",IF(SUM(N(AA307),N(AB307),N(AC307))&gt;0,"SQQQ","SOXS"),""))</f>
        <v/>
      </c>
      <c r="AS307" s="23" t="str">
        <f>IF(AQ307="WAIT","",IF(AR307="",1,0.6))</f>
        <v/>
      </c>
      <c r="AT307" s="23">
        <f>IF(AR307="",0,0.4)</f>
        <v>0</v>
      </c>
      <c r="AU307" s="23" t="str">
        <f>IF(AQ307="WAIT","WAIT",IF(AO307="YES","BULL",IF(AP307="YES","BEAR","WAIT")))</f>
        <v>WAIT</v>
      </c>
      <c r="AV307" t="str">
        <f>IF(AQ307="WAIT","Low",IF(OR(AND(AU307="BULL",ABS(SUM(N(X307),N(Y307),N(Z307)))&gt;=0.15),AND(AU307="BEAR",ABS(SUM(N(AA307),N(AB307),N(AC307)))&gt;=0.15)),"Strong",IF(OR(AND(AU307="BULL",ABS(SUM(N(X307),N(Y307),N(Z307)))&gt;=0.05),AND(AU307="BEAR",ABS(SUM(N(AA307),N(AB307),N(AC307)))&gt;=0.05)),"Moderate","Low")))</f>
        <v>Low</v>
      </c>
      <c r="AW307" t="str">
        <f>IF(AQ307="WAIT","QQQ and SMH not aligned",IF(AU307="BULL",IF(AQ307="SOXL","Bull regime; semiconductors leading","Bull regime; tech leading"),IF(AQ307="SOXS","Bear regime; semiconductors weakest","Bear regime; tech weakest")))</f>
        <v>QQQ and SMH not aligned</v>
      </c>
      <c r="AX307" t="str">
        <f>IF(AR307="WAIT","QQQ and SMH not aligned",IF(AV307="BULL",IF(AR307="SOXL","Bull regime; semiconductors leading","Bull regime; tech leading"),IF(AR307="SOXS","Bear regime; semiconductors weakest","Bear regime; tech weakest")))</f>
        <v>Bear regime; tech weakest</v>
      </c>
    </row>
    <row r="308" spans="1:50" x14ac:dyDescent="0.2">
      <c r="A308" s="12"/>
      <c r="B308" s="13"/>
      <c r="C308" s="13"/>
      <c r="D308" s="13"/>
      <c r="E308" s="13"/>
      <c r="F308" s="11" t="str">
        <f>IF(OR(E308="",E307=""),"",IF(E307=0,"",(E308/E307)-1))</f>
        <v/>
      </c>
      <c r="G308" s="13"/>
      <c r="H308" s="11" t="str">
        <f>IF(OR(G308="",G307=""),"",IF(G307=0,"",(G308/G307)-1))</f>
        <v/>
      </c>
      <c r="I308" s="13"/>
      <c r="J308" s="13"/>
      <c r="K308" s="13"/>
      <c r="L308" s="13"/>
      <c r="M308" s="23" t="str">
        <f>IF(OR(L308="",L307=""),"",IF(L307=0,"",(L308/L307)-1))</f>
        <v/>
      </c>
      <c r="N308" s="26" t="str">
        <f>IFERROR((M308/M307)-1,"")</f>
        <v/>
      </c>
      <c r="O308" s="23" t="str">
        <f>IF(OR(N308="",N307=""),"",IF(N307=0,"",(N308/N307)-1))</f>
        <v/>
      </c>
      <c r="P308" s="11" t="str">
        <f>IF(ROW()&lt;7,"",IF(OR(E308="",E305=""),"",IF(E305=0,"",(E308/E305)-1)))</f>
        <v/>
      </c>
      <c r="Q308" s="23" t="str">
        <f>IF(ROW()&lt;9,"",IF(OR(E308="",E303=""),"",IF(E303=0,"",(E308/E303)-1)))</f>
        <v/>
      </c>
      <c r="R308" s="23" t="str">
        <f>IF(ROW()&lt;7,"",IF(OR(G308="",G305=""),"",IF(G305=0,"",(G308/G305)-1)))</f>
        <v/>
      </c>
      <c r="S308" s="23" t="str">
        <f>IF(ROW()&lt;9,"",IF(OR(G308="",G303=""),"",IF(G303=0,"",(G308/G303)-1)))</f>
        <v/>
      </c>
      <c r="T308" s="23" t="str">
        <f>IF(ROW()&lt;7,"",IF(OR(L308="",L305=""),"",IF(L305=0,"",(L308/L305)-1)))</f>
        <v/>
      </c>
      <c r="U308" s="23" t="str">
        <f>IF(ROW()&lt;9,"",IF(OR(L308="",L303=""),"",IF(L303=0,"",(L308/L303)-1)))</f>
        <v/>
      </c>
      <c r="V308" s="23" t="str">
        <f>IF(ROW()&lt;7,"",IF(OR(N308="",N305=""),"",IF(N305=0,"",(N308/N305)-1)))</f>
        <v/>
      </c>
      <c r="W308" s="23" t="str">
        <f>IF(ROW()&lt;9,"",IF(OR(N308="",N303=""),"",IF(N303=0,"",(N308/N303)-1)))</f>
        <v/>
      </c>
      <c r="X308" s="23" t="str">
        <f>IF(OR(F308="",M308=""),"",F308-M308)</f>
        <v/>
      </c>
      <c r="Y308" s="23" t="str">
        <f>IF(OR(P308="",T308=""),"",P308-T308)</f>
        <v/>
      </c>
      <c r="Z308" s="23" t="str">
        <f>IF(OR(Q308="",U308=""),"",Q308-U308)</f>
        <v/>
      </c>
      <c r="AA308" s="23" t="str">
        <f>IF(OR(H308="",O308=""),"",H308-O308)</f>
        <v/>
      </c>
      <c r="AB308" s="23" t="str">
        <f>IF(OR(R308="",V308=""),"",R308-V308)</f>
        <v/>
      </c>
      <c r="AC308" s="23" t="str">
        <f>IF(OR(S308="",W308=""),"",S308-W308)</f>
        <v/>
      </c>
      <c r="AD308" s="13"/>
      <c r="AE308" s="23" t="str">
        <f>IF(OR(AD308="",AD307=""),"",IF(AD307=0,"",(AD308/AD307)-1))</f>
        <v/>
      </c>
      <c r="AF308" s="23" t="str">
        <f>IF(ROW()&lt;7,"",IF(OR(AD308="",AD305=""),"",IF(AD305=0,"",(AD308/AD305)-1)))</f>
        <v/>
      </c>
      <c r="AG308" s="23" t="str">
        <f>IF(ROW()&lt;9,"",IF(OR(AD308="",AD303=""),"",IF(AD303=0,"",(AD308/AD303)-1)))</f>
        <v/>
      </c>
      <c r="AH308" s="23" t="str">
        <f>IF(OR(AF308="",AG308=""),"",IF(AND(AF308&gt;0,AG308&gt;0),"Bull",IF(AND(AF308&lt;0,AG308&lt;0),"Bear","Mixed")))</f>
        <v/>
      </c>
      <c r="AI308" s="13"/>
      <c r="AJ308" s="13" t="str">
        <f>IF(OR(AI308="",AI307=""),"",IF(AI307=0,"",(AI308/AI307)-1))</f>
        <v/>
      </c>
      <c r="AK308" s="23" t="str">
        <f>IF(OR(AJ308="",AJ307=""),"",IF(AJ307=0,"",(AJ308/AJ307)-1))</f>
        <v/>
      </c>
      <c r="AL308" s="23" t="str">
        <f>IF(ROW()&lt;7,"",IF(OR(AJ308="",AJ305=""),"",IF(AJ305=0,"",(AJ308/AJ305)-1)))</f>
        <v/>
      </c>
      <c r="AM308" s="23" t="str">
        <f>IF(ROW()&lt;9,"",IF(OR(AJ308="",AJ303=""),"",IF(AJ303=0,"",(AJ308/AJ303)-1)))</f>
        <v/>
      </c>
      <c r="AN308" t="str">
        <f>IF(OR(AL308="",AM308=""),"",IF(AND(AL308&gt;0,AM308&gt;0),"Bull",IF(AND(AL308&lt;0,AM308&lt;0),"Bear","Mixed")))</f>
        <v/>
      </c>
      <c r="AO308" t="str">
        <f>IF(OR(AH308="",AN308=""),"",IF(AND(AH308="Bull",AN308="Bull"),"YES","NO"))</f>
        <v/>
      </c>
      <c r="AP308" t="str">
        <f>IF(OR(AH308="",AN308=""),"",IF(AND(AH308="Bear",AN308="Bear"),"YES","NO"))</f>
        <v/>
      </c>
      <c r="AQ308" t="str">
        <f>IF(AO308="YES",IF(SUM(N(X308),N(Y308),N(Z308))&gt;0,"SOXL","TQQQ"),IF(AP308="YES",IF(SUM(N(AA308),N(AB308),N(AC308))&gt;0,"SOXS","SQQQ"),"WAIT"))</f>
        <v>WAIT</v>
      </c>
      <c r="AR308" s="23" t="str">
        <f>IF(AO308="YES",IF(SUM(N(X308),N(Y308),N(Z308))&gt;0,"TQQQ","SOXL"),IF(AP308="YES",IF(SUM(N(AA308),N(AB308),N(AC308))&gt;0,"SQQQ","SOXS"),""))</f>
        <v/>
      </c>
      <c r="AS308" s="23" t="str">
        <f>IF(AQ308="WAIT","",IF(AR308="",1,0.6))</f>
        <v/>
      </c>
      <c r="AT308" s="23">
        <f>IF(AR308="",0,0.4)</f>
        <v>0</v>
      </c>
      <c r="AU308" s="23" t="str">
        <f>IF(AQ308="WAIT","WAIT",IF(AO308="YES","BULL",IF(AP308="YES","BEAR","WAIT")))</f>
        <v>WAIT</v>
      </c>
      <c r="AV308" t="str">
        <f>IF(AQ308="WAIT","Low",IF(OR(AND(AU308="BULL",ABS(SUM(N(X308),N(Y308),N(Z308)))&gt;=0.15),AND(AU308="BEAR",ABS(SUM(N(AA308),N(AB308),N(AC308)))&gt;=0.15)),"Strong",IF(OR(AND(AU308="BULL",ABS(SUM(N(X308),N(Y308),N(Z308)))&gt;=0.05),AND(AU308="BEAR",ABS(SUM(N(AA308),N(AB308),N(AC308)))&gt;=0.05)),"Moderate","Low")))</f>
        <v>Low</v>
      </c>
      <c r="AW308" t="str">
        <f>IF(AQ308="WAIT","QQQ and SMH not aligned",IF(AU308="BULL",IF(AQ308="SOXL","Bull regime; semiconductors leading","Bull regime; tech leading"),IF(AQ308="SOXS","Bear regime; semiconductors weakest","Bear regime; tech weakest")))</f>
        <v>QQQ and SMH not aligned</v>
      </c>
      <c r="AX308" t="str">
        <f>IF(AR308="WAIT","QQQ and SMH not aligned",IF(AV308="BULL",IF(AR308="SOXL","Bull regime; semiconductors leading","Bull regime; tech leading"),IF(AR308="SOXS","Bear regime; semiconductors weakest","Bear regime; tech weakest")))</f>
        <v>Bear regime; tech weakest</v>
      </c>
    </row>
    <row r="309" spans="1:50" x14ac:dyDescent="0.2">
      <c r="A309" s="12"/>
      <c r="B309" s="13"/>
      <c r="C309" s="13"/>
      <c r="D309" s="13"/>
      <c r="E309" s="13"/>
      <c r="F309" s="11" t="str">
        <f>IF(OR(E309="",E308=""),"",IF(E308=0,"",(E309/E308)-1))</f>
        <v/>
      </c>
      <c r="G309" s="13"/>
      <c r="H309" s="11" t="str">
        <f>IF(OR(G309="",G308=""),"",IF(G308=0,"",(G309/G308)-1))</f>
        <v/>
      </c>
      <c r="I309" s="13"/>
      <c r="J309" s="13"/>
      <c r="K309" s="13"/>
      <c r="L309" s="13"/>
      <c r="M309" s="23" t="str">
        <f>IF(OR(L309="",L308=""),"",IF(L308=0,"",(L309/L308)-1))</f>
        <v/>
      </c>
      <c r="N309" s="26" t="str">
        <f>IFERROR((M309/M308)-1,"")</f>
        <v/>
      </c>
      <c r="O309" s="23" t="str">
        <f>IF(OR(N309="",N308=""),"",IF(N308=0,"",(N309/N308)-1))</f>
        <v/>
      </c>
      <c r="P309" s="11" t="str">
        <f>IF(ROW()&lt;7,"",IF(OR(E309="",E306=""),"",IF(E306=0,"",(E309/E306)-1)))</f>
        <v/>
      </c>
      <c r="Q309" s="23" t="str">
        <f>IF(ROW()&lt;9,"",IF(OR(E309="",E304=""),"",IF(E304=0,"",(E309/E304)-1)))</f>
        <v/>
      </c>
      <c r="R309" s="23" t="str">
        <f>IF(ROW()&lt;7,"",IF(OR(G309="",G306=""),"",IF(G306=0,"",(G309/G306)-1)))</f>
        <v/>
      </c>
      <c r="S309" s="23" t="str">
        <f>IF(ROW()&lt;9,"",IF(OR(G309="",G304=""),"",IF(G304=0,"",(G309/G304)-1)))</f>
        <v/>
      </c>
      <c r="T309" s="23" t="str">
        <f>IF(ROW()&lt;7,"",IF(OR(L309="",L306=""),"",IF(L306=0,"",(L309/L306)-1)))</f>
        <v/>
      </c>
      <c r="U309" s="23" t="str">
        <f>IF(ROW()&lt;9,"",IF(OR(L309="",L304=""),"",IF(L304=0,"",(L309/L304)-1)))</f>
        <v/>
      </c>
      <c r="V309" s="23" t="str">
        <f>IF(ROW()&lt;7,"",IF(OR(N309="",N306=""),"",IF(N306=0,"",(N309/N306)-1)))</f>
        <v/>
      </c>
      <c r="W309" s="23" t="str">
        <f>IF(ROW()&lt;9,"",IF(OR(N309="",N304=""),"",IF(N304=0,"",(N309/N304)-1)))</f>
        <v/>
      </c>
      <c r="X309" s="23" t="str">
        <f>IF(OR(F309="",M309=""),"",F309-M309)</f>
        <v/>
      </c>
      <c r="Y309" s="23" t="str">
        <f>IF(OR(P309="",T309=""),"",P309-T309)</f>
        <v/>
      </c>
      <c r="Z309" s="23" t="str">
        <f>IF(OR(Q309="",U309=""),"",Q309-U309)</f>
        <v/>
      </c>
      <c r="AA309" s="23" t="str">
        <f>IF(OR(H309="",O309=""),"",H309-O309)</f>
        <v/>
      </c>
      <c r="AB309" s="23" t="str">
        <f>IF(OR(R309="",V309=""),"",R309-V309)</f>
        <v/>
      </c>
      <c r="AC309" s="23" t="str">
        <f>IF(OR(S309="",W309=""),"",S309-W309)</f>
        <v/>
      </c>
      <c r="AD309" s="13"/>
      <c r="AE309" s="23" t="str">
        <f>IF(OR(AD309="",AD308=""),"",IF(AD308=0,"",(AD309/AD308)-1))</f>
        <v/>
      </c>
      <c r="AF309" s="23" t="str">
        <f>IF(ROW()&lt;7,"",IF(OR(AD309="",AD306=""),"",IF(AD306=0,"",(AD309/AD306)-1)))</f>
        <v/>
      </c>
      <c r="AG309" s="23" t="str">
        <f>IF(ROW()&lt;9,"",IF(OR(AD309="",AD304=""),"",IF(AD304=0,"",(AD309/AD304)-1)))</f>
        <v/>
      </c>
      <c r="AH309" s="23" t="str">
        <f>IF(OR(AF309="",AG309=""),"",IF(AND(AF309&gt;0,AG309&gt;0),"Bull",IF(AND(AF309&lt;0,AG309&lt;0),"Bear","Mixed")))</f>
        <v/>
      </c>
      <c r="AI309" s="13"/>
      <c r="AJ309" s="13" t="str">
        <f>IF(OR(AI309="",AI308=""),"",IF(AI308=0,"",(AI309/AI308)-1))</f>
        <v/>
      </c>
      <c r="AK309" s="23" t="str">
        <f>IF(OR(AJ309="",AJ308=""),"",IF(AJ308=0,"",(AJ309/AJ308)-1))</f>
        <v/>
      </c>
      <c r="AL309" s="23" t="str">
        <f>IF(ROW()&lt;7,"",IF(OR(AJ309="",AJ306=""),"",IF(AJ306=0,"",(AJ309/AJ306)-1)))</f>
        <v/>
      </c>
      <c r="AM309" s="23" t="str">
        <f>IF(ROW()&lt;9,"",IF(OR(AJ309="",AJ304=""),"",IF(AJ304=0,"",(AJ309/AJ304)-1)))</f>
        <v/>
      </c>
      <c r="AN309" t="str">
        <f>IF(OR(AL309="",AM309=""),"",IF(AND(AL309&gt;0,AM309&gt;0),"Bull",IF(AND(AL309&lt;0,AM309&lt;0),"Bear","Mixed")))</f>
        <v/>
      </c>
      <c r="AO309" t="str">
        <f>IF(OR(AH309="",AN309=""),"",IF(AND(AH309="Bull",AN309="Bull"),"YES","NO"))</f>
        <v/>
      </c>
      <c r="AP309" t="str">
        <f>IF(OR(AH309="",AN309=""),"",IF(AND(AH309="Bear",AN309="Bear"),"YES","NO"))</f>
        <v/>
      </c>
      <c r="AQ309" t="str">
        <f>IF(AO309="YES",IF(SUM(N(X309),N(Y309),N(Z309))&gt;0,"SOXL","TQQQ"),IF(AP309="YES",IF(SUM(N(AA309),N(AB309),N(AC309))&gt;0,"SOXS","SQQQ"),"WAIT"))</f>
        <v>WAIT</v>
      </c>
      <c r="AR309" s="23" t="str">
        <f>IF(AO309="YES",IF(SUM(N(X309),N(Y309),N(Z309))&gt;0,"TQQQ","SOXL"),IF(AP309="YES",IF(SUM(N(AA309),N(AB309),N(AC309))&gt;0,"SQQQ","SOXS"),""))</f>
        <v/>
      </c>
      <c r="AS309" s="23" t="str">
        <f>IF(AQ309="WAIT","",IF(AR309="",1,0.6))</f>
        <v/>
      </c>
      <c r="AT309" s="23">
        <f>IF(AR309="",0,0.4)</f>
        <v>0</v>
      </c>
      <c r="AU309" s="23" t="str">
        <f>IF(AQ309="WAIT","WAIT",IF(AO309="YES","BULL",IF(AP309="YES","BEAR","WAIT")))</f>
        <v>WAIT</v>
      </c>
      <c r="AV309" t="str">
        <f>IF(AQ309="WAIT","Low",IF(OR(AND(AU309="BULL",ABS(SUM(N(X309),N(Y309),N(Z309)))&gt;=0.15),AND(AU309="BEAR",ABS(SUM(N(AA309),N(AB309),N(AC309)))&gt;=0.15)),"Strong",IF(OR(AND(AU309="BULL",ABS(SUM(N(X309),N(Y309),N(Z309)))&gt;=0.05),AND(AU309="BEAR",ABS(SUM(N(AA309),N(AB309),N(AC309)))&gt;=0.05)),"Moderate","Low")))</f>
        <v>Low</v>
      </c>
      <c r="AW309" t="str">
        <f>IF(AQ309="WAIT","QQQ and SMH not aligned",IF(AU309="BULL",IF(AQ309="SOXL","Bull regime; semiconductors leading","Bull regime; tech leading"),IF(AQ309="SOXS","Bear regime; semiconductors weakest","Bear regime; tech weakest")))</f>
        <v>QQQ and SMH not aligned</v>
      </c>
      <c r="AX309" t="str">
        <f>IF(AR309="WAIT","QQQ and SMH not aligned",IF(AV309="BULL",IF(AR309="SOXL","Bull regime; semiconductors leading","Bull regime; tech leading"),IF(AR309="SOXS","Bear regime; semiconductors weakest","Bear regime; tech weakest")))</f>
        <v>Bear regime; tech weakest</v>
      </c>
    </row>
    <row r="310" spans="1:50" x14ac:dyDescent="0.2">
      <c r="A310" s="12"/>
      <c r="B310" s="13"/>
      <c r="C310" s="13"/>
      <c r="D310" s="13"/>
      <c r="E310" s="13"/>
      <c r="F310" s="11" t="str">
        <f>IF(OR(E310="",E309=""),"",IF(E309=0,"",(E310/E309)-1))</f>
        <v/>
      </c>
      <c r="G310" s="13"/>
      <c r="H310" s="11" t="str">
        <f>IF(OR(G310="",G309=""),"",IF(G309=0,"",(G310/G309)-1))</f>
        <v/>
      </c>
      <c r="I310" s="13"/>
      <c r="J310" s="13"/>
      <c r="K310" s="13"/>
      <c r="L310" s="13"/>
      <c r="M310" s="23" t="str">
        <f>IF(OR(L310="",L309=""),"",IF(L309=0,"",(L310/L309)-1))</f>
        <v/>
      </c>
      <c r="N310" s="26" t="str">
        <f>IFERROR((M310/M309)-1,"")</f>
        <v/>
      </c>
      <c r="O310" s="23" t="str">
        <f>IF(OR(N310="",N309=""),"",IF(N309=0,"",(N310/N309)-1))</f>
        <v/>
      </c>
      <c r="P310" s="11" t="str">
        <f>IF(ROW()&lt;7,"",IF(OR(E310="",E307=""),"",IF(E307=0,"",(E310/E307)-1)))</f>
        <v/>
      </c>
      <c r="Q310" s="23" t="str">
        <f>IF(ROW()&lt;9,"",IF(OR(E310="",E305=""),"",IF(E305=0,"",(E310/E305)-1)))</f>
        <v/>
      </c>
      <c r="R310" s="23" t="str">
        <f>IF(ROW()&lt;7,"",IF(OR(G310="",G307=""),"",IF(G307=0,"",(G310/G307)-1)))</f>
        <v/>
      </c>
      <c r="S310" s="23" t="str">
        <f>IF(ROW()&lt;9,"",IF(OR(G310="",G305=""),"",IF(G305=0,"",(G310/G305)-1)))</f>
        <v/>
      </c>
      <c r="T310" s="23" t="str">
        <f>IF(ROW()&lt;7,"",IF(OR(L310="",L307=""),"",IF(L307=0,"",(L310/L307)-1)))</f>
        <v/>
      </c>
      <c r="U310" s="23" t="str">
        <f>IF(ROW()&lt;9,"",IF(OR(L310="",L305=""),"",IF(L305=0,"",(L310/L305)-1)))</f>
        <v/>
      </c>
      <c r="V310" s="23" t="str">
        <f>IF(ROW()&lt;7,"",IF(OR(N310="",N307=""),"",IF(N307=0,"",(N310/N307)-1)))</f>
        <v/>
      </c>
      <c r="W310" s="23" t="str">
        <f>IF(ROW()&lt;9,"",IF(OR(N310="",N305=""),"",IF(N305=0,"",(N310/N305)-1)))</f>
        <v/>
      </c>
      <c r="X310" s="23" t="str">
        <f>IF(OR(F310="",M310=""),"",F310-M310)</f>
        <v/>
      </c>
      <c r="Y310" s="23" t="str">
        <f>IF(OR(P310="",T310=""),"",P310-T310)</f>
        <v/>
      </c>
      <c r="Z310" s="23" t="str">
        <f>IF(OR(Q310="",U310=""),"",Q310-U310)</f>
        <v/>
      </c>
      <c r="AA310" s="23" t="str">
        <f>IF(OR(H310="",O310=""),"",H310-O310)</f>
        <v/>
      </c>
      <c r="AB310" s="23" t="str">
        <f>IF(OR(R310="",V310=""),"",R310-V310)</f>
        <v/>
      </c>
      <c r="AC310" s="23" t="str">
        <f>IF(OR(S310="",W310=""),"",S310-W310)</f>
        <v/>
      </c>
      <c r="AD310" s="13"/>
      <c r="AE310" s="23" t="str">
        <f>IF(OR(AD310="",AD309=""),"",IF(AD309=0,"",(AD310/AD309)-1))</f>
        <v/>
      </c>
      <c r="AF310" s="23" t="str">
        <f>IF(ROW()&lt;7,"",IF(OR(AD310="",AD307=""),"",IF(AD307=0,"",(AD310/AD307)-1)))</f>
        <v/>
      </c>
      <c r="AG310" s="23" t="str">
        <f>IF(ROW()&lt;9,"",IF(OR(AD310="",AD305=""),"",IF(AD305=0,"",(AD310/AD305)-1)))</f>
        <v/>
      </c>
      <c r="AH310" s="23" t="str">
        <f>IF(OR(AF310="",AG310=""),"",IF(AND(AF310&gt;0,AG310&gt;0),"Bull",IF(AND(AF310&lt;0,AG310&lt;0),"Bear","Mixed")))</f>
        <v/>
      </c>
      <c r="AI310" s="13"/>
      <c r="AJ310" s="13" t="str">
        <f>IF(OR(AI310="",AI309=""),"",IF(AI309=0,"",(AI310/AI309)-1))</f>
        <v/>
      </c>
      <c r="AK310" s="23" t="str">
        <f>IF(OR(AJ310="",AJ309=""),"",IF(AJ309=0,"",(AJ310/AJ309)-1))</f>
        <v/>
      </c>
      <c r="AL310" s="23" t="str">
        <f>IF(ROW()&lt;7,"",IF(OR(AJ310="",AJ307=""),"",IF(AJ307=0,"",(AJ310/AJ307)-1)))</f>
        <v/>
      </c>
      <c r="AM310" s="23" t="str">
        <f>IF(ROW()&lt;9,"",IF(OR(AJ310="",AJ305=""),"",IF(AJ305=0,"",(AJ310/AJ305)-1)))</f>
        <v/>
      </c>
      <c r="AN310" t="str">
        <f>IF(OR(AL310="",AM310=""),"",IF(AND(AL310&gt;0,AM310&gt;0),"Bull",IF(AND(AL310&lt;0,AM310&lt;0),"Bear","Mixed")))</f>
        <v/>
      </c>
      <c r="AO310" t="str">
        <f>IF(OR(AH310="",AN310=""),"",IF(AND(AH310="Bull",AN310="Bull"),"YES","NO"))</f>
        <v/>
      </c>
      <c r="AP310" t="str">
        <f>IF(OR(AH310="",AN310=""),"",IF(AND(AH310="Bear",AN310="Bear"),"YES","NO"))</f>
        <v/>
      </c>
      <c r="AQ310" t="str">
        <f>IF(AO310="YES",IF(SUM(N(X310),N(Y310),N(Z310))&gt;0,"SOXL","TQQQ"),IF(AP310="YES",IF(SUM(N(AA310),N(AB310),N(AC310))&gt;0,"SOXS","SQQQ"),"WAIT"))</f>
        <v>WAIT</v>
      </c>
      <c r="AR310" s="23" t="str">
        <f>IF(AO310="YES",IF(SUM(N(X310),N(Y310),N(Z310))&gt;0,"TQQQ","SOXL"),IF(AP310="YES",IF(SUM(N(AA310),N(AB310),N(AC310))&gt;0,"SQQQ","SOXS"),""))</f>
        <v/>
      </c>
      <c r="AS310" s="23" t="str">
        <f>IF(AQ310="WAIT","",IF(AR310="",1,0.6))</f>
        <v/>
      </c>
      <c r="AT310" s="23">
        <f>IF(AR310="",0,0.4)</f>
        <v>0</v>
      </c>
      <c r="AU310" s="23" t="str">
        <f>IF(AQ310="WAIT","WAIT",IF(AO310="YES","BULL",IF(AP310="YES","BEAR","WAIT")))</f>
        <v>WAIT</v>
      </c>
      <c r="AV310" t="str">
        <f>IF(AQ310="WAIT","Low",IF(OR(AND(AU310="BULL",ABS(SUM(N(X310),N(Y310),N(Z310)))&gt;=0.15),AND(AU310="BEAR",ABS(SUM(N(AA310),N(AB310),N(AC310)))&gt;=0.15)),"Strong",IF(OR(AND(AU310="BULL",ABS(SUM(N(X310),N(Y310),N(Z310)))&gt;=0.05),AND(AU310="BEAR",ABS(SUM(N(AA310),N(AB310),N(AC310)))&gt;=0.05)),"Moderate","Low")))</f>
        <v>Low</v>
      </c>
      <c r="AW310" t="str">
        <f>IF(AQ310="WAIT","QQQ and SMH not aligned",IF(AU310="BULL",IF(AQ310="SOXL","Bull regime; semiconductors leading","Bull regime; tech leading"),IF(AQ310="SOXS","Bear regime; semiconductors weakest","Bear regime; tech weakest")))</f>
        <v>QQQ and SMH not aligned</v>
      </c>
      <c r="AX310" t="str">
        <f>IF(AR310="WAIT","QQQ and SMH not aligned",IF(AV310="BULL",IF(AR310="SOXL","Bull regime; semiconductors leading","Bull regime; tech leading"),IF(AR310="SOXS","Bear regime; semiconductors weakest","Bear regime; tech weakest")))</f>
        <v>Bear regime; tech weakest</v>
      </c>
    </row>
    <row r="311" spans="1:50" x14ac:dyDescent="0.2">
      <c r="A311" s="12"/>
      <c r="B311" s="13"/>
      <c r="C311" s="13"/>
      <c r="D311" s="13"/>
      <c r="E311" s="13"/>
      <c r="F311" s="11" t="str">
        <f>IF(OR(E311="",E310=""),"",IF(E310=0,"",(E311/E310)-1))</f>
        <v/>
      </c>
      <c r="G311" s="13"/>
      <c r="H311" s="11" t="str">
        <f>IF(OR(G311="",G310=""),"",IF(G310=0,"",(G311/G310)-1))</f>
        <v/>
      </c>
      <c r="I311" s="13"/>
      <c r="J311" s="13"/>
      <c r="K311" s="13"/>
      <c r="L311" s="13"/>
      <c r="M311" s="23" t="str">
        <f>IF(OR(L311="",L310=""),"",IF(L310=0,"",(L311/L310)-1))</f>
        <v/>
      </c>
      <c r="N311" s="26" t="str">
        <f>IFERROR((M311/M310)-1,"")</f>
        <v/>
      </c>
      <c r="O311" s="23" t="str">
        <f>IF(OR(N311="",N310=""),"",IF(N310=0,"",(N311/N310)-1))</f>
        <v/>
      </c>
      <c r="P311" s="11" t="str">
        <f>IF(ROW()&lt;7,"",IF(OR(E311="",E308=""),"",IF(E308=0,"",(E311/E308)-1)))</f>
        <v/>
      </c>
      <c r="Q311" s="23" t="str">
        <f>IF(ROW()&lt;9,"",IF(OR(E311="",E306=""),"",IF(E306=0,"",(E311/E306)-1)))</f>
        <v/>
      </c>
      <c r="R311" s="23" t="str">
        <f>IF(ROW()&lt;7,"",IF(OR(G311="",G308=""),"",IF(G308=0,"",(G311/G308)-1)))</f>
        <v/>
      </c>
      <c r="S311" s="23" t="str">
        <f>IF(ROW()&lt;9,"",IF(OR(G311="",G306=""),"",IF(G306=0,"",(G311/G306)-1)))</f>
        <v/>
      </c>
      <c r="T311" s="23" t="str">
        <f>IF(ROW()&lt;7,"",IF(OR(L311="",L308=""),"",IF(L308=0,"",(L311/L308)-1)))</f>
        <v/>
      </c>
      <c r="U311" s="23" t="str">
        <f>IF(ROW()&lt;9,"",IF(OR(L311="",L306=""),"",IF(L306=0,"",(L311/L306)-1)))</f>
        <v/>
      </c>
      <c r="V311" s="23" t="str">
        <f>IF(ROW()&lt;7,"",IF(OR(N311="",N308=""),"",IF(N308=0,"",(N311/N308)-1)))</f>
        <v/>
      </c>
      <c r="W311" s="23" t="str">
        <f>IF(ROW()&lt;9,"",IF(OR(N311="",N306=""),"",IF(N306=0,"",(N311/N306)-1)))</f>
        <v/>
      </c>
      <c r="X311" s="23" t="str">
        <f>IF(OR(F311="",M311=""),"",F311-M311)</f>
        <v/>
      </c>
      <c r="Y311" s="23" t="str">
        <f>IF(OR(P311="",T311=""),"",P311-T311)</f>
        <v/>
      </c>
      <c r="Z311" s="23" t="str">
        <f>IF(OR(Q311="",U311=""),"",Q311-U311)</f>
        <v/>
      </c>
      <c r="AA311" s="23" t="str">
        <f>IF(OR(H311="",O311=""),"",H311-O311)</f>
        <v/>
      </c>
      <c r="AB311" s="23" t="str">
        <f>IF(OR(R311="",V311=""),"",R311-V311)</f>
        <v/>
      </c>
      <c r="AC311" s="23" t="str">
        <f>IF(OR(S311="",W311=""),"",S311-W311)</f>
        <v/>
      </c>
      <c r="AD311" s="13"/>
      <c r="AE311" s="23" t="str">
        <f>IF(OR(AD311="",AD310=""),"",IF(AD310=0,"",(AD311/AD310)-1))</f>
        <v/>
      </c>
      <c r="AF311" s="23" t="str">
        <f>IF(ROW()&lt;7,"",IF(OR(AD311="",AD308=""),"",IF(AD308=0,"",(AD311/AD308)-1)))</f>
        <v/>
      </c>
      <c r="AG311" s="23" t="str">
        <f>IF(ROW()&lt;9,"",IF(OR(AD311="",AD306=""),"",IF(AD306=0,"",(AD311/AD306)-1)))</f>
        <v/>
      </c>
      <c r="AH311" s="23" t="str">
        <f>IF(OR(AF311="",AG311=""),"",IF(AND(AF311&gt;0,AG311&gt;0),"Bull",IF(AND(AF311&lt;0,AG311&lt;0),"Bear","Mixed")))</f>
        <v/>
      </c>
      <c r="AI311" s="13"/>
      <c r="AJ311" s="13" t="str">
        <f>IF(OR(AI311="",AI310=""),"",IF(AI310=0,"",(AI311/AI310)-1))</f>
        <v/>
      </c>
      <c r="AK311" s="23" t="str">
        <f>IF(OR(AJ311="",AJ310=""),"",IF(AJ310=0,"",(AJ311/AJ310)-1))</f>
        <v/>
      </c>
      <c r="AL311" s="23" t="str">
        <f>IF(ROW()&lt;7,"",IF(OR(AJ311="",AJ308=""),"",IF(AJ308=0,"",(AJ311/AJ308)-1)))</f>
        <v/>
      </c>
      <c r="AM311" s="23" t="str">
        <f>IF(ROW()&lt;9,"",IF(OR(AJ311="",AJ306=""),"",IF(AJ306=0,"",(AJ311/AJ306)-1)))</f>
        <v/>
      </c>
      <c r="AN311" t="str">
        <f>IF(OR(AL311="",AM311=""),"",IF(AND(AL311&gt;0,AM311&gt;0),"Bull",IF(AND(AL311&lt;0,AM311&lt;0),"Bear","Mixed")))</f>
        <v/>
      </c>
      <c r="AO311" t="str">
        <f>IF(OR(AH311="",AN311=""),"",IF(AND(AH311="Bull",AN311="Bull"),"YES","NO"))</f>
        <v/>
      </c>
      <c r="AP311" t="str">
        <f>IF(OR(AH311="",AN311=""),"",IF(AND(AH311="Bear",AN311="Bear"),"YES","NO"))</f>
        <v/>
      </c>
      <c r="AQ311" t="str">
        <f>IF(AO311="YES",IF(SUM(N(X311),N(Y311),N(Z311))&gt;0,"SOXL","TQQQ"),IF(AP311="YES",IF(SUM(N(AA311),N(AB311),N(AC311))&gt;0,"SOXS","SQQQ"),"WAIT"))</f>
        <v>WAIT</v>
      </c>
      <c r="AR311" s="23" t="str">
        <f>IF(AO311="YES",IF(SUM(N(X311),N(Y311),N(Z311))&gt;0,"TQQQ","SOXL"),IF(AP311="YES",IF(SUM(N(AA311),N(AB311),N(AC311))&gt;0,"SQQQ","SOXS"),""))</f>
        <v/>
      </c>
      <c r="AS311" s="23" t="str">
        <f>IF(AQ311="WAIT","",IF(AR311="",1,0.6))</f>
        <v/>
      </c>
      <c r="AT311" s="23">
        <f>IF(AR311="",0,0.4)</f>
        <v>0</v>
      </c>
      <c r="AU311" s="23" t="str">
        <f>IF(AQ311="WAIT","WAIT",IF(AO311="YES","BULL",IF(AP311="YES","BEAR","WAIT")))</f>
        <v>WAIT</v>
      </c>
      <c r="AV311" t="str">
        <f>IF(AQ311="WAIT","Low",IF(OR(AND(AU311="BULL",ABS(SUM(N(X311),N(Y311),N(Z311)))&gt;=0.15),AND(AU311="BEAR",ABS(SUM(N(AA311),N(AB311),N(AC311)))&gt;=0.15)),"Strong",IF(OR(AND(AU311="BULL",ABS(SUM(N(X311),N(Y311),N(Z311)))&gt;=0.05),AND(AU311="BEAR",ABS(SUM(N(AA311),N(AB311),N(AC311)))&gt;=0.05)),"Moderate","Low")))</f>
        <v>Low</v>
      </c>
      <c r="AW311" t="str">
        <f>IF(AQ311="WAIT","QQQ and SMH not aligned",IF(AU311="BULL",IF(AQ311="SOXL","Bull regime; semiconductors leading","Bull regime; tech leading"),IF(AQ311="SOXS","Bear regime; semiconductors weakest","Bear regime; tech weakest")))</f>
        <v>QQQ and SMH not aligned</v>
      </c>
      <c r="AX311" t="str">
        <f>IF(AR311="WAIT","QQQ and SMH not aligned",IF(AV311="BULL",IF(AR311="SOXL","Bull regime; semiconductors leading","Bull regime; tech leading"),IF(AR311="SOXS","Bear regime; semiconductors weakest","Bear regime; tech weakest")))</f>
        <v>Bear regime; tech weakest</v>
      </c>
    </row>
    <row r="312" spans="1:50" x14ac:dyDescent="0.2">
      <c r="A312" s="12"/>
      <c r="B312" s="13"/>
      <c r="C312" s="13"/>
      <c r="D312" s="13"/>
      <c r="E312" s="13"/>
      <c r="F312" s="11" t="str">
        <f>IF(OR(E312="",E311=""),"",IF(E311=0,"",(E312/E311)-1))</f>
        <v/>
      </c>
      <c r="G312" s="13"/>
      <c r="H312" s="11" t="str">
        <f>IF(OR(G312="",G311=""),"",IF(G311=0,"",(G312/G311)-1))</f>
        <v/>
      </c>
      <c r="I312" s="13"/>
      <c r="J312" s="13"/>
      <c r="K312" s="13"/>
      <c r="L312" s="13"/>
      <c r="M312" s="23" t="str">
        <f>IF(OR(L312="",L311=""),"",IF(L311=0,"",(L312/L311)-1))</f>
        <v/>
      </c>
      <c r="N312" s="26" t="str">
        <f>IFERROR((M312/M311)-1,"")</f>
        <v/>
      </c>
      <c r="O312" s="23" t="str">
        <f>IF(OR(N312="",N311=""),"",IF(N311=0,"",(N312/N311)-1))</f>
        <v/>
      </c>
      <c r="P312" s="11" t="str">
        <f>IF(ROW()&lt;7,"",IF(OR(E312="",E309=""),"",IF(E309=0,"",(E312/E309)-1)))</f>
        <v/>
      </c>
      <c r="Q312" s="23" t="str">
        <f>IF(ROW()&lt;9,"",IF(OR(E312="",E307=""),"",IF(E307=0,"",(E312/E307)-1)))</f>
        <v/>
      </c>
      <c r="R312" s="23" t="str">
        <f>IF(ROW()&lt;7,"",IF(OR(G312="",G309=""),"",IF(G309=0,"",(G312/G309)-1)))</f>
        <v/>
      </c>
      <c r="S312" s="23" t="str">
        <f>IF(ROW()&lt;9,"",IF(OR(G312="",G307=""),"",IF(G307=0,"",(G312/G307)-1)))</f>
        <v/>
      </c>
      <c r="T312" s="23" t="str">
        <f>IF(ROW()&lt;7,"",IF(OR(L312="",L309=""),"",IF(L309=0,"",(L312/L309)-1)))</f>
        <v/>
      </c>
      <c r="U312" s="23" t="str">
        <f>IF(ROW()&lt;9,"",IF(OR(L312="",L307=""),"",IF(L307=0,"",(L312/L307)-1)))</f>
        <v/>
      </c>
      <c r="V312" s="23" t="str">
        <f>IF(ROW()&lt;7,"",IF(OR(N312="",N309=""),"",IF(N309=0,"",(N312/N309)-1)))</f>
        <v/>
      </c>
      <c r="W312" s="23" t="str">
        <f>IF(ROW()&lt;9,"",IF(OR(N312="",N307=""),"",IF(N307=0,"",(N312/N307)-1)))</f>
        <v/>
      </c>
      <c r="X312" s="23" t="str">
        <f>IF(OR(F312="",M312=""),"",F312-M312)</f>
        <v/>
      </c>
      <c r="Y312" s="23" t="str">
        <f>IF(OR(P312="",T312=""),"",P312-T312)</f>
        <v/>
      </c>
      <c r="Z312" s="23" t="str">
        <f>IF(OR(Q312="",U312=""),"",Q312-U312)</f>
        <v/>
      </c>
      <c r="AA312" s="23" t="str">
        <f>IF(OR(H312="",O312=""),"",H312-O312)</f>
        <v/>
      </c>
      <c r="AB312" s="23" t="str">
        <f>IF(OR(R312="",V312=""),"",R312-V312)</f>
        <v/>
      </c>
      <c r="AC312" s="23" t="str">
        <f>IF(OR(S312="",W312=""),"",S312-W312)</f>
        <v/>
      </c>
      <c r="AD312" s="13"/>
      <c r="AE312" s="23" t="str">
        <f>IF(OR(AD312="",AD311=""),"",IF(AD311=0,"",(AD312/AD311)-1))</f>
        <v/>
      </c>
      <c r="AF312" s="23" t="str">
        <f>IF(ROW()&lt;7,"",IF(OR(AD312="",AD309=""),"",IF(AD309=0,"",(AD312/AD309)-1)))</f>
        <v/>
      </c>
      <c r="AG312" s="23" t="str">
        <f>IF(ROW()&lt;9,"",IF(OR(AD312="",AD307=""),"",IF(AD307=0,"",(AD312/AD307)-1)))</f>
        <v/>
      </c>
      <c r="AH312" s="23" t="str">
        <f>IF(OR(AF312="",AG312=""),"",IF(AND(AF312&gt;0,AG312&gt;0),"Bull",IF(AND(AF312&lt;0,AG312&lt;0),"Bear","Mixed")))</f>
        <v/>
      </c>
      <c r="AI312" s="13"/>
      <c r="AJ312" s="13" t="str">
        <f>IF(OR(AI312="",AI311=""),"",IF(AI311=0,"",(AI312/AI311)-1))</f>
        <v/>
      </c>
      <c r="AK312" s="23" t="str">
        <f>IF(OR(AJ312="",AJ311=""),"",IF(AJ311=0,"",(AJ312/AJ311)-1))</f>
        <v/>
      </c>
      <c r="AL312" s="23" t="str">
        <f>IF(ROW()&lt;7,"",IF(OR(AJ312="",AJ309=""),"",IF(AJ309=0,"",(AJ312/AJ309)-1)))</f>
        <v/>
      </c>
      <c r="AM312" s="23" t="str">
        <f>IF(ROW()&lt;9,"",IF(OR(AJ312="",AJ307=""),"",IF(AJ307=0,"",(AJ312/AJ307)-1)))</f>
        <v/>
      </c>
      <c r="AN312" t="str">
        <f>IF(OR(AL312="",AM312=""),"",IF(AND(AL312&gt;0,AM312&gt;0),"Bull",IF(AND(AL312&lt;0,AM312&lt;0),"Bear","Mixed")))</f>
        <v/>
      </c>
      <c r="AO312" t="str">
        <f>IF(OR(AH312="",AN312=""),"",IF(AND(AH312="Bull",AN312="Bull"),"YES","NO"))</f>
        <v/>
      </c>
      <c r="AP312" t="str">
        <f>IF(OR(AH312="",AN312=""),"",IF(AND(AH312="Bear",AN312="Bear"),"YES","NO"))</f>
        <v/>
      </c>
      <c r="AQ312" t="str">
        <f>IF(AO312="YES",IF(SUM(N(X312),N(Y312),N(Z312))&gt;0,"SOXL","TQQQ"),IF(AP312="YES",IF(SUM(N(AA312),N(AB312),N(AC312))&gt;0,"SOXS","SQQQ"),"WAIT"))</f>
        <v>WAIT</v>
      </c>
      <c r="AR312" s="23" t="str">
        <f>IF(AO312="YES",IF(SUM(N(X312),N(Y312),N(Z312))&gt;0,"TQQQ","SOXL"),IF(AP312="YES",IF(SUM(N(AA312),N(AB312),N(AC312))&gt;0,"SQQQ","SOXS"),""))</f>
        <v/>
      </c>
      <c r="AS312" s="23" t="str">
        <f>IF(AQ312="WAIT","",IF(AR312="",1,0.6))</f>
        <v/>
      </c>
      <c r="AT312" s="23">
        <f>IF(AR312="",0,0.4)</f>
        <v>0</v>
      </c>
      <c r="AU312" s="23" t="str">
        <f>IF(AQ312="WAIT","WAIT",IF(AO312="YES","BULL",IF(AP312="YES","BEAR","WAIT")))</f>
        <v>WAIT</v>
      </c>
      <c r="AV312" t="str">
        <f>IF(AQ312="WAIT","Low",IF(OR(AND(AU312="BULL",ABS(SUM(N(X312),N(Y312),N(Z312)))&gt;=0.15),AND(AU312="BEAR",ABS(SUM(N(AA312),N(AB312),N(AC312)))&gt;=0.15)),"Strong",IF(OR(AND(AU312="BULL",ABS(SUM(N(X312),N(Y312),N(Z312)))&gt;=0.05),AND(AU312="BEAR",ABS(SUM(N(AA312),N(AB312),N(AC312)))&gt;=0.05)),"Moderate","Low")))</f>
        <v>Low</v>
      </c>
      <c r="AW312" t="str">
        <f>IF(AQ312="WAIT","QQQ and SMH not aligned",IF(AU312="BULL",IF(AQ312="SOXL","Bull regime; semiconductors leading","Bull regime; tech leading"),IF(AQ312="SOXS","Bear regime; semiconductors weakest","Bear regime; tech weakest")))</f>
        <v>QQQ and SMH not aligned</v>
      </c>
      <c r="AX312" t="str">
        <f>IF(AR312="WAIT","QQQ and SMH not aligned",IF(AV312="BULL",IF(AR312="SOXL","Bull regime; semiconductors leading","Bull regime; tech leading"),IF(AR312="SOXS","Bear regime; semiconductors weakest","Bear regime; tech weakest")))</f>
        <v>Bear regime; tech weakest</v>
      </c>
    </row>
    <row r="313" spans="1:50" x14ac:dyDescent="0.2">
      <c r="A313" s="12"/>
      <c r="B313" s="13"/>
      <c r="C313" s="13"/>
      <c r="D313" s="13"/>
      <c r="E313" s="13"/>
      <c r="F313" s="11" t="str">
        <f>IF(OR(E313="",E312=""),"",IF(E312=0,"",(E313/E312)-1))</f>
        <v/>
      </c>
      <c r="G313" s="13"/>
      <c r="H313" s="11" t="str">
        <f>IF(OR(G313="",G312=""),"",IF(G312=0,"",(G313/G312)-1))</f>
        <v/>
      </c>
      <c r="I313" s="13"/>
      <c r="J313" s="13"/>
      <c r="K313" s="13"/>
      <c r="L313" s="13"/>
      <c r="M313" s="23" t="str">
        <f>IF(OR(L313="",L312=""),"",IF(L312=0,"",(L313/L312)-1))</f>
        <v/>
      </c>
      <c r="N313" s="26" t="str">
        <f>IFERROR((M313/M312)-1,"")</f>
        <v/>
      </c>
      <c r="O313" s="23" t="str">
        <f>IF(OR(N313="",N312=""),"",IF(N312=0,"",(N313/N312)-1))</f>
        <v/>
      </c>
      <c r="P313" s="11" t="str">
        <f>IF(ROW()&lt;7,"",IF(OR(E313="",E310=""),"",IF(E310=0,"",(E313/E310)-1)))</f>
        <v/>
      </c>
      <c r="Q313" s="23" t="str">
        <f>IF(ROW()&lt;9,"",IF(OR(E313="",E308=""),"",IF(E308=0,"",(E313/E308)-1)))</f>
        <v/>
      </c>
      <c r="R313" s="23" t="str">
        <f>IF(ROW()&lt;7,"",IF(OR(G313="",G310=""),"",IF(G310=0,"",(G313/G310)-1)))</f>
        <v/>
      </c>
      <c r="S313" s="23" t="str">
        <f>IF(ROW()&lt;9,"",IF(OR(G313="",G308=""),"",IF(G308=0,"",(G313/G308)-1)))</f>
        <v/>
      </c>
      <c r="T313" s="23" t="str">
        <f>IF(ROW()&lt;7,"",IF(OR(L313="",L310=""),"",IF(L310=0,"",(L313/L310)-1)))</f>
        <v/>
      </c>
      <c r="U313" s="23" t="str">
        <f>IF(ROW()&lt;9,"",IF(OR(L313="",L308=""),"",IF(L308=0,"",(L313/L308)-1)))</f>
        <v/>
      </c>
      <c r="V313" s="23" t="str">
        <f>IF(ROW()&lt;7,"",IF(OR(N313="",N310=""),"",IF(N310=0,"",(N313/N310)-1)))</f>
        <v/>
      </c>
      <c r="W313" s="23" t="str">
        <f>IF(ROW()&lt;9,"",IF(OR(N313="",N308=""),"",IF(N308=0,"",(N313/N308)-1)))</f>
        <v/>
      </c>
      <c r="X313" s="23" t="str">
        <f>IF(OR(F313="",M313=""),"",F313-M313)</f>
        <v/>
      </c>
      <c r="Y313" s="23" t="str">
        <f>IF(OR(P313="",T313=""),"",P313-T313)</f>
        <v/>
      </c>
      <c r="Z313" s="23" t="str">
        <f>IF(OR(Q313="",U313=""),"",Q313-U313)</f>
        <v/>
      </c>
      <c r="AA313" s="23" t="str">
        <f>IF(OR(H313="",O313=""),"",H313-O313)</f>
        <v/>
      </c>
      <c r="AB313" s="23" t="str">
        <f>IF(OR(R313="",V313=""),"",R313-V313)</f>
        <v/>
      </c>
      <c r="AC313" s="23" t="str">
        <f>IF(OR(S313="",W313=""),"",S313-W313)</f>
        <v/>
      </c>
      <c r="AD313" s="13"/>
      <c r="AE313" s="23" t="str">
        <f>IF(OR(AD313="",AD312=""),"",IF(AD312=0,"",(AD313/AD312)-1))</f>
        <v/>
      </c>
      <c r="AF313" s="23" t="str">
        <f>IF(ROW()&lt;7,"",IF(OR(AD313="",AD310=""),"",IF(AD310=0,"",(AD313/AD310)-1)))</f>
        <v/>
      </c>
      <c r="AG313" s="23" t="str">
        <f>IF(ROW()&lt;9,"",IF(OR(AD313="",AD308=""),"",IF(AD308=0,"",(AD313/AD308)-1)))</f>
        <v/>
      </c>
      <c r="AH313" s="23" t="str">
        <f>IF(OR(AF313="",AG313=""),"",IF(AND(AF313&gt;0,AG313&gt;0),"Bull",IF(AND(AF313&lt;0,AG313&lt;0),"Bear","Mixed")))</f>
        <v/>
      </c>
      <c r="AI313" s="13"/>
      <c r="AJ313" s="13" t="str">
        <f>IF(OR(AI313="",AI312=""),"",IF(AI312=0,"",(AI313/AI312)-1))</f>
        <v/>
      </c>
      <c r="AK313" s="23" t="str">
        <f>IF(OR(AJ313="",AJ312=""),"",IF(AJ312=0,"",(AJ313/AJ312)-1))</f>
        <v/>
      </c>
      <c r="AL313" s="23" t="str">
        <f>IF(ROW()&lt;7,"",IF(OR(AJ313="",AJ310=""),"",IF(AJ310=0,"",(AJ313/AJ310)-1)))</f>
        <v/>
      </c>
      <c r="AM313" s="23" t="str">
        <f>IF(ROW()&lt;9,"",IF(OR(AJ313="",AJ308=""),"",IF(AJ308=0,"",(AJ313/AJ308)-1)))</f>
        <v/>
      </c>
      <c r="AN313" t="str">
        <f>IF(OR(AL313="",AM313=""),"",IF(AND(AL313&gt;0,AM313&gt;0),"Bull",IF(AND(AL313&lt;0,AM313&lt;0),"Bear","Mixed")))</f>
        <v/>
      </c>
      <c r="AO313" t="str">
        <f>IF(OR(AH313="",AN313=""),"",IF(AND(AH313="Bull",AN313="Bull"),"YES","NO"))</f>
        <v/>
      </c>
      <c r="AP313" t="str">
        <f>IF(OR(AH313="",AN313=""),"",IF(AND(AH313="Bear",AN313="Bear"),"YES","NO"))</f>
        <v/>
      </c>
      <c r="AQ313" t="str">
        <f>IF(AO313="YES",IF(SUM(N(X313),N(Y313),N(Z313))&gt;0,"SOXL","TQQQ"),IF(AP313="YES",IF(SUM(N(AA313),N(AB313),N(AC313))&gt;0,"SOXS","SQQQ"),"WAIT"))</f>
        <v>WAIT</v>
      </c>
      <c r="AR313" s="23" t="str">
        <f>IF(AO313="YES",IF(SUM(N(X313),N(Y313),N(Z313))&gt;0,"TQQQ","SOXL"),IF(AP313="YES",IF(SUM(N(AA313),N(AB313),N(AC313))&gt;0,"SQQQ","SOXS"),""))</f>
        <v/>
      </c>
      <c r="AS313" s="23" t="str">
        <f>IF(AQ313="WAIT","",IF(AR313="",1,0.6))</f>
        <v/>
      </c>
      <c r="AT313" s="23">
        <f>IF(AR313="",0,0.4)</f>
        <v>0</v>
      </c>
      <c r="AU313" s="23" t="str">
        <f>IF(AQ313="WAIT","WAIT",IF(AO313="YES","BULL",IF(AP313="YES","BEAR","WAIT")))</f>
        <v>WAIT</v>
      </c>
      <c r="AV313" t="str">
        <f>IF(AQ313="WAIT","Low",IF(OR(AND(AU313="BULL",ABS(SUM(N(X313),N(Y313),N(Z313)))&gt;=0.15),AND(AU313="BEAR",ABS(SUM(N(AA313),N(AB313),N(AC313)))&gt;=0.15)),"Strong",IF(OR(AND(AU313="BULL",ABS(SUM(N(X313),N(Y313),N(Z313)))&gt;=0.05),AND(AU313="BEAR",ABS(SUM(N(AA313),N(AB313),N(AC313)))&gt;=0.05)),"Moderate","Low")))</f>
        <v>Low</v>
      </c>
      <c r="AW313" t="str">
        <f>IF(AQ313="WAIT","QQQ and SMH not aligned",IF(AU313="BULL",IF(AQ313="SOXL","Bull regime; semiconductors leading","Bull regime; tech leading"),IF(AQ313="SOXS","Bear regime; semiconductors weakest","Bear regime; tech weakest")))</f>
        <v>QQQ and SMH not aligned</v>
      </c>
      <c r="AX313" t="str">
        <f>IF(AR313="WAIT","QQQ and SMH not aligned",IF(AV313="BULL",IF(AR313="SOXL","Bull regime; semiconductors leading","Bull regime; tech leading"),IF(AR313="SOXS","Bear regime; semiconductors weakest","Bear regime; tech weakest")))</f>
        <v>Bear regime; tech weakest</v>
      </c>
    </row>
    <row r="314" spans="1:50" x14ac:dyDescent="0.2">
      <c r="A314" s="12"/>
      <c r="B314" s="13"/>
      <c r="C314" s="13"/>
      <c r="D314" s="13"/>
      <c r="E314" s="13"/>
      <c r="F314" s="11" t="str">
        <f>IF(OR(E314="",E313=""),"",IF(E313=0,"",(E314/E313)-1))</f>
        <v/>
      </c>
      <c r="G314" s="13"/>
      <c r="H314" s="11" t="str">
        <f>IF(OR(G314="",G313=""),"",IF(G313=0,"",(G314/G313)-1))</f>
        <v/>
      </c>
      <c r="I314" s="13"/>
      <c r="J314" s="13"/>
      <c r="K314" s="13"/>
      <c r="L314" s="13"/>
      <c r="M314" s="23" t="str">
        <f>IF(OR(L314="",L313=""),"",IF(L313=0,"",(L314/L313)-1))</f>
        <v/>
      </c>
      <c r="N314" s="26" t="str">
        <f>IFERROR((M314/M313)-1,"")</f>
        <v/>
      </c>
      <c r="O314" s="23" t="str">
        <f>IF(OR(N314="",N313=""),"",IF(N313=0,"",(N314/N313)-1))</f>
        <v/>
      </c>
      <c r="P314" s="11" t="str">
        <f>IF(ROW()&lt;7,"",IF(OR(E314="",E311=""),"",IF(E311=0,"",(E314/E311)-1)))</f>
        <v/>
      </c>
      <c r="Q314" s="23" t="str">
        <f>IF(ROW()&lt;9,"",IF(OR(E314="",E309=""),"",IF(E309=0,"",(E314/E309)-1)))</f>
        <v/>
      </c>
      <c r="R314" s="23" t="str">
        <f>IF(ROW()&lt;7,"",IF(OR(G314="",G311=""),"",IF(G311=0,"",(G314/G311)-1)))</f>
        <v/>
      </c>
      <c r="S314" s="23" t="str">
        <f>IF(ROW()&lt;9,"",IF(OR(G314="",G309=""),"",IF(G309=0,"",(G314/G309)-1)))</f>
        <v/>
      </c>
      <c r="T314" s="23" t="str">
        <f>IF(ROW()&lt;7,"",IF(OR(L314="",L311=""),"",IF(L311=0,"",(L314/L311)-1)))</f>
        <v/>
      </c>
      <c r="U314" s="23" t="str">
        <f>IF(ROW()&lt;9,"",IF(OR(L314="",L309=""),"",IF(L309=0,"",(L314/L309)-1)))</f>
        <v/>
      </c>
      <c r="V314" s="23" t="str">
        <f>IF(ROW()&lt;7,"",IF(OR(N314="",N311=""),"",IF(N311=0,"",(N314/N311)-1)))</f>
        <v/>
      </c>
      <c r="W314" s="23" t="str">
        <f>IF(ROW()&lt;9,"",IF(OR(N314="",N309=""),"",IF(N309=0,"",(N314/N309)-1)))</f>
        <v/>
      </c>
      <c r="X314" s="23" t="str">
        <f>IF(OR(F314="",M314=""),"",F314-M314)</f>
        <v/>
      </c>
      <c r="Y314" s="23" t="str">
        <f>IF(OR(P314="",T314=""),"",P314-T314)</f>
        <v/>
      </c>
      <c r="Z314" s="23" t="str">
        <f>IF(OR(Q314="",U314=""),"",Q314-U314)</f>
        <v/>
      </c>
      <c r="AA314" s="23" t="str">
        <f>IF(OR(H314="",O314=""),"",H314-O314)</f>
        <v/>
      </c>
      <c r="AB314" s="23" t="str">
        <f>IF(OR(R314="",V314=""),"",R314-V314)</f>
        <v/>
      </c>
      <c r="AC314" s="23" t="str">
        <f>IF(OR(S314="",W314=""),"",S314-W314)</f>
        <v/>
      </c>
      <c r="AD314" s="13"/>
      <c r="AE314" s="23" t="str">
        <f>IF(OR(AD314="",AD313=""),"",IF(AD313=0,"",(AD314/AD313)-1))</f>
        <v/>
      </c>
      <c r="AF314" s="23" t="str">
        <f>IF(ROW()&lt;7,"",IF(OR(AD314="",AD311=""),"",IF(AD311=0,"",(AD314/AD311)-1)))</f>
        <v/>
      </c>
      <c r="AG314" s="23" t="str">
        <f>IF(ROW()&lt;9,"",IF(OR(AD314="",AD309=""),"",IF(AD309=0,"",(AD314/AD309)-1)))</f>
        <v/>
      </c>
      <c r="AH314" s="23" t="str">
        <f>IF(OR(AF314="",AG314=""),"",IF(AND(AF314&gt;0,AG314&gt;0),"Bull",IF(AND(AF314&lt;0,AG314&lt;0),"Bear","Mixed")))</f>
        <v/>
      </c>
      <c r="AI314" s="13"/>
      <c r="AJ314" s="13" t="str">
        <f>IF(OR(AI314="",AI313=""),"",IF(AI313=0,"",(AI314/AI313)-1))</f>
        <v/>
      </c>
      <c r="AK314" s="23" t="str">
        <f>IF(OR(AJ314="",AJ313=""),"",IF(AJ313=0,"",(AJ314/AJ313)-1))</f>
        <v/>
      </c>
      <c r="AL314" s="23" t="str">
        <f>IF(ROW()&lt;7,"",IF(OR(AJ314="",AJ311=""),"",IF(AJ311=0,"",(AJ314/AJ311)-1)))</f>
        <v/>
      </c>
      <c r="AM314" s="23" t="str">
        <f>IF(ROW()&lt;9,"",IF(OR(AJ314="",AJ309=""),"",IF(AJ309=0,"",(AJ314/AJ309)-1)))</f>
        <v/>
      </c>
      <c r="AN314" t="str">
        <f>IF(OR(AL314="",AM314=""),"",IF(AND(AL314&gt;0,AM314&gt;0),"Bull",IF(AND(AL314&lt;0,AM314&lt;0),"Bear","Mixed")))</f>
        <v/>
      </c>
      <c r="AO314" t="str">
        <f>IF(OR(AH314="",AN314=""),"",IF(AND(AH314="Bull",AN314="Bull"),"YES","NO"))</f>
        <v/>
      </c>
      <c r="AP314" t="str">
        <f>IF(OR(AH314="",AN314=""),"",IF(AND(AH314="Bear",AN314="Bear"),"YES","NO"))</f>
        <v/>
      </c>
      <c r="AQ314" t="str">
        <f>IF(AO314="YES",IF(SUM(N(X314),N(Y314),N(Z314))&gt;0,"SOXL","TQQQ"),IF(AP314="YES",IF(SUM(N(AA314),N(AB314),N(AC314))&gt;0,"SOXS","SQQQ"),"WAIT"))</f>
        <v>WAIT</v>
      </c>
      <c r="AR314" s="23" t="str">
        <f>IF(AO314="YES",IF(SUM(N(X314),N(Y314),N(Z314))&gt;0,"TQQQ","SOXL"),IF(AP314="YES",IF(SUM(N(AA314),N(AB314),N(AC314))&gt;0,"SQQQ","SOXS"),""))</f>
        <v/>
      </c>
      <c r="AS314" s="23" t="str">
        <f>IF(AQ314="WAIT","",IF(AR314="",1,0.6))</f>
        <v/>
      </c>
      <c r="AT314" s="23">
        <f>IF(AR314="",0,0.4)</f>
        <v>0</v>
      </c>
      <c r="AU314" s="23" t="str">
        <f>IF(AQ314="WAIT","WAIT",IF(AO314="YES","BULL",IF(AP314="YES","BEAR","WAIT")))</f>
        <v>WAIT</v>
      </c>
      <c r="AV314" t="str">
        <f>IF(AQ314="WAIT","Low",IF(OR(AND(AU314="BULL",ABS(SUM(N(X314),N(Y314),N(Z314)))&gt;=0.15),AND(AU314="BEAR",ABS(SUM(N(AA314),N(AB314),N(AC314)))&gt;=0.15)),"Strong",IF(OR(AND(AU314="BULL",ABS(SUM(N(X314),N(Y314),N(Z314)))&gt;=0.05),AND(AU314="BEAR",ABS(SUM(N(AA314),N(AB314),N(AC314)))&gt;=0.05)),"Moderate","Low")))</f>
        <v>Low</v>
      </c>
      <c r="AW314" t="str">
        <f>IF(AQ314="WAIT","QQQ and SMH not aligned",IF(AU314="BULL",IF(AQ314="SOXL","Bull regime; semiconductors leading","Bull regime; tech leading"),IF(AQ314="SOXS","Bear regime; semiconductors weakest","Bear regime; tech weakest")))</f>
        <v>QQQ and SMH not aligned</v>
      </c>
      <c r="AX314" t="str">
        <f>IF(AR314="WAIT","QQQ and SMH not aligned",IF(AV314="BULL",IF(AR314="SOXL","Bull regime; semiconductors leading","Bull regime; tech leading"),IF(AR314="SOXS","Bear regime; semiconductors weakest","Bear regime; tech weakest")))</f>
        <v>Bear regime; tech weakest</v>
      </c>
    </row>
    <row r="315" spans="1:50" x14ac:dyDescent="0.2">
      <c r="A315" s="12"/>
      <c r="B315" s="13"/>
      <c r="C315" s="13"/>
      <c r="D315" s="13"/>
      <c r="E315" s="13"/>
      <c r="F315" s="11" t="str">
        <f>IF(OR(E315="",E314=""),"",IF(E314=0,"",(E315/E314)-1))</f>
        <v/>
      </c>
      <c r="G315" s="13"/>
      <c r="H315" s="11" t="str">
        <f>IF(OR(G315="",G314=""),"",IF(G314=0,"",(G315/G314)-1))</f>
        <v/>
      </c>
      <c r="I315" s="13"/>
      <c r="J315" s="13"/>
      <c r="K315" s="13"/>
      <c r="L315" s="13"/>
      <c r="M315" s="23" t="str">
        <f>IF(OR(L315="",L314=""),"",IF(L314=0,"",(L315/L314)-1))</f>
        <v/>
      </c>
      <c r="N315" s="26" t="str">
        <f>IFERROR((M315/M314)-1,"")</f>
        <v/>
      </c>
      <c r="O315" s="23" t="str">
        <f>IF(OR(N315="",N314=""),"",IF(N314=0,"",(N315/N314)-1))</f>
        <v/>
      </c>
      <c r="P315" s="11" t="str">
        <f>IF(ROW()&lt;7,"",IF(OR(E315="",E312=""),"",IF(E312=0,"",(E315/E312)-1)))</f>
        <v/>
      </c>
      <c r="Q315" s="23" t="str">
        <f>IF(ROW()&lt;9,"",IF(OR(E315="",E310=""),"",IF(E310=0,"",(E315/E310)-1)))</f>
        <v/>
      </c>
      <c r="R315" s="23" t="str">
        <f>IF(ROW()&lt;7,"",IF(OR(G315="",G312=""),"",IF(G312=0,"",(G315/G312)-1)))</f>
        <v/>
      </c>
      <c r="S315" s="23" t="str">
        <f>IF(ROW()&lt;9,"",IF(OR(G315="",G310=""),"",IF(G310=0,"",(G315/G310)-1)))</f>
        <v/>
      </c>
      <c r="T315" s="23" t="str">
        <f>IF(ROW()&lt;7,"",IF(OR(L315="",L312=""),"",IF(L312=0,"",(L315/L312)-1)))</f>
        <v/>
      </c>
      <c r="U315" s="23" t="str">
        <f>IF(ROW()&lt;9,"",IF(OR(L315="",L310=""),"",IF(L310=0,"",(L315/L310)-1)))</f>
        <v/>
      </c>
      <c r="V315" s="23" t="str">
        <f>IF(ROW()&lt;7,"",IF(OR(N315="",N312=""),"",IF(N312=0,"",(N315/N312)-1)))</f>
        <v/>
      </c>
      <c r="W315" s="23" t="str">
        <f>IF(ROW()&lt;9,"",IF(OR(N315="",N310=""),"",IF(N310=0,"",(N315/N310)-1)))</f>
        <v/>
      </c>
      <c r="X315" s="23" t="str">
        <f>IF(OR(F315="",M315=""),"",F315-M315)</f>
        <v/>
      </c>
      <c r="Y315" s="23" t="str">
        <f>IF(OR(P315="",T315=""),"",P315-T315)</f>
        <v/>
      </c>
      <c r="Z315" s="23" t="str">
        <f>IF(OR(Q315="",U315=""),"",Q315-U315)</f>
        <v/>
      </c>
      <c r="AA315" s="23" t="str">
        <f>IF(OR(H315="",O315=""),"",H315-O315)</f>
        <v/>
      </c>
      <c r="AB315" s="23" t="str">
        <f>IF(OR(R315="",V315=""),"",R315-V315)</f>
        <v/>
      </c>
      <c r="AC315" s="23" t="str">
        <f>IF(OR(S315="",W315=""),"",S315-W315)</f>
        <v/>
      </c>
      <c r="AD315" s="13"/>
      <c r="AE315" s="23" t="str">
        <f>IF(OR(AD315="",AD314=""),"",IF(AD314=0,"",(AD315/AD314)-1))</f>
        <v/>
      </c>
      <c r="AF315" s="23" t="str">
        <f>IF(ROW()&lt;7,"",IF(OR(AD315="",AD312=""),"",IF(AD312=0,"",(AD315/AD312)-1)))</f>
        <v/>
      </c>
      <c r="AG315" s="23" t="str">
        <f>IF(ROW()&lt;9,"",IF(OR(AD315="",AD310=""),"",IF(AD310=0,"",(AD315/AD310)-1)))</f>
        <v/>
      </c>
      <c r="AH315" s="23" t="str">
        <f>IF(OR(AF315="",AG315=""),"",IF(AND(AF315&gt;0,AG315&gt;0),"Bull",IF(AND(AF315&lt;0,AG315&lt;0),"Bear","Mixed")))</f>
        <v/>
      </c>
      <c r="AI315" s="13"/>
      <c r="AJ315" s="13" t="str">
        <f>IF(OR(AI315="",AI314=""),"",IF(AI314=0,"",(AI315/AI314)-1))</f>
        <v/>
      </c>
      <c r="AK315" s="23" t="str">
        <f>IF(OR(AJ315="",AJ314=""),"",IF(AJ314=0,"",(AJ315/AJ314)-1))</f>
        <v/>
      </c>
      <c r="AL315" s="23" t="str">
        <f>IF(ROW()&lt;7,"",IF(OR(AJ315="",AJ312=""),"",IF(AJ312=0,"",(AJ315/AJ312)-1)))</f>
        <v/>
      </c>
      <c r="AM315" s="23" t="str">
        <f>IF(ROW()&lt;9,"",IF(OR(AJ315="",AJ310=""),"",IF(AJ310=0,"",(AJ315/AJ310)-1)))</f>
        <v/>
      </c>
      <c r="AN315" t="str">
        <f>IF(OR(AL315="",AM315=""),"",IF(AND(AL315&gt;0,AM315&gt;0),"Bull",IF(AND(AL315&lt;0,AM315&lt;0),"Bear","Mixed")))</f>
        <v/>
      </c>
      <c r="AO315" t="str">
        <f>IF(OR(AH315="",AN315=""),"",IF(AND(AH315="Bull",AN315="Bull"),"YES","NO"))</f>
        <v/>
      </c>
      <c r="AP315" t="str">
        <f>IF(OR(AH315="",AN315=""),"",IF(AND(AH315="Bear",AN315="Bear"),"YES","NO"))</f>
        <v/>
      </c>
      <c r="AQ315" t="str">
        <f>IF(AO315="YES",IF(SUM(N(X315),N(Y315),N(Z315))&gt;0,"SOXL","TQQQ"),IF(AP315="YES",IF(SUM(N(AA315),N(AB315),N(AC315))&gt;0,"SOXS","SQQQ"),"WAIT"))</f>
        <v>WAIT</v>
      </c>
      <c r="AR315" s="23" t="str">
        <f>IF(AO315="YES",IF(SUM(N(X315),N(Y315),N(Z315))&gt;0,"TQQQ","SOXL"),IF(AP315="YES",IF(SUM(N(AA315),N(AB315),N(AC315))&gt;0,"SQQQ","SOXS"),""))</f>
        <v/>
      </c>
      <c r="AS315" s="23" t="str">
        <f>IF(AQ315="WAIT","",IF(AR315="",1,0.6))</f>
        <v/>
      </c>
      <c r="AT315" s="23">
        <f>IF(AR315="",0,0.4)</f>
        <v>0</v>
      </c>
      <c r="AU315" s="23" t="str">
        <f>IF(AQ315="WAIT","WAIT",IF(AO315="YES","BULL",IF(AP315="YES","BEAR","WAIT")))</f>
        <v>WAIT</v>
      </c>
      <c r="AV315" t="str">
        <f>IF(AQ315="WAIT","Low",IF(OR(AND(AU315="BULL",ABS(SUM(N(X315),N(Y315),N(Z315)))&gt;=0.15),AND(AU315="BEAR",ABS(SUM(N(AA315),N(AB315),N(AC315)))&gt;=0.15)),"Strong",IF(OR(AND(AU315="BULL",ABS(SUM(N(X315),N(Y315),N(Z315)))&gt;=0.05),AND(AU315="BEAR",ABS(SUM(N(AA315),N(AB315),N(AC315)))&gt;=0.05)),"Moderate","Low")))</f>
        <v>Low</v>
      </c>
      <c r="AW315" t="str">
        <f>IF(AQ315="WAIT","QQQ and SMH not aligned",IF(AU315="BULL",IF(AQ315="SOXL","Bull regime; semiconductors leading","Bull regime; tech leading"),IF(AQ315="SOXS","Bear regime; semiconductors weakest","Bear regime; tech weakest")))</f>
        <v>QQQ and SMH not aligned</v>
      </c>
      <c r="AX315" t="str">
        <f>IF(AR315="WAIT","QQQ and SMH not aligned",IF(AV315="BULL",IF(AR315="SOXL","Bull regime; semiconductors leading","Bull regime; tech leading"),IF(AR315="SOXS","Bear regime; semiconductors weakest","Bear regime; tech weakest")))</f>
        <v>Bear regime; tech weakest</v>
      </c>
    </row>
    <row r="316" spans="1:50" x14ac:dyDescent="0.2">
      <c r="A316" s="12"/>
      <c r="B316" s="13"/>
      <c r="C316" s="13"/>
      <c r="D316" s="13"/>
      <c r="E316" s="13"/>
      <c r="F316" s="11" t="str">
        <f>IF(OR(E316="",E315=""),"",IF(E315=0,"",(E316/E315)-1))</f>
        <v/>
      </c>
      <c r="G316" s="13"/>
      <c r="H316" s="11" t="str">
        <f>IF(OR(G316="",G315=""),"",IF(G315=0,"",(G316/G315)-1))</f>
        <v/>
      </c>
      <c r="I316" s="13"/>
      <c r="J316" s="13"/>
      <c r="K316" s="13"/>
      <c r="L316" s="13"/>
      <c r="M316" s="23" t="str">
        <f>IF(OR(L316="",L315=""),"",IF(L315=0,"",(L316/L315)-1))</f>
        <v/>
      </c>
      <c r="N316" s="26" t="str">
        <f>IFERROR((M316/M315)-1,"")</f>
        <v/>
      </c>
      <c r="O316" s="23" t="str">
        <f>IF(OR(N316="",N315=""),"",IF(N315=0,"",(N316/N315)-1))</f>
        <v/>
      </c>
      <c r="P316" s="11" t="str">
        <f>IF(ROW()&lt;7,"",IF(OR(E316="",E313=""),"",IF(E313=0,"",(E316/E313)-1)))</f>
        <v/>
      </c>
      <c r="Q316" s="23" t="str">
        <f>IF(ROW()&lt;9,"",IF(OR(E316="",E311=""),"",IF(E311=0,"",(E316/E311)-1)))</f>
        <v/>
      </c>
      <c r="R316" s="23" t="str">
        <f>IF(ROW()&lt;7,"",IF(OR(G316="",G313=""),"",IF(G313=0,"",(G316/G313)-1)))</f>
        <v/>
      </c>
      <c r="S316" s="23" t="str">
        <f>IF(ROW()&lt;9,"",IF(OR(G316="",G311=""),"",IF(G311=0,"",(G316/G311)-1)))</f>
        <v/>
      </c>
      <c r="T316" s="23" t="str">
        <f>IF(ROW()&lt;7,"",IF(OR(L316="",L313=""),"",IF(L313=0,"",(L316/L313)-1)))</f>
        <v/>
      </c>
      <c r="U316" s="23" t="str">
        <f>IF(ROW()&lt;9,"",IF(OR(L316="",L311=""),"",IF(L311=0,"",(L316/L311)-1)))</f>
        <v/>
      </c>
      <c r="V316" s="23" t="str">
        <f>IF(ROW()&lt;7,"",IF(OR(N316="",N313=""),"",IF(N313=0,"",(N316/N313)-1)))</f>
        <v/>
      </c>
      <c r="W316" s="23" t="str">
        <f>IF(ROW()&lt;9,"",IF(OR(N316="",N311=""),"",IF(N311=0,"",(N316/N311)-1)))</f>
        <v/>
      </c>
      <c r="X316" s="23" t="str">
        <f>IF(OR(F316="",M316=""),"",F316-M316)</f>
        <v/>
      </c>
      <c r="Y316" s="23" t="str">
        <f>IF(OR(P316="",T316=""),"",P316-T316)</f>
        <v/>
      </c>
      <c r="Z316" s="23" t="str">
        <f>IF(OR(Q316="",U316=""),"",Q316-U316)</f>
        <v/>
      </c>
      <c r="AA316" s="23" t="str">
        <f>IF(OR(H316="",O316=""),"",H316-O316)</f>
        <v/>
      </c>
      <c r="AB316" s="23" t="str">
        <f>IF(OR(R316="",V316=""),"",R316-V316)</f>
        <v/>
      </c>
      <c r="AC316" s="23" t="str">
        <f>IF(OR(S316="",W316=""),"",S316-W316)</f>
        <v/>
      </c>
      <c r="AD316" s="13"/>
      <c r="AE316" s="23" t="str">
        <f>IF(OR(AD316="",AD315=""),"",IF(AD315=0,"",(AD316/AD315)-1))</f>
        <v/>
      </c>
      <c r="AF316" s="23" t="str">
        <f>IF(ROW()&lt;7,"",IF(OR(AD316="",AD313=""),"",IF(AD313=0,"",(AD316/AD313)-1)))</f>
        <v/>
      </c>
      <c r="AG316" s="23" t="str">
        <f>IF(ROW()&lt;9,"",IF(OR(AD316="",AD311=""),"",IF(AD311=0,"",(AD316/AD311)-1)))</f>
        <v/>
      </c>
      <c r="AH316" s="23" t="str">
        <f>IF(OR(AF316="",AG316=""),"",IF(AND(AF316&gt;0,AG316&gt;0),"Bull",IF(AND(AF316&lt;0,AG316&lt;0),"Bear","Mixed")))</f>
        <v/>
      </c>
      <c r="AI316" s="13"/>
      <c r="AJ316" s="13" t="str">
        <f>IF(OR(AI316="",AI315=""),"",IF(AI315=0,"",(AI316/AI315)-1))</f>
        <v/>
      </c>
      <c r="AK316" s="23" t="str">
        <f>IF(OR(AJ316="",AJ315=""),"",IF(AJ315=0,"",(AJ316/AJ315)-1))</f>
        <v/>
      </c>
      <c r="AL316" s="23" t="str">
        <f>IF(ROW()&lt;7,"",IF(OR(AJ316="",AJ313=""),"",IF(AJ313=0,"",(AJ316/AJ313)-1)))</f>
        <v/>
      </c>
      <c r="AM316" s="23" t="str">
        <f>IF(ROW()&lt;9,"",IF(OR(AJ316="",AJ311=""),"",IF(AJ311=0,"",(AJ316/AJ311)-1)))</f>
        <v/>
      </c>
      <c r="AN316" t="str">
        <f>IF(OR(AL316="",AM316=""),"",IF(AND(AL316&gt;0,AM316&gt;0),"Bull",IF(AND(AL316&lt;0,AM316&lt;0),"Bear","Mixed")))</f>
        <v/>
      </c>
      <c r="AO316" t="str">
        <f>IF(OR(AH316="",AN316=""),"",IF(AND(AH316="Bull",AN316="Bull"),"YES","NO"))</f>
        <v/>
      </c>
      <c r="AP316" t="str">
        <f>IF(OR(AH316="",AN316=""),"",IF(AND(AH316="Bear",AN316="Bear"),"YES","NO"))</f>
        <v/>
      </c>
      <c r="AQ316" t="str">
        <f>IF(AO316="YES",IF(SUM(N(X316),N(Y316),N(Z316))&gt;0,"SOXL","TQQQ"),IF(AP316="YES",IF(SUM(N(AA316),N(AB316),N(AC316))&gt;0,"SOXS","SQQQ"),"WAIT"))</f>
        <v>WAIT</v>
      </c>
      <c r="AR316" s="23" t="str">
        <f>IF(AO316="YES",IF(SUM(N(X316),N(Y316),N(Z316))&gt;0,"TQQQ","SOXL"),IF(AP316="YES",IF(SUM(N(AA316),N(AB316),N(AC316))&gt;0,"SQQQ","SOXS"),""))</f>
        <v/>
      </c>
      <c r="AS316" s="23" t="str">
        <f>IF(AQ316="WAIT","",IF(AR316="",1,0.6))</f>
        <v/>
      </c>
      <c r="AT316" s="23">
        <f>IF(AR316="",0,0.4)</f>
        <v>0</v>
      </c>
      <c r="AU316" s="23" t="str">
        <f>IF(AQ316="WAIT","WAIT",IF(AO316="YES","BULL",IF(AP316="YES","BEAR","WAIT")))</f>
        <v>WAIT</v>
      </c>
      <c r="AV316" t="str">
        <f>IF(AQ316="WAIT","Low",IF(OR(AND(AU316="BULL",ABS(SUM(N(X316),N(Y316),N(Z316)))&gt;=0.15),AND(AU316="BEAR",ABS(SUM(N(AA316),N(AB316),N(AC316)))&gt;=0.15)),"Strong",IF(OR(AND(AU316="BULL",ABS(SUM(N(X316),N(Y316),N(Z316)))&gt;=0.05),AND(AU316="BEAR",ABS(SUM(N(AA316),N(AB316),N(AC316)))&gt;=0.05)),"Moderate","Low")))</f>
        <v>Low</v>
      </c>
      <c r="AW316" t="str">
        <f>IF(AQ316="WAIT","QQQ and SMH not aligned",IF(AU316="BULL",IF(AQ316="SOXL","Bull regime; semiconductors leading","Bull regime; tech leading"),IF(AQ316="SOXS","Bear regime; semiconductors weakest","Bear regime; tech weakest")))</f>
        <v>QQQ and SMH not aligned</v>
      </c>
      <c r="AX316" t="str">
        <f>IF(AR316="WAIT","QQQ and SMH not aligned",IF(AV316="BULL",IF(AR316="SOXL","Bull regime; semiconductors leading","Bull regime; tech leading"),IF(AR316="SOXS","Bear regime; semiconductors weakest","Bear regime; tech weakest")))</f>
        <v>Bear regime; tech weakest</v>
      </c>
    </row>
    <row r="317" spans="1:50" x14ac:dyDescent="0.2">
      <c r="A317" s="12"/>
      <c r="B317" s="13"/>
      <c r="C317" s="13"/>
      <c r="D317" s="13"/>
      <c r="E317" s="13"/>
      <c r="F317" s="11" t="str">
        <f>IF(OR(E317="",E316=""),"",IF(E316=0,"",(E317/E316)-1))</f>
        <v/>
      </c>
      <c r="G317" s="13"/>
      <c r="H317" s="11" t="str">
        <f>IF(OR(G317="",G316=""),"",IF(G316=0,"",(G317/G316)-1))</f>
        <v/>
      </c>
      <c r="I317" s="13"/>
      <c r="J317" s="13"/>
      <c r="K317" s="13"/>
      <c r="L317" s="13"/>
      <c r="M317" s="23" t="str">
        <f>IF(OR(L317="",L316=""),"",IF(L316=0,"",(L317/L316)-1))</f>
        <v/>
      </c>
      <c r="N317" s="26" t="str">
        <f>IFERROR((M317/M316)-1,"")</f>
        <v/>
      </c>
      <c r="O317" s="23" t="str">
        <f>IF(OR(N317="",N316=""),"",IF(N316=0,"",(N317/N316)-1))</f>
        <v/>
      </c>
      <c r="P317" s="11" t="str">
        <f>IF(ROW()&lt;7,"",IF(OR(E317="",E314=""),"",IF(E314=0,"",(E317/E314)-1)))</f>
        <v/>
      </c>
      <c r="Q317" s="23" t="str">
        <f>IF(ROW()&lt;9,"",IF(OR(E317="",E312=""),"",IF(E312=0,"",(E317/E312)-1)))</f>
        <v/>
      </c>
      <c r="R317" s="23" t="str">
        <f>IF(ROW()&lt;7,"",IF(OR(G317="",G314=""),"",IF(G314=0,"",(G317/G314)-1)))</f>
        <v/>
      </c>
      <c r="S317" s="23" t="str">
        <f>IF(ROW()&lt;9,"",IF(OR(G317="",G312=""),"",IF(G312=0,"",(G317/G312)-1)))</f>
        <v/>
      </c>
      <c r="T317" s="23" t="str">
        <f>IF(ROW()&lt;7,"",IF(OR(L317="",L314=""),"",IF(L314=0,"",(L317/L314)-1)))</f>
        <v/>
      </c>
      <c r="U317" s="23" t="str">
        <f>IF(ROW()&lt;9,"",IF(OR(L317="",L312=""),"",IF(L312=0,"",(L317/L312)-1)))</f>
        <v/>
      </c>
      <c r="V317" s="23" t="str">
        <f>IF(ROW()&lt;7,"",IF(OR(N317="",N314=""),"",IF(N314=0,"",(N317/N314)-1)))</f>
        <v/>
      </c>
      <c r="W317" s="23" t="str">
        <f>IF(ROW()&lt;9,"",IF(OR(N317="",N312=""),"",IF(N312=0,"",(N317/N312)-1)))</f>
        <v/>
      </c>
      <c r="X317" s="23" t="str">
        <f>IF(OR(F317="",M317=""),"",F317-M317)</f>
        <v/>
      </c>
      <c r="Y317" s="23" t="str">
        <f>IF(OR(P317="",T317=""),"",P317-T317)</f>
        <v/>
      </c>
      <c r="Z317" s="23" t="str">
        <f>IF(OR(Q317="",U317=""),"",Q317-U317)</f>
        <v/>
      </c>
      <c r="AA317" s="23" t="str">
        <f>IF(OR(H317="",O317=""),"",H317-O317)</f>
        <v/>
      </c>
      <c r="AB317" s="23" t="str">
        <f>IF(OR(R317="",V317=""),"",R317-V317)</f>
        <v/>
      </c>
      <c r="AC317" s="23" t="str">
        <f>IF(OR(S317="",W317=""),"",S317-W317)</f>
        <v/>
      </c>
      <c r="AD317" s="13"/>
      <c r="AE317" s="23" t="str">
        <f>IF(OR(AD317="",AD316=""),"",IF(AD316=0,"",(AD317/AD316)-1))</f>
        <v/>
      </c>
      <c r="AF317" s="23" t="str">
        <f>IF(ROW()&lt;7,"",IF(OR(AD317="",AD314=""),"",IF(AD314=0,"",(AD317/AD314)-1)))</f>
        <v/>
      </c>
      <c r="AG317" s="23" t="str">
        <f>IF(ROW()&lt;9,"",IF(OR(AD317="",AD312=""),"",IF(AD312=0,"",(AD317/AD312)-1)))</f>
        <v/>
      </c>
      <c r="AH317" s="23" t="str">
        <f>IF(OR(AF317="",AG317=""),"",IF(AND(AF317&gt;0,AG317&gt;0),"Bull",IF(AND(AF317&lt;0,AG317&lt;0),"Bear","Mixed")))</f>
        <v/>
      </c>
      <c r="AI317" s="13"/>
      <c r="AJ317" s="13" t="str">
        <f>IF(OR(AI317="",AI316=""),"",IF(AI316=0,"",(AI317/AI316)-1))</f>
        <v/>
      </c>
      <c r="AK317" s="23" t="str">
        <f>IF(OR(AJ317="",AJ316=""),"",IF(AJ316=0,"",(AJ317/AJ316)-1))</f>
        <v/>
      </c>
      <c r="AL317" s="23" t="str">
        <f>IF(ROW()&lt;7,"",IF(OR(AJ317="",AJ314=""),"",IF(AJ314=0,"",(AJ317/AJ314)-1)))</f>
        <v/>
      </c>
      <c r="AM317" s="23" t="str">
        <f>IF(ROW()&lt;9,"",IF(OR(AJ317="",AJ312=""),"",IF(AJ312=0,"",(AJ317/AJ312)-1)))</f>
        <v/>
      </c>
      <c r="AN317" t="str">
        <f>IF(OR(AL317="",AM317=""),"",IF(AND(AL317&gt;0,AM317&gt;0),"Bull",IF(AND(AL317&lt;0,AM317&lt;0),"Bear","Mixed")))</f>
        <v/>
      </c>
      <c r="AO317" t="str">
        <f>IF(OR(AH317="",AN317=""),"",IF(AND(AH317="Bull",AN317="Bull"),"YES","NO"))</f>
        <v/>
      </c>
      <c r="AP317" t="str">
        <f>IF(OR(AH317="",AN317=""),"",IF(AND(AH317="Bear",AN317="Bear"),"YES","NO"))</f>
        <v/>
      </c>
      <c r="AQ317" t="str">
        <f>IF(AO317="YES",IF(SUM(N(X317),N(Y317),N(Z317))&gt;0,"SOXL","TQQQ"),IF(AP317="YES",IF(SUM(N(AA317),N(AB317),N(AC317))&gt;0,"SOXS","SQQQ"),"WAIT"))</f>
        <v>WAIT</v>
      </c>
      <c r="AR317" s="23" t="str">
        <f>IF(AO317="YES",IF(SUM(N(X317),N(Y317),N(Z317))&gt;0,"TQQQ","SOXL"),IF(AP317="YES",IF(SUM(N(AA317),N(AB317),N(AC317))&gt;0,"SQQQ","SOXS"),""))</f>
        <v/>
      </c>
      <c r="AS317" s="23" t="str">
        <f>IF(AQ317="WAIT","",IF(AR317="",1,0.6))</f>
        <v/>
      </c>
      <c r="AT317" s="23">
        <f>IF(AR317="",0,0.4)</f>
        <v>0</v>
      </c>
      <c r="AU317" s="23" t="str">
        <f>IF(AQ317="WAIT","WAIT",IF(AO317="YES","BULL",IF(AP317="YES","BEAR","WAIT")))</f>
        <v>WAIT</v>
      </c>
      <c r="AV317" t="str">
        <f>IF(AQ317="WAIT","Low",IF(OR(AND(AU317="BULL",ABS(SUM(N(X317),N(Y317),N(Z317)))&gt;=0.15),AND(AU317="BEAR",ABS(SUM(N(AA317),N(AB317),N(AC317)))&gt;=0.15)),"Strong",IF(OR(AND(AU317="BULL",ABS(SUM(N(X317),N(Y317),N(Z317)))&gt;=0.05),AND(AU317="BEAR",ABS(SUM(N(AA317),N(AB317),N(AC317)))&gt;=0.05)),"Moderate","Low")))</f>
        <v>Low</v>
      </c>
      <c r="AW317" t="str">
        <f>IF(AQ317="WAIT","QQQ and SMH not aligned",IF(AU317="BULL",IF(AQ317="SOXL","Bull regime; semiconductors leading","Bull regime; tech leading"),IF(AQ317="SOXS","Bear regime; semiconductors weakest","Bear regime; tech weakest")))</f>
        <v>QQQ and SMH not aligned</v>
      </c>
      <c r="AX317" t="str">
        <f>IF(AR317="WAIT","QQQ and SMH not aligned",IF(AV317="BULL",IF(AR317="SOXL","Bull regime; semiconductors leading","Bull regime; tech leading"),IF(AR317="SOXS","Bear regime; semiconductors weakest","Bear regime; tech weakest")))</f>
        <v>Bear regime; tech weakest</v>
      </c>
    </row>
    <row r="318" spans="1:50" x14ac:dyDescent="0.2">
      <c r="A318" s="12"/>
      <c r="B318" s="13"/>
      <c r="C318" s="13"/>
      <c r="D318" s="13"/>
      <c r="E318" s="13"/>
      <c r="F318" s="11" t="str">
        <f>IF(OR(E318="",E317=""),"",IF(E317=0,"",(E318/E317)-1))</f>
        <v/>
      </c>
      <c r="G318" s="13"/>
      <c r="H318" s="11" t="str">
        <f>IF(OR(G318="",G317=""),"",IF(G317=0,"",(G318/G317)-1))</f>
        <v/>
      </c>
      <c r="I318" s="13"/>
      <c r="J318" s="13"/>
      <c r="K318" s="13"/>
      <c r="L318" s="13"/>
      <c r="M318" s="23" t="str">
        <f>IF(OR(L318="",L317=""),"",IF(L317=0,"",(L318/L317)-1))</f>
        <v/>
      </c>
      <c r="N318" s="26" t="str">
        <f>IFERROR((M318/M317)-1,"")</f>
        <v/>
      </c>
      <c r="O318" s="23" t="str">
        <f>IF(OR(N318="",N317=""),"",IF(N317=0,"",(N318/N317)-1))</f>
        <v/>
      </c>
      <c r="P318" s="11" t="str">
        <f>IF(ROW()&lt;7,"",IF(OR(E318="",E315=""),"",IF(E315=0,"",(E318/E315)-1)))</f>
        <v/>
      </c>
      <c r="Q318" s="23" t="str">
        <f>IF(ROW()&lt;9,"",IF(OR(E318="",E313=""),"",IF(E313=0,"",(E318/E313)-1)))</f>
        <v/>
      </c>
      <c r="R318" s="23" t="str">
        <f>IF(ROW()&lt;7,"",IF(OR(G318="",G315=""),"",IF(G315=0,"",(G318/G315)-1)))</f>
        <v/>
      </c>
      <c r="S318" s="23" t="str">
        <f>IF(ROW()&lt;9,"",IF(OR(G318="",G313=""),"",IF(G313=0,"",(G318/G313)-1)))</f>
        <v/>
      </c>
      <c r="T318" s="23" t="str">
        <f>IF(ROW()&lt;7,"",IF(OR(L318="",L315=""),"",IF(L315=0,"",(L318/L315)-1)))</f>
        <v/>
      </c>
      <c r="U318" s="23" t="str">
        <f>IF(ROW()&lt;9,"",IF(OR(L318="",L313=""),"",IF(L313=0,"",(L318/L313)-1)))</f>
        <v/>
      </c>
      <c r="V318" s="23" t="str">
        <f>IF(ROW()&lt;7,"",IF(OR(N318="",N315=""),"",IF(N315=0,"",(N318/N315)-1)))</f>
        <v/>
      </c>
      <c r="W318" s="23" t="str">
        <f>IF(ROW()&lt;9,"",IF(OR(N318="",N313=""),"",IF(N313=0,"",(N318/N313)-1)))</f>
        <v/>
      </c>
      <c r="X318" s="23" t="str">
        <f>IF(OR(F318="",M318=""),"",F318-M318)</f>
        <v/>
      </c>
      <c r="Y318" s="23" t="str">
        <f>IF(OR(P318="",T318=""),"",P318-T318)</f>
        <v/>
      </c>
      <c r="Z318" s="23" t="str">
        <f>IF(OR(Q318="",U318=""),"",Q318-U318)</f>
        <v/>
      </c>
      <c r="AA318" s="23" t="str">
        <f>IF(OR(H318="",O318=""),"",H318-O318)</f>
        <v/>
      </c>
      <c r="AB318" s="23" t="str">
        <f>IF(OR(R318="",V318=""),"",R318-V318)</f>
        <v/>
      </c>
      <c r="AC318" s="23" t="str">
        <f>IF(OR(S318="",W318=""),"",S318-W318)</f>
        <v/>
      </c>
      <c r="AD318" s="13"/>
      <c r="AE318" s="23" t="str">
        <f>IF(OR(AD318="",AD317=""),"",IF(AD317=0,"",(AD318/AD317)-1))</f>
        <v/>
      </c>
      <c r="AF318" s="23" t="str">
        <f>IF(ROW()&lt;7,"",IF(OR(AD318="",AD315=""),"",IF(AD315=0,"",(AD318/AD315)-1)))</f>
        <v/>
      </c>
      <c r="AG318" s="23" t="str">
        <f>IF(ROW()&lt;9,"",IF(OR(AD318="",AD313=""),"",IF(AD313=0,"",(AD318/AD313)-1)))</f>
        <v/>
      </c>
      <c r="AH318" s="23" t="str">
        <f>IF(OR(AF318="",AG318=""),"",IF(AND(AF318&gt;0,AG318&gt;0),"Bull",IF(AND(AF318&lt;0,AG318&lt;0),"Bear","Mixed")))</f>
        <v/>
      </c>
      <c r="AI318" s="13"/>
      <c r="AJ318" s="13" t="str">
        <f>IF(OR(AI318="",AI317=""),"",IF(AI317=0,"",(AI318/AI317)-1))</f>
        <v/>
      </c>
      <c r="AK318" s="23" t="str">
        <f>IF(OR(AJ318="",AJ317=""),"",IF(AJ317=0,"",(AJ318/AJ317)-1))</f>
        <v/>
      </c>
      <c r="AL318" s="23" t="str">
        <f>IF(ROW()&lt;7,"",IF(OR(AJ318="",AJ315=""),"",IF(AJ315=0,"",(AJ318/AJ315)-1)))</f>
        <v/>
      </c>
      <c r="AM318" s="23" t="str">
        <f>IF(ROW()&lt;9,"",IF(OR(AJ318="",AJ313=""),"",IF(AJ313=0,"",(AJ318/AJ313)-1)))</f>
        <v/>
      </c>
      <c r="AN318" t="str">
        <f>IF(OR(AL318="",AM318=""),"",IF(AND(AL318&gt;0,AM318&gt;0),"Bull",IF(AND(AL318&lt;0,AM318&lt;0),"Bear","Mixed")))</f>
        <v/>
      </c>
      <c r="AO318" t="str">
        <f>IF(OR(AH318="",AN318=""),"",IF(AND(AH318="Bull",AN318="Bull"),"YES","NO"))</f>
        <v/>
      </c>
      <c r="AP318" t="str">
        <f>IF(OR(AH318="",AN318=""),"",IF(AND(AH318="Bear",AN318="Bear"),"YES","NO"))</f>
        <v/>
      </c>
      <c r="AQ318" t="str">
        <f>IF(AO318="YES",IF(SUM(N(X318),N(Y318),N(Z318))&gt;0,"SOXL","TQQQ"),IF(AP318="YES",IF(SUM(N(AA318),N(AB318),N(AC318))&gt;0,"SOXS","SQQQ"),"WAIT"))</f>
        <v>WAIT</v>
      </c>
      <c r="AR318" s="23" t="str">
        <f>IF(AO318="YES",IF(SUM(N(X318),N(Y318),N(Z318))&gt;0,"TQQQ","SOXL"),IF(AP318="YES",IF(SUM(N(AA318),N(AB318),N(AC318))&gt;0,"SQQQ","SOXS"),""))</f>
        <v/>
      </c>
      <c r="AS318" s="23" t="str">
        <f>IF(AQ318="WAIT","",IF(AR318="",1,0.6))</f>
        <v/>
      </c>
      <c r="AT318" s="23">
        <f>IF(AR318="",0,0.4)</f>
        <v>0</v>
      </c>
      <c r="AU318" s="23" t="str">
        <f>IF(AQ318="WAIT","WAIT",IF(AO318="YES","BULL",IF(AP318="YES","BEAR","WAIT")))</f>
        <v>WAIT</v>
      </c>
      <c r="AV318" t="str">
        <f>IF(AQ318="WAIT","Low",IF(OR(AND(AU318="BULL",ABS(SUM(N(X318),N(Y318),N(Z318)))&gt;=0.15),AND(AU318="BEAR",ABS(SUM(N(AA318),N(AB318),N(AC318)))&gt;=0.15)),"Strong",IF(OR(AND(AU318="BULL",ABS(SUM(N(X318),N(Y318),N(Z318)))&gt;=0.05),AND(AU318="BEAR",ABS(SUM(N(AA318),N(AB318),N(AC318)))&gt;=0.05)),"Moderate","Low")))</f>
        <v>Low</v>
      </c>
      <c r="AW318" t="str">
        <f>IF(AQ318="WAIT","QQQ and SMH not aligned",IF(AU318="BULL",IF(AQ318="SOXL","Bull regime; semiconductors leading","Bull regime; tech leading"),IF(AQ318="SOXS","Bear regime; semiconductors weakest","Bear regime; tech weakest")))</f>
        <v>QQQ and SMH not aligned</v>
      </c>
      <c r="AX318" t="str">
        <f>IF(AR318="WAIT","QQQ and SMH not aligned",IF(AV318="BULL",IF(AR318="SOXL","Bull regime; semiconductors leading","Bull regime; tech leading"),IF(AR318="SOXS","Bear regime; semiconductors weakest","Bear regime; tech weakest")))</f>
        <v>Bear regime; tech weakest</v>
      </c>
    </row>
    <row r="319" spans="1:50" x14ac:dyDescent="0.2">
      <c r="A319" s="12"/>
      <c r="B319" s="13"/>
      <c r="C319" s="13"/>
      <c r="D319" s="13"/>
      <c r="E319" s="13"/>
      <c r="F319" s="11" t="str">
        <f>IF(OR(E319="",E318=""),"",IF(E318=0,"",(E319/E318)-1))</f>
        <v/>
      </c>
      <c r="G319" s="13"/>
      <c r="H319" s="11" t="str">
        <f>IF(OR(G319="",G318=""),"",IF(G318=0,"",(G319/G318)-1))</f>
        <v/>
      </c>
      <c r="I319" s="13"/>
      <c r="J319" s="13"/>
      <c r="K319" s="13"/>
      <c r="L319" s="13"/>
      <c r="M319" s="23" t="str">
        <f>IF(OR(L319="",L318=""),"",IF(L318=0,"",(L319/L318)-1))</f>
        <v/>
      </c>
      <c r="N319" s="26" t="str">
        <f>IFERROR((M319/M318)-1,"")</f>
        <v/>
      </c>
      <c r="O319" s="23" t="str">
        <f>IF(OR(N319="",N318=""),"",IF(N318=0,"",(N319/N318)-1))</f>
        <v/>
      </c>
      <c r="P319" s="11" t="str">
        <f>IF(ROW()&lt;7,"",IF(OR(E319="",E316=""),"",IF(E316=0,"",(E319/E316)-1)))</f>
        <v/>
      </c>
      <c r="Q319" s="23" t="str">
        <f>IF(ROW()&lt;9,"",IF(OR(E319="",E314=""),"",IF(E314=0,"",(E319/E314)-1)))</f>
        <v/>
      </c>
      <c r="R319" s="23" t="str">
        <f>IF(ROW()&lt;7,"",IF(OR(G319="",G316=""),"",IF(G316=0,"",(G319/G316)-1)))</f>
        <v/>
      </c>
      <c r="S319" s="23" t="str">
        <f>IF(ROW()&lt;9,"",IF(OR(G319="",G314=""),"",IF(G314=0,"",(G319/G314)-1)))</f>
        <v/>
      </c>
      <c r="T319" s="23" t="str">
        <f>IF(ROW()&lt;7,"",IF(OR(L319="",L316=""),"",IF(L316=0,"",(L319/L316)-1)))</f>
        <v/>
      </c>
      <c r="U319" s="23" t="str">
        <f>IF(ROW()&lt;9,"",IF(OR(L319="",L314=""),"",IF(L314=0,"",(L319/L314)-1)))</f>
        <v/>
      </c>
      <c r="V319" s="23" t="str">
        <f>IF(ROW()&lt;7,"",IF(OR(N319="",N316=""),"",IF(N316=0,"",(N319/N316)-1)))</f>
        <v/>
      </c>
      <c r="W319" s="23" t="str">
        <f>IF(ROW()&lt;9,"",IF(OR(N319="",N314=""),"",IF(N314=0,"",(N319/N314)-1)))</f>
        <v/>
      </c>
      <c r="X319" s="23" t="str">
        <f>IF(OR(F319="",M319=""),"",F319-M319)</f>
        <v/>
      </c>
      <c r="Y319" s="23" t="str">
        <f>IF(OR(P319="",T319=""),"",P319-T319)</f>
        <v/>
      </c>
      <c r="Z319" s="23" t="str">
        <f>IF(OR(Q319="",U319=""),"",Q319-U319)</f>
        <v/>
      </c>
      <c r="AA319" s="23" t="str">
        <f>IF(OR(H319="",O319=""),"",H319-O319)</f>
        <v/>
      </c>
      <c r="AB319" s="23" t="str">
        <f>IF(OR(R319="",V319=""),"",R319-V319)</f>
        <v/>
      </c>
      <c r="AC319" s="23" t="str">
        <f>IF(OR(S319="",W319=""),"",S319-W319)</f>
        <v/>
      </c>
      <c r="AD319" s="13"/>
      <c r="AE319" s="23" t="str">
        <f>IF(OR(AD319="",AD318=""),"",IF(AD318=0,"",(AD319/AD318)-1))</f>
        <v/>
      </c>
      <c r="AF319" s="23" t="str">
        <f>IF(ROW()&lt;7,"",IF(OR(AD319="",AD316=""),"",IF(AD316=0,"",(AD319/AD316)-1)))</f>
        <v/>
      </c>
      <c r="AG319" s="23" t="str">
        <f>IF(ROW()&lt;9,"",IF(OR(AD319="",AD314=""),"",IF(AD314=0,"",(AD319/AD314)-1)))</f>
        <v/>
      </c>
      <c r="AH319" s="23" t="str">
        <f>IF(OR(AF319="",AG319=""),"",IF(AND(AF319&gt;0,AG319&gt;0),"Bull",IF(AND(AF319&lt;0,AG319&lt;0),"Bear","Mixed")))</f>
        <v/>
      </c>
      <c r="AI319" s="13"/>
      <c r="AJ319" s="13" t="str">
        <f>IF(OR(AI319="",AI318=""),"",IF(AI318=0,"",(AI319/AI318)-1))</f>
        <v/>
      </c>
      <c r="AK319" s="23" t="str">
        <f>IF(OR(AJ319="",AJ318=""),"",IF(AJ318=0,"",(AJ319/AJ318)-1))</f>
        <v/>
      </c>
      <c r="AL319" s="23" t="str">
        <f>IF(ROW()&lt;7,"",IF(OR(AJ319="",AJ316=""),"",IF(AJ316=0,"",(AJ319/AJ316)-1)))</f>
        <v/>
      </c>
      <c r="AM319" s="23" t="str">
        <f>IF(ROW()&lt;9,"",IF(OR(AJ319="",AJ314=""),"",IF(AJ314=0,"",(AJ319/AJ314)-1)))</f>
        <v/>
      </c>
      <c r="AN319" t="str">
        <f>IF(OR(AL319="",AM319=""),"",IF(AND(AL319&gt;0,AM319&gt;0),"Bull",IF(AND(AL319&lt;0,AM319&lt;0),"Bear","Mixed")))</f>
        <v/>
      </c>
      <c r="AO319" t="str">
        <f>IF(OR(AH319="",AN319=""),"",IF(AND(AH319="Bull",AN319="Bull"),"YES","NO"))</f>
        <v/>
      </c>
      <c r="AP319" t="str">
        <f>IF(OR(AH319="",AN319=""),"",IF(AND(AH319="Bear",AN319="Bear"),"YES","NO"))</f>
        <v/>
      </c>
      <c r="AQ319" t="str">
        <f>IF(AO319="YES",IF(SUM(N(X319),N(Y319),N(Z319))&gt;0,"SOXL","TQQQ"),IF(AP319="YES",IF(SUM(N(AA319),N(AB319),N(AC319))&gt;0,"SOXS","SQQQ"),"WAIT"))</f>
        <v>WAIT</v>
      </c>
      <c r="AR319" s="23" t="str">
        <f>IF(AO319="YES",IF(SUM(N(X319),N(Y319),N(Z319))&gt;0,"TQQQ","SOXL"),IF(AP319="YES",IF(SUM(N(AA319),N(AB319),N(AC319))&gt;0,"SQQQ","SOXS"),""))</f>
        <v/>
      </c>
      <c r="AS319" s="23" t="str">
        <f>IF(AQ319="WAIT","",IF(AR319="",1,0.6))</f>
        <v/>
      </c>
      <c r="AT319" s="23">
        <f>IF(AR319="",0,0.4)</f>
        <v>0</v>
      </c>
      <c r="AU319" s="23" t="str">
        <f>IF(AQ319="WAIT","WAIT",IF(AO319="YES","BULL",IF(AP319="YES","BEAR","WAIT")))</f>
        <v>WAIT</v>
      </c>
      <c r="AV319" t="str">
        <f>IF(AQ319="WAIT","Low",IF(OR(AND(AU319="BULL",ABS(SUM(N(X319),N(Y319),N(Z319)))&gt;=0.15),AND(AU319="BEAR",ABS(SUM(N(AA319),N(AB319),N(AC319)))&gt;=0.15)),"Strong",IF(OR(AND(AU319="BULL",ABS(SUM(N(X319),N(Y319),N(Z319)))&gt;=0.05),AND(AU319="BEAR",ABS(SUM(N(AA319),N(AB319),N(AC319)))&gt;=0.05)),"Moderate","Low")))</f>
        <v>Low</v>
      </c>
      <c r="AW319" t="str">
        <f>IF(AQ319="WAIT","QQQ and SMH not aligned",IF(AU319="BULL",IF(AQ319="SOXL","Bull regime; semiconductors leading","Bull regime; tech leading"),IF(AQ319="SOXS","Bear regime; semiconductors weakest","Bear regime; tech weakest")))</f>
        <v>QQQ and SMH not aligned</v>
      </c>
      <c r="AX319" t="str">
        <f>IF(AR319="WAIT","QQQ and SMH not aligned",IF(AV319="BULL",IF(AR319="SOXL","Bull regime; semiconductors leading","Bull regime; tech leading"),IF(AR319="SOXS","Bear regime; semiconductors weakest","Bear regime; tech weakest")))</f>
        <v>Bear regime; tech weakest</v>
      </c>
    </row>
    <row r="320" spans="1:50" x14ac:dyDescent="0.2">
      <c r="A320" s="12"/>
      <c r="B320" s="13"/>
      <c r="C320" s="13"/>
      <c r="D320" s="13"/>
      <c r="E320" s="13"/>
      <c r="F320" s="11" t="str">
        <f>IF(OR(E320="",E319=""),"",IF(E319=0,"",(E320/E319)-1))</f>
        <v/>
      </c>
      <c r="G320" s="13"/>
      <c r="H320" s="11" t="str">
        <f>IF(OR(G320="",G319=""),"",IF(G319=0,"",(G320/G319)-1))</f>
        <v/>
      </c>
      <c r="I320" s="13"/>
      <c r="J320" s="13"/>
      <c r="K320" s="13"/>
      <c r="L320" s="13"/>
      <c r="M320" s="23" t="str">
        <f>IF(OR(L320="",L319=""),"",IF(L319=0,"",(L320/L319)-1))</f>
        <v/>
      </c>
      <c r="N320" s="26" t="str">
        <f>IFERROR((M320/M319)-1,"")</f>
        <v/>
      </c>
      <c r="O320" s="23" t="str">
        <f>IF(OR(N320="",N319=""),"",IF(N319=0,"",(N320/N319)-1))</f>
        <v/>
      </c>
      <c r="P320" s="11" t="str">
        <f>IF(ROW()&lt;7,"",IF(OR(E320="",E317=""),"",IF(E317=0,"",(E320/E317)-1)))</f>
        <v/>
      </c>
      <c r="Q320" s="23" t="str">
        <f>IF(ROW()&lt;9,"",IF(OR(E320="",E315=""),"",IF(E315=0,"",(E320/E315)-1)))</f>
        <v/>
      </c>
      <c r="R320" s="23" t="str">
        <f>IF(ROW()&lt;7,"",IF(OR(G320="",G317=""),"",IF(G317=0,"",(G320/G317)-1)))</f>
        <v/>
      </c>
      <c r="S320" s="23" t="str">
        <f>IF(ROW()&lt;9,"",IF(OR(G320="",G315=""),"",IF(G315=0,"",(G320/G315)-1)))</f>
        <v/>
      </c>
      <c r="T320" s="23" t="str">
        <f>IF(ROW()&lt;7,"",IF(OR(L320="",L317=""),"",IF(L317=0,"",(L320/L317)-1)))</f>
        <v/>
      </c>
      <c r="U320" s="23" t="str">
        <f>IF(ROW()&lt;9,"",IF(OR(L320="",L315=""),"",IF(L315=0,"",(L320/L315)-1)))</f>
        <v/>
      </c>
      <c r="V320" s="23" t="str">
        <f>IF(ROW()&lt;7,"",IF(OR(N320="",N317=""),"",IF(N317=0,"",(N320/N317)-1)))</f>
        <v/>
      </c>
      <c r="W320" s="23" t="str">
        <f>IF(ROW()&lt;9,"",IF(OR(N320="",N315=""),"",IF(N315=0,"",(N320/N315)-1)))</f>
        <v/>
      </c>
      <c r="X320" s="23" t="str">
        <f>IF(OR(F320="",M320=""),"",F320-M320)</f>
        <v/>
      </c>
      <c r="Y320" s="23" t="str">
        <f>IF(OR(P320="",T320=""),"",P320-T320)</f>
        <v/>
      </c>
      <c r="Z320" s="23" t="str">
        <f>IF(OR(Q320="",U320=""),"",Q320-U320)</f>
        <v/>
      </c>
      <c r="AA320" s="23" t="str">
        <f>IF(OR(H320="",O320=""),"",H320-O320)</f>
        <v/>
      </c>
      <c r="AB320" s="23" t="str">
        <f>IF(OR(R320="",V320=""),"",R320-V320)</f>
        <v/>
      </c>
      <c r="AC320" s="23" t="str">
        <f>IF(OR(S320="",W320=""),"",S320-W320)</f>
        <v/>
      </c>
      <c r="AD320" s="13"/>
      <c r="AE320" s="23" t="str">
        <f>IF(OR(AD320="",AD319=""),"",IF(AD319=0,"",(AD320/AD319)-1))</f>
        <v/>
      </c>
      <c r="AF320" s="23" t="str">
        <f>IF(ROW()&lt;7,"",IF(OR(AD320="",AD317=""),"",IF(AD317=0,"",(AD320/AD317)-1)))</f>
        <v/>
      </c>
      <c r="AG320" s="23" t="str">
        <f>IF(ROW()&lt;9,"",IF(OR(AD320="",AD315=""),"",IF(AD315=0,"",(AD320/AD315)-1)))</f>
        <v/>
      </c>
      <c r="AH320" s="23" t="str">
        <f>IF(OR(AF320="",AG320=""),"",IF(AND(AF320&gt;0,AG320&gt;0),"Bull",IF(AND(AF320&lt;0,AG320&lt;0),"Bear","Mixed")))</f>
        <v/>
      </c>
      <c r="AI320" s="13"/>
      <c r="AJ320" s="13" t="str">
        <f>IF(OR(AI320="",AI319=""),"",IF(AI319=0,"",(AI320/AI319)-1))</f>
        <v/>
      </c>
      <c r="AK320" s="23" t="str">
        <f>IF(OR(AJ320="",AJ319=""),"",IF(AJ319=0,"",(AJ320/AJ319)-1))</f>
        <v/>
      </c>
      <c r="AL320" s="23" t="str">
        <f>IF(ROW()&lt;7,"",IF(OR(AJ320="",AJ317=""),"",IF(AJ317=0,"",(AJ320/AJ317)-1)))</f>
        <v/>
      </c>
      <c r="AM320" s="23" t="str">
        <f>IF(ROW()&lt;9,"",IF(OR(AJ320="",AJ315=""),"",IF(AJ315=0,"",(AJ320/AJ315)-1)))</f>
        <v/>
      </c>
      <c r="AN320" t="str">
        <f>IF(OR(AL320="",AM320=""),"",IF(AND(AL320&gt;0,AM320&gt;0),"Bull",IF(AND(AL320&lt;0,AM320&lt;0),"Bear","Mixed")))</f>
        <v/>
      </c>
      <c r="AO320" t="str">
        <f>IF(OR(AH320="",AN320=""),"",IF(AND(AH320="Bull",AN320="Bull"),"YES","NO"))</f>
        <v/>
      </c>
      <c r="AP320" t="str">
        <f>IF(OR(AH320="",AN320=""),"",IF(AND(AH320="Bear",AN320="Bear"),"YES","NO"))</f>
        <v/>
      </c>
      <c r="AQ320" t="str">
        <f>IF(AO320="YES",IF(SUM(N(X320),N(Y320),N(Z320))&gt;0,"SOXL","TQQQ"),IF(AP320="YES",IF(SUM(N(AA320),N(AB320),N(AC320))&gt;0,"SOXS","SQQQ"),"WAIT"))</f>
        <v>WAIT</v>
      </c>
      <c r="AR320" s="23" t="str">
        <f>IF(AO320="YES",IF(SUM(N(X320),N(Y320),N(Z320))&gt;0,"TQQQ","SOXL"),IF(AP320="YES",IF(SUM(N(AA320),N(AB320),N(AC320))&gt;0,"SQQQ","SOXS"),""))</f>
        <v/>
      </c>
      <c r="AS320" s="23" t="str">
        <f>IF(AQ320="WAIT","",IF(AR320="",1,0.6))</f>
        <v/>
      </c>
      <c r="AT320" s="23">
        <f>IF(AR320="",0,0.4)</f>
        <v>0</v>
      </c>
      <c r="AU320" s="23" t="str">
        <f>IF(AQ320="WAIT","WAIT",IF(AO320="YES","BULL",IF(AP320="YES","BEAR","WAIT")))</f>
        <v>WAIT</v>
      </c>
      <c r="AV320" t="str">
        <f>IF(AQ320="WAIT","Low",IF(OR(AND(AU320="BULL",ABS(SUM(N(X320),N(Y320),N(Z320)))&gt;=0.15),AND(AU320="BEAR",ABS(SUM(N(AA320),N(AB320),N(AC320)))&gt;=0.15)),"Strong",IF(OR(AND(AU320="BULL",ABS(SUM(N(X320),N(Y320),N(Z320)))&gt;=0.05),AND(AU320="BEAR",ABS(SUM(N(AA320),N(AB320),N(AC320)))&gt;=0.05)),"Moderate","Low")))</f>
        <v>Low</v>
      </c>
      <c r="AW320" t="str">
        <f>IF(AQ320="WAIT","QQQ and SMH not aligned",IF(AU320="BULL",IF(AQ320="SOXL","Bull regime; semiconductors leading","Bull regime; tech leading"),IF(AQ320="SOXS","Bear regime; semiconductors weakest","Bear regime; tech weakest")))</f>
        <v>QQQ and SMH not aligned</v>
      </c>
      <c r="AX320" t="str">
        <f>IF(AR320="WAIT","QQQ and SMH not aligned",IF(AV320="BULL",IF(AR320="SOXL","Bull regime; semiconductors leading","Bull regime; tech leading"),IF(AR320="SOXS","Bear regime; semiconductors weakest","Bear regime; tech weakest")))</f>
        <v>Bear regime; tech weakest</v>
      </c>
    </row>
    <row r="321" spans="1:50" x14ac:dyDescent="0.2">
      <c r="A321" s="12"/>
      <c r="B321" s="13"/>
      <c r="C321" s="13"/>
      <c r="D321" s="13"/>
      <c r="E321" s="13"/>
      <c r="F321" s="11" t="str">
        <f>IF(OR(E321="",E320=""),"",IF(E320=0,"",(E321/E320)-1))</f>
        <v/>
      </c>
      <c r="G321" s="13"/>
      <c r="H321" s="11" t="str">
        <f>IF(OR(G321="",G320=""),"",IF(G320=0,"",(G321/G320)-1))</f>
        <v/>
      </c>
      <c r="I321" s="13"/>
      <c r="J321" s="13"/>
      <c r="K321" s="13"/>
      <c r="L321" s="13"/>
      <c r="M321" s="23" t="str">
        <f>IF(OR(L321="",L320=""),"",IF(L320=0,"",(L321/L320)-1))</f>
        <v/>
      </c>
      <c r="N321" s="26" t="str">
        <f>IFERROR((M321/M320)-1,"")</f>
        <v/>
      </c>
      <c r="O321" s="23" t="str">
        <f>IF(OR(N321="",N320=""),"",IF(N320=0,"",(N321/N320)-1))</f>
        <v/>
      </c>
      <c r="P321" s="11" t="str">
        <f>IF(ROW()&lt;7,"",IF(OR(E321="",E318=""),"",IF(E318=0,"",(E321/E318)-1)))</f>
        <v/>
      </c>
      <c r="Q321" s="23" t="str">
        <f>IF(ROW()&lt;9,"",IF(OR(E321="",E316=""),"",IF(E316=0,"",(E321/E316)-1)))</f>
        <v/>
      </c>
      <c r="R321" s="23" t="str">
        <f>IF(ROW()&lt;7,"",IF(OR(G321="",G318=""),"",IF(G318=0,"",(G321/G318)-1)))</f>
        <v/>
      </c>
      <c r="S321" s="23" t="str">
        <f>IF(ROW()&lt;9,"",IF(OR(G321="",G316=""),"",IF(G316=0,"",(G321/G316)-1)))</f>
        <v/>
      </c>
      <c r="T321" s="23" t="str">
        <f>IF(ROW()&lt;7,"",IF(OR(L321="",L318=""),"",IF(L318=0,"",(L321/L318)-1)))</f>
        <v/>
      </c>
      <c r="U321" s="23" t="str">
        <f>IF(ROW()&lt;9,"",IF(OR(L321="",L316=""),"",IF(L316=0,"",(L321/L316)-1)))</f>
        <v/>
      </c>
      <c r="V321" s="23" t="str">
        <f>IF(ROW()&lt;7,"",IF(OR(N321="",N318=""),"",IF(N318=0,"",(N321/N318)-1)))</f>
        <v/>
      </c>
      <c r="W321" s="23" t="str">
        <f>IF(ROW()&lt;9,"",IF(OR(N321="",N316=""),"",IF(N316=0,"",(N321/N316)-1)))</f>
        <v/>
      </c>
      <c r="X321" s="23" t="str">
        <f>IF(OR(F321="",M321=""),"",F321-M321)</f>
        <v/>
      </c>
      <c r="Y321" s="23" t="str">
        <f>IF(OR(P321="",T321=""),"",P321-T321)</f>
        <v/>
      </c>
      <c r="Z321" s="23" t="str">
        <f>IF(OR(Q321="",U321=""),"",Q321-U321)</f>
        <v/>
      </c>
      <c r="AA321" s="23" t="str">
        <f>IF(OR(H321="",O321=""),"",H321-O321)</f>
        <v/>
      </c>
      <c r="AB321" s="23" t="str">
        <f>IF(OR(R321="",V321=""),"",R321-V321)</f>
        <v/>
      </c>
      <c r="AC321" s="23" t="str">
        <f>IF(OR(S321="",W321=""),"",S321-W321)</f>
        <v/>
      </c>
      <c r="AD321" s="13"/>
      <c r="AE321" s="23" t="str">
        <f>IF(OR(AD321="",AD320=""),"",IF(AD320=0,"",(AD321/AD320)-1))</f>
        <v/>
      </c>
      <c r="AF321" s="23" t="str">
        <f>IF(ROW()&lt;7,"",IF(OR(AD321="",AD318=""),"",IF(AD318=0,"",(AD321/AD318)-1)))</f>
        <v/>
      </c>
      <c r="AG321" s="23" t="str">
        <f>IF(ROW()&lt;9,"",IF(OR(AD321="",AD316=""),"",IF(AD316=0,"",(AD321/AD316)-1)))</f>
        <v/>
      </c>
      <c r="AH321" s="23" t="str">
        <f>IF(OR(AF321="",AG321=""),"",IF(AND(AF321&gt;0,AG321&gt;0),"Bull",IF(AND(AF321&lt;0,AG321&lt;0),"Bear","Mixed")))</f>
        <v/>
      </c>
      <c r="AI321" s="13"/>
      <c r="AJ321" s="13" t="str">
        <f>IF(OR(AI321="",AI320=""),"",IF(AI320=0,"",(AI321/AI320)-1))</f>
        <v/>
      </c>
      <c r="AK321" s="23" t="str">
        <f>IF(OR(AJ321="",AJ320=""),"",IF(AJ320=0,"",(AJ321/AJ320)-1))</f>
        <v/>
      </c>
      <c r="AL321" s="23" t="str">
        <f>IF(ROW()&lt;7,"",IF(OR(AJ321="",AJ318=""),"",IF(AJ318=0,"",(AJ321/AJ318)-1)))</f>
        <v/>
      </c>
      <c r="AM321" s="23" t="str">
        <f>IF(ROW()&lt;9,"",IF(OR(AJ321="",AJ316=""),"",IF(AJ316=0,"",(AJ321/AJ316)-1)))</f>
        <v/>
      </c>
      <c r="AN321" t="str">
        <f>IF(OR(AL321="",AM321=""),"",IF(AND(AL321&gt;0,AM321&gt;0),"Bull",IF(AND(AL321&lt;0,AM321&lt;0),"Bear","Mixed")))</f>
        <v/>
      </c>
      <c r="AO321" t="str">
        <f>IF(OR(AH321="",AN321=""),"",IF(AND(AH321="Bull",AN321="Bull"),"YES","NO"))</f>
        <v/>
      </c>
      <c r="AP321" t="str">
        <f>IF(OR(AH321="",AN321=""),"",IF(AND(AH321="Bear",AN321="Bear"),"YES","NO"))</f>
        <v/>
      </c>
      <c r="AQ321" t="str">
        <f>IF(AO321="YES",IF(SUM(N(X321),N(Y321),N(Z321))&gt;0,"SOXL","TQQQ"),IF(AP321="YES",IF(SUM(N(AA321),N(AB321),N(AC321))&gt;0,"SOXS","SQQQ"),"WAIT"))</f>
        <v>WAIT</v>
      </c>
      <c r="AR321" s="23" t="str">
        <f>IF(AO321="YES",IF(SUM(N(X321),N(Y321),N(Z321))&gt;0,"TQQQ","SOXL"),IF(AP321="YES",IF(SUM(N(AA321),N(AB321),N(AC321))&gt;0,"SQQQ","SOXS"),""))</f>
        <v/>
      </c>
      <c r="AS321" s="23" t="str">
        <f>IF(AQ321="WAIT","",IF(AR321="",1,0.6))</f>
        <v/>
      </c>
      <c r="AT321" s="23">
        <f>IF(AR321="",0,0.4)</f>
        <v>0</v>
      </c>
      <c r="AU321" s="23" t="str">
        <f>IF(AQ321="WAIT","WAIT",IF(AO321="YES","BULL",IF(AP321="YES","BEAR","WAIT")))</f>
        <v>WAIT</v>
      </c>
      <c r="AV321" t="str">
        <f>IF(AQ321="WAIT","Low",IF(OR(AND(AU321="BULL",ABS(SUM(N(X321),N(Y321),N(Z321)))&gt;=0.15),AND(AU321="BEAR",ABS(SUM(N(AA321),N(AB321),N(AC321)))&gt;=0.15)),"Strong",IF(OR(AND(AU321="BULL",ABS(SUM(N(X321),N(Y321),N(Z321)))&gt;=0.05),AND(AU321="BEAR",ABS(SUM(N(AA321),N(AB321),N(AC321)))&gt;=0.05)),"Moderate","Low")))</f>
        <v>Low</v>
      </c>
      <c r="AW321" t="str">
        <f>IF(AQ321="WAIT","QQQ and SMH not aligned",IF(AU321="BULL",IF(AQ321="SOXL","Bull regime; semiconductors leading","Bull regime; tech leading"),IF(AQ321="SOXS","Bear regime; semiconductors weakest","Bear regime; tech weakest")))</f>
        <v>QQQ and SMH not aligned</v>
      </c>
      <c r="AX321" t="str">
        <f>IF(AR321="WAIT","QQQ and SMH not aligned",IF(AV321="BULL",IF(AR321="SOXL","Bull regime; semiconductors leading","Bull regime; tech leading"),IF(AR321="SOXS","Bear regime; semiconductors weakest","Bear regime; tech weakest")))</f>
        <v>Bear regime; tech weakest</v>
      </c>
    </row>
    <row r="322" spans="1:50" x14ac:dyDescent="0.2">
      <c r="A322" s="12"/>
      <c r="B322" s="13"/>
      <c r="C322" s="13"/>
      <c r="D322" s="13"/>
      <c r="E322" s="13"/>
      <c r="F322" s="11" t="str">
        <f>IF(OR(E322="",E321=""),"",IF(E321=0,"",(E322/E321)-1))</f>
        <v/>
      </c>
      <c r="G322" s="13"/>
      <c r="H322" s="11" t="str">
        <f>IF(OR(G322="",G321=""),"",IF(G321=0,"",(G322/G321)-1))</f>
        <v/>
      </c>
      <c r="I322" s="13"/>
      <c r="J322" s="13"/>
      <c r="K322" s="13"/>
      <c r="L322" s="13"/>
      <c r="M322" s="23" t="str">
        <f>IF(OR(L322="",L321=""),"",IF(L321=0,"",(L322/L321)-1))</f>
        <v/>
      </c>
      <c r="N322" s="26" t="str">
        <f>IFERROR((M322/M321)-1,"")</f>
        <v/>
      </c>
      <c r="O322" s="23" t="str">
        <f>IF(OR(N322="",N321=""),"",IF(N321=0,"",(N322/N321)-1))</f>
        <v/>
      </c>
      <c r="P322" s="11" t="str">
        <f>IF(ROW()&lt;7,"",IF(OR(E322="",E319=""),"",IF(E319=0,"",(E322/E319)-1)))</f>
        <v/>
      </c>
      <c r="Q322" s="23" t="str">
        <f>IF(ROW()&lt;9,"",IF(OR(E322="",E317=""),"",IF(E317=0,"",(E322/E317)-1)))</f>
        <v/>
      </c>
      <c r="R322" s="23" t="str">
        <f>IF(ROW()&lt;7,"",IF(OR(G322="",G319=""),"",IF(G319=0,"",(G322/G319)-1)))</f>
        <v/>
      </c>
      <c r="S322" s="23" t="str">
        <f>IF(ROW()&lt;9,"",IF(OR(G322="",G317=""),"",IF(G317=0,"",(G322/G317)-1)))</f>
        <v/>
      </c>
      <c r="T322" s="23" t="str">
        <f>IF(ROW()&lt;7,"",IF(OR(L322="",L319=""),"",IF(L319=0,"",(L322/L319)-1)))</f>
        <v/>
      </c>
      <c r="U322" s="23" t="str">
        <f>IF(ROW()&lt;9,"",IF(OR(L322="",L317=""),"",IF(L317=0,"",(L322/L317)-1)))</f>
        <v/>
      </c>
      <c r="V322" s="23" t="str">
        <f>IF(ROW()&lt;7,"",IF(OR(N322="",N319=""),"",IF(N319=0,"",(N322/N319)-1)))</f>
        <v/>
      </c>
      <c r="W322" s="23" t="str">
        <f>IF(ROW()&lt;9,"",IF(OR(N322="",N317=""),"",IF(N317=0,"",(N322/N317)-1)))</f>
        <v/>
      </c>
      <c r="X322" s="23" t="str">
        <f>IF(OR(F322="",M322=""),"",F322-M322)</f>
        <v/>
      </c>
      <c r="Y322" s="23" t="str">
        <f>IF(OR(P322="",T322=""),"",P322-T322)</f>
        <v/>
      </c>
      <c r="Z322" s="23" t="str">
        <f>IF(OR(Q322="",U322=""),"",Q322-U322)</f>
        <v/>
      </c>
      <c r="AA322" s="23" t="str">
        <f>IF(OR(H322="",O322=""),"",H322-O322)</f>
        <v/>
      </c>
      <c r="AB322" s="23" t="str">
        <f>IF(OR(R322="",V322=""),"",R322-V322)</f>
        <v/>
      </c>
      <c r="AC322" s="23" t="str">
        <f>IF(OR(S322="",W322=""),"",S322-W322)</f>
        <v/>
      </c>
      <c r="AD322" s="13"/>
      <c r="AE322" s="23" t="str">
        <f>IF(OR(AD322="",AD321=""),"",IF(AD321=0,"",(AD322/AD321)-1))</f>
        <v/>
      </c>
      <c r="AF322" s="23" t="str">
        <f>IF(ROW()&lt;7,"",IF(OR(AD322="",AD319=""),"",IF(AD319=0,"",(AD322/AD319)-1)))</f>
        <v/>
      </c>
      <c r="AG322" s="23" t="str">
        <f>IF(ROW()&lt;9,"",IF(OR(AD322="",AD317=""),"",IF(AD317=0,"",(AD322/AD317)-1)))</f>
        <v/>
      </c>
      <c r="AH322" s="23" t="str">
        <f>IF(OR(AF322="",AG322=""),"",IF(AND(AF322&gt;0,AG322&gt;0),"Bull",IF(AND(AF322&lt;0,AG322&lt;0),"Bear","Mixed")))</f>
        <v/>
      </c>
      <c r="AI322" s="13"/>
      <c r="AJ322" s="13" t="str">
        <f>IF(OR(AI322="",AI321=""),"",IF(AI321=0,"",(AI322/AI321)-1))</f>
        <v/>
      </c>
      <c r="AK322" s="23" t="str">
        <f>IF(OR(AJ322="",AJ321=""),"",IF(AJ321=0,"",(AJ322/AJ321)-1))</f>
        <v/>
      </c>
      <c r="AL322" s="23" t="str">
        <f>IF(ROW()&lt;7,"",IF(OR(AJ322="",AJ319=""),"",IF(AJ319=0,"",(AJ322/AJ319)-1)))</f>
        <v/>
      </c>
      <c r="AM322" s="23" t="str">
        <f>IF(ROW()&lt;9,"",IF(OR(AJ322="",AJ317=""),"",IF(AJ317=0,"",(AJ322/AJ317)-1)))</f>
        <v/>
      </c>
      <c r="AN322" t="str">
        <f>IF(OR(AL322="",AM322=""),"",IF(AND(AL322&gt;0,AM322&gt;0),"Bull",IF(AND(AL322&lt;0,AM322&lt;0),"Bear","Mixed")))</f>
        <v/>
      </c>
      <c r="AO322" t="str">
        <f>IF(OR(AH322="",AN322=""),"",IF(AND(AH322="Bull",AN322="Bull"),"YES","NO"))</f>
        <v/>
      </c>
      <c r="AP322" t="str">
        <f>IF(OR(AH322="",AN322=""),"",IF(AND(AH322="Bear",AN322="Bear"),"YES","NO"))</f>
        <v/>
      </c>
      <c r="AQ322" t="str">
        <f>IF(AO322="YES",IF(SUM(N(X322),N(Y322),N(Z322))&gt;0,"SOXL","TQQQ"),IF(AP322="YES",IF(SUM(N(AA322),N(AB322),N(AC322))&gt;0,"SOXS","SQQQ"),"WAIT"))</f>
        <v>WAIT</v>
      </c>
      <c r="AR322" s="23" t="str">
        <f>IF(AO322="YES",IF(SUM(N(X322),N(Y322),N(Z322))&gt;0,"TQQQ","SOXL"),IF(AP322="YES",IF(SUM(N(AA322),N(AB322),N(AC322))&gt;0,"SQQQ","SOXS"),""))</f>
        <v/>
      </c>
      <c r="AS322" s="23" t="str">
        <f>IF(AQ322="WAIT","",IF(AR322="",1,0.6))</f>
        <v/>
      </c>
      <c r="AT322" s="23">
        <f>IF(AR322="",0,0.4)</f>
        <v>0</v>
      </c>
      <c r="AU322" s="23" t="str">
        <f>IF(AQ322="WAIT","WAIT",IF(AO322="YES","BULL",IF(AP322="YES","BEAR","WAIT")))</f>
        <v>WAIT</v>
      </c>
      <c r="AV322" t="str">
        <f>IF(AQ322="WAIT","Low",IF(OR(AND(AU322="BULL",ABS(SUM(N(X322),N(Y322),N(Z322)))&gt;=0.15),AND(AU322="BEAR",ABS(SUM(N(AA322),N(AB322),N(AC322)))&gt;=0.15)),"Strong",IF(OR(AND(AU322="BULL",ABS(SUM(N(X322),N(Y322),N(Z322)))&gt;=0.05),AND(AU322="BEAR",ABS(SUM(N(AA322),N(AB322),N(AC322)))&gt;=0.05)),"Moderate","Low")))</f>
        <v>Low</v>
      </c>
      <c r="AW322" t="str">
        <f>IF(AQ322="WAIT","QQQ and SMH not aligned",IF(AU322="BULL",IF(AQ322="SOXL","Bull regime; semiconductors leading","Bull regime; tech leading"),IF(AQ322="SOXS","Bear regime; semiconductors weakest","Bear regime; tech weakest")))</f>
        <v>QQQ and SMH not aligned</v>
      </c>
      <c r="AX322" t="str">
        <f>IF(AR322="WAIT","QQQ and SMH not aligned",IF(AV322="BULL",IF(AR322="SOXL","Bull regime; semiconductors leading","Bull regime; tech leading"),IF(AR322="SOXS","Bear regime; semiconductors weakest","Bear regime; tech weakest")))</f>
        <v>Bear regime; tech weakest</v>
      </c>
    </row>
    <row r="323" spans="1:50" x14ac:dyDescent="0.2">
      <c r="A323" s="12"/>
      <c r="B323" s="13"/>
      <c r="C323" s="13"/>
      <c r="D323" s="13"/>
      <c r="E323" s="13"/>
      <c r="F323" s="11" t="str">
        <f>IF(OR(E323="",E322=""),"",IF(E322=0,"",(E323/E322)-1))</f>
        <v/>
      </c>
      <c r="G323" s="13"/>
      <c r="H323" s="11" t="str">
        <f>IF(OR(G323="",G322=""),"",IF(G322=0,"",(G323/G322)-1))</f>
        <v/>
      </c>
      <c r="I323" s="13"/>
      <c r="J323" s="13"/>
      <c r="K323" s="13"/>
      <c r="L323" s="13"/>
      <c r="M323" s="23" t="str">
        <f>IF(OR(L323="",L322=""),"",IF(L322=0,"",(L323/L322)-1))</f>
        <v/>
      </c>
      <c r="N323" s="26" t="str">
        <f>IFERROR((M323/M322)-1,"")</f>
        <v/>
      </c>
      <c r="O323" s="23" t="str">
        <f>IF(OR(N323="",N322=""),"",IF(N322=0,"",(N323/N322)-1))</f>
        <v/>
      </c>
      <c r="P323" s="11" t="str">
        <f>IF(ROW()&lt;7,"",IF(OR(E323="",E320=""),"",IF(E320=0,"",(E323/E320)-1)))</f>
        <v/>
      </c>
      <c r="Q323" s="23" t="str">
        <f>IF(ROW()&lt;9,"",IF(OR(E323="",E318=""),"",IF(E318=0,"",(E323/E318)-1)))</f>
        <v/>
      </c>
      <c r="R323" s="23" t="str">
        <f>IF(ROW()&lt;7,"",IF(OR(G323="",G320=""),"",IF(G320=0,"",(G323/G320)-1)))</f>
        <v/>
      </c>
      <c r="S323" s="23" t="str">
        <f>IF(ROW()&lt;9,"",IF(OR(G323="",G318=""),"",IF(G318=0,"",(G323/G318)-1)))</f>
        <v/>
      </c>
      <c r="T323" s="23" t="str">
        <f>IF(ROW()&lt;7,"",IF(OR(L323="",L320=""),"",IF(L320=0,"",(L323/L320)-1)))</f>
        <v/>
      </c>
      <c r="U323" s="23" t="str">
        <f>IF(ROW()&lt;9,"",IF(OR(L323="",L318=""),"",IF(L318=0,"",(L323/L318)-1)))</f>
        <v/>
      </c>
      <c r="V323" s="23" t="str">
        <f>IF(ROW()&lt;7,"",IF(OR(N323="",N320=""),"",IF(N320=0,"",(N323/N320)-1)))</f>
        <v/>
      </c>
      <c r="W323" s="23" t="str">
        <f>IF(ROW()&lt;9,"",IF(OR(N323="",N318=""),"",IF(N318=0,"",(N323/N318)-1)))</f>
        <v/>
      </c>
      <c r="X323" s="23" t="str">
        <f>IF(OR(F323="",M323=""),"",F323-M323)</f>
        <v/>
      </c>
      <c r="Y323" s="23" t="str">
        <f>IF(OR(P323="",T323=""),"",P323-T323)</f>
        <v/>
      </c>
      <c r="Z323" s="23" t="str">
        <f>IF(OR(Q323="",U323=""),"",Q323-U323)</f>
        <v/>
      </c>
      <c r="AA323" s="23" t="str">
        <f>IF(OR(H323="",O323=""),"",H323-O323)</f>
        <v/>
      </c>
      <c r="AB323" s="23" t="str">
        <f>IF(OR(R323="",V323=""),"",R323-V323)</f>
        <v/>
      </c>
      <c r="AC323" s="23" t="str">
        <f>IF(OR(S323="",W323=""),"",S323-W323)</f>
        <v/>
      </c>
      <c r="AD323" s="13"/>
      <c r="AE323" s="23" t="str">
        <f>IF(OR(AD323="",AD322=""),"",IF(AD322=0,"",(AD323/AD322)-1))</f>
        <v/>
      </c>
      <c r="AF323" s="23" t="str">
        <f>IF(ROW()&lt;7,"",IF(OR(AD323="",AD320=""),"",IF(AD320=0,"",(AD323/AD320)-1)))</f>
        <v/>
      </c>
      <c r="AG323" s="23" t="str">
        <f>IF(ROW()&lt;9,"",IF(OR(AD323="",AD318=""),"",IF(AD318=0,"",(AD323/AD318)-1)))</f>
        <v/>
      </c>
      <c r="AH323" s="23" t="str">
        <f>IF(OR(AF323="",AG323=""),"",IF(AND(AF323&gt;0,AG323&gt;0),"Bull",IF(AND(AF323&lt;0,AG323&lt;0),"Bear","Mixed")))</f>
        <v/>
      </c>
      <c r="AI323" s="13"/>
      <c r="AJ323" s="13" t="str">
        <f>IF(OR(AI323="",AI322=""),"",IF(AI322=0,"",(AI323/AI322)-1))</f>
        <v/>
      </c>
      <c r="AK323" s="23" t="str">
        <f>IF(OR(AJ323="",AJ322=""),"",IF(AJ322=0,"",(AJ323/AJ322)-1))</f>
        <v/>
      </c>
      <c r="AL323" s="23" t="str">
        <f>IF(ROW()&lt;7,"",IF(OR(AJ323="",AJ320=""),"",IF(AJ320=0,"",(AJ323/AJ320)-1)))</f>
        <v/>
      </c>
      <c r="AM323" s="23" t="str">
        <f>IF(ROW()&lt;9,"",IF(OR(AJ323="",AJ318=""),"",IF(AJ318=0,"",(AJ323/AJ318)-1)))</f>
        <v/>
      </c>
      <c r="AN323" t="str">
        <f>IF(OR(AL323="",AM323=""),"",IF(AND(AL323&gt;0,AM323&gt;0),"Bull",IF(AND(AL323&lt;0,AM323&lt;0),"Bear","Mixed")))</f>
        <v/>
      </c>
      <c r="AO323" t="str">
        <f>IF(OR(AH323="",AN323=""),"",IF(AND(AH323="Bull",AN323="Bull"),"YES","NO"))</f>
        <v/>
      </c>
      <c r="AP323" t="str">
        <f>IF(OR(AH323="",AN323=""),"",IF(AND(AH323="Bear",AN323="Bear"),"YES","NO"))</f>
        <v/>
      </c>
      <c r="AQ323" t="str">
        <f>IF(AO323="YES",IF(SUM(N(X323),N(Y323),N(Z323))&gt;0,"SOXL","TQQQ"),IF(AP323="YES",IF(SUM(N(AA323),N(AB323),N(AC323))&gt;0,"SOXS","SQQQ"),"WAIT"))</f>
        <v>WAIT</v>
      </c>
      <c r="AR323" s="23" t="str">
        <f>IF(AO323="YES",IF(SUM(N(X323),N(Y323),N(Z323))&gt;0,"TQQQ","SOXL"),IF(AP323="YES",IF(SUM(N(AA323),N(AB323),N(AC323))&gt;0,"SQQQ","SOXS"),""))</f>
        <v/>
      </c>
      <c r="AS323" s="23" t="str">
        <f>IF(AQ323="WAIT","",IF(AR323="",1,0.6))</f>
        <v/>
      </c>
      <c r="AT323" s="23">
        <f>IF(AR323="",0,0.4)</f>
        <v>0</v>
      </c>
      <c r="AU323" s="23" t="str">
        <f>IF(AQ323="WAIT","WAIT",IF(AO323="YES","BULL",IF(AP323="YES","BEAR","WAIT")))</f>
        <v>WAIT</v>
      </c>
      <c r="AV323" t="str">
        <f>IF(AQ323="WAIT","Low",IF(OR(AND(AU323="BULL",ABS(SUM(N(X323),N(Y323),N(Z323)))&gt;=0.15),AND(AU323="BEAR",ABS(SUM(N(AA323),N(AB323),N(AC323)))&gt;=0.15)),"Strong",IF(OR(AND(AU323="BULL",ABS(SUM(N(X323),N(Y323),N(Z323)))&gt;=0.05),AND(AU323="BEAR",ABS(SUM(N(AA323),N(AB323),N(AC323)))&gt;=0.05)),"Moderate","Low")))</f>
        <v>Low</v>
      </c>
      <c r="AW323" t="str">
        <f>IF(AQ323="WAIT","QQQ and SMH not aligned",IF(AU323="BULL",IF(AQ323="SOXL","Bull regime; semiconductors leading","Bull regime; tech leading"),IF(AQ323="SOXS","Bear regime; semiconductors weakest","Bear regime; tech weakest")))</f>
        <v>QQQ and SMH not aligned</v>
      </c>
      <c r="AX323" t="str">
        <f>IF(AR323="WAIT","QQQ and SMH not aligned",IF(AV323="BULL",IF(AR323="SOXL","Bull regime; semiconductors leading","Bull regime; tech leading"),IF(AR323="SOXS","Bear regime; semiconductors weakest","Bear regime; tech weakest")))</f>
        <v>Bear regime; tech weakest</v>
      </c>
    </row>
    <row r="324" spans="1:50" x14ac:dyDescent="0.2">
      <c r="A324" s="12"/>
      <c r="B324" s="13"/>
      <c r="C324" s="13"/>
      <c r="D324" s="13"/>
      <c r="E324" s="13"/>
      <c r="F324" s="11" t="str">
        <f>IF(OR(E324="",E323=""),"",IF(E323=0,"",(E324/E323)-1))</f>
        <v/>
      </c>
      <c r="G324" s="13"/>
      <c r="H324" s="11" t="str">
        <f>IF(OR(G324="",G323=""),"",IF(G323=0,"",(G324/G323)-1))</f>
        <v/>
      </c>
      <c r="I324" s="13"/>
      <c r="J324" s="13"/>
      <c r="K324" s="13"/>
      <c r="L324" s="13"/>
      <c r="M324" s="23" t="str">
        <f>IF(OR(L324="",L323=""),"",IF(L323=0,"",(L324/L323)-1))</f>
        <v/>
      </c>
      <c r="N324" s="26" t="str">
        <f>IFERROR((M324/M323)-1,"")</f>
        <v/>
      </c>
      <c r="O324" s="23" t="str">
        <f>IF(OR(N324="",N323=""),"",IF(N323=0,"",(N324/N323)-1))</f>
        <v/>
      </c>
      <c r="P324" s="11" t="str">
        <f>IF(ROW()&lt;7,"",IF(OR(E324="",E321=""),"",IF(E321=0,"",(E324/E321)-1)))</f>
        <v/>
      </c>
      <c r="Q324" s="23" t="str">
        <f>IF(ROW()&lt;9,"",IF(OR(E324="",E319=""),"",IF(E319=0,"",(E324/E319)-1)))</f>
        <v/>
      </c>
      <c r="R324" s="23" t="str">
        <f>IF(ROW()&lt;7,"",IF(OR(G324="",G321=""),"",IF(G321=0,"",(G324/G321)-1)))</f>
        <v/>
      </c>
      <c r="S324" s="23" t="str">
        <f>IF(ROW()&lt;9,"",IF(OR(G324="",G319=""),"",IF(G319=0,"",(G324/G319)-1)))</f>
        <v/>
      </c>
      <c r="T324" s="23" t="str">
        <f>IF(ROW()&lt;7,"",IF(OR(L324="",L321=""),"",IF(L321=0,"",(L324/L321)-1)))</f>
        <v/>
      </c>
      <c r="U324" s="23" t="str">
        <f>IF(ROW()&lt;9,"",IF(OR(L324="",L319=""),"",IF(L319=0,"",(L324/L319)-1)))</f>
        <v/>
      </c>
      <c r="V324" s="23" t="str">
        <f>IF(ROW()&lt;7,"",IF(OR(N324="",N321=""),"",IF(N321=0,"",(N324/N321)-1)))</f>
        <v/>
      </c>
      <c r="W324" s="23" t="str">
        <f>IF(ROW()&lt;9,"",IF(OR(N324="",N319=""),"",IF(N319=0,"",(N324/N319)-1)))</f>
        <v/>
      </c>
      <c r="X324" s="23" t="str">
        <f>IF(OR(F324="",M324=""),"",F324-M324)</f>
        <v/>
      </c>
      <c r="Y324" s="23" t="str">
        <f>IF(OR(P324="",T324=""),"",P324-T324)</f>
        <v/>
      </c>
      <c r="Z324" s="23" t="str">
        <f>IF(OR(Q324="",U324=""),"",Q324-U324)</f>
        <v/>
      </c>
      <c r="AA324" s="23" t="str">
        <f>IF(OR(H324="",O324=""),"",H324-O324)</f>
        <v/>
      </c>
      <c r="AB324" s="23" t="str">
        <f>IF(OR(R324="",V324=""),"",R324-V324)</f>
        <v/>
      </c>
      <c r="AC324" s="23" t="str">
        <f>IF(OR(S324="",W324=""),"",S324-W324)</f>
        <v/>
      </c>
      <c r="AD324" s="13"/>
      <c r="AE324" s="23" t="str">
        <f>IF(OR(AD324="",AD323=""),"",IF(AD323=0,"",(AD324/AD323)-1))</f>
        <v/>
      </c>
      <c r="AF324" s="23" t="str">
        <f>IF(ROW()&lt;7,"",IF(OR(AD324="",AD321=""),"",IF(AD321=0,"",(AD324/AD321)-1)))</f>
        <v/>
      </c>
      <c r="AG324" s="23" t="str">
        <f>IF(ROW()&lt;9,"",IF(OR(AD324="",AD319=""),"",IF(AD319=0,"",(AD324/AD319)-1)))</f>
        <v/>
      </c>
      <c r="AH324" s="23" t="str">
        <f>IF(OR(AF324="",AG324=""),"",IF(AND(AF324&gt;0,AG324&gt;0),"Bull",IF(AND(AF324&lt;0,AG324&lt;0),"Bear","Mixed")))</f>
        <v/>
      </c>
      <c r="AI324" s="13"/>
      <c r="AJ324" s="13" t="str">
        <f>IF(OR(AI324="",AI323=""),"",IF(AI323=0,"",(AI324/AI323)-1))</f>
        <v/>
      </c>
      <c r="AK324" s="23" t="str">
        <f>IF(OR(AJ324="",AJ323=""),"",IF(AJ323=0,"",(AJ324/AJ323)-1))</f>
        <v/>
      </c>
      <c r="AL324" s="23" t="str">
        <f>IF(ROW()&lt;7,"",IF(OR(AJ324="",AJ321=""),"",IF(AJ321=0,"",(AJ324/AJ321)-1)))</f>
        <v/>
      </c>
      <c r="AM324" s="23" t="str">
        <f>IF(ROW()&lt;9,"",IF(OR(AJ324="",AJ319=""),"",IF(AJ319=0,"",(AJ324/AJ319)-1)))</f>
        <v/>
      </c>
      <c r="AN324" t="str">
        <f>IF(OR(AL324="",AM324=""),"",IF(AND(AL324&gt;0,AM324&gt;0),"Bull",IF(AND(AL324&lt;0,AM324&lt;0),"Bear","Mixed")))</f>
        <v/>
      </c>
      <c r="AO324" t="str">
        <f>IF(OR(AH324="",AN324=""),"",IF(AND(AH324="Bull",AN324="Bull"),"YES","NO"))</f>
        <v/>
      </c>
      <c r="AP324" t="str">
        <f>IF(OR(AH324="",AN324=""),"",IF(AND(AH324="Bear",AN324="Bear"),"YES","NO"))</f>
        <v/>
      </c>
      <c r="AQ324" t="str">
        <f>IF(AO324="YES",IF(SUM(N(X324),N(Y324),N(Z324))&gt;0,"SOXL","TQQQ"),IF(AP324="YES",IF(SUM(N(AA324),N(AB324),N(AC324))&gt;0,"SOXS","SQQQ"),"WAIT"))</f>
        <v>WAIT</v>
      </c>
      <c r="AR324" s="23" t="str">
        <f>IF(AO324="YES",IF(SUM(N(X324),N(Y324),N(Z324))&gt;0,"TQQQ","SOXL"),IF(AP324="YES",IF(SUM(N(AA324),N(AB324),N(AC324))&gt;0,"SQQQ","SOXS"),""))</f>
        <v/>
      </c>
      <c r="AS324" s="23" t="str">
        <f>IF(AQ324="WAIT","",IF(AR324="",1,0.6))</f>
        <v/>
      </c>
      <c r="AT324" s="23">
        <f>IF(AR324="",0,0.4)</f>
        <v>0</v>
      </c>
      <c r="AU324" s="23" t="str">
        <f>IF(AQ324="WAIT","WAIT",IF(AO324="YES","BULL",IF(AP324="YES","BEAR","WAIT")))</f>
        <v>WAIT</v>
      </c>
      <c r="AV324" t="str">
        <f>IF(AQ324="WAIT","Low",IF(OR(AND(AU324="BULL",ABS(SUM(N(X324),N(Y324),N(Z324)))&gt;=0.15),AND(AU324="BEAR",ABS(SUM(N(AA324),N(AB324),N(AC324)))&gt;=0.15)),"Strong",IF(OR(AND(AU324="BULL",ABS(SUM(N(X324),N(Y324),N(Z324)))&gt;=0.05),AND(AU324="BEAR",ABS(SUM(N(AA324),N(AB324),N(AC324)))&gt;=0.05)),"Moderate","Low")))</f>
        <v>Low</v>
      </c>
      <c r="AW324" t="str">
        <f>IF(AQ324="WAIT","QQQ and SMH not aligned",IF(AU324="BULL",IF(AQ324="SOXL","Bull regime; semiconductors leading","Bull regime; tech leading"),IF(AQ324="SOXS","Bear regime; semiconductors weakest","Bear regime; tech weakest")))</f>
        <v>QQQ and SMH not aligned</v>
      </c>
      <c r="AX324" t="str">
        <f>IF(AR324="WAIT","QQQ and SMH not aligned",IF(AV324="BULL",IF(AR324="SOXL","Bull regime; semiconductors leading","Bull regime; tech leading"),IF(AR324="SOXS","Bear regime; semiconductors weakest","Bear regime; tech weakest")))</f>
        <v>Bear regime; tech weakest</v>
      </c>
    </row>
    <row r="325" spans="1:50" x14ac:dyDescent="0.2">
      <c r="A325" s="12"/>
      <c r="B325" s="13"/>
      <c r="C325" s="13"/>
      <c r="D325" s="13"/>
      <c r="E325" s="13"/>
      <c r="F325" s="11" t="str">
        <f>IF(OR(E325="",E324=""),"",IF(E324=0,"",(E325/E324)-1))</f>
        <v/>
      </c>
      <c r="G325" s="13"/>
      <c r="H325" s="11" t="str">
        <f>IF(OR(G325="",G324=""),"",IF(G324=0,"",(G325/G324)-1))</f>
        <v/>
      </c>
      <c r="I325" s="13"/>
      <c r="J325" s="13"/>
      <c r="K325" s="13"/>
      <c r="L325" s="13"/>
      <c r="M325" s="23" t="str">
        <f>IF(OR(L325="",L324=""),"",IF(L324=0,"",(L325/L324)-1))</f>
        <v/>
      </c>
      <c r="N325" s="26" t="str">
        <f>IFERROR((M325/M324)-1,"")</f>
        <v/>
      </c>
      <c r="O325" s="23" t="str">
        <f>IF(OR(N325="",N324=""),"",IF(N324=0,"",(N325/N324)-1))</f>
        <v/>
      </c>
      <c r="P325" s="11" t="str">
        <f>IF(ROW()&lt;7,"",IF(OR(E325="",E322=""),"",IF(E322=0,"",(E325/E322)-1)))</f>
        <v/>
      </c>
      <c r="Q325" s="23" t="str">
        <f>IF(ROW()&lt;9,"",IF(OR(E325="",E320=""),"",IF(E320=0,"",(E325/E320)-1)))</f>
        <v/>
      </c>
      <c r="R325" s="23" t="str">
        <f>IF(ROW()&lt;7,"",IF(OR(G325="",G322=""),"",IF(G322=0,"",(G325/G322)-1)))</f>
        <v/>
      </c>
      <c r="S325" s="23" t="str">
        <f>IF(ROW()&lt;9,"",IF(OR(G325="",G320=""),"",IF(G320=0,"",(G325/G320)-1)))</f>
        <v/>
      </c>
      <c r="T325" s="23" t="str">
        <f>IF(ROW()&lt;7,"",IF(OR(L325="",L322=""),"",IF(L322=0,"",(L325/L322)-1)))</f>
        <v/>
      </c>
      <c r="U325" s="23" t="str">
        <f>IF(ROW()&lt;9,"",IF(OR(L325="",L320=""),"",IF(L320=0,"",(L325/L320)-1)))</f>
        <v/>
      </c>
      <c r="V325" s="23" t="str">
        <f>IF(ROW()&lt;7,"",IF(OR(N325="",N322=""),"",IF(N322=0,"",(N325/N322)-1)))</f>
        <v/>
      </c>
      <c r="W325" s="23" t="str">
        <f>IF(ROW()&lt;9,"",IF(OR(N325="",N320=""),"",IF(N320=0,"",(N325/N320)-1)))</f>
        <v/>
      </c>
      <c r="X325" s="23" t="str">
        <f>IF(OR(F325="",M325=""),"",F325-M325)</f>
        <v/>
      </c>
      <c r="Y325" s="23" t="str">
        <f>IF(OR(P325="",T325=""),"",P325-T325)</f>
        <v/>
      </c>
      <c r="Z325" s="23" t="str">
        <f>IF(OR(Q325="",U325=""),"",Q325-U325)</f>
        <v/>
      </c>
      <c r="AA325" s="23" t="str">
        <f>IF(OR(H325="",O325=""),"",H325-O325)</f>
        <v/>
      </c>
      <c r="AB325" s="23" t="str">
        <f>IF(OR(R325="",V325=""),"",R325-V325)</f>
        <v/>
      </c>
      <c r="AC325" s="23" t="str">
        <f>IF(OR(S325="",W325=""),"",S325-W325)</f>
        <v/>
      </c>
      <c r="AD325" s="13"/>
      <c r="AE325" s="23" t="str">
        <f>IF(OR(AD325="",AD324=""),"",IF(AD324=0,"",(AD325/AD324)-1))</f>
        <v/>
      </c>
      <c r="AF325" s="23" t="str">
        <f>IF(ROW()&lt;7,"",IF(OR(AD325="",AD322=""),"",IF(AD322=0,"",(AD325/AD322)-1)))</f>
        <v/>
      </c>
      <c r="AG325" s="23" t="str">
        <f>IF(ROW()&lt;9,"",IF(OR(AD325="",AD320=""),"",IF(AD320=0,"",(AD325/AD320)-1)))</f>
        <v/>
      </c>
      <c r="AH325" s="23" t="str">
        <f>IF(OR(AF325="",AG325=""),"",IF(AND(AF325&gt;0,AG325&gt;0),"Bull",IF(AND(AF325&lt;0,AG325&lt;0),"Bear","Mixed")))</f>
        <v/>
      </c>
      <c r="AI325" s="13"/>
      <c r="AJ325" s="13" t="str">
        <f>IF(OR(AI325="",AI324=""),"",IF(AI324=0,"",(AI325/AI324)-1))</f>
        <v/>
      </c>
      <c r="AK325" s="23" t="str">
        <f>IF(OR(AJ325="",AJ324=""),"",IF(AJ324=0,"",(AJ325/AJ324)-1))</f>
        <v/>
      </c>
      <c r="AL325" s="23" t="str">
        <f>IF(ROW()&lt;7,"",IF(OR(AJ325="",AJ322=""),"",IF(AJ322=0,"",(AJ325/AJ322)-1)))</f>
        <v/>
      </c>
      <c r="AM325" s="23" t="str">
        <f>IF(ROW()&lt;9,"",IF(OR(AJ325="",AJ320=""),"",IF(AJ320=0,"",(AJ325/AJ320)-1)))</f>
        <v/>
      </c>
      <c r="AN325" t="str">
        <f>IF(OR(AL325="",AM325=""),"",IF(AND(AL325&gt;0,AM325&gt;0),"Bull",IF(AND(AL325&lt;0,AM325&lt;0),"Bear","Mixed")))</f>
        <v/>
      </c>
      <c r="AO325" t="str">
        <f>IF(OR(AH325="",AN325=""),"",IF(AND(AH325="Bull",AN325="Bull"),"YES","NO"))</f>
        <v/>
      </c>
      <c r="AP325" t="str">
        <f>IF(OR(AH325="",AN325=""),"",IF(AND(AH325="Bear",AN325="Bear"),"YES","NO"))</f>
        <v/>
      </c>
      <c r="AQ325" t="str">
        <f>IF(AO325="YES",IF(SUM(N(X325),N(Y325),N(Z325))&gt;0,"SOXL","TQQQ"),IF(AP325="YES",IF(SUM(N(AA325),N(AB325),N(AC325))&gt;0,"SOXS","SQQQ"),"WAIT"))</f>
        <v>WAIT</v>
      </c>
      <c r="AR325" s="23" t="str">
        <f>IF(AO325="YES",IF(SUM(N(X325),N(Y325),N(Z325))&gt;0,"TQQQ","SOXL"),IF(AP325="YES",IF(SUM(N(AA325),N(AB325),N(AC325))&gt;0,"SQQQ","SOXS"),""))</f>
        <v/>
      </c>
      <c r="AS325" s="23" t="str">
        <f>IF(AQ325="WAIT","",IF(AR325="",1,0.6))</f>
        <v/>
      </c>
      <c r="AT325" s="23">
        <f>IF(AR325="",0,0.4)</f>
        <v>0</v>
      </c>
      <c r="AU325" s="23" t="str">
        <f>IF(AQ325="WAIT","WAIT",IF(AO325="YES","BULL",IF(AP325="YES","BEAR","WAIT")))</f>
        <v>WAIT</v>
      </c>
      <c r="AV325" t="str">
        <f>IF(AQ325="WAIT","Low",IF(OR(AND(AU325="BULL",ABS(SUM(N(X325),N(Y325),N(Z325)))&gt;=0.15),AND(AU325="BEAR",ABS(SUM(N(AA325),N(AB325),N(AC325)))&gt;=0.15)),"Strong",IF(OR(AND(AU325="BULL",ABS(SUM(N(X325),N(Y325),N(Z325)))&gt;=0.05),AND(AU325="BEAR",ABS(SUM(N(AA325),N(AB325),N(AC325)))&gt;=0.05)),"Moderate","Low")))</f>
        <v>Low</v>
      </c>
      <c r="AW325" t="str">
        <f>IF(AQ325="WAIT","QQQ and SMH not aligned",IF(AU325="BULL",IF(AQ325="SOXL","Bull regime; semiconductors leading","Bull regime; tech leading"),IF(AQ325="SOXS","Bear regime; semiconductors weakest","Bear regime; tech weakest")))</f>
        <v>QQQ and SMH not aligned</v>
      </c>
      <c r="AX325" t="str">
        <f>IF(AR325="WAIT","QQQ and SMH not aligned",IF(AV325="BULL",IF(AR325="SOXL","Bull regime; semiconductors leading","Bull regime; tech leading"),IF(AR325="SOXS","Bear regime; semiconductors weakest","Bear regime; tech weakest")))</f>
        <v>Bear regime; tech weakest</v>
      </c>
    </row>
    <row r="326" spans="1:50" x14ac:dyDescent="0.2">
      <c r="A326" s="12"/>
      <c r="B326" s="13"/>
      <c r="C326" s="13"/>
      <c r="D326" s="13"/>
      <c r="E326" s="13"/>
      <c r="F326" s="11" t="str">
        <f>IF(OR(E326="",E325=""),"",IF(E325=0,"",(E326/E325)-1))</f>
        <v/>
      </c>
      <c r="G326" s="13"/>
      <c r="H326" s="11" t="str">
        <f>IF(OR(G326="",G325=""),"",IF(G325=0,"",(G326/G325)-1))</f>
        <v/>
      </c>
      <c r="I326" s="13"/>
      <c r="J326" s="13"/>
      <c r="K326" s="13"/>
      <c r="L326" s="13"/>
      <c r="M326" s="23" t="str">
        <f>IF(OR(L326="",L325=""),"",IF(L325=0,"",(L326/L325)-1))</f>
        <v/>
      </c>
      <c r="N326" s="26" t="str">
        <f>IFERROR((M326/M325)-1,"")</f>
        <v/>
      </c>
      <c r="O326" s="23" t="str">
        <f>IF(OR(N326="",N325=""),"",IF(N325=0,"",(N326/N325)-1))</f>
        <v/>
      </c>
      <c r="P326" s="11" t="str">
        <f>IF(ROW()&lt;7,"",IF(OR(E326="",E323=""),"",IF(E323=0,"",(E326/E323)-1)))</f>
        <v/>
      </c>
      <c r="Q326" s="23" t="str">
        <f>IF(ROW()&lt;9,"",IF(OR(E326="",E321=""),"",IF(E321=0,"",(E326/E321)-1)))</f>
        <v/>
      </c>
      <c r="R326" s="23" t="str">
        <f>IF(ROW()&lt;7,"",IF(OR(G326="",G323=""),"",IF(G323=0,"",(G326/G323)-1)))</f>
        <v/>
      </c>
      <c r="S326" s="23" t="str">
        <f>IF(ROW()&lt;9,"",IF(OR(G326="",G321=""),"",IF(G321=0,"",(G326/G321)-1)))</f>
        <v/>
      </c>
      <c r="T326" s="23" t="str">
        <f>IF(ROW()&lt;7,"",IF(OR(L326="",L323=""),"",IF(L323=0,"",(L326/L323)-1)))</f>
        <v/>
      </c>
      <c r="U326" s="23" t="str">
        <f>IF(ROW()&lt;9,"",IF(OR(L326="",L321=""),"",IF(L321=0,"",(L326/L321)-1)))</f>
        <v/>
      </c>
      <c r="V326" s="23" t="str">
        <f>IF(ROW()&lt;7,"",IF(OR(N326="",N323=""),"",IF(N323=0,"",(N326/N323)-1)))</f>
        <v/>
      </c>
      <c r="W326" s="23" t="str">
        <f>IF(ROW()&lt;9,"",IF(OR(N326="",N321=""),"",IF(N321=0,"",(N326/N321)-1)))</f>
        <v/>
      </c>
      <c r="X326" s="23" t="str">
        <f>IF(OR(F326="",M326=""),"",F326-M326)</f>
        <v/>
      </c>
      <c r="Y326" s="23" t="str">
        <f>IF(OR(P326="",T326=""),"",P326-T326)</f>
        <v/>
      </c>
      <c r="Z326" s="23" t="str">
        <f>IF(OR(Q326="",U326=""),"",Q326-U326)</f>
        <v/>
      </c>
      <c r="AA326" s="23" t="str">
        <f>IF(OR(H326="",O326=""),"",H326-O326)</f>
        <v/>
      </c>
      <c r="AB326" s="23" t="str">
        <f>IF(OR(R326="",V326=""),"",R326-V326)</f>
        <v/>
      </c>
      <c r="AC326" s="23" t="str">
        <f>IF(OR(S326="",W326=""),"",S326-W326)</f>
        <v/>
      </c>
      <c r="AD326" s="13"/>
      <c r="AE326" s="23" t="str">
        <f>IF(OR(AD326="",AD325=""),"",IF(AD325=0,"",(AD326/AD325)-1))</f>
        <v/>
      </c>
      <c r="AF326" s="23" t="str">
        <f>IF(ROW()&lt;7,"",IF(OR(AD326="",AD323=""),"",IF(AD323=0,"",(AD326/AD323)-1)))</f>
        <v/>
      </c>
      <c r="AG326" s="23" t="str">
        <f>IF(ROW()&lt;9,"",IF(OR(AD326="",AD321=""),"",IF(AD321=0,"",(AD326/AD321)-1)))</f>
        <v/>
      </c>
      <c r="AH326" s="23" t="str">
        <f>IF(OR(AF326="",AG326=""),"",IF(AND(AF326&gt;0,AG326&gt;0),"Bull",IF(AND(AF326&lt;0,AG326&lt;0),"Bear","Mixed")))</f>
        <v/>
      </c>
      <c r="AI326" s="13"/>
      <c r="AJ326" s="13" t="str">
        <f>IF(OR(AI326="",AI325=""),"",IF(AI325=0,"",(AI326/AI325)-1))</f>
        <v/>
      </c>
      <c r="AK326" s="23" t="str">
        <f>IF(OR(AJ326="",AJ325=""),"",IF(AJ325=0,"",(AJ326/AJ325)-1))</f>
        <v/>
      </c>
      <c r="AL326" s="23" t="str">
        <f>IF(ROW()&lt;7,"",IF(OR(AJ326="",AJ323=""),"",IF(AJ323=0,"",(AJ326/AJ323)-1)))</f>
        <v/>
      </c>
      <c r="AM326" s="23" t="str">
        <f>IF(ROW()&lt;9,"",IF(OR(AJ326="",AJ321=""),"",IF(AJ321=0,"",(AJ326/AJ321)-1)))</f>
        <v/>
      </c>
      <c r="AN326" t="str">
        <f>IF(OR(AL326="",AM326=""),"",IF(AND(AL326&gt;0,AM326&gt;0),"Bull",IF(AND(AL326&lt;0,AM326&lt;0),"Bear","Mixed")))</f>
        <v/>
      </c>
      <c r="AO326" t="str">
        <f>IF(OR(AH326="",AN326=""),"",IF(AND(AH326="Bull",AN326="Bull"),"YES","NO"))</f>
        <v/>
      </c>
      <c r="AP326" t="str">
        <f>IF(OR(AH326="",AN326=""),"",IF(AND(AH326="Bear",AN326="Bear"),"YES","NO"))</f>
        <v/>
      </c>
      <c r="AQ326" t="str">
        <f>IF(AO326="YES",IF(SUM(N(X326),N(Y326),N(Z326))&gt;0,"SOXL","TQQQ"),IF(AP326="YES",IF(SUM(N(AA326),N(AB326),N(AC326))&gt;0,"SOXS","SQQQ"),"WAIT"))</f>
        <v>WAIT</v>
      </c>
      <c r="AR326" s="23" t="str">
        <f>IF(AO326="YES",IF(SUM(N(X326),N(Y326),N(Z326))&gt;0,"TQQQ","SOXL"),IF(AP326="YES",IF(SUM(N(AA326),N(AB326),N(AC326))&gt;0,"SQQQ","SOXS"),""))</f>
        <v/>
      </c>
      <c r="AS326" s="23" t="str">
        <f>IF(AQ326="WAIT","",IF(AR326="",1,0.6))</f>
        <v/>
      </c>
      <c r="AT326" s="23">
        <f>IF(AR326="",0,0.4)</f>
        <v>0</v>
      </c>
      <c r="AU326" s="23" t="str">
        <f>IF(AQ326="WAIT","WAIT",IF(AO326="YES","BULL",IF(AP326="YES","BEAR","WAIT")))</f>
        <v>WAIT</v>
      </c>
      <c r="AV326" t="str">
        <f>IF(AQ326="WAIT","Low",IF(OR(AND(AU326="BULL",ABS(SUM(N(X326),N(Y326),N(Z326)))&gt;=0.15),AND(AU326="BEAR",ABS(SUM(N(AA326),N(AB326),N(AC326)))&gt;=0.15)),"Strong",IF(OR(AND(AU326="BULL",ABS(SUM(N(X326),N(Y326),N(Z326)))&gt;=0.05),AND(AU326="BEAR",ABS(SUM(N(AA326),N(AB326),N(AC326)))&gt;=0.05)),"Moderate","Low")))</f>
        <v>Low</v>
      </c>
      <c r="AW326" t="str">
        <f>IF(AQ326="WAIT","QQQ and SMH not aligned",IF(AU326="BULL",IF(AQ326="SOXL","Bull regime; semiconductors leading","Bull regime; tech leading"),IF(AQ326="SOXS","Bear regime; semiconductors weakest","Bear regime; tech weakest")))</f>
        <v>QQQ and SMH not aligned</v>
      </c>
      <c r="AX326" t="str">
        <f>IF(AR326="WAIT","QQQ and SMH not aligned",IF(AV326="BULL",IF(AR326="SOXL","Bull regime; semiconductors leading","Bull regime; tech leading"),IF(AR326="SOXS","Bear regime; semiconductors weakest","Bear regime; tech weakest")))</f>
        <v>Bear regime; tech weakest</v>
      </c>
    </row>
    <row r="327" spans="1:50" x14ac:dyDescent="0.2">
      <c r="A327" s="12"/>
      <c r="B327" s="13"/>
      <c r="C327" s="13"/>
      <c r="D327" s="13"/>
      <c r="E327" s="13"/>
      <c r="F327" s="11" t="str">
        <f>IF(OR(E327="",E326=""),"",IF(E326=0,"",(E327/E326)-1))</f>
        <v/>
      </c>
      <c r="G327" s="13"/>
      <c r="H327" s="11" t="str">
        <f>IF(OR(G327="",G326=""),"",IF(G326=0,"",(G327/G326)-1))</f>
        <v/>
      </c>
      <c r="I327" s="13"/>
      <c r="J327" s="13"/>
      <c r="K327" s="13"/>
      <c r="L327" s="13"/>
      <c r="M327" s="23" t="str">
        <f>IF(OR(L327="",L326=""),"",IF(L326=0,"",(L327/L326)-1))</f>
        <v/>
      </c>
      <c r="N327" s="26" t="str">
        <f>IFERROR((M327/M326)-1,"")</f>
        <v/>
      </c>
      <c r="O327" s="23" t="str">
        <f>IF(OR(N327="",N326=""),"",IF(N326=0,"",(N327/N326)-1))</f>
        <v/>
      </c>
      <c r="P327" s="11" t="str">
        <f>IF(ROW()&lt;7,"",IF(OR(E327="",E324=""),"",IF(E324=0,"",(E327/E324)-1)))</f>
        <v/>
      </c>
      <c r="Q327" s="23" t="str">
        <f>IF(ROW()&lt;9,"",IF(OR(E327="",E322=""),"",IF(E322=0,"",(E327/E322)-1)))</f>
        <v/>
      </c>
      <c r="R327" s="23" t="str">
        <f>IF(ROW()&lt;7,"",IF(OR(G327="",G324=""),"",IF(G324=0,"",(G327/G324)-1)))</f>
        <v/>
      </c>
      <c r="S327" s="23" t="str">
        <f>IF(ROW()&lt;9,"",IF(OR(G327="",G322=""),"",IF(G322=0,"",(G327/G322)-1)))</f>
        <v/>
      </c>
      <c r="T327" s="23" t="str">
        <f>IF(ROW()&lt;7,"",IF(OR(L327="",L324=""),"",IF(L324=0,"",(L327/L324)-1)))</f>
        <v/>
      </c>
      <c r="U327" s="23" t="str">
        <f>IF(ROW()&lt;9,"",IF(OR(L327="",L322=""),"",IF(L322=0,"",(L327/L322)-1)))</f>
        <v/>
      </c>
      <c r="V327" s="23" t="str">
        <f>IF(ROW()&lt;7,"",IF(OR(N327="",N324=""),"",IF(N324=0,"",(N327/N324)-1)))</f>
        <v/>
      </c>
      <c r="W327" s="23" t="str">
        <f>IF(ROW()&lt;9,"",IF(OR(N327="",N322=""),"",IF(N322=0,"",(N327/N322)-1)))</f>
        <v/>
      </c>
      <c r="X327" s="23" t="str">
        <f>IF(OR(F327="",M327=""),"",F327-M327)</f>
        <v/>
      </c>
      <c r="Y327" s="23" t="str">
        <f>IF(OR(P327="",T327=""),"",P327-T327)</f>
        <v/>
      </c>
      <c r="Z327" s="23" t="str">
        <f>IF(OR(Q327="",U327=""),"",Q327-U327)</f>
        <v/>
      </c>
      <c r="AA327" s="23" t="str">
        <f>IF(OR(H327="",O327=""),"",H327-O327)</f>
        <v/>
      </c>
      <c r="AB327" s="23" t="str">
        <f>IF(OR(R327="",V327=""),"",R327-V327)</f>
        <v/>
      </c>
      <c r="AC327" s="23" t="str">
        <f>IF(OR(S327="",W327=""),"",S327-W327)</f>
        <v/>
      </c>
      <c r="AD327" s="13"/>
      <c r="AE327" s="23" t="str">
        <f>IF(OR(AD327="",AD326=""),"",IF(AD326=0,"",(AD327/AD326)-1))</f>
        <v/>
      </c>
      <c r="AF327" s="23" t="str">
        <f>IF(ROW()&lt;7,"",IF(OR(AD327="",AD324=""),"",IF(AD324=0,"",(AD327/AD324)-1)))</f>
        <v/>
      </c>
      <c r="AG327" s="23" t="str">
        <f>IF(ROW()&lt;9,"",IF(OR(AD327="",AD322=""),"",IF(AD322=0,"",(AD327/AD322)-1)))</f>
        <v/>
      </c>
      <c r="AH327" s="23" t="str">
        <f>IF(OR(AF327="",AG327=""),"",IF(AND(AF327&gt;0,AG327&gt;0),"Bull",IF(AND(AF327&lt;0,AG327&lt;0),"Bear","Mixed")))</f>
        <v/>
      </c>
      <c r="AI327" s="13"/>
      <c r="AJ327" s="13" t="str">
        <f>IF(OR(AI327="",AI326=""),"",IF(AI326=0,"",(AI327/AI326)-1))</f>
        <v/>
      </c>
      <c r="AK327" s="23" t="str">
        <f>IF(OR(AJ327="",AJ326=""),"",IF(AJ326=0,"",(AJ327/AJ326)-1))</f>
        <v/>
      </c>
      <c r="AL327" s="23" t="str">
        <f>IF(ROW()&lt;7,"",IF(OR(AJ327="",AJ324=""),"",IF(AJ324=0,"",(AJ327/AJ324)-1)))</f>
        <v/>
      </c>
      <c r="AM327" s="23" t="str">
        <f>IF(ROW()&lt;9,"",IF(OR(AJ327="",AJ322=""),"",IF(AJ322=0,"",(AJ327/AJ322)-1)))</f>
        <v/>
      </c>
      <c r="AN327" t="str">
        <f>IF(OR(AL327="",AM327=""),"",IF(AND(AL327&gt;0,AM327&gt;0),"Bull",IF(AND(AL327&lt;0,AM327&lt;0),"Bear","Mixed")))</f>
        <v/>
      </c>
      <c r="AO327" t="str">
        <f>IF(OR(AH327="",AN327=""),"",IF(AND(AH327="Bull",AN327="Bull"),"YES","NO"))</f>
        <v/>
      </c>
      <c r="AP327" t="str">
        <f>IF(OR(AH327="",AN327=""),"",IF(AND(AH327="Bear",AN327="Bear"),"YES","NO"))</f>
        <v/>
      </c>
      <c r="AQ327" t="str">
        <f>IF(AO327="YES",IF(SUM(N(X327),N(Y327),N(Z327))&gt;0,"SOXL","TQQQ"),IF(AP327="YES",IF(SUM(N(AA327),N(AB327),N(AC327))&gt;0,"SOXS","SQQQ"),"WAIT"))</f>
        <v>WAIT</v>
      </c>
      <c r="AR327" s="23" t="str">
        <f>IF(AO327="YES",IF(SUM(N(X327),N(Y327),N(Z327))&gt;0,"TQQQ","SOXL"),IF(AP327="YES",IF(SUM(N(AA327),N(AB327),N(AC327))&gt;0,"SQQQ","SOXS"),""))</f>
        <v/>
      </c>
      <c r="AS327" s="23" t="str">
        <f>IF(AQ327="WAIT","",IF(AR327="",1,0.6))</f>
        <v/>
      </c>
      <c r="AT327" s="23">
        <f>IF(AR327="",0,0.4)</f>
        <v>0</v>
      </c>
      <c r="AU327" s="23" t="str">
        <f>IF(AQ327="WAIT","WAIT",IF(AO327="YES","BULL",IF(AP327="YES","BEAR","WAIT")))</f>
        <v>WAIT</v>
      </c>
      <c r="AV327" t="str">
        <f>IF(AQ327="WAIT","Low",IF(OR(AND(AU327="BULL",ABS(SUM(N(X327),N(Y327),N(Z327)))&gt;=0.15),AND(AU327="BEAR",ABS(SUM(N(AA327),N(AB327),N(AC327)))&gt;=0.15)),"Strong",IF(OR(AND(AU327="BULL",ABS(SUM(N(X327),N(Y327),N(Z327)))&gt;=0.05),AND(AU327="BEAR",ABS(SUM(N(AA327),N(AB327),N(AC327)))&gt;=0.05)),"Moderate","Low")))</f>
        <v>Low</v>
      </c>
      <c r="AW327" t="str">
        <f>IF(AQ327="WAIT","QQQ and SMH not aligned",IF(AU327="BULL",IF(AQ327="SOXL","Bull regime; semiconductors leading","Bull regime; tech leading"),IF(AQ327="SOXS","Bear regime; semiconductors weakest","Bear regime; tech weakest")))</f>
        <v>QQQ and SMH not aligned</v>
      </c>
      <c r="AX327" t="str">
        <f>IF(AR327="WAIT","QQQ and SMH not aligned",IF(AV327="BULL",IF(AR327="SOXL","Bull regime; semiconductors leading","Bull regime; tech leading"),IF(AR327="SOXS","Bear regime; semiconductors weakest","Bear regime; tech weakest")))</f>
        <v>Bear regime; tech weakest</v>
      </c>
    </row>
    <row r="328" spans="1:50" x14ac:dyDescent="0.2">
      <c r="A328" s="12"/>
      <c r="B328" s="13"/>
      <c r="C328" s="13"/>
      <c r="D328" s="13"/>
      <c r="E328" s="13"/>
      <c r="F328" s="11" t="str">
        <f>IF(OR(E328="",E327=""),"",IF(E327=0,"",(E328/E327)-1))</f>
        <v/>
      </c>
      <c r="G328" s="13"/>
      <c r="H328" s="11" t="str">
        <f>IF(OR(G328="",G327=""),"",IF(G327=0,"",(G328/G327)-1))</f>
        <v/>
      </c>
      <c r="I328" s="13"/>
      <c r="J328" s="13"/>
      <c r="K328" s="13"/>
      <c r="L328" s="13"/>
      <c r="M328" s="23" t="str">
        <f>IF(OR(L328="",L327=""),"",IF(L327=0,"",(L328/L327)-1))</f>
        <v/>
      </c>
      <c r="N328" s="26" t="str">
        <f>IFERROR((M328/M327)-1,"")</f>
        <v/>
      </c>
      <c r="O328" s="23" t="str">
        <f>IF(OR(N328="",N327=""),"",IF(N327=0,"",(N328/N327)-1))</f>
        <v/>
      </c>
      <c r="P328" s="11" t="str">
        <f>IF(ROW()&lt;7,"",IF(OR(E328="",E325=""),"",IF(E325=0,"",(E328/E325)-1)))</f>
        <v/>
      </c>
      <c r="Q328" s="23" t="str">
        <f>IF(ROW()&lt;9,"",IF(OR(E328="",E323=""),"",IF(E323=0,"",(E328/E323)-1)))</f>
        <v/>
      </c>
      <c r="R328" s="23" t="str">
        <f>IF(ROW()&lt;7,"",IF(OR(G328="",G325=""),"",IF(G325=0,"",(G328/G325)-1)))</f>
        <v/>
      </c>
      <c r="S328" s="23" t="str">
        <f>IF(ROW()&lt;9,"",IF(OR(G328="",G323=""),"",IF(G323=0,"",(G328/G323)-1)))</f>
        <v/>
      </c>
      <c r="T328" s="23" t="str">
        <f>IF(ROW()&lt;7,"",IF(OR(L328="",L325=""),"",IF(L325=0,"",(L328/L325)-1)))</f>
        <v/>
      </c>
      <c r="U328" s="23" t="str">
        <f>IF(ROW()&lt;9,"",IF(OR(L328="",L323=""),"",IF(L323=0,"",(L328/L323)-1)))</f>
        <v/>
      </c>
      <c r="V328" s="23" t="str">
        <f>IF(ROW()&lt;7,"",IF(OR(N328="",N325=""),"",IF(N325=0,"",(N328/N325)-1)))</f>
        <v/>
      </c>
      <c r="W328" s="23" t="str">
        <f>IF(ROW()&lt;9,"",IF(OR(N328="",N323=""),"",IF(N323=0,"",(N328/N323)-1)))</f>
        <v/>
      </c>
      <c r="X328" s="23" t="str">
        <f>IF(OR(F328="",M328=""),"",F328-M328)</f>
        <v/>
      </c>
      <c r="Y328" s="23" t="str">
        <f>IF(OR(P328="",T328=""),"",P328-T328)</f>
        <v/>
      </c>
      <c r="Z328" s="23" t="str">
        <f>IF(OR(Q328="",U328=""),"",Q328-U328)</f>
        <v/>
      </c>
      <c r="AA328" s="23" t="str">
        <f>IF(OR(H328="",O328=""),"",H328-O328)</f>
        <v/>
      </c>
      <c r="AB328" s="23" t="str">
        <f>IF(OR(R328="",V328=""),"",R328-V328)</f>
        <v/>
      </c>
      <c r="AC328" s="23" t="str">
        <f>IF(OR(S328="",W328=""),"",S328-W328)</f>
        <v/>
      </c>
      <c r="AD328" s="13"/>
      <c r="AE328" s="23" t="str">
        <f>IF(OR(AD328="",AD327=""),"",IF(AD327=0,"",(AD328/AD327)-1))</f>
        <v/>
      </c>
      <c r="AF328" s="23" t="str">
        <f>IF(ROW()&lt;7,"",IF(OR(AD328="",AD325=""),"",IF(AD325=0,"",(AD328/AD325)-1)))</f>
        <v/>
      </c>
      <c r="AG328" s="23" t="str">
        <f>IF(ROW()&lt;9,"",IF(OR(AD328="",AD323=""),"",IF(AD323=0,"",(AD328/AD323)-1)))</f>
        <v/>
      </c>
      <c r="AH328" s="23" t="str">
        <f>IF(OR(AF328="",AG328=""),"",IF(AND(AF328&gt;0,AG328&gt;0),"Bull",IF(AND(AF328&lt;0,AG328&lt;0),"Bear","Mixed")))</f>
        <v/>
      </c>
      <c r="AI328" s="13"/>
      <c r="AJ328" s="13" t="str">
        <f>IF(OR(AI328="",AI327=""),"",IF(AI327=0,"",(AI328/AI327)-1))</f>
        <v/>
      </c>
      <c r="AK328" s="23" t="str">
        <f>IF(OR(AJ328="",AJ327=""),"",IF(AJ327=0,"",(AJ328/AJ327)-1))</f>
        <v/>
      </c>
      <c r="AL328" s="23" t="str">
        <f>IF(ROW()&lt;7,"",IF(OR(AJ328="",AJ325=""),"",IF(AJ325=0,"",(AJ328/AJ325)-1)))</f>
        <v/>
      </c>
      <c r="AM328" s="23" t="str">
        <f>IF(ROW()&lt;9,"",IF(OR(AJ328="",AJ323=""),"",IF(AJ323=0,"",(AJ328/AJ323)-1)))</f>
        <v/>
      </c>
      <c r="AN328" t="str">
        <f>IF(OR(AL328="",AM328=""),"",IF(AND(AL328&gt;0,AM328&gt;0),"Bull",IF(AND(AL328&lt;0,AM328&lt;0),"Bear","Mixed")))</f>
        <v/>
      </c>
      <c r="AO328" t="str">
        <f>IF(OR(AH328="",AN328=""),"",IF(AND(AH328="Bull",AN328="Bull"),"YES","NO"))</f>
        <v/>
      </c>
      <c r="AP328" t="str">
        <f>IF(OR(AH328="",AN328=""),"",IF(AND(AH328="Bear",AN328="Bear"),"YES","NO"))</f>
        <v/>
      </c>
      <c r="AQ328" t="str">
        <f>IF(AO328="YES",IF(SUM(N(X328),N(Y328),N(Z328))&gt;0,"SOXL","TQQQ"),IF(AP328="YES",IF(SUM(N(AA328),N(AB328),N(AC328))&gt;0,"SOXS","SQQQ"),"WAIT"))</f>
        <v>WAIT</v>
      </c>
      <c r="AR328" s="23" t="str">
        <f>IF(AO328="YES",IF(SUM(N(X328),N(Y328),N(Z328))&gt;0,"TQQQ","SOXL"),IF(AP328="YES",IF(SUM(N(AA328),N(AB328),N(AC328))&gt;0,"SQQQ","SOXS"),""))</f>
        <v/>
      </c>
      <c r="AS328" s="23" t="str">
        <f>IF(AQ328="WAIT","",IF(AR328="",1,0.6))</f>
        <v/>
      </c>
      <c r="AT328" s="23">
        <f>IF(AR328="",0,0.4)</f>
        <v>0</v>
      </c>
      <c r="AU328" s="23" t="str">
        <f>IF(AQ328="WAIT","WAIT",IF(AO328="YES","BULL",IF(AP328="YES","BEAR","WAIT")))</f>
        <v>WAIT</v>
      </c>
      <c r="AV328" t="str">
        <f>IF(AQ328="WAIT","Low",IF(OR(AND(AU328="BULL",ABS(SUM(N(X328),N(Y328),N(Z328)))&gt;=0.15),AND(AU328="BEAR",ABS(SUM(N(AA328),N(AB328),N(AC328)))&gt;=0.15)),"Strong",IF(OR(AND(AU328="BULL",ABS(SUM(N(X328),N(Y328),N(Z328)))&gt;=0.05),AND(AU328="BEAR",ABS(SUM(N(AA328),N(AB328),N(AC328)))&gt;=0.05)),"Moderate","Low")))</f>
        <v>Low</v>
      </c>
      <c r="AW328" t="str">
        <f>IF(AQ328="WAIT","QQQ and SMH not aligned",IF(AU328="BULL",IF(AQ328="SOXL","Bull regime; semiconductors leading","Bull regime; tech leading"),IF(AQ328="SOXS","Bear regime; semiconductors weakest","Bear regime; tech weakest")))</f>
        <v>QQQ and SMH not aligned</v>
      </c>
      <c r="AX328" t="str">
        <f>IF(AR328="WAIT","QQQ and SMH not aligned",IF(AV328="BULL",IF(AR328="SOXL","Bull regime; semiconductors leading","Bull regime; tech leading"),IF(AR328="SOXS","Bear regime; semiconductors weakest","Bear regime; tech weakest")))</f>
        <v>Bear regime; tech weakest</v>
      </c>
    </row>
    <row r="329" spans="1:50" x14ac:dyDescent="0.2">
      <c r="A329" s="12"/>
      <c r="B329" s="13"/>
      <c r="C329" s="13"/>
      <c r="D329" s="13"/>
      <c r="E329" s="13"/>
      <c r="F329" s="11" t="str">
        <f>IF(OR(E329="",E328=""),"",IF(E328=0,"",(E329/E328)-1))</f>
        <v/>
      </c>
      <c r="G329" s="13"/>
      <c r="H329" s="11" t="str">
        <f>IF(OR(G329="",G328=""),"",IF(G328=0,"",(G329/G328)-1))</f>
        <v/>
      </c>
      <c r="I329" s="13"/>
      <c r="J329" s="13"/>
      <c r="K329" s="13"/>
      <c r="L329" s="13"/>
      <c r="M329" s="23" t="str">
        <f>IF(OR(L329="",L328=""),"",IF(L328=0,"",(L329/L328)-1))</f>
        <v/>
      </c>
      <c r="N329" s="26" t="str">
        <f>IFERROR((M329/M328)-1,"")</f>
        <v/>
      </c>
      <c r="O329" s="23" t="str">
        <f>IF(OR(N329="",N328=""),"",IF(N328=0,"",(N329/N328)-1))</f>
        <v/>
      </c>
      <c r="P329" s="11" t="str">
        <f>IF(ROW()&lt;7,"",IF(OR(E329="",E326=""),"",IF(E326=0,"",(E329/E326)-1)))</f>
        <v/>
      </c>
      <c r="Q329" s="23" t="str">
        <f>IF(ROW()&lt;9,"",IF(OR(E329="",E324=""),"",IF(E324=0,"",(E329/E324)-1)))</f>
        <v/>
      </c>
      <c r="R329" s="23" t="str">
        <f>IF(ROW()&lt;7,"",IF(OR(G329="",G326=""),"",IF(G326=0,"",(G329/G326)-1)))</f>
        <v/>
      </c>
      <c r="S329" s="23" t="str">
        <f>IF(ROW()&lt;9,"",IF(OR(G329="",G324=""),"",IF(G324=0,"",(G329/G324)-1)))</f>
        <v/>
      </c>
      <c r="T329" s="23" t="str">
        <f>IF(ROW()&lt;7,"",IF(OR(L329="",L326=""),"",IF(L326=0,"",(L329/L326)-1)))</f>
        <v/>
      </c>
      <c r="U329" s="23" t="str">
        <f>IF(ROW()&lt;9,"",IF(OR(L329="",L324=""),"",IF(L324=0,"",(L329/L324)-1)))</f>
        <v/>
      </c>
      <c r="V329" s="23" t="str">
        <f>IF(ROW()&lt;7,"",IF(OR(N329="",N326=""),"",IF(N326=0,"",(N329/N326)-1)))</f>
        <v/>
      </c>
      <c r="W329" s="23" t="str">
        <f>IF(ROW()&lt;9,"",IF(OR(N329="",N324=""),"",IF(N324=0,"",(N329/N324)-1)))</f>
        <v/>
      </c>
      <c r="X329" s="23" t="str">
        <f>IF(OR(F329="",M329=""),"",F329-M329)</f>
        <v/>
      </c>
      <c r="Y329" s="23" t="str">
        <f>IF(OR(P329="",T329=""),"",P329-T329)</f>
        <v/>
      </c>
      <c r="Z329" s="23" t="str">
        <f>IF(OR(Q329="",U329=""),"",Q329-U329)</f>
        <v/>
      </c>
      <c r="AA329" s="23" t="str">
        <f>IF(OR(H329="",O329=""),"",H329-O329)</f>
        <v/>
      </c>
      <c r="AB329" s="23" t="str">
        <f>IF(OR(R329="",V329=""),"",R329-V329)</f>
        <v/>
      </c>
      <c r="AC329" s="23" t="str">
        <f>IF(OR(S329="",W329=""),"",S329-W329)</f>
        <v/>
      </c>
      <c r="AD329" s="13"/>
      <c r="AE329" s="23" t="str">
        <f>IF(OR(AD329="",AD328=""),"",IF(AD328=0,"",(AD329/AD328)-1))</f>
        <v/>
      </c>
      <c r="AF329" s="23" t="str">
        <f>IF(ROW()&lt;7,"",IF(OR(AD329="",AD326=""),"",IF(AD326=0,"",(AD329/AD326)-1)))</f>
        <v/>
      </c>
      <c r="AG329" s="23" t="str">
        <f>IF(ROW()&lt;9,"",IF(OR(AD329="",AD324=""),"",IF(AD324=0,"",(AD329/AD324)-1)))</f>
        <v/>
      </c>
      <c r="AH329" s="23" t="str">
        <f>IF(OR(AF329="",AG329=""),"",IF(AND(AF329&gt;0,AG329&gt;0),"Bull",IF(AND(AF329&lt;0,AG329&lt;0),"Bear","Mixed")))</f>
        <v/>
      </c>
      <c r="AI329" s="13"/>
      <c r="AJ329" s="13" t="str">
        <f>IF(OR(AI329="",AI328=""),"",IF(AI328=0,"",(AI329/AI328)-1))</f>
        <v/>
      </c>
      <c r="AK329" s="23" t="str">
        <f>IF(OR(AJ329="",AJ328=""),"",IF(AJ328=0,"",(AJ329/AJ328)-1))</f>
        <v/>
      </c>
      <c r="AL329" s="23" t="str">
        <f>IF(ROW()&lt;7,"",IF(OR(AJ329="",AJ326=""),"",IF(AJ326=0,"",(AJ329/AJ326)-1)))</f>
        <v/>
      </c>
      <c r="AM329" s="23" t="str">
        <f>IF(ROW()&lt;9,"",IF(OR(AJ329="",AJ324=""),"",IF(AJ324=0,"",(AJ329/AJ324)-1)))</f>
        <v/>
      </c>
      <c r="AN329" t="str">
        <f>IF(OR(AL329="",AM329=""),"",IF(AND(AL329&gt;0,AM329&gt;0),"Bull",IF(AND(AL329&lt;0,AM329&lt;0),"Bear","Mixed")))</f>
        <v/>
      </c>
      <c r="AO329" t="str">
        <f>IF(OR(AH329="",AN329=""),"",IF(AND(AH329="Bull",AN329="Bull"),"YES","NO"))</f>
        <v/>
      </c>
      <c r="AP329" t="str">
        <f>IF(OR(AH329="",AN329=""),"",IF(AND(AH329="Bear",AN329="Bear"),"YES","NO"))</f>
        <v/>
      </c>
      <c r="AQ329" t="str">
        <f>IF(AO329="YES",IF(SUM(N(X329),N(Y329),N(Z329))&gt;0,"SOXL","TQQQ"),IF(AP329="YES",IF(SUM(N(AA329),N(AB329),N(AC329))&gt;0,"SOXS","SQQQ"),"WAIT"))</f>
        <v>WAIT</v>
      </c>
      <c r="AR329" s="23" t="str">
        <f>IF(AO329="YES",IF(SUM(N(X329),N(Y329),N(Z329))&gt;0,"TQQQ","SOXL"),IF(AP329="YES",IF(SUM(N(AA329),N(AB329),N(AC329))&gt;0,"SQQQ","SOXS"),""))</f>
        <v/>
      </c>
      <c r="AS329" s="23" t="str">
        <f>IF(AQ329="WAIT","",IF(AR329="",1,0.6))</f>
        <v/>
      </c>
      <c r="AT329" s="23">
        <f>IF(AR329="",0,0.4)</f>
        <v>0</v>
      </c>
      <c r="AU329" s="23" t="str">
        <f>IF(AQ329="WAIT","WAIT",IF(AO329="YES","BULL",IF(AP329="YES","BEAR","WAIT")))</f>
        <v>WAIT</v>
      </c>
      <c r="AV329" t="str">
        <f>IF(AQ329="WAIT","Low",IF(OR(AND(AU329="BULL",ABS(SUM(N(X329),N(Y329),N(Z329)))&gt;=0.15),AND(AU329="BEAR",ABS(SUM(N(AA329),N(AB329),N(AC329)))&gt;=0.15)),"Strong",IF(OR(AND(AU329="BULL",ABS(SUM(N(X329),N(Y329),N(Z329)))&gt;=0.05),AND(AU329="BEAR",ABS(SUM(N(AA329),N(AB329),N(AC329)))&gt;=0.05)),"Moderate","Low")))</f>
        <v>Low</v>
      </c>
      <c r="AW329" t="str">
        <f>IF(AQ329="WAIT","QQQ and SMH not aligned",IF(AU329="BULL",IF(AQ329="SOXL","Bull regime; semiconductors leading","Bull regime; tech leading"),IF(AQ329="SOXS","Bear regime; semiconductors weakest","Bear regime; tech weakest")))</f>
        <v>QQQ and SMH not aligned</v>
      </c>
      <c r="AX329" t="str">
        <f>IF(AR329="WAIT","QQQ and SMH not aligned",IF(AV329="BULL",IF(AR329="SOXL","Bull regime; semiconductors leading","Bull regime; tech leading"),IF(AR329="SOXS","Bear regime; semiconductors weakest","Bear regime; tech weakest")))</f>
        <v>Bear regime; tech weakest</v>
      </c>
    </row>
    <row r="330" spans="1:50" x14ac:dyDescent="0.2">
      <c r="A330" s="12"/>
      <c r="B330" s="13"/>
      <c r="C330" s="13"/>
      <c r="D330" s="13"/>
      <c r="E330" s="13"/>
      <c r="F330" s="11" t="str">
        <f>IF(OR(E330="",E329=""),"",IF(E329=0,"",(E330/E329)-1))</f>
        <v/>
      </c>
      <c r="G330" s="13"/>
      <c r="H330" s="11" t="str">
        <f>IF(OR(G330="",G329=""),"",IF(G329=0,"",(G330/G329)-1))</f>
        <v/>
      </c>
      <c r="I330" s="13"/>
      <c r="J330" s="13"/>
      <c r="K330" s="13"/>
      <c r="L330" s="13"/>
      <c r="M330" s="23" t="str">
        <f>IF(OR(L330="",L329=""),"",IF(L329=0,"",(L330/L329)-1))</f>
        <v/>
      </c>
      <c r="N330" s="26" t="str">
        <f>IFERROR((M330/M329)-1,"")</f>
        <v/>
      </c>
      <c r="O330" s="23" t="str">
        <f>IF(OR(N330="",N329=""),"",IF(N329=0,"",(N330/N329)-1))</f>
        <v/>
      </c>
      <c r="P330" s="11" t="str">
        <f>IF(ROW()&lt;7,"",IF(OR(E330="",E327=""),"",IF(E327=0,"",(E330/E327)-1)))</f>
        <v/>
      </c>
      <c r="Q330" s="23" t="str">
        <f>IF(ROW()&lt;9,"",IF(OR(E330="",E325=""),"",IF(E325=0,"",(E330/E325)-1)))</f>
        <v/>
      </c>
      <c r="R330" s="23" t="str">
        <f>IF(ROW()&lt;7,"",IF(OR(G330="",G327=""),"",IF(G327=0,"",(G330/G327)-1)))</f>
        <v/>
      </c>
      <c r="S330" s="23" t="str">
        <f>IF(ROW()&lt;9,"",IF(OR(G330="",G325=""),"",IF(G325=0,"",(G330/G325)-1)))</f>
        <v/>
      </c>
      <c r="T330" s="23" t="str">
        <f>IF(ROW()&lt;7,"",IF(OR(L330="",L327=""),"",IF(L327=0,"",(L330/L327)-1)))</f>
        <v/>
      </c>
      <c r="U330" s="23" t="str">
        <f>IF(ROW()&lt;9,"",IF(OR(L330="",L325=""),"",IF(L325=0,"",(L330/L325)-1)))</f>
        <v/>
      </c>
      <c r="V330" s="23" t="str">
        <f>IF(ROW()&lt;7,"",IF(OR(N330="",N327=""),"",IF(N327=0,"",(N330/N327)-1)))</f>
        <v/>
      </c>
      <c r="W330" s="23" t="str">
        <f>IF(ROW()&lt;9,"",IF(OR(N330="",N325=""),"",IF(N325=0,"",(N330/N325)-1)))</f>
        <v/>
      </c>
      <c r="X330" s="23" t="str">
        <f>IF(OR(F330="",M330=""),"",F330-M330)</f>
        <v/>
      </c>
      <c r="Y330" s="23" t="str">
        <f>IF(OR(P330="",T330=""),"",P330-T330)</f>
        <v/>
      </c>
      <c r="Z330" s="23" t="str">
        <f>IF(OR(Q330="",U330=""),"",Q330-U330)</f>
        <v/>
      </c>
      <c r="AA330" s="23" t="str">
        <f>IF(OR(H330="",O330=""),"",H330-O330)</f>
        <v/>
      </c>
      <c r="AB330" s="23" t="str">
        <f>IF(OR(R330="",V330=""),"",R330-V330)</f>
        <v/>
      </c>
      <c r="AC330" s="23" t="str">
        <f>IF(OR(S330="",W330=""),"",S330-W330)</f>
        <v/>
      </c>
      <c r="AD330" s="13"/>
      <c r="AE330" s="23" t="str">
        <f>IF(OR(AD330="",AD329=""),"",IF(AD329=0,"",(AD330/AD329)-1))</f>
        <v/>
      </c>
      <c r="AF330" s="23" t="str">
        <f>IF(ROW()&lt;7,"",IF(OR(AD330="",AD327=""),"",IF(AD327=0,"",(AD330/AD327)-1)))</f>
        <v/>
      </c>
      <c r="AG330" s="23" t="str">
        <f>IF(ROW()&lt;9,"",IF(OR(AD330="",AD325=""),"",IF(AD325=0,"",(AD330/AD325)-1)))</f>
        <v/>
      </c>
      <c r="AH330" s="23" t="str">
        <f>IF(OR(AF330="",AG330=""),"",IF(AND(AF330&gt;0,AG330&gt;0),"Bull",IF(AND(AF330&lt;0,AG330&lt;0),"Bear","Mixed")))</f>
        <v/>
      </c>
      <c r="AI330" s="13"/>
      <c r="AJ330" s="13" t="str">
        <f>IF(OR(AI330="",AI329=""),"",IF(AI329=0,"",(AI330/AI329)-1))</f>
        <v/>
      </c>
      <c r="AK330" s="23" t="str">
        <f>IF(OR(AJ330="",AJ329=""),"",IF(AJ329=0,"",(AJ330/AJ329)-1))</f>
        <v/>
      </c>
      <c r="AL330" s="23" t="str">
        <f>IF(ROW()&lt;7,"",IF(OR(AJ330="",AJ327=""),"",IF(AJ327=0,"",(AJ330/AJ327)-1)))</f>
        <v/>
      </c>
      <c r="AM330" s="23" t="str">
        <f>IF(ROW()&lt;9,"",IF(OR(AJ330="",AJ325=""),"",IF(AJ325=0,"",(AJ330/AJ325)-1)))</f>
        <v/>
      </c>
      <c r="AN330" t="str">
        <f>IF(OR(AL330="",AM330=""),"",IF(AND(AL330&gt;0,AM330&gt;0),"Bull",IF(AND(AL330&lt;0,AM330&lt;0),"Bear","Mixed")))</f>
        <v/>
      </c>
      <c r="AO330" t="str">
        <f>IF(OR(AH330="",AN330=""),"",IF(AND(AH330="Bull",AN330="Bull"),"YES","NO"))</f>
        <v/>
      </c>
      <c r="AP330" t="str">
        <f>IF(OR(AH330="",AN330=""),"",IF(AND(AH330="Bear",AN330="Bear"),"YES","NO"))</f>
        <v/>
      </c>
      <c r="AQ330" t="str">
        <f>IF(AO330="YES",IF(SUM(N(X330),N(Y330),N(Z330))&gt;0,"SOXL","TQQQ"),IF(AP330="YES",IF(SUM(N(AA330),N(AB330),N(AC330))&gt;0,"SOXS","SQQQ"),"WAIT"))</f>
        <v>WAIT</v>
      </c>
      <c r="AR330" s="23" t="str">
        <f>IF(AO330="YES",IF(SUM(N(X330),N(Y330),N(Z330))&gt;0,"TQQQ","SOXL"),IF(AP330="YES",IF(SUM(N(AA330),N(AB330),N(AC330))&gt;0,"SQQQ","SOXS"),""))</f>
        <v/>
      </c>
      <c r="AS330" s="23" t="str">
        <f>IF(AQ330="WAIT","",IF(AR330="",1,0.6))</f>
        <v/>
      </c>
      <c r="AT330" s="23">
        <f>IF(AR330="",0,0.4)</f>
        <v>0</v>
      </c>
      <c r="AU330" s="23" t="str">
        <f>IF(AQ330="WAIT","WAIT",IF(AO330="YES","BULL",IF(AP330="YES","BEAR","WAIT")))</f>
        <v>WAIT</v>
      </c>
      <c r="AV330" t="str">
        <f>IF(AQ330="WAIT","Low",IF(OR(AND(AU330="BULL",ABS(SUM(N(X330),N(Y330),N(Z330)))&gt;=0.15),AND(AU330="BEAR",ABS(SUM(N(AA330),N(AB330),N(AC330)))&gt;=0.15)),"Strong",IF(OR(AND(AU330="BULL",ABS(SUM(N(X330),N(Y330),N(Z330)))&gt;=0.05),AND(AU330="BEAR",ABS(SUM(N(AA330),N(AB330),N(AC330)))&gt;=0.05)),"Moderate","Low")))</f>
        <v>Low</v>
      </c>
      <c r="AW330" t="str">
        <f>IF(AQ330="WAIT","QQQ and SMH not aligned",IF(AU330="BULL",IF(AQ330="SOXL","Bull regime; semiconductors leading","Bull regime; tech leading"),IF(AQ330="SOXS","Bear regime; semiconductors weakest","Bear regime; tech weakest")))</f>
        <v>QQQ and SMH not aligned</v>
      </c>
      <c r="AX330" t="str">
        <f>IF(AR330="WAIT","QQQ and SMH not aligned",IF(AV330="BULL",IF(AR330="SOXL","Bull regime; semiconductors leading","Bull regime; tech leading"),IF(AR330="SOXS","Bear regime; semiconductors weakest","Bear regime; tech weakest")))</f>
        <v>Bear regime; tech weakest</v>
      </c>
    </row>
    <row r="331" spans="1:50" x14ac:dyDescent="0.2">
      <c r="A331" s="12"/>
      <c r="B331" s="13"/>
      <c r="C331" s="13"/>
      <c r="D331" s="13"/>
      <c r="E331" s="13"/>
      <c r="F331" s="11" t="str">
        <f>IF(OR(E331="",E330=""),"",IF(E330=0,"",(E331/E330)-1))</f>
        <v/>
      </c>
      <c r="G331" s="13"/>
      <c r="H331" s="11" t="str">
        <f>IF(OR(G331="",G330=""),"",IF(G330=0,"",(G331/G330)-1))</f>
        <v/>
      </c>
      <c r="I331" s="13"/>
      <c r="J331" s="13"/>
      <c r="K331" s="13"/>
      <c r="L331" s="13"/>
      <c r="M331" s="23" t="str">
        <f>IF(OR(L331="",L330=""),"",IF(L330=0,"",(L331/L330)-1))</f>
        <v/>
      </c>
      <c r="N331" s="26" t="str">
        <f>IFERROR((M331/M330)-1,"")</f>
        <v/>
      </c>
      <c r="O331" s="23" t="str">
        <f>IF(OR(N331="",N330=""),"",IF(N330=0,"",(N331/N330)-1))</f>
        <v/>
      </c>
      <c r="P331" s="11" t="str">
        <f>IF(ROW()&lt;7,"",IF(OR(E331="",E328=""),"",IF(E328=0,"",(E331/E328)-1)))</f>
        <v/>
      </c>
      <c r="Q331" s="23" t="str">
        <f>IF(ROW()&lt;9,"",IF(OR(E331="",E326=""),"",IF(E326=0,"",(E331/E326)-1)))</f>
        <v/>
      </c>
      <c r="R331" s="23" t="str">
        <f>IF(ROW()&lt;7,"",IF(OR(G331="",G328=""),"",IF(G328=0,"",(G331/G328)-1)))</f>
        <v/>
      </c>
      <c r="S331" s="23" t="str">
        <f>IF(ROW()&lt;9,"",IF(OR(G331="",G326=""),"",IF(G326=0,"",(G331/G326)-1)))</f>
        <v/>
      </c>
      <c r="T331" s="23" t="str">
        <f>IF(ROW()&lt;7,"",IF(OR(L331="",L328=""),"",IF(L328=0,"",(L331/L328)-1)))</f>
        <v/>
      </c>
      <c r="U331" s="23" t="str">
        <f>IF(ROW()&lt;9,"",IF(OR(L331="",L326=""),"",IF(L326=0,"",(L331/L326)-1)))</f>
        <v/>
      </c>
      <c r="V331" s="23" t="str">
        <f>IF(ROW()&lt;7,"",IF(OR(N331="",N328=""),"",IF(N328=0,"",(N331/N328)-1)))</f>
        <v/>
      </c>
      <c r="W331" s="23" t="str">
        <f>IF(ROW()&lt;9,"",IF(OR(N331="",N326=""),"",IF(N326=0,"",(N331/N326)-1)))</f>
        <v/>
      </c>
      <c r="X331" s="23" t="str">
        <f>IF(OR(F331="",M331=""),"",F331-M331)</f>
        <v/>
      </c>
      <c r="Y331" s="23" t="str">
        <f>IF(OR(P331="",T331=""),"",P331-T331)</f>
        <v/>
      </c>
      <c r="Z331" s="23" t="str">
        <f>IF(OR(Q331="",U331=""),"",Q331-U331)</f>
        <v/>
      </c>
      <c r="AA331" s="23" t="str">
        <f>IF(OR(H331="",O331=""),"",H331-O331)</f>
        <v/>
      </c>
      <c r="AB331" s="23" t="str">
        <f>IF(OR(R331="",V331=""),"",R331-V331)</f>
        <v/>
      </c>
      <c r="AC331" s="23" t="str">
        <f>IF(OR(S331="",W331=""),"",S331-W331)</f>
        <v/>
      </c>
      <c r="AD331" s="13"/>
      <c r="AE331" s="23" t="str">
        <f>IF(OR(AD331="",AD330=""),"",IF(AD330=0,"",(AD331/AD330)-1))</f>
        <v/>
      </c>
      <c r="AF331" s="23" t="str">
        <f>IF(ROW()&lt;7,"",IF(OR(AD331="",AD328=""),"",IF(AD328=0,"",(AD331/AD328)-1)))</f>
        <v/>
      </c>
      <c r="AG331" s="23" t="str">
        <f>IF(ROW()&lt;9,"",IF(OR(AD331="",AD326=""),"",IF(AD326=0,"",(AD331/AD326)-1)))</f>
        <v/>
      </c>
      <c r="AH331" s="23" t="str">
        <f>IF(OR(AF331="",AG331=""),"",IF(AND(AF331&gt;0,AG331&gt;0),"Bull",IF(AND(AF331&lt;0,AG331&lt;0),"Bear","Mixed")))</f>
        <v/>
      </c>
      <c r="AI331" s="13"/>
      <c r="AJ331" s="13" t="str">
        <f>IF(OR(AI331="",AI330=""),"",IF(AI330=0,"",(AI331/AI330)-1))</f>
        <v/>
      </c>
      <c r="AK331" s="23" t="str">
        <f>IF(OR(AJ331="",AJ330=""),"",IF(AJ330=0,"",(AJ331/AJ330)-1))</f>
        <v/>
      </c>
      <c r="AL331" s="23" t="str">
        <f>IF(ROW()&lt;7,"",IF(OR(AJ331="",AJ328=""),"",IF(AJ328=0,"",(AJ331/AJ328)-1)))</f>
        <v/>
      </c>
      <c r="AM331" s="23" t="str">
        <f>IF(ROW()&lt;9,"",IF(OR(AJ331="",AJ326=""),"",IF(AJ326=0,"",(AJ331/AJ326)-1)))</f>
        <v/>
      </c>
      <c r="AN331" t="str">
        <f>IF(OR(AL331="",AM331=""),"",IF(AND(AL331&gt;0,AM331&gt;0),"Bull",IF(AND(AL331&lt;0,AM331&lt;0),"Bear","Mixed")))</f>
        <v/>
      </c>
      <c r="AO331" t="str">
        <f>IF(OR(AH331="",AN331=""),"",IF(AND(AH331="Bull",AN331="Bull"),"YES","NO"))</f>
        <v/>
      </c>
      <c r="AP331" t="str">
        <f>IF(OR(AH331="",AN331=""),"",IF(AND(AH331="Bear",AN331="Bear"),"YES","NO"))</f>
        <v/>
      </c>
      <c r="AQ331" t="str">
        <f>IF(AO331="YES",IF(SUM(N(X331),N(Y331),N(Z331))&gt;0,"SOXL","TQQQ"),IF(AP331="YES",IF(SUM(N(AA331),N(AB331),N(AC331))&gt;0,"SOXS","SQQQ"),"WAIT"))</f>
        <v>WAIT</v>
      </c>
      <c r="AR331" s="23" t="str">
        <f>IF(AO331="YES",IF(SUM(N(X331),N(Y331),N(Z331))&gt;0,"TQQQ","SOXL"),IF(AP331="YES",IF(SUM(N(AA331),N(AB331),N(AC331))&gt;0,"SQQQ","SOXS"),""))</f>
        <v/>
      </c>
      <c r="AS331" s="23" t="str">
        <f>IF(AQ331="WAIT","",IF(AR331="",1,0.6))</f>
        <v/>
      </c>
      <c r="AT331" s="23">
        <f>IF(AR331="",0,0.4)</f>
        <v>0</v>
      </c>
      <c r="AU331" s="23" t="str">
        <f>IF(AQ331="WAIT","WAIT",IF(AO331="YES","BULL",IF(AP331="YES","BEAR","WAIT")))</f>
        <v>WAIT</v>
      </c>
      <c r="AV331" t="str">
        <f>IF(AQ331="WAIT","Low",IF(OR(AND(AU331="BULL",ABS(SUM(N(X331),N(Y331),N(Z331)))&gt;=0.15),AND(AU331="BEAR",ABS(SUM(N(AA331),N(AB331),N(AC331)))&gt;=0.15)),"Strong",IF(OR(AND(AU331="BULL",ABS(SUM(N(X331),N(Y331),N(Z331)))&gt;=0.05),AND(AU331="BEAR",ABS(SUM(N(AA331),N(AB331),N(AC331)))&gt;=0.05)),"Moderate","Low")))</f>
        <v>Low</v>
      </c>
      <c r="AW331" t="str">
        <f>IF(AQ331="WAIT","QQQ and SMH not aligned",IF(AU331="BULL",IF(AQ331="SOXL","Bull regime; semiconductors leading","Bull regime; tech leading"),IF(AQ331="SOXS","Bear regime; semiconductors weakest","Bear regime; tech weakest")))</f>
        <v>QQQ and SMH not aligned</v>
      </c>
      <c r="AX331" t="str">
        <f>IF(AR331="WAIT","QQQ and SMH not aligned",IF(AV331="BULL",IF(AR331="SOXL","Bull regime; semiconductors leading","Bull regime; tech leading"),IF(AR331="SOXS","Bear regime; semiconductors weakest","Bear regime; tech weakest")))</f>
        <v>Bear regime; tech weakest</v>
      </c>
    </row>
    <row r="332" spans="1:50" x14ac:dyDescent="0.2">
      <c r="A332" s="12"/>
      <c r="B332" s="13"/>
      <c r="C332" s="13"/>
      <c r="D332" s="13"/>
      <c r="E332" s="13"/>
      <c r="F332" s="11" t="str">
        <f>IF(OR(E332="",E331=""),"",IF(E331=0,"",(E332/E331)-1))</f>
        <v/>
      </c>
      <c r="G332" s="13"/>
      <c r="H332" s="11" t="str">
        <f>IF(OR(G332="",G331=""),"",IF(G331=0,"",(G332/G331)-1))</f>
        <v/>
      </c>
      <c r="I332" s="13"/>
      <c r="J332" s="13"/>
      <c r="K332" s="13"/>
      <c r="L332" s="13"/>
      <c r="M332" s="23" t="str">
        <f>IF(OR(L332="",L331=""),"",IF(L331=0,"",(L332/L331)-1))</f>
        <v/>
      </c>
      <c r="N332" s="26" t="str">
        <f>IFERROR((M332/M331)-1,"")</f>
        <v/>
      </c>
      <c r="O332" s="23" t="str">
        <f>IF(OR(N332="",N331=""),"",IF(N331=0,"",(N332/N331)-1))</f>
        <v/>
      </c>
      <c r="P332" s="11" t="str">
        <f>IF(ROW()&lt;7,"",IF(OR(E332="",E329=""),"",IF(E329=0,"",(E332/E329)-1)))</f>
        <v/>
      </c>
      <c r="Q332" s="23" t="str">
        <f>IF(ROW()&lt;9,"",IF(OR(E332="",E327=""),"",IF(E327=0,"",(E332/E327)-1)))</f>
        <v/>
      </c>
      <c r="R332" s="23" t="str">
        <f>IF(ROW()&lt;7,"",IF(OR(G332="",G329=""),"",IF(G329=0,"",(G332/G329)-1)))</f>
        <v/>
      </c>
      <c r="S332" s="23" t="str">
        <f>IF(ROW()&lt;9,"",IF(OR(G332="",G327=""),"",IF(G327=0,"",(G332/G327)-1)))</f>
        <v/>
      </c>
      <c r="T332" s="23" t="str">
        <f>IF(ROW()&lt;7,"",IF(OR(L332="",L329=""),"",IF(L329=0,"",(L332/L329)-1)))</f>
        <v/>
      </c>
      <c r="U332" s="23" t="str">
        <f>IF(ROW()&lt;9,"",IF(OR(L332="",L327=""),"",IF(L327=0,"",(L332/L327)-1)))</f>
        <v/>
      </c>
      <c r="V332" s="23" t="str">
        <f>IF(ROW()&lt;7,"",IF(OR(N332="",N329=""),"",IF(N329=0,"",(N332/N329)-1)))</f>
        <v/>
      </c>
      <c r="W332" s="23" t="str">
        <f>IF(ROW()&lt;9,"",IF(OR(N332="",N327=""),"",IF(N327=0,"",(N332/N327)-1)))</f>
        <v/>
      </c>
      <c r="X332" s="23" t="str">
        <f>IF(OR(F332="",M332=""),"",F332-M332)</f>
        <v/>
      </c>
      <c r="Y332" s="23" t="str">
        <f>IF(OR(P332="",T332=""),"",P332-T332)</f>
        <v/>
      </c>
      <c r="Z332" s="23" t="str">
        <f>IF(OR(Q332="",U332=""),"",Q332-U332)</f>
        <v/>
      </c>
      <c r="AA332" s="23" t="str">
        <f>IF(OR(H332="",O332=""),"",H332-O332)</f>
        <v/>
      </c>
      <c r="AB332" s="23" t="str">
        <f>IF(OR(R332="",V332=""),"",R332-V332)</f>
        <v/>
      </c>
      <c r="AC332" s="23" t="str">
        <f>IF(OR(S332="",W332=""),"",S332-W332)</f>
        <v/>
      </c>
      <c r="AD332" s="13"/>
      <c r="AE332" s="23" t="str">
        <f>IF(OR(AD332="",AD331=""),"",IF(AD331=0,"",(AD332/AD331)-1))</f>
        <v/>
      </c>
      <c r="AF332" s="23" t="str">
        <f>IF(ROW()&lt;7,"",IF(OR(AD332="",AD329=""),"",IF(AD329=0,"",(AD332/AD329)-1)))</f>
        <v/>
      </c>
      <c r="AG332" s="23" t="str">
        <f>IF(ROW()&lt;9,"",IF(OR(AD332="",AD327=""),"",IF(AD327=0,"",(AD332/AD327)-1)))</f>
        <v/>
      </c>
      <c r="AH332" s="23" t="str">
        <f>IF(OR(AF332="",AG332=""),"",IF(AND(AF332&gt;0,AG332&gt;0),"Bull",IF(AND(AF332&lt;0,AG332&lt;0),"Bear","Mixed")))</f>
        <v/>
      </c>
      <c r="AI332" s="13"/>
      <c r="AJ332" s="13" t="str">
        <f>IF(OR(AI332="",AI331=""),"",IF(AI331=0,"",(AI332/AI331)-1))</f>
        <v/>
      </c>
      <c r="AK332" s="23" t="str">
        <f>IF(OR(AJ332="",AJ331=""),"",IF(AJ331=0,"",(AJ332/AJ331)-1))</f>
        <v/>
      </c>
      <c r="AL332" s="23" t="str">
        <f>IF(ROW()&lt;7,"",IF(OR(AJ332="",AJ329=""),"",IF(AJ329=0,"",(AJ332/AJ329)-1)))</f>
        <v/>
      </c>
      <c r="AM332" s="23" t="str">
        <f>IF(ROW()&lt;9,"",IF(OR(AJ332="",AJ327=""),"",IF(AJ327=0,"",(AJ332/AJ327)-1)))</f>
        <v/>
      </c>
      <c r="AN332" t="str">
        <f>IF(OR(AL332="",AM332=""),"",IF(AND(AL332&gt;0,AM332&gt;0),"Bull",IF(AND(AL332&lt;0,AM332&lt;0),"Bear","Mixed")))</f>
        <v/>
      </c>
      <c r="AO332" t="str">
        <f>IF(OR(AH332="",AN332=""),"",IF(AND(AH332="Bull",AN332="Bull"),"YES","NO"))</f>
        <v/>
      </c>
      <c r="AP332" t="str">
        <f>IF(OR(AH332="",AN332=""),"",IF(AND(AH332="Bear",AN332="Bear"),"YES","NO"))</f>
        <v/>
      </c>
      <c r="AQ332" t="str">
        <f>IF(AO332="YES",IF(SUM(N(X332),N(Y332),N(Z332))&gt;0,"SOXL","TQQQ"),IF(AP332="YES",IF(SUM(N(AA332),N(AB332),N(AC332))&gt;0,"SOXS","SQQQ"),"WAIT"))</f>
        <v>WAIT</v>
      </c>
      <c r="AR332" s="23" t="str">
        <f>IF(AO332="YES",IF(SUM(N(X332),N(Y332),N(Z332))&gt;0,"TQQQ","SOXL"),IF(AP332="YES",IF(SUM(N(AA332),N(AB332),N(AC332))&gt;0,"SQQQ","SOXS"),""))</f>
        <v/>
      </c>
      <c r="AS332" s="23" t="str">
        <f>IF(AQ332="WAIT","",IF(AR332="",1,0.6))</f>
        <v/>
      </c>
      <c r="AT332" s="23">
        <f>IF(AR332="",0,0.4)</f>
        <v>0</v>
      </c>
      <c r="AU332" s="23" t="str">
        <f>IF(AQ332="WAIT","WAIT",IF(AO332="YES","BULL",IF(AP332="YES","BEAR","WAIT")))</f>
        <v>WAIT</v>
      </c>
      <c r="AV332" t="str">
        <f>IF(AQ332="WAIT","Low",IF(OR(AND(AU332="BULL",ABS(SUM(N(X332),N(Y332),N(Z332)))&gt;=0.15),AND(AU332="BEAR",ABS(SUM(N(AA332),N(AB332),N(AC332)))&gt;=0.15)),"Strong",IF(OR(AND(AU332="BULL",ABS(SUM(N(X332),N(Y332),N(Z332)))&gt;=0.05),AND(AU332="BEAR",ABS(SUM(N(AA332),N(AB332),N(AC332)))&gt;=0.05)),"Moderate","Low")))</f>
        <v>Low</v>
      </c>
      <c r="AW332" t="str">
        <f>IF(AQ332="WAIT","QQQ and SMH not aligned",IF(AU332="BULL",IF(AQ332="SOXL","Bull regime; semiconductors leading","Bull regime; tech leading"),IF(AQ332="SOXS","Bear regime; semiconductors weakest","Bear regime; tech weakest")))</f>
        <v>QQQ and SMH not aligned</v>
      </c>
      <c r="AX332" t="str">
        <f>IF(AR332="WAIT","QQQ and SMH not aligned",IF(AV332="BULL",IF(AR332="SOXL","Bull regime; semiconductors leading","Bull regime; tech leading"),IF(AR332="SOXS","Bear regime; semiconductors weakest","Bear regime; tech weakest")))</f>
        <v>Bear regime; tech weakest</v>
      </c>
    </row>
    <row r="333" spans="1:50" x14ac:dyDescent="0.2">
      <c r="A333" s="12"/>
      <c r="B333" s="13"/>
      <c r="C333" s="13"/>
      <c r="D333" s="13"/>
      <c r="E333" s="13"/>
      <c r="F333" s="11" t="str">
        <f>IF(OR(E333="",E332=""),"",IF(E332=0,"",(E333/E332)-1))</f>
        <v/>
      </c>
      <c r="G333" s="13"/>
      <c r="H333" s="11" t="str">
        <f>IF(OR(G333="",G332=""),"",IF(G332=0,"",(G333/G332)-1))</f>
        <v/>
      </c>
      <c r="I333" s="13"/>
      <c r="J333" s="13"/>
      <c r="K333" s="13"/>
      <c r="L333" s="13"/>
      <c r="M333" s="23" t="str">
        <f>IF(OR(L333="",L332=""),"",IF(L332=0,"",(L333/L332)-1))</f>
        <v/>
      </c>
      <c r="N333" s="26" t="str">
        <f>IFERROR((M333/M332)-1,"")</f>
        <v/>
      </c>
      <c r="O333" s="23" t="str">
        <f>IF(OR(N333="",N332=""),"",IF(N332=0,"",(N333/N332)-1))</f>
        <v/>
      </c>
      <c r="P333" s="11" t="str">
        <f>IF(ROW()&lt;7,"",IF(OR(E333="",E330=""),"",IF(E330=0,"",(E333/E330)-1)))</f>
        <v/>
      </c>
      <c r="Q333" s="23" t="str">
        <f>IF(ROW()&lt;9,"",IF(OR(E333="",E328=""),"",IF(E328=0,"",(E333/E328)-1)))</f>
        <v/>
      </c>
      <c r="R333" s="23" t="str">
        <f>IF(ROW()&lt;7,"",IF(OR(G333="",G330=""),"",IF(G330=0,"",(G333/G330)-1)))</f>
        <v/>
      </c>
      <c r="S333" s="23" t="str">
        <f>IF(ROW()&lt;9,"",IF(OR(G333="",G328=""),"",IF(G328=0,"",(G333/G328)-1)))</f>
        <v/>
      </c>
      <c r="T333" s="23" t="str">
        <f>IF(ROW()&lt;7,"",IF(OR(L333="",L330=""),"",IF(L330=0,"",(L333/L330)-1)))</f>
        <v/>
      </c>
      <c r="U333" s="23" t="str">
        <f>IF(ROW()&lt;9,"",IF(OR(L333="",L328=""),"",IF(L328=0,"",(L333/L328)-1)))</f>
        <v/>
      </c>
      <c r="V333" s="23" t="str">
        <f>IF(ROW()&lt;7,"",IF(OR(N333="",N330=""),"",IF(N330=0,"",(N333/N330)-1)))</f>
        <v/>
      </c>
      <c r="W333" s="23" t="str">
        <f>IF(ROW()&lt;9,"",IF(OR(N333="",N328=""),"",IF(N328=0,"",(N333/N328)-1)))</f>
        <v/>
      </c>
      <c r="X333" s="23" t="str">
        <f>IF(OR(F333="",M333=""),"",F333-M333)</f>
        <v/>
      </c>
      <c r="Y333" s="23" t="str">
        <f>IF(OR(P333="",T333=""),"",P333-T333)</f>
        <v/>
      </c>
      <c r="Z333" s="23" t="str">
        <f>IF(OR(Q333="",U333=""),"",Q333-U333)</f>
        <v/>
      </c>
      <c r="AA333" s="23" t="str">
        <f>IF(OR(H333="",O333=""),"",H333-O333)</f>
        <v/>
      </c>
      <c r="AB333" s="23" t="str">
        <f>IF(OR(R333="",V333=""),"",R333-V333)</f>
        <v/>
      </c>
      <c r="AC333" s="23" t="str">
        <f>IF(OR(S333="",W333=""),"",S333-W333)</f>
        <v/>
      </c>
      <c r="AD333" s="13"/>
      <c r="AE333" s="23" t="str">
        <f>IF(OR(AD333="",AD332=""),"",IF(AD332=0,"",(AD333/AD332)-1))</f>
        <v/>
      </c>
      <c r="AF333" s="23" t="str">
        <f>IF(ROW()&lt;7,"",IF(OR(AD333="",AD330=""),"",IF(AD330=0,"",(AD333/AD330)-1)))</f>
        <v/>
      </c>
      <c r="AG333" s="23" t="str">
        <f>IF(ROW()&lt;9,"",IF(OR(AD333="",AD328=""),"",IF(AD328=0,"",(AD333/AD328)-1)))</f>
        <v/>
      </c>
      <c r="AH333" s="23" t="str">
        <f>IF(OR(AF333="",AG333=""),"",IF(AND(AF333&gt;0,AG333&gt;0),"Bull",IF(AND(AF333&lt;0,AG333&lt;0),"Bear","Mixed")))</f>
        <v/>
      </c>
      <c r="AI333" s="13"/>
      <c r="AJ333" s="13" t="str">
        <f>IF(OR(AI333="",AI332=""),"",IF(AI332=0,"",(AI333/AI332)-1))</f>
        <v/>
      </c>
      <c r="AK333" s="23" t="str">
        <f>IF(OR(AJ333="",AJ332=""),"",IF(AJ332=0,"",(AJ333/AJ332)-1))</f>
        <v/>
      </c>
      <c r="AL333" s="23" t="str">
        <f>IF(ROW()&lt;7,"",IF(OR(AJ333="",AJ330=""),"",IF(AJ330=0,"",(AJ333/AJ330)-1)))</f>
        <v/>
      </c>
      <c r="AM333" s="23" t="str">
        <f>IF(ROW()&lt;9,"",IF(OR(AJ333="",AJ328=""),"",IF(AJ328=0,"",(AJ333/AJ328)-1)))</f>
        <v/>
      </c>
      <c r="AN333" t="str">
        <f>IF(OR(AL333="",AM333=""),"",IF(AND(AL333&gt;0,AM333&gt;0),"Bull",IF(AND(AL333&lt;0,AM333&lt;0),"Bear","Mixed")))</f>
        <v/>
      </c>
      <c r="AO333" t="str">
        <f>IF(OR(AH333="",AN333=""),"",IF(AND(AH333="Bull",AN333="Bull"),"YES","NO"))</f>
        <v/>
      </c>
      <c r="AP333" t="str">
        <f>IF(OR(AH333="",AN333=""),"",IF(AND(AH333="Bear",AN333="Bear"),"YES","NO"))</f>
        <v/>
      </c>
      <c r="AQ333" t="str">
        <f>IF(AO333="YES",IF(SUM(N(X333),N(Y333),N(Z333))&gt;0,"SOXL","TQQQ"),IF(AP333="YES",IF(SUM(N(AA333),N(AB333),N(AC333))&gt;0,"SOXS","SQQQ"),"WAIT"))</f>
        <v>WAIT</v>
      </c>
      <c r="AR333" s="23" t="str">
        <f>IF(AO333="YES",IF(SUM(N(X333),N(Y333),N(Z333))&gt;0,"TQQQ","SOXL"),IF(AP333="YES",IF(SUM(N(AA333),N(AB333),N(AC333))&gt;0,"SQQQ","SOXS"),""))</f>
        <v/>
      </c>
      <c r="AS333" s="23" t="str">
        <f>IF(AQ333="WAIT","",IF(AR333="",1,0.6))</f>
        <v/>
      </c>
      <c r="AT333" s="23">
        <f>IF(AR333="",0,0.4)</f>
        <v>0</v>
      </c>
      <c r="AU333" s="23" t="str">
        <f>IF(AQ333="WAIT","WAIT",IF(AO333="YES","BULL",IF(AP333="YES","BEAR","WAIT")))</f>
        <v>WAIT</v>
      </c>
      <c r="AV333" t="str">
        <f>IF(AQ333="WAIT","Low",IF(OR(AND(AU333="BULL",ABS(SUM(N(X333),N(Y333),N(Z333)))&gt;=0.15),AND(AU333="BEAR",ABS(SUM(N(AA333),N(AB333),N(AC333)))&gt;=0.15)),"Strong",IF(OR(AND(AU333="BULL",ABS(SUM(N(X333),N(Y333),N(Z333)))&gt;=0.05),AND(AU333="BEAR",ABS(SUM(N(AA333),N(AB333),N(AC333)))&gt;=0.05)),"Moderate","Low")))</f>
        <v>Low</v>
      </c>
      <c r="AW333" t="str">
        <f>IF(AQ333="WAIT","QQQ and SMH not aligned",IF(AU333="BULL",IF(AQ333="SOXL","Bull regime; semiconductors leading","Bull regime; tech leading"),IF(AQ333="SOXS","Bear regime; semiconductors weakest","Bear regime; tech weakest")))</f>
        <v>QQQ and SMH not aligned</v>
      </c>
      <c r="AX333" t="str">
        <f>IF(AR333="WAIT","QQQ and SMH not aligned",IF(AV333="BULL",IF(AR333="SOXL","Bull regime; semiconductors leading","Bull regime; tech leading"),IF(AR333="SOXS","Bear regime; semiconductors weakest","Bear regime; tech weakest")))</f>
        <v>Bear regime; tech weakest</v>
      </c>
    </row>
    <row r="334" spans="1:50" x14ac:dyDescent="0.2">
      <c r="A334" s="12"/>
      <c r="B334" s="13"/>
      <c r="C334" s="13"/>
      <c r="D334" s="13"/>
      <c r="E334" s="13"/>
      <c r="F334" s="11" t="str">
        <f>IF(OR(E334="",E333=""),"",IF(E333=0,"",(E334/E333)-1))</f>
        <v/>
      </c>
      <c r="G334" s="13"/>
      <c r="H334" s="11" t="str">
        <f>IF(OR(G334="",G333=""),"",IF(G333=0,"",(G334/G333)-1))</f>
        <v/>
      </c>
      <c r="I334" s="13"/>
      <c r="J334" s="13"/>
      <c r="K334" s="13"/>
      <c r="L334" s="13"/>
      <c r="M334" s="23" t="str">
        <f>IF(OR(L334="",L333=""),"",IF(L333=0,"",(L334/L333)-1))</f>
        <v/>
      </c>
      <c r="N334" s="26" t="str">
        <f>IFERROR((M334/M333)-1,"")</f>
        <v/>
      </c>
      <c r="O334" s="23" t="str">
        <f>IF(OR(N334="",N333=""),"",IF(N333=0,"",(N334/N333)-1))</f>
        <v/>
      </c>
      <c r="P334" s="11" t="str">
        <f>IF(ROW()&lt;7,"",IF(OR(E334="",E331=""),"",IF(E331=0,"",(E334/E331)-1)))</f>
        <v/>
      </c>
      <c r="Q334" s="23" t="str">
        <f>IF(ROW()&lt;9,"",IF(OR(E334="",E329=""),"",IF(E329=0,"",(E334/E329)-1)))</f>
        <v/>
      </c>
      <c r="R334" s="23" t="str">
        <f>IF(ROW()&lt;7,"",IF(OR(G334="",G331=""),"",IF(G331=0,"",(G334/G331)-1)))</f>
        <v/>
      </c>
      <c r="S334" s="23" t="str">
        <f>IF(ROW()&lt;9,"",IF(OR(G334="",G329=""),"",IF(G329=0,"",(G334/G329)-1)))</f>
        <v/>
      </c>
      <c r="T334" s="23" t="str">
        <f>IF(ROW()&lt;7,"",IF(OR(L334="",L331=""),"",IF(L331=0,"",(L334/L331)-1)))</f>
        <v/>
      </c>
      <c r="U334" s="23" t="str">
        <f>IF(ROW()&lt;9,"",IF(OR(L334="",L329=""),"",IF(L329=0,"",(L334/L329)-1)))</f>
        <v/>
      </c>
      <c r="V334" s="23" t="str">
        <f>IF(ROW()&lt;7,"",IF(OR(N334="",N331=""),"",IF(N331=0,"",(N334/N331)-1)))</f>
        <v/>
      </c>
      <c r="W334" s="23" t="str">
        <f>IF(ROW()&lt;9,"",IF(OR(N334="",N329=""),"",IF(N329=0,"",(N334/N329)-1)))</f>
        <v/>
      </c>
      <c r="X334" s="23" t="str">
        <f>IF(OR(F334="",M334=""),"",F334-M334)</f>
        <v/>
      </c>
      <c r="Y334" s="23" t="str">
        <f>IF(OR(P334="",T334=""),"",P334-T334)</f>
        <v/>
      </c>
      <c r="Z334" s="23" t="str">
        <f>IF(OR(Q334="",U334=""),"",Q334-U334)</f>
        <v/>
      </c>
      <c r="AA334" s="23" t="str">
        <f>IF(OR(H334="",O334=""),"",H334-O334)</f>
        <v/>
      </c>
      <c r="AB334" s="23" t="str">
        <f>IF(OR(R334="",V334=""),"",R334-V334)</f>
        <v/>
      </c>
      <c r="AC334" s="23" t="str">
        <f>IF(OR(S334="",W334=""),"",S334-W334)</f>
        <v/>
      </c>
      <c r="AD334" s="13"/>
      <c r="AE334" s="23" t="str">
        <f>IF(OR(AD334="",AD333=""),"",IF(AD333=0,"",(AD334/AD333)-1))</f>
        <v/>
      </c>
      <c r="AF334" s="23" t="str">
        <f>IF(ROW()&lt;7,"",IF(OR(AD334="",AD331=""),"",IF(AD331=0,"",(AD334/AD331)-1)))</f>
        <v/>
      </c>
      <c r="AG334" s="23" t="str">
        <f>IF(ROW()&lt;9,"",IF(OR(AD334="",AD329=""),"",IF(AD329=0,"",(AD334/AD329)-1)))</f>
        <v/>
      </c>
      <c r="AH334" s="23" t="str">
        <f>IF(OR(AF334="",AG334=""),"",IF(AND(AF334&gt;0,AG334&gt;0),"Bull",IF(AND(AF334&lt;0,AG334&lt;0),"Bear","Mixed")))</f>
        <v/>
      </c>
      <c r="AI334" s="13"/>
      <c r="AJ334" s="13" t="str">
        <f>IF(OR(AI334="",AI333=""),"",IF(AI333=0,"",(AI334/AI333)-1))</f>
        <v/>
      </c>
      <c r="AK334" s="23" t="str">
        <f>IF(OR(AJ334="",AJ333=""),"",IF(AJ333=0,"",(AJ334/AJ333)-1))</f>
        <v/>
      </c>
      <c r="AL334" s="23" t="str">
        <f>IF(ROW()&lt;7,"",IF(OR(AJ334="",AJ331=""),"",IF(AJ331=0,"",(AJ334/AJ331)-1)))</f>
        <v/>
      </c>
      <c r="AM334" s="23" t="str">
        <f>IF(ROW()&lt;9,"",IF(OR(AJ334="",AJ329=""),"",IF(AJ329=0,"",(AJ334/AJ329)-1)))</f>
        <v/>
      </c>
      <c r="AN334" t="str">
        <f>IF(OR(AL334="",AM334=""),"",IF(AND(AL334&gt;0,AM334&gt;0),"Bull",IF(AND(AL334&lt;0,AM334&lt;0),"Bear","Mixed")))</f>
        <v/>
      </c>
      <c r="AO334" t="str">
        <f>IF(OR(AH334="",AN334=""),"",IF(AND(AH334="Bull",AN334="Bull"),"YES","NO"))</f>
        <v/>
      </c>
      <c r="AP334" t="str">
        <f>IF(OR(AH334="",AN334=""),"",IF(AND(AH334="Bear",AN334="Bear"),"YES","NO"))</f>
        <v/>
      </c>
      <c r="AQ334" t="str">
        <f>IF(AO334="YES",IF(SUM(N(X334),N(Y334),N(Z334))&gt;0,"SOXL","TQQQ"),IF(AP334="YES",IF(SUM(N(AA334),N(AB334),N(AC334))&gt;0,"SOXS","SQQQ"),"WAIT"))</f>
        <v>WAIT</v>
      </c>
      <c r="AR334" s="23" t="str">
        <f>IF(AO334="YES",IF(SUM(N(X334),N(Y334),N(Z334))&gt;0,"TQQQ","SOXL"),IF(AP334="YES",IF(SUM(N(AA334),N(AB334),N(AC334))&gt;0,"SQQQ","SOXS"),""))</f>
        <v/>
      </c>
      <c r="AS334" s="23" t="str">
        <f>IF(AQ334="WAIT","",IF(AR334="",1,0.6))</f>
        <v/>
      </c>
      <c r="AT334" s="23">
        <f>IF(AR334="",0,0.4)</f>
        <v>0</v>
      </c>
      <c r="AU334" s="23" t="str">
        <f>IF(AQ334="WAIT","WAIT",IF(AO334="YES","BULL",IF(AP334="YES","BEAR","WAIT")))</f>
        <v>WAIT</v>
      </c>
      <c r="AV334" t="str">
        <f>IF(AQ334="WAIT","Low",IF(OR(AND(AU334="BULL",ABS(SUM(N(X334),N(Y334),N(Z334)))&gt;=0.15),AND(AU334="BEAR",ABS(SUM(N(AA334),N(AB334),N(AC334)))&gt;=0.15)),"Strong",IF(OR(AND(AU334="BULL",ABS(SUM(N(X334),N(Y334),N(Z334)))&gt;=0.05),AND(AU334="BEAR",ABS(SUM(N(AA334),N(AB334),N(AC334)))&gt;=0.05)),"Moderate","Low")))</f>
        <v>Low</v>
      </c>
      <c r="AW334" t="str">
        <f>IF(AQ334="WAIT","QQQ and SMH not aligned",IF(AU334="BULL",IF(AQ334="SOXL","Bull regime; semiconductors leading","Bull regime; tech leading"),IF(AQ334="SOXS","Bear regime; semiconductors weakest","Bear regime; tech weakest")))</f>
        <v>QQQ and SMH not aligned</v>
      </c>
      <c r="AX334" t="str">
        <f>IF(AR334="WAIT","QQQ and SMH not aligned",IF(AV334="BULL",IF(AR334="SOXL","Bull regime; semiconductors leading","Bull regime; tech leading"),IF(AR334="SOXS","Bear regime; semiconductors weakest","Bear regime; tech weakest")))</f>
        <v>Bear regime; tech weakest</v>
      </c>
    </row>
    <row r="335" spans="1:50" x14ac:dyDescent="0.2">
      <c r="A335" s="12"/>
      <c r="B335" s="13"/>
      <c r="C335" s="13"/>
      <c r="D335" s="13"/>
      <c r="E335" s="13"/>
      <c r="F335" s="11" t="str">
        <f>IF(OR(E335="",E334=""),"",IF(E334=0,"",(E335/E334)-1))</f>
        <v/>
      </c>
      <c r="G335" s="13"/>
      <c r="H335" s="11" t="str">
        <f>IF(OR(G335="",G334=""),"",IF(G334=0,"",(G335/G334)-1))</f>
        <v/>
      </c>
      <c r="I335" s="13"/>
      <c r="J335" s="13"/>
      <c r="K335" s="13"/>
      <c r="L335" s="13"/>
      <c r="M335" s="23" t="str">
        <f>IF(OR(L335="",L334=""),"",IF(L334=0,"",(L335/L334)-1))</f>
        <v/>
      </c>
      <c r="N335" s="26" t="str">
        <f>IFERROR((M335/M334)-1,"")</f>
        <v/>
      </c>
      <c r="O335" s="23" t="str">
        <f>IF(OR(N335="",N334=""),"",IF(N334=0,"",(N335/N334)-1))</f>
        <v/>
      </c>
      <c r="P335" s="11" t="str">
        <f>IF(ROW()&lt;7,"",IF(OR(E335="",E332=""),"",IF(E332=0,"",(E335/E332)-1)))</f>
        <v/>
      </c>
      <c r="Q335" s="23" t="str">
        <f>IF(ROW()&lt;9,"",IF(OR(E335="",E330=""),"",IF(E330=0,"",(E335/E330)-1)))</f>
        <v/>
      </c>
      <c r="R335" s="23" t="str">
        <f>IF(ROW()&lt;7,"",IF(OR(G335="",G332=""),"",IF(G332=0,"",(G335/G332)-1)))</f>
        <v/>
      </c>
      <c r="S335" s="23" t="str">
        <f>IF(ROW()&lt;9,"",IF(OR(G335="",G330=""),"",IF(G330=0,"",(G335/G330)-1)))</f>
        <v/>
      </c>
      <c r="T335" s="23" t="str">
        <f>IF(ROW()&lt;7,"",IF(OR(L335="",L332=""),"",IF(L332=0,"",(L335/L332)-1)))</f>
        <v/>
      </c>
      <c r="U335" s="23" t="str">
        <f>IF(ROW()&lt;9,"",IF(OR(L335="",L330=""),"",IF(L330=0,"",(L335/L330)-1)))</f>
        <v/>
      </c>
      <c r="V335" s="23" t="str">
        <f>IF(ROW()&lt;7,"",IF(OR(N335="",N332=""),"",IF(N332=0,"",(N335/N332)-1)))</f>
        <v/>
      </c>
      <c r="W335" s="23" t="str">
        <f>IF(ROW()&lt;9,"",IF(OR(N335="",N330=""),"",IF(N330=0,"",(N335/N330)-1)))</f>
        <v/>
      </c>
      <c r="X335" s="23" t="str">
        <f>IF(OR(F335="",M335=""),"",F335-M335)</f>
        <v/>
      </c>
      <c r="Y335" s="23" t="str">
        <f>IF(OR(P335="",T335=""),"",P335-T335)</f>
        <v/>
      </c>
      <c r="Z335" s="23" t="str">
        <f>IF(OR(Q335="",U335=""),"",Q335-U335)</f>
        <v/>
      </c>
      <c r="AA335" s="23" t="str">
        <f>IF(OR(H335="",O335=""),"",H335-O335)</f>
        <v/>
      </c>
      <c r="AB335" s="23" t="str">
        <f>IF(OR(R335="",V335=""),"",R335-V335)</f>
        <v/>
      </c>
      <c r="AC335" s="23" t="str">
        <f>IF(OR(S335="",W335=""),"",S335-W335)</f>
        <v/>
      </c>
      <c r="AD335" s="13"/>
      <c r="AE335" s="23" t="str">
        <f>IF(OR(AD335="",AD334=""),"",IF(AD334=0,"",(AD335/AD334)-1))</f>
        <v/>
      </c>
      <c r="AF335" s="23" t="str">
        <f>IF(ROW()&lt;7,"",IF(OR(AD335="",AD332=""),"",IF(AD332=0,"",(AD335/AD332)-1)))</f>
        <v/>
      </c>
      <c r="AG335" s="23" t="str">
        <f>IF(ROW()&lt;9,"",IF(OR(AD335="",AD330=""),"",IF(AD330=0,"",(AD335/AD330)-1)))</f>
        <v/>
      </c>
      <c r="AH335" s="23" t="str">
        <f>IF(OR(AF335="",AG335=""),"",IF(AND(AF335&gt;0,AG335&gt;0),"Bull",IF(AND(AF335&lt;0,AG335&lt;0),"Bear","Mixed")))</f>
        <v/>
      </c>
      <c r="AI335" s="13"/>
      <c r="AJ335" s="13" t="str">
        <f>IF(OR(AI335="",AI334=""),"",IF(AI334=0,"",(AI335/AI334)-1))</f>
        <v/>
      </c>
      <c r="AK335" s="23" t="str">
        <f>IF(OR(AJ335="",AJ334=""),"",IF(AJ334=0,"",(AJ335/AJ334)-1))</f>
        <v/>
      </c>
      <c r="AL335" s="23" t="str">
        <f>IF(ROW()&lt;7,"",IF(OR(AJ335="",AJ332=""),"",IF(AJ332=0,"",(AJ335/AJ332)-1)))</f>
        <v/>
      </c>
      <c r="AM335" s="23" t="str">
        <f>IF(ROW()&lt;9,"",IF(OR(AJ335="",AJ330=""),"",IF(AJ330=0,"",(AJ335/AJ330)-1)))</f>
        <v/>
      </c>
      <c r="AN335" t="str">
        <f>IF(OR(AL335="",AM335=""),"",IF(AND(AL335&gt;0,AM335&gt;0),"Bull",IF(AND(AL335&lt;0,AM335&lt;0),"Bear","Mixed")))</f>
        <v/>
      </c>
      <c r="AO335" t="str">
        <f>IF(OR(AH335="",AN335=""),"",IF(AND(AH335="Bull",AN335="Bull"),"YES","NO"))</f>
        <v/>
      </c>
      <c r="AP335" t="str">
        <f>IF(OR(AH335="",AN335=""),"",IF(AND(AH335="Bear",AN335="Bear"),"YES","NO"))</f>
        <v/>
      </c>
      <c r="AQ335" t="str">
        <f>IF(AO335="YES",IF(SUM(N(X335),N(Y335),N(Z335))&gt;0,"SOXL","TQQQ"),IF(AP335="YES",IF(SUM(N(AA335),N(AB335),N(AC335))&gt;0,"SOXS","SQQQ"),"WAIT"))</f>
        <v>WAIT</v>
      </c>
      <c r="AR335" s="23" t="str">
        <f>IF(AO335="YES",IF(SUM(N(X335),N(Y335),N(Z335))&gt;0,"TQQQ","SOXL"),IF(AP335="YES",IF(SUM(N(AA335),N(AB335),N(AC335))&gt;0,"SQQQ","SOXS"),""))</f>
        <v/>
      </c>
      <c r="AS335" s="23" t="str">
        <f>IF(AQ335="WAIT","",IF(AR335="",1,0.6))</f>
        <v/>
      </c>
      <c r="AT335" s="23">
        <f>IF(AR335="",0,0.4)</f>
        <v>0</v>
      </c>
      <c r="AU335" s="23" t="str">
        <f>IF(AQ335="WAIT","WAIT",IF(AO335="YES","BULL",IF(AP335="YES","BEAR","WAIT")))</f>
        <v>WAIT</v>
      </c>
      <c r="AV335" t="str">
        <f>IF(AQ335="WAIT","Low",IF(OR(AND(AU335="BULL",ABS(SUM(N(X335),N(Y335),N(Z335)))&gt;=0.15),AND(AU335="BEAR",ABS(SUM(N(AA335),N(AB335),N(AC335)))&gt;=0.15)),"Strong",IF(OR(AND(AU335="BULL",ABS(SUM(N(X335),N(Y335),N(Z335)))&gt;=0.05),AND(AU335="BEAR",ABS(SUM(N(AA335),N(AB335),N(AC335)))&gt;=0.05)),"Moderate","Low")))</f>
        <v>Low</v>
      </c>
      <c r="AW335" t="str">
        <f>IF(AQ335="WAIT","QQQ and SMH not aligned",IF(AU335="BULL",IF(AQ335="SOXL","Bull regime; semiconductors leading","Bull regime; tech leading"),IF(AQ335="SOXS","Bear regime; semiconductors weakest","Bear regime; tech weakest")))</f>
        <v>QQQ and SMH not aligned</v>
      </c>
      <c r="AX335" t="str">
        <f>IF(AR335="WAIT","QQQ and SMH not aligned",IF(AV335="BULL",IF(AR335="SOXL","Bull regime; semiconductors leading","Bull regime; tech leading"),IF(AR335="SOXS","Bear regime; semiconductors weakest","Bear regime; tech weakest")))</f>
        <v>Bear regime; tech weakest</v>
      </c>
    </row>
    <row r="336" spans="1:50" x14ac:dyDescent="0.2">
      <c r="A336" s="12"/>
      <c r="B336" s="13"/>
      <c r="C336" s="13"/>
      <c r="D336" s="13"/>
      <c r="E336" s="13"/>
      <c r="F336" s="11" t="str">
        <f>IF(OR(E336="",E335=""),"",IF(E335=0,"",(E336/E335)-1))</f>
        <v/>
      </c>
      <c r="G336" s="13"/>
      <c r="H336" s="11" t="str">
        <f>IF(OR(G336="",G335=""),"",IF(G335=0,"",(G336/G335)-1))</f>
        <v/>
      </c>
      <c r="I336" s="13"/>
      <c r="J336" s="13"/>
      <c r="K336" s="13"/>
      <c r="L336" s="13"/>
      <c r="M336" s="23" t="str">
        <f>IF(OR(L336="",L335=""),"",IF(L335=0,"",(L336/L335)-1))</f>
        <v/>
      </c>
      <c r="N336" s="26" t="str">
        <f>IFERROR((M336/M335)-1,"")</f>
        <v/>
      </c>
      <c r="O336" s="23" t="str">
        <f>IF(OR(N336="",N335=""),"",IF(N335=0,"",(N336/N335)-1))</f>
        <v/>
      </c>
      <c r="P336" s="11" t="str">
        <f>IF(ROW()&lt;7,"",IF(OR(E336="",E333=""),"",IF(E333=0,"",(E336/E333)-1)))</f>
        <v/>
      </c>
      <c r="Q336" s="23" t="str">
        <f>IF(ROW()&lt;9,"",IF(OR(E336="",E331=""),"",IF(E331=0,"",(E336/E331)-1)))</f>
        <v/>
      </c>
      <c r="R336" s="23" t="str">
        <f>IF(ROW()&lt;7,"",IF(OR(G336="",G333=""),"",IF(G333=0,"",(G336/G333)-1)))</f>
        <v/>
      </c>
      <c r="S336" s="23" t="str">
        <f>IF(ROW()&lt;9,"",IF(OR(G336="",G331=""),"",IF(G331=0,"",(G336/G331)-1)))</f>
        <v/>
      </c>
      <c r="T336" s="23" t="str">
        <f>IF(ROW()&lt;7,"",IF(OR(L336="",L333=""),"",IF(L333=0,"",(L336/L333)-1)))</f>
        <v/>
      </c>
      <c r="U336" s="23" t="str">
        <f>IF(ROW()&lt;9,"",IF(OR(L336="",L331=""),"",IF(L331=0,"",(L336/L331)-1)))</f>
        <v/>
      </c>
      <c r="V336" s="23" t="str">
        <f>IF(ROW()&lt;7,"",IF(OR(N336="",N333=""),"",IF(N333=0,"",(N336/N333)-1)))</f>
        <v/>
      </c>
      <c r="W336" s="23" t="str">
        <f>IF(ROW()&lt;9,"",IF(OR(N336="",N331=""),"",IF(N331=0,"",(N336/N331)-1)))</f>
        <v/>
      </c>
      <c r="X336" s="23" t="str">
        <f>IF(OR(F336="",M336=""),"",F336-M336)</f>
        <v/>
      </c>
      <c r="Y336" s="23" t="str">
        <f>IF(OR(P336="",T336=""),"",P336-T336)</f>
        <v/>
      </c>
      <c r="Z336" s="23" t="str">
        <f>IF(OR(Q336="",U336=""),"",Q336-U336)</f>
        <v/>
      </c>
      <c r="AA336" s="23" t="str">
        <f>IF(OR(H336="",O336=""),"",H336-O336)</f>
        <v/>
      </c>
      <c r="AB336" s="23" t="str">
        <f>IF(OR(R336="",V336=""),"",R336-V336)</f>
        <v/>
      </c>
      <c r="AC336" s="23" t="str">
        <f>IF(OR(S336="",W336=""),"",S336-W336)</f>
        <v/>
      </c>
      <c r="AD336" s="13"/>
      <c r="AE336" s="23" t="str">
        <f>IF(OR(AD336="",AD335=""),"",IF(AD335=0,"",(AD336/AD335)-1))</f>
        <v/>
      </c>
      <c r="AF336" s="23" t="str">
        <f>IF(ROW()&lt;7,"",IF(OR(AD336="",AD333=""),"",IF(AD333=0,"",(AD336/AD333)-1)))</f>
        <v/>
      </c>
      <c r="AG336" s="23" t="str">
        <f>IF(ROW()&lt;9,"",IF(OR(AD336="",AD331=""),"",IF(AD331=0,"",(AD336/AD331)-1)))</f>
        <v/>
      </c>
      <c r="AH336" s="23" t="str">
        <f>IF(OR(AF336="",AG336=""),"",IF(AND(AF336&gt;0,AG336&gt;0),"Bull",IF(AND(AF336&lt;0,AG336&lt;0),"Bear","Mixed")))</f>
        <v/>
      </c>
      <c r="AI336" s="13"/>
      <c r="AJ336" s="13" t="str">
        <f>IF(OR(AI336="",AI335=""),"",IF(AI335=0,"",(AI336/AI335)-1))</f>
        <v/>
      </c>
      <c r="AK336" s="23" t="str">
        <f>IF(OR(AJ336="",AJ335=""),"",IF(AJ335=0,"",(AJ336/AJ335)-1))</f>
        <v/>
      </c>
      <c r="AL336" s="23" t="str">
        <f>IF(ROW()&lt;7,"",IF(OR(AJ336="",AJ333=""),"",IF(AJ333=0,"",(AJ336/AJ333)-1)))</f>
        <v/>
      </c>
      <c r="AM336" s="23" t="str">
        <f>IF(ROW()&lt;9,"",IF(OR(AJ336="",AJ331=""),"",IF(AJ331=0,"",(AJ336/AJ331)-1)))</f>
        <v/>
      </c>
      <c r="AN336" t="str">
        <f>IF(OR(AL336="",AM336=""),"",IF(AND(AL336&gt;0,AM336&gt;0),"Bull",IF(AND(AL336&lt;0,AM336&lt;0),"Bear","Mixed")))</f>
        <v/>
      </c>
      <c r="AO336" t="str">
        <f>IF(OR(AH336="",AN336=""),"",IF(AND(AH336="Bull",AN336="Bull"),"YES","NO"))</f>
        <v/>
      </c>
      <c r="AP336" t="str">
        <f>IF(OR(AH336="",AN336=""),"",IF(AND(AH336="Bear",AN336="Bear"),"YES","NO"))</f>
        <v/>
      </c>
      <c r="AQ336" t="str">
        <f>IF(AO336="YES",IF(SUM(N(X336),N(Y336),N(Z336))&gt;0,"SOXL","TQQQ"),IF(AP336="YES",IF(SUM(N(AA336),N(AB336),N(AC336))&gt;0,"SOXS","SQQQ"),"WAIT"))</f>
        <v>WAIT</v>
      </c>
      <c r="AR336" s="23" t="str">
        <f>IF(AO336="YES",IF(SUM(N(X336),N(Y336),N(Z336))&gt;0,"TQQQ","SOXL"),IF(AP336="YES",IF(SUM(N(AA336),N(AB336),N(AC336))&gt;0,"SQQQ","SOXS"),""))</f>
        <v/>
      </c>
      <c r="AS336" s="23" t="str">
        <f>IF(AQ336="WAIT","",IF(AR336="",1,0.6))</f>
        <v/>
      </c>
      <c r="AT336" s="23">
        <f>IF(AR336="",0,0.4)</f>
        <v>0</v>
      </c>
      <c r="AU336" s="23" t="str">
        <f>IF(AQ336="WAIT","WAIT",IF(AO336="YES","BULL",IF(AP336="YES","BEAR","WAIT")))</f>
        <v>WAIT</v>
      </c>
      <c r="AV336" t="str">
        <f>IF(AQ336="WAIT","Low",IF(OR(AND(AU336="BULL",ABS(SUM(N(X336),N(Y336),N(Z336)))&gt;=0.15),AND(AU336="BEAR",ABS(SUM(N(AA336),N(AB336),N(AC336)))&gt;=0.15)),"Strong",IF(OR(AND(AU336="BULL",ABS(SUM(N(X336),N(Y336),N(Z336)))&gt;=0.05),AND(AU336="BEAR",ABS(SUM(N(AA336),N(AB336),N(AC336)))&gt;=0.05)),"Moderate","Low")))</f>
        <v>Low</v>
      </c>
      <c r="AW336" t="str">
        <f>IF(AQ336="WAIT","QQQ and SMH not aligned",IF(AU336="BULL",IF(AQ336="SOXL","Bull regime; semiconductors leading","Bull regime; tech leading"),IF(AQ336="SOXS","Bear regime; semiconductors weakest","Bear regime; tech weakest")))</f>
        <v>QQQ and SMH not aligned</v>
      </c>
      <c r="AX336" t="str">
        <f>IF(AR336="WAIT","QQQ and SMH not aligned",IF(AV336="BULL",IF(AR336="SOXL","Bull regime; semiconductors leading","Bull regime; tech leading"),IF(AR336="SOXS","Bear regime; semiconductors weakest","Bear regime; tech weakest")))</f>
        <v>Bear regime; tech weakest</v>
      </c>
    </row>
    <row r="337" spans="1:50" x14ac:dyDescent="0.2">
      <c r="A337" s="12"/>
      <c r="B337" s="13"/>
      <c r="C337" s="13"/>
      <c r="D337" s="13"/>
      <c r="E337" s="13"/>
      <c r="F337" s="11" t="str">
        <f>IF(OR(E337="",E336=""),"",IF(E336=0,"",(E337/E336)-1))</f>
        <v/>
      </c>
      <c r="G337" s="13"/>
      <c r="H337" s="11" t="str">
        <f>IF(OR(G337="",G336=""),"",IF(G336=0,"",(G337/G336)-1))</f>
        <v/>
      </c>
      <c r="I337" s="13"/>
      <c r="J337" s="13"/>
      <c r="K337" s="13"/>
      <c r="L337" s="13"/>
      <c r="M337" s="23" t="str">
        <f>IF(OR(L337="",L336=""),"",IF(L336=0,"",(L337/L336)-1))</f>
        <v/>
      </c>
      <c r="N337" s="26" t="str">
        <f>IFERROR((M337/M336)-1,"")</f>
        <v/>
      </c>
      <c r="O337" s="23" t="str">
        <f>IF(OR(N337="",N336=""),"",IF(N336=0,"",(N337/N336)-1))</f>
        <v/>
      </c>
      <c r="P337" s="11" t="str">
        <f>IF(ROW()&lt;7,"",IF(OR(E337="",E334=""),"",IF(E334=0,"",(E337/E334)-1)))</f>
        <v/>
      </c>
      <c r="Q337" s="23" t="str">
        <f>IF(ROW()&lt;9,"",IF(OR(E337="",E332=""),"",IF(E332=0,"",(E337/E332)-1)))</f>
        <v/>
      </c>
      <c r="R337" s="23" t="str">
        <f>IF(ROW()&lt;7,"",IF(OR(G337="",G334=""),"",IF(G334=0,"",(G337/G334)-1)))</f>
        <v/>
      </c>
      <c r="S337" s="23" t="str">
        <f>IF(ROW()&lt;9,"",IF(OR(G337="",G332=""),"",IF(G332=0,"",(G337/G332)-1)))</f>
        <v/>
      </c>
      <c r="T337" s="23" t="str">
        <f>IF(ROW()&lt;7,"",IF(OR(L337="",L334=""),"",IF(L334=0,"",(L337/L334)-1)))</f>
        <v/>
      </c>
      <c r="U337" s="23" t="str">
        <f>IF(ROW()&lt;9,"",IF(OR(L337="",L332=""),"",IF(L332=0,"",(L337/L332)-1)))</f>
        <v/>
      </c>
      <c r="V337" s="23" t="str">
        <f>IF(ROW()&lt;7,"",IF(OR(N337="",N334=""),"",IF(N334=0,"",(N337/N334)-1)))</f>
        <v/>
      </c>
      <c r="W337" s="23" t="str">
        <f>IF(ROW()&lt;9,"",IF(OR(N337="",N332=""),"",IF(N332=0,"",(N337/N332)-1)))</f>
        <v/>
      </c>
      <c r="X337" s="23" t="str">
        <f>IF(OR(F337="",M337=""),"",F337-M337)</f>
        <v/>
      </c>
      <c r="Y337" s="23" t="str">
        <f>IF(OR(P337="",T337=""),"",P337-T337)</f>
        <v/>
      </c>
      <c r="Z337" s="23" t="str">
        <f>IF(OR(Q337="",U337=""),"",Q337-U337)</f>
        <v/>
      </c>
      <c r="AA337" s="23" t="str">
        <f>IF(OR(H337="",O337=""),"",H337-O337)</f>
        <v/>
      </c>
      <c r="AB337" s="23" t="str">
        <f>IF(OR(R337="",V337=""),"",R337-V337)</f>
        <v/>
      </c>
      <c r="AC337" s="23" t="str">
        <f>IF(OR(S337="",W337=""),"",S337-W337)</f>
        <v/>
      </c>
      <c r="AD337" s="13"/>
      <c r="AE337" s="23" t="str">
        <f>IF(OR(AD337="",AD336=""),"",IF(AD336=0,"",(AD337/AD336)-1))</f>
        <v/>
      </c>
      <c r="AF337" s="23" t="str">
        <f>IF(ROW()&lt;7,"",IF(OR(AD337="",AD334=""),"",IF(AD334=0,"",(AD337/AD334)-1)))</f>
        <v/>
      </c>
      <c r="AG337" s="23" t="str">
        <f>IF(ROW()&lt;9,"",IF(OR(AD337="",AD332=""),"",IF(AD332=0,"",(AD337/AD332)-1)))</f>
        <v/>
      </c>
      <c r="AH337" s="23" t="str">
        <f>IF(OR(AF337="",AG337=""),"",IF(AND(AF337&gt;0,AG337&gt;0),"Bull",IF(AND(AF337&lt;0,AG337&lt;0),"Bear","Mixed")))</f>
        <v/>
      </c>
      <c r="AI337" s="13"/>
      <c r="AJ337" s="13" t="str">
        <f>IF(OR(AI337="",AI336=""),"",IF(AI336=0,"",(AI337/AI336)-1))</f>
        <v/>
      </c>
      <c r="AK337" s="23" t="str">
        <f>IF(OR(AJ337="",AJ336=""),"",IF(AJ336=0,"",(AJ337/AJ336)-1))</f>
        <v/>
      </c>
      <c r="AL337" s="23" t="str">
        <f>IF(ROW()&lt;7,"",IF(OR(AJ337="",AJ334=""),"",IF(AJ334=0,"",(AJ337/AJ334)-1)))</f>
        <v/>
      </c>
      <c r="AM337" s="23" t="str">
        <f>IF(ROW()&lt;9,"",IF(OR(AJ337="",AJ332=""),"",IF(AJ332=0,"",(AJ337/AJ332)-1)))</f>
        <v/>
      </c>
      <c r="AN337" t="str">
        <f>IF(OR(AL337="",AM337=""),"",IF(AND(AL337&gt;0,AM337&gt;0),"Bull",IF(AND(AL337&lt;0,AM337&lt;0),"Bear","Mixed")))</f>
        <v/>
      </c>
      <c r="AO337" t="str">
        <f>IF(OR(AH337="",AN337=""),"",IF(AND(AH337="Bull",AN337="Bull"),"YES","NO"))</f>
        <v/>
      </c>
      <c r="AP337" t="str">
        <f>IF(OR(AH337="",AN337=""),"",IF(AND(AH337="Bear",AN337="Bear"),"YES","NO"))</f>
        <v/>
      </c>
      <c r="AQ337" t="str">
        <f>IF(AO337="YES",IF(SUM(N(X337),N(Y337),N(Z337))&gt;0,"SOXL","TQQQ"),IF(AP337="YES",IF(SUM(N(AA337),N(AB337),N(AC337))&gt;0,"SOXS","SQQQ"),"WAIT"))</f>
        <v>WAIT</v>
      </c>
      <c r="AR337" s="23" t="str">
        <f>IF(AO337="YES",IF(SUM(N(X337),N(Y337),N(Z337))&gt;0,"TQQQ","SOXL"),IF(AP337="YES",IF(SUM(N(AA337),N(AB337),N(AC337))&gt;0,"SQQQ","SOXS"),""))</f>
        <v/>
      </c>
      <c r="AS337" s="23" t="str">
        <f>IF(AQ337="WAIT","",IF(AR337="",1,0.6))</f>
        <v/>
      </c>
      <c r="AT337" s="23">
        <f>IF(AR337="",0,0.4)</f>
        <v>0</v>
      </c>
      <c r="AU337" s="23" t="str">
        <f>IF(AQ337="WAIT","WAIT",IF(AO337="YES","BULL",IF(AP337="YES","BEAR","WAIT")))</f>
        <v>WAIT</v>
      </c>
      <c r="AV337" t="str">
        <f>IF(AQ337="WAIT","Low",IF(OR(AND(AU337="BULL",ABS(SUM(N(X337),N(Y337),N(Z337)))&gt;=0.15),AND(AU337="BEAR",ABS(SUM(N(AA337),N(AB337),N(AC337)))&gt;=0.15)),"Strong",IF(OR(AND(AU337="BULL",ABS(SUM(N(X337),N(Y337),N(Z337)))&gt;=0.05),AND(AU337="BEAR",ABS(SUM(N(AA337),N(AB337),N(AC337)))&gt;=0.05)),"Moderate","Low")))</f>
        <v>Low</v>
      </c>
      <c r="AW337" t="str">
        <f>IF(AQ337="WAIT","QQQ and SMH not aligned",IF(AU337="BULL",IF(AQ337="SOXL","Bull regime; semiconductors leading","Bull regime; tech leading"),IF(AQ337="SOXS","Bear regime; semiconductors weakest","Bear regime; tech weakest")))</f>
        <v>QQQ and SMH not aligned</v>
      </c>
      <c r="AX337" t="str">
        <f>IF(AR337="WAIT","QQQ and SMH not aligned",IF(AV337="BULL",IF(AR337="SOXL","Bull regime; semiconductors leading","Bull regime; tech leading"),IF(AR337="SOXS","Bear regime; semiconductors weakest","Bear regime; tech weakest")))</f>
        <v>Bear regime; tech weakest</v>
      </c>
    </row>
    <row r="338" spans="1:50" x14ac:dyDescent="0.2">
      <c r="A338" s="12"/>
      <c r="B338" s="13"/>
      <c r="C338" s="13"/>
      <c r="D338" s="13"/>
      <c r="E338" s="13"/>
      <c r="F338" s="11" t="str">
        <f>IF(OR(E338="",E337=""),"",IF(E337=0,"",(E338/E337)-1))</f>
        <v/>
      </c>
      <c r="G338" s="13"/>
      <c r="H338" s="11" t="str">
        <f>IF(OR(G338="",G337=""),"",IF(G337=0,"",(G338/G337)-1))</f>
        <v/>
      </c>
      <c r="I338" s="13"/>
      <c r="J338" s="13"/>
      <c r="K338" s="13"/>
      <c r="L338" s="13"/>
      <c r="M338" s="23" t="str">
        <f>IF(OR(L338="",L337=""),"",IF(L337=0,"",(L338/L337)-1))</f>
        <v/>
      </c>
      <c r="N338" s="26" t="str">
        <f>IFERROR((M338/M337)-1,"")</f>
        <v/>
      </c>
      <c r="O338" s="23" t="str">
        <f>IF(OR(N338="",N337=""),"",IF(N337=0,"",(N338/N337)-1))</f>
        <v/>
      </c>
      <c r="P338" s="11" t="str">
        <f>IF(ROW()&lt;7,"",IF(OR(E338="",E335=""),"",IF(E335=0,"",(E338/E335)-1)))</f>
        <v/>
      </c>
      <c r="Q338" s="23" t="str">
        <f>IF(ROW()&lt;9,"",IF(OR(E338="",E333=""),"",IF(E333=0,"",(E338/E333)-1)))</f>
        <v/>
      </c>
      <c r="R338" s="23" t="str">
        <f>IF(ROW()&lt;7,"",IF(OR(G338="",G335=""),"",IF(G335=0,"",(G338/G335)-1)))</f>
        <v/>
      </c>
      <c r="S338" s="23" t="str">
        <f>IF(ROW()&lt;9,"",IF(OR(G338="",G333=""),"",IF(G333=0,"",(G338/G333)-1)))</f>
        <v/>
      </c>
      <c r="T338" s="23" t="str">
        <f>IF(ROW()&lt;7,"",IF(OR(L338="",L335=""),"",IF(L335=0,"",(L338/L335)-1)))</f>
        <v/>
      </c>
      <c r="U338" s="23" t="str">
        <f>IF(ROW()&lt;9,"",IF(OR(L338="",L333=""),"",IF(L333=0,"",(L338/L333)-1)))</f>
        <v/>
      </c>
      <c r="V338" s="23" t="str">
        <f>IF(ROW()&lt;7,"",IF(OR(N338="",N335=""),"",IF(N335=0,"",(N338/N335)-1)))</f>
        <v/>
      </c>
      <c r="W338" s="23" t="str">
        <f>IF(ROW()&lt;9,"",IF(OR(N338="",N333=""),"",IF(N333=0,"",(N338/N333)-1)))</f>
        <v/>
      </c>
      <c r="X338" s="23" t="str">
        <f>IF(OR(F338="",M338=""),"",F338-M338)</f>
        <v/>
      </c>
      <c r="Y338" s="23" t="str">
        <f>IF(OR(P338="",T338=""),"",P338-T338)</f>
        <v/>
      </c>
      <c r="Z338" s="23" t="str">
        <f>IF(OR(Q338="",U338=""),"",Q338-U338)</f>
        <v/>
      </c>
      <c r="AA338" s="23" t="str">
        <f>IF(OR(H338="",O338=""),"",H338-O338)</f>
        <v/>
      </c>
      <c r="AB338" s="23" t="str">
        <f>IF(OR(R338="",V338=""),"",R338-V338)</f>
        <v/>
      </c>
      <c r="AC338" s="23" t="str">
        <f>IF(OR(S338="",W338=""),"",S338-W338)</f>
        <v/>
      </c>
      <c r="AD338" s="13"/>
      <c r="AE338" s="23" t="str">
        <f>IF(OR(AD338="",AD337=""),"",IF(AD337=0,"",(AD338/AD337)-1))</f>
        <v/>
      </c>
      <c r="AF338" s="23" t="str">
        <f>IF(ROW()&lt;7,"",IF(OR(AD338="",AD335=""),"",IF(AD335=0,"",(AD338/AD335)-1)))</f>
        <v/>
      </c>
      <c r="AG338" s="23" t="str">
        <f>IF(ROW()&lt;9,"",IF(OR(AD338="",AD333=""),"",IF(AD333=0,"",(AD338/AD333)-1)))</f>
        <v/>
      </c>
      <c r="AH338" s="23" t="str">
        <f>IF(OR(AF338="",AG338=""),"",IF(AND(AF338&gt;0,AG338&gt;0),"Bull",IF(AND(AF338&lt;0,AG338&lt;0),"Bear","Mixed")))</f>
        <v/>
      </c>
      <c r="AI338" s="13"/>
      <c r="AJ338" s="13" t="str">
        <f>IF(OR(AI338="",AI337=""),"",IF(AI337=0,"",(AI338/AI337)-1))</f>
        <v/>
      </c>
      <c r="AK338" s="23" t="str">
        <f>IF(OR(AJ338="",AJ337=""),"",IF(AJ337=0,"",(AJ338/AJ337)-1))</f>
        <v/>
      </c>
      <c r="AL338" s="23" t="str">
        <f>IF(ROW()&lt;7,"",IF(OR(AJ338="",AJ335=""),"",IF(AJ335=0,"",(AJ338/AJ335)-1)))</f>
        <v/>
      </c>
      <c r="AM338" s="23" t="str">
        <f>IF(ROW()&lt;9,"",IF(OR(AJ338="",AJ333=""),"",IF(AJ333=0,"",(AJ338/AJ333)-1)))</f>
        <v/>
      </c>
      <c r="AN338" t="str">
        <f>IF(OR(AL338="",AM338=""),"",IF(AND(AL338&gt;0,AM338&gt;0),"Bull",IF(AND(AL338&lt;0,AM338&lt;0),"Bear","Mixed")))</f>
        <v/>
      </c>
      <c r="AO338" t="str">
        <f>IF(OR(AH338="",AN338=""),"",IF(AND(AH338="Bull",AN338="Bull"),"YES","NO"))</f>
        <v/>
      </c>
      <c r="AP338" t="str">
        <f>IF(OR(AH338="",AN338=""),"",IF(AND(AH338="Bear",AN338="Bear"),"YES","NO"))</f>
        <v/>
      </c>
      <c r="AQ338" t="str">
        <f>IF(AO338="YES",IF(SUM(N(X338),N(Y338),N(Z338))&gt;0,"SOXL","TQQQ"),IF(AP338="YES",IF(SUM(N(AA338),N(AB338),N(AC338))&gt;0,"SOXS","SQQQ"),"WAIT"))</f>
        <v>WAIT</v>
      </c>
      <c r="AR338" s="23" t="str">
        <f>IF(AO338="YES",IF(SUM(N(X338),N(Y338),N(Z338))&gt;0,"TQQQ","SOXL"),IF(AP338="YES",IF(SUM(N(AA338),N(AB338),N(AC338))&gt;0,"SQQQ","SOXS"),""))</f>
        <v/>
      </c>
      <c r="AS338" s="23" t="str">
        <f>IF(AQ338="WAIT","",IF(AR338="",1,0.6))</f>
        <v/>
      </c>
      <c r="AT338" s="23">
        <f>IF(AR338="",0,0.4)</f>
        <v>0</v>
      </c>
      <c r="AU338" s="23" t="str">
        <f>IF(AQ338="WAIT","WAIT",IF(AO338="YES","BULL",IF(AP338="YES","BEAR","WAIT")))</f>
        <v>WAIT</v>
      </c>
      <c r="AV338" t="str">
        <f>IF(AQ338="WAIT","Low",IF(OR(AND(AU338="BULL",ABS(SUM(N(X338),N(Y338),N(Z338)))&gt;=0.15),AND(AU338="BEAR",ABS(SUM(N(AA338),N(AB338),N(AC338)))&gt;=0.15)),"Strong",IF(OR(AND(AU338="BULL",ABS(SUM(N(X338),N(Y338),N(Z338)))&gt;=0.05),AND(AU338="BEAR",ABS(SUM(N(AA338),N(AB338),N(AC338)))&gt;=0.05)),"Moderate","Low")))</f>
        <v>Low</v>
      </c>
      <c r="AW338" t="str">
        <f>IF(AQ338="WAIT","QQQ and SMH not aligned",IF(AU338="BULL",IF(AQ338="SOXL","Bull regime; semiconductors leading","Bull regime; tech leading"),IF(AQ338="SOXS","Bear regime; semiconductors weakest","Bear regime; tech weakest")))</f>
        <v>QQQ and SMH not aligned</v>
      </c>
      <c r="AX338" t="str">
        <f>IF(AR338="WAIT","QQQ and SMH not aligned",IF(AV338="BULL",IF(AR338="SOXL","Bull regime; semiconductors leading","Bull regime; tech leading"),IF(AR338="SOXS","Bear regime; semiconductors weakest","Bear regime; tech weakest")))</f>
        <v>Bear regime; tech weakest</v>
      </c>
    </row>
    <row r="339" spans="1:50" x14ac:dyDescent="0.2">
      <c r="A339" s="12"/>
      <c r="B339" s="13"/>
      <c r="C339" s="13"/>
      <c r="D339" s="13"/>
      <c r="E339" s="13"/>
      <c r="F339" s="11" t="str">
        <f>IF(OR(E339="",E338=""),"",IF(E338=0,"",(E339/E338)-1))</f>
        <v/>
      </c>
      <c r="G339" s="13"/>
      <c r="H339" s="11" t="str">
        <f>IF(OR(G339="",G338=""),"",IF(G338=0,"",(G339/G338)-1))</f>
        <v/>
      </c>
      <c r="I339" s="13"/>
      <c r="J339" s="13"/>
      <c r="K339" s="13"/>
      <c r="L339" s="13"/>
      <c r="M339" s="23" t="str">
        <f>IF(OR(L339="",L338=""),"",IF(L338=0,"",(L339/L338)-1))</f>
        <v/>
      </c>
      <c r="N339" s="26" t="str">
        <f>IFERROR((M339/M338)-1,"")</f>
        <v/>
      </c>
      <c r="O339" s="23" t="str">
        <f>IF(OR(N339="",N338=""),"",IF(N338=0,"",(N339/N338)-1))</f>
        <v/>
      </c>
      <c r="P339" s="11" t="str">
        <f>IF(ROW()&lt;7,"",IF(OR(E339="",E336=""),"",IF(E336=0,"",(E339/E336)-1)))</f>
        <v/>
      </c>
      <c r="Q339" s="23" t="str">
        <f>IF(ROW()&lt;9,"",IF(OR(E339="",E334=""),"",IF(E334=0,"",(E339/E334)-1)))</f>
        <v/>
      </c>
      <c r="R339" s="23" t="str">
        <f>IF(ROW()&lt;7,"",IF(OR(G339="",G336=""),"",IF(G336=0,"",(G339/G336)-1)))</f>
        <v/>
      </c>
      <c r="S339" s="23" t="str">
        <f>IF(ROW()&lt;9,"",IF(OR(G339="",G334=""),"",IF(G334=0,"",(G339/G334)-1)))</f>
        <v/>
      </c>
      <c r="T339" s="23" t="str">
        <f>IF(ROW()&lt;7,"",IF(OR(L339="",L336=""),"",IF(L336=0,"",(L339/L336)-1)))</f>
        <v/>
      </c>
      <c r="U339" s="23" t="str">
        <f>IF(ROW()&lt;9,"",IF(OR(L339="",L334=""),"",IF(L334=0,"",(L339/L334)-1)))</f>
        <v/>
      </c>
      <c r="V339" s="23" t="str">
        <f>IF(ROW()&lt;7,"",IF(OR(N339="",N336=""),"",IF(N336=0,"",(N339/N336)-1)))</f>
        <v/>
      </c>
      <c r="W339" s="23" t="str">
        <f>IF(ROW()&lt;9,"",IF(OR(N339="",N334=""),"",IF(N334=0,"",(N339/N334)-1)))</f>
        <v/>
      </c>
      <c r="X339" s="23" t="str">
        <f>IF(OR(F339="",M339=""),"",F339-M339)</f>
        <v/>
      </c>
      <c r="Y339" s="23" t="str">
        <f>IF(OR(P339="",T339=""),"",P339-T339)</f>
        <v/>
      </c>
      <c r="Z339" s="23" t="str">
        <f>IF(OR(Q339="",U339=""),"",Q339-U339)</f>
        <v/>
      </c>
      <c r="AA339" s="23" t="str">
        <f>IF(OR(H339="",O339=""),"",H339-O339)</f>
        <v/>
      </c>
      <c r="AB339" s="23" t="str">
        <f>IF(OR(R339="",V339=""),"",R339-V339)</f>
        <v/>
      </c>
      <c r="AC339" s="23" t="str">
        <f>IF(OR(S339="",W339=""),"",S339-W339)</f>
        <v/>
      </c>
      <c r="AD339" s="13"/>
      <c r="AE339" s="23" t="str">
        <f>IF(OR(AD339="",AD338=""),"",IF(AD338=0,"",(AD339/AD338)-1))</f>
        <v/>
      </c>
      <c r="AF339" s="23" t="str">
        <f>IF(ROW()&lt;7,"",IF(OR(AD339="",AD336=""),"",IF(AD336=0,"",(AD339/AD336)-1)))</f>
        <v/>
      </c>
      <c r="AG339" s="23" t="str">
        <f>IF(ROW()&lt;9,"",IF(OR(AD339="",AD334=""),"",IF(AD334=0,"",(AD339/AD334)-1)))</f>
        <v/>
      </c>
      <c r="AH339" s="23" t="str">
        <f>IF(OR(AF339="",AG339=""),"",IF(AND(AF339&gt;0,AG339&gt;0),"Bull",IF(AND(AF339&lt;0,AG339&lt;0),"Bear","Mixed")))</f>
        <v/>
      </c>
      <c r="AI339" s="13"/>
      <c r="AJ339" s="13" t="str">
        <f>IF(OR(AI339="",AI338=""),"",IF(AI338=0,"",(AI339/AI338)-1))</f>
        <v/>
      </c>
      <c r="AK339" s="23" t="str">
        <f>IF(OR(AJ339="",AJ338=""),"",IF(AJ338=0,"",(AJ339/AJ338)-1))</f>
        <v/>
      </c>
      <c r="AL339" s="23" t="str">
        <f>IF(ROW()&lt;7,"",IF(OR(AJ339="",AJ336=""),"",IF(AJ336=0,"",(AJ339/AJ336)-1)))</f>
        <v/>
      </c>
      <c r="AM339" s="23" t="str">
        <f>IF(ROW()&lt;9,"",IF(OR(AJ339="",AJ334=""),"",IF(AJ334=0,"",(AJ339/AJ334)-1)))</f>
        <v/>
      </c>
      <c r="AN339" t="str">
        <f>IF(OR(AL339="",AM339=""),"",IF(AND(AL339&gt;0,AM339&gt;0),"Bull",IF(AND(AL339&lt;0,AM339&lt;0),"Bear","Mixed")))</f>
        <v/>
      </c>
      <c r="AO339" t="str">
        <f>IF(OR(AH339="",AN339=""),"",IF(AND(AH339="Bull",AN339="Bull"),"YES","NO"))</f>
        <v/>
      </c>
      <c r="AP339" t="str">
        <f>IF(OR(AH339="",AN339=""),"",IF(AND(AH339="Bear",AN339="Bear"),"YES","NO"))</f>
        <v/>
      </c>
      <c r="AQ339" t="str">
        <f>IF(AO339="YES",IF(SUM(N(X339),N(Y339),N(Z339))&gt;0,"SOXL","TQQQ"),IF(AP339="YES",IF(SUM(N(AA339),N(AB339),N(AC339))&gt;0,"SOXS","SQQQ"),"WAIT"))</f>
        <v>WAIT</v>
      </c>
      <c r="AR339" s="23" t="str">
        <f>IF(AO339="YES",IF(SUM(N(X339),N(Y339),N(Z339))&gt;0,"TQQQ","SOXL"),IF(AP339="YES",IF(SUM(N(AA339),N(AB339),N(AC339))&gt;0,"SQQQ","SOXS"),""))</f>
        <v/>
      </c>
      <c r="AS339" s="23" t="str">
        <f>IF(AQ339="WAIT","",IF(AR339="",1,0.6))</f>
        <v/>
      </c>
      <c r="AT339" s="23">
        <f>IF(AR339="",0,0.4)</f>
        <v>0</v>
      </c>
      <c r="AU339" s="23" t="str">
        <f>IF(AQ339="WAIT","WAIT",IF(AO339="YES","BULL",IF(AP339="YES","BEAR","WAIT")))</f>
        <v>WAIT</v>
      </c>
      <c r="AV339" t="str">
        <f>IF(AQ339="WAIT","Low",IF(OR(AND(AU339="BULL",ABS(SUM(N(X339),N(Y339),N(Z339)))&gt;=0.15),AND(AU339="BEAR",ABS(SUM(N(AA339),N(AB339),N(AC339)))&gt;=0.15)),"Strong",IF(OR(AND(AU339="BULL",ABS(SUM(N(X339),N(Y339),N(Z339)))&gt;=0.05),AND(AU339="BEAR",ABS(SUM(N(AA339),N(AB339),N(AC339)))&gt;=0.05)),"Moderate","Low")))</f>
        <v>Low</v>
      </c>
      <c r="AW339" t="str">
        <f>IF(AQ339="WAIT","QQQ and SMH not aligned",IF(AU339="BULL",IF(AQ339="SOXL","Bull regime; semiconductors leading","Bull regime; tech leading"),IF(AQ339="SOXS","Bear regime; semiconductors weakest","Bear regime; tech weakest")))</f>
        <v>QQQ and SMH not aligned</v>
      </c>
      <c r="AX339" t="str">
        <f>IF(AR339="WAIT","QQQ and SMH not aligned",IF(AV339="BULL",IF(AR339="SOXL","Bull regime; semiconductors leading","Bull regime; tech leading"),IF(AR339="SOXS","Bear regime; semiconductors weakest","Bear regime; tech weakest")))</f>
        <v>Bear regime; tech weakest</v>
      </c>
    </row>
    <row r="340" spans="1:50" x14ac:dyDescent="0.2">
      <c r="A340" s="12"/>
      <c r="B340" s="13"/>
      <c r="C340" s="13"/>
      <c r="D340" s="13"/>
      <c r="E340" s="13"/>
      <c r="F340" s="11" t="str">
        <f>IF(OR(E340="",E339=""),"",IF(E339=0,"",(E340/E339)-1))</f>
        <v/>
      </c>
      <c r="G340" s="13"/>
      <c r="H340" s="11" t="str">
        <f>IF(OR(G340="",G339=""),"",IF(G339=0,"",(G340/G339)-1))</f>
        <v/>
      </c>
      <c r="I340" s="13"/>
      <c r="J340" s="13"/>
      <c r="K340" s="13"/>
      <c r="L340" s="13"/>
      <c r="M340" s="23" t="str">
        <f>IF(OR(L340="",L339=""),"",IF(L339=0,"",(L340/L339)-1))</f>
        <v/>
      </c>
      <c r="N340" s="26" t="str">
        <f>IFERROR((M340/M339)-1,"")</f>
        <v/>
      </c>
      <c r="O340" s="23" t="str">
        <f>IF(OR(N340="",N339=""),"",IF(N339=0,"",(N340/N339)-1))</f>
        <v/>
      </c>
      <c r="P340" s="11" t="str">
        <f>IF(ROW()&lt;7,"",IF(OR(E340="",E337=""),"",IF(E337=0,"",(E340/E337)-1)))</f>
        <v/>
      </c>
      <c r="Q340" s="23" t="str">
        <f>IF(ROW()&lt;9,"",IF(OR(E340="",E335=""),"",IF(E335=0,"",(E340/E335)-1)))</f>
        <v/>
      </c>
      <c r="R340" s="23" t="str">
        <f>IF(ROW()&lt;7,"",IF(OR(G340="",G337=""),"",IF(G337=0,"",(G340/G337)-1)))</f>
        <v/>
      </c>
      <c r="S340" s="23" t="str">
        <f>IF(ROW()&lt;9,"",IF(OR(G340="",G335=""),"",IF(G335=0,"",(G340/G335)-1)))</f>
        <v/>
      </c>
      <c r="T340" s="23" t="str">
        <f>IF(ROW()&lt;7,"",IF(OR(L340="",L337=""),"",IF(L337=0,"",(L340/L337)-1)))</f>
        <v/>
      </c>
      <c r="U340" s="23" t="str">
        <f>IF(ROW()&lt;9,"",IF(OR(L340="",L335=""),"",IF(L335=0,"",(L340/L335)-1)))</f>
        <v/>
      </c>
      <c r="V340" s="23" t="str">
        <f>IF(ROW()&lt;7,"",IF(OR(N340="",N337=""),"",IF(N337=0,"",(N340/N337)-1)))</f>
        <v/>
      </c>
      <c r="W340" s="23" t="str">
        <f>IF(ROW()&lt;9,"",IF(OR(N340="",N335=""),"",IF(N335=0,"",(N340/N335)-1)))</f>
        <v/>
      </c>
      <c r="X340" s="23" t="str">
        <f>IF(OR(F340="",M340=""),"",F340-M340)</f>
        <v/>
      </c>
      <c r="Y340" s="23" t="str">
        <f>IF(OR(P340="",T340=""),"",P340-T340)</f>
        <v/>
      </c>
      <c r="Z340" s="23" t="str">
        <f>IF(OR(Q340="",U340=""),"",Q340-U340)</f>
        <v/>
      </c>
      <c r="AA340" s="23" t="str">
        <f>IF(OR(H340="",O340=""),"",H340-O340)</f>
        <v/>
      </c>
      <c r="AB340" s="23" t="str">
        <f>IF(OR(R340="",V340=""),"",R340-V340)</f>
        <v/>
      </c>
      <c r="AC340" s="23" t="str">
        <f>IF(OR(S340="",W340=""),"",S340-W340)</f>
        <v/>
      </c>
      <c r="AD340" s="13"/>
      <c r="AE340" s="23" t="str">
        <f>IF(OR(AD340="",AD339=""),"",IF(AD339=0,"",(AD340/AD339)-1))</f>
        <v/>
      </c>
      <c r="AF340" s="23" t="str">
        <f>IF(ROW()&lt;7,"",IF(OR(AD340="",AD337=""),"",IF(AD337=0,"",(AD340/AD337)-1)))</f>
        <v/>
      </c>
      <c r="AG340" s="23" t="str">
        <f>IF(ROW()&lt;9,"",IF(OR(AD340="",AD335=""),"",IF(AD335=0,"",(AD340/AD335)-1)))</f>
        <v/>
      </c>
      <c r="AH340" s="23" t="str">
        <f>IF(OR(AF340="",AG340=""),"",IF(AND(AF340&gt;0,AG340&gt;0),"Bull",IF(AND(AF340&lt;0,AG340&lt;0),"Bear","Mixed")))</f>
        <v/>
      </c>
      <c r="AI340" s="13"/>
      <c r="AJ340" s="13" t="str">
        <f>IF(OR(AI340="",AI339=""),"",IF(AI339=0,"",(AI340/AI339)-1))</f>
        <v/>
      </c>
      <c r="AK340" s="23" t="str">
        <f>IF(OR(AJ340="",AJ339=""),"",IF(AJ339=0,"",(AJ340/AJ339)-1))</f>
        <v/>
      </c>
      <c r="AL340" s="23" t="str">
        <f>IF(ROW()&lt;7,"",IF(OR(AJ340="",AJ337=""),"",IF(AJ337=0,"",(AJ340/AJ337)-1)))</f>
        <v/>
      </c>
      <c r="AM340" s="23" t="str">
        <f>IF(ROW()&lt;9,"",IF(OR(AJ340="",AJ335=""),"",IF(AJ335=0,"",(AJ340/AJ335)-1)))</f>
        <v/>
      </c>
      <c r="AN340" t="str">
        <f>IF(OR(AL340="",AM340=""),"",IF(AND(AL340&gt;0,AM340&gt;0),"Bull",IF(AND(AL340&lt;0,AM340&lt;0),"Bear","Mixed")))</f>
        <v/>
      </c>
      <c r="AO340" t="str">
        <f>IF(OR(AH340="",AN340=""),"",IF(AND(AH340="Bull",AN340="Bull"),"YES","NO"))</f>
        <v/>
      </c>
      <c r="AP340" t="str">
        <f>IF(OR(AH340="",AN340=""),"",IF(AND(AH340="Bear",AN340="Bear"),"YES","NO"))</f>
        <v/>
      </c>
      <c r="AQ340" t="str">
        <f>IF(AO340="YES",IF(SUM(N(X340),N(Y340),N(Z340))&gt;0,"SOXL","TQQQ"),IF(AP340="YES",IF(SUM(N(AA340),N(AB340),N(AC340))&gt;0,"SOXS","SQQQ"),"WAIT"))</f>
        <v>WAIT</v>
      </c>
      <c r="AR340" s="23" t="str">
        <f>IF(AO340="YES",IF(SUM(N(X340),N(Y340),N(Z340))&gt;0,"TQQQ","SOXL"),IF(AP340="YES",IF(SUM(N(AA340),N(AB340),N(AC340))&gt;0,"SQQQ","SOXS"),""))</f>
        <v/>
      </c>
      <c r="AS340" s="23" t="str">
        <f>IF(AQ340="WAIT","",IF(AR340="",1,0.6))</f>
        <v/>
      </c>
      <c r="AT340" s="23">
        <f>IF(AR340="",0,0.4)</f>
        <v>0</v>
      </c>
      <c r="AU340" s="23" t="str">
        <f>IF(AQ340="WAIT","WAIT",IF(AO340="YES","BULL",IF(AP340="YES","BEAR","WAIT")))</f>
        <v>WAIT</v>
      </c>
      <c r="AV340" t="str">
        <f>IF(AQ340="WAIT","Low",IF(OR(AND(AU340="BULL",ABS(SUM(N(X340),N(Y340),N(Z340)))&gt;=0.15),AND(AU340="BEAR",ABS(SUM(N(AA340),N(AB340),N(AC340)))&gt;=0.15)),"Strong",IF(OR(AND(AU340="BULL",ABS(SUM(N(X340),N(Y340),N(Z340)))&gt;=0.05),AND(AU340="BEAR",ABS(SUM(N(AA340),N(AB340),N(AC340)))&gt;=0.05)),"Moderate","Low")))</f>
        <v>Low</v>
      </c>
      <c r="AW340" t="str">
        <f>IF(AQ340="WAIT","QQQ and SMH not aligned",IF(AU340="BULL",IF(AQ340="SOXL","Bull regime; semiconductors leading","Bull regime; tech leading"),IF(AQ340="SOXS","Bear regime; semiconductors weakest","Bear regime; tech weakest")))</f>
        <v>QQQ and SMH not aligned</v>
      </c>
      <c r="AX340" t="str">
        <f>IF(AR340="WAIT","QQQ and SMH not aligned",IF(AV340="BULL",IF(AR340="SOXL","Bull regime; semiconductors leading","Bull regime; tech leading"),IF(AR340="SOXS","Bear regime; semiconductors weakest","Bear regime; tech weakest")))</f>
        <v>Bear regime; tech weakest</v>
      </c>
    </row>
    <row r="341" spans="1:50" x14ac:dyDescent="0.2">
      <c r="A341" s="12"/>
      <c r="B341" s="13"/>
      <c r="C341" s="13"/>
      <c r="D341" s="13"/>
      <c r="E341" s="13"/>
      <c r="F341" s="11" t="str">
        <f>IF(OR(E341="",E340=""),"",IF(E340=0,"",(E341/E340)-1))</f>
        <v/>
      </c>
      <c r="G341" s="13"/>
      <c r="H341" s="11" t="str">
        <f>IF(OR(G341="",G340=""),"",IF(G340=0,"",(G341/G340)-1))</f>
        <v/>
      </c>
      <c r="I341" s="13"/>
      <c r="J341" s="13"/>
      <c r="K341" s="13"/>
      <c r="L341" s="13"/>
      <c r="M341" s="23" t="str">
        <f>IF(OR(L341="",L340=""),"",IF(L340=0,"",(L341/L340)-1))</f>
        <v/>
      </c>
      <c r="N341" s="26" t="str">
        <f>IFERROR((M341/M340)-1,"")</f>
        <v/>
      </c>
      <c r="O341" s="23" t="str">
        <f>IF(OR(N341="",N340=""),"",IF(N340=0,"",(N341/N340)-1))</f>
        <v/>
      </c>
      <c r="P341" s="11" t="str">
        <f>IF(ROW()&lt;7,"",IF(OR(E341="",E338=""),"",IF(E338=0,"",(E341/E338)-1)))</f>
        <v/>
      </c>
      <c r="Q341" s="23" t="str">
        <f>IF(ROW()&lt;9,"",IF(OR(E341="",E336=""),"",IF(E336=0,"",(E341/E336)-1)))</f>
        <v/>
      </c>
      <c r="R341" s="23" t="str">
        <f>IF(ROW()&lt;7,"",IF(OR(G341="",G338=""),"",IF(G338=0,"",(G341/G338)-1)))</f>
        <v/>
      </c>
      <c r="S341" s="23" t="str">
        <f>IF(ROW()&lt;9,"",IF(OR(G341="",G336=""),"",IF(G336=0,"",(G341/G336)-1)))</f>
        <v/>
      </c>
      <c r="T341" s="23" t="str">
        <f>IF(ROW()&lt;7,"",IF(OR(L341="",L338=""),"",IF(L338=0,"",(L341/L338)-1)))</f>
        <v/>
      </c>
      <c r="U341" s="23" t="str">
        <f>IF(ROW()&lt;9,"",IF(OR(L341="",L336=""),"",IF(L336=0,"",(L341/L336)-1)))</f>
        <v/>
      </c>
      <c r="V341" s="23" t="str">
        <f>IF(ROW()&lt;7,"",IF(OR(N341="",N338=""),"",IF(N338=0,"",(N341/N338)-1)))</f>
        <v/>
      </c>
      <c r="W341" s="23" t="str">
        <f>IF(ROW()&lt;9,"",IF(OR(N341="",N336=""),"",IF(N336=0,"",(N341/N336)-1)))</f>
        <v/>
      </c>
      <c r="X341" s="23" t="str">
        <f>IF(OR(F341="",M341=""),"",F341-M341)</f>
        <v/>
      </c>
      <c r="Y341" s="23" t="str">
        <f>IF(OR(P341="",T341=""),"",P341-T341)</f>
        <v/>
      </c>
      <c r="Z341" s="23" t="str">
        <f>IF(OR(Q341="",U341=""),"",Q341-U341)</f>
        <v/>
      </c>
      <c r="AA341" s="23" t="str">
        <f>IF(OR(H341="",O341=""),"",H341-O341)</f>
        <v/>
      </c>
      <c r="AB341" s="23" t="str">
        <f>IF(OR(R341="",V341=""),"",R341-V341)</f>
        <v/>
      </c>
      <c r="AC341" s="23" t="str">
        <f>IF(OR(S341="",W341=""),"",S341-W341)</f>
        <v/>
      </c>
      <c r="AD341" s="13"/>
      <c r="AE341" s="23" t="str">
        <f>IF(OR(AD341="",AD340=""),"",IF(AD340=0,"",(AD341/AD340)-1))</f>
        <v/>
      </c>
      <c r="AF341" s="23" t="str">
        <f>IF(ROW()&lt;7,"",IF(OR(AD341="",AD338=""),"",IF(AD338=0,"",(AD341/AD338)-1)))</f>
        <v/>
      </c>
      <c r="AG341" s="23" t="str">
        <f>IF(ROW()&lt;9,"",IF(OR(AD341="",AD336=""),"",IF(AD336=0,"",(AD341/AD336)-1)))</f>
        <v/>
      </c>
      <c r="AH341" s="23" t="str">
        <f>IF(OR(AF341="",AG341=""),"",IF(AND(AF341&gt;0,AG341&gt;0),"Bull",IF(AND(AF341&lt;0,AG341&lt;0),"Bear","Mixed")))</f>
        <v/>
      </c>
      <c r="AI341" s="13"/>
      <c r="AJ341" s="13" t="str">
        <f>IF(OR(AI341="",AI340=""),"",IF(AI340=0,"",(AI341/AI340)-1))</f>
        <v/>
      </c>
      <c r="AK341" s="23" t="str">
        <f>IF(OR(AJ341="",AJ340=""),"",IF(AJ340=0,"",(AJ341/AJ340)-1))</f>
        <v/>
      </c>
      <c r="AL341" s="23" t="str">
        <f>IF(ROW()&lt;7,"",IF(OR(AJ341="",AJ338=""),"",IF(AJ338=0,"",(AJ341/AJ338)-1)))</f>
        <v/>
      </c>
      <c r="AM341" s="23" t="str">
        <f>IF(ROW()&lt;9,"",IF(OR(AJ341="",AJ336=""),"",IF(AJ336=0,"",(AJ341/AJ336)-1)))</f>
        <v/>
      </c>
      <c r="AN341" t="str">
        <f>IF(OR(AL341="",AM341=""),"",IF(AND(AL341&gt;0,AM341&gt;0),"Bull",IF(AND(AL341&lt;0,AM341&lt;0),"Bear","Mixed")))</f>
        <v/>
      </c>
      <c r="AO341" t="str">
        <f>IF(OR(AH341="",AN341=""),"",IF(AND(AH341="Bull",AN341="Bull"),"YES","NO"))</f>
        <v/>
      </c>
      <c r="AP341" t="str">
        <f>IF(OR(AH341="",AN341=""),"",IF(AND(AH341="Bear",AN341="Bear"),"YES","NO"))</f>
        <v/>
      </c>
      <c r="AQ341" t="str">
        <f>IF(AO341="YES",IF(SUM(N(X341),N(Y341),N(Z341))&gt;0,"SOXL","TQQQ"),IF(AP341="YES",IF(SUM(N(AA341),N(AB341),N(AC341))&gt;0,"SOXS","SQQQ"),"WAIT"))</f>
        <v>WAIT</v>
      </c>
      <c r="AR341" s="23" t="str">
        <f>IF(AO341="YES",IF(SUM(N(X341),N(Y341),N(Z341))&gt;0,"TQQQ","SOXL"),IF(AP341="YES",IF(SUM(N(AA341),N(AB341),N(AC341))&gt;0,"SQQQ","SOXS"),""))</f>
        <v/>
      </c>
      <c r="AS341" s="23" t="str">
        <f>IF(AQ341="WAIT","",IF(AR341="",1,0.6))</f>
        <v/>
      </c>
      <c r="AT341" s="23">
        <f>IF(AR341="",0,0.4)</f>
        <v>0</v>
      </c>
      <c r="AU341" s="23" t="str">
        <f>IF(AQ341="WAIT","WAIT",IF(AO341="YES","BULL",IF(AP341="YES","BEAR","WAIT")))</f>
        <v>WAIT</v>
      </c>
      <c r="AV341" t="str">
        <f>IF(AQ341="WAIT","Low",IF(OR(AND(AU341="BULL",ABS(SUM(N(X341),N(Y341),N(Z341)))&gt;=0.15),AND(AU341="BEAR",ABS(SUM(N(AA341),N(AB341),N(AC341)))&gt;=0.15)),"Strong",IF(OR(AND(AU341="BULL",ABS(SUM(N(X341),N(Y341),N(Z341)))&gt;=0.05),AND(AU341="BEAR",ABS(SUM(N(AA341),N(AB341),N(AC341)))&gt;=0.05)),"Moderate","Low")))</f>
        <v>Low</v>
      </c>
      <c r="AW341" t="str">
        <f>IF(AQ341="WAIT","QQQ and SMH not aligned",IF(AU341="BULL",IF(AQ341="SOXL","Bull regime; semiconductors leading","Bull regime; tech leading"),IF(AQ341="SOXS","Bear regime; semiconductors weakest","Bear regime; tech weakest")))</f>
        <v>QQQ and SMH not aligned</v>
      </c>
      <c r="AX341" t="str">
        <f>IF(AR341="WAIT","QQQ and SMH not aligned",IF(AV341="BULL",IF(AR341="SOXL","Bull regime; semiconductors leading","Bull regime; tech leading"),IF(AR341="SOXS","Bear regime; semiconductors weakest","Bear regime; tech weakest")))</f>
        <v>Bear regime; tech weakest</v>
      </c>
    </row>
    <row r="342" spans="1:50" x14ac:dyDescent="0.2">
      <c r="A342" s="12"/>
      <c r="B342" s="13"/>
      <c r="C342" s="13"/>
      <c r="D342" s="13"/>
      <c r="E342" s="13"/>
      <c r="F342" s="11" t="str">
        <f>IF(OR(E342="",E341=""),"",IF(E341=0,"",(E342/E341)-1))</f>
        <v/>
      </c>
      <c r="G342" s="13"/>
      <c r="H342" s="11" t="str">
        <f>IF(OR(G342="",G341=""),"",IF(G341=0,"",(G342/G341)-1))</f>
        <v/>
      </c>
      <c r="I342" s="13"/>
      <c r="J342" s="13"/>
      <c r="K342" s="13"/>
      <c r="L342" s="13"/>
      <c r="M342" s="23" t="str">
        <f>IF(OR(L342="",L341=""),"",IF(L341=0,"",(L342/L341)-1))</f>
        <v/>
      </c>
      <c r="N342" s="26" t="str">
        <f>IFERROR((M342/M341)-1,"")</f>
        <v/>
      </c>
      <c r="O342" s="23" t="str">
        <f>IF(OR(N342="",N341=""),"",IF(N341=0,"",(N342/N341)-1))</f>
        <v/>
      </c>
      <c r="P342" s="11" t="str">
        <f>IF(ROW()&lt;7,"",IF(OR(E342="",E339=""),"",IF(E339=0,"",(E342/E339)-1)))</f>
        <v/>
      </c>
      <c r="Q342" s="23" t="str">
        <f>IF(ROW()&lt;9,"",IF(OR(E342="",E337=""),"",IF(E337=0,"",(E342/E337)-1)))</f>
        <v/>
      </c>
      <c r="R342" s="23" t="str">
        <f>IF(ROW()&lt;7,"",IF(OR(G342="",G339=""),"",IF(G339=0,"",(G342/G339)-1)))</f>
        <v/>
      </c>
      <c r="S342" s="23" t="str">
        <f>IF(ROW()&lt;9,"",IF(OR(G342="",G337=""),"",IF(G337=0,"",(G342/G337)-1)))</f>
        <v/>
      </c>
      <c r="T342" s="23" t="str">
        <f>IF(ROW()&lt;7,"",IF(OR(L342="",L339=""),"",IF(L339=0,"",(L342/L339)-1)))</f>
        <v/>
      </c>
      <c r="U342" s="23" t="str">
        <f>IF(ROW()&lt;9,"",IF(OR(L342="",L337=""),"",IF(L337=0,"",(L342/L337)-1)))</f>
        <v/>
      </c>
      <c r="V342" s="23" t="str">
        <f>IF(ROW()&lt;7,"",IF(OR(N342="",N339=""),"",IF(N339=0,"",(N342/N339)-1)))</f>
        <v/>
      </c>
      <c r="W342" s="23" t="str">
        <f>IF(ROW()&lt;9,"",IF(OR(N342="",N337=""),"",IF(N337=0,"",(N342/N337)-1)))</f>
        <v/>
      </c>
      <c r="X342" s="23" t="str">
        <f>IF(OR(F342="",M342=""),"",F342-M342)</f>
        <v/>
      </c>
      <c r="Y342" s="23" t="str">
        <f>IF(OR(P342="",T342=""),"",P342-T342)</f>
        <v/>
      </c>
      <c r="Z342" s="23" t="str">
        <f>IF(OR(Q342="",U342=""),"",Q342-U342)</f>
        <v/>
      </c>
      <c r="AA342" s="23" t="str">
        <f>IF(OR(H342="",O342=""),"",H342-O342)</f>
        <v/>
      </c>
      <c r="AB342" s="23" t="str">
        <f>IF(OR(R342="",V342=""),"",R342-V342)</f>
        <v/>
      </c>
      <c r="AC342" s="23" t="str">
        <f>IF(OR(S342="",W342=""),"",S342-W342)</f>
        <v/>
      </c>
      <c r="AD342" s="13"/>
      <c r="AE342" s="23" t="str">
        <f>IF(OR(AD342="",AD341=""),"",IF(AD341=0,"",(AD342/AD341)-1))</f>
        <v/>
      </c>
      <c r="AF342" s="23" t="str">
        <f>IF(ROW()&lt;7,"",IF(OR(AD342="",AD339=""),"",IF(AD339=0,"",(AD342/AD339)-1)))</f>
        <v/>
      </c>
      <c r="AG342" s="23" t="str">
        <f>IF(ROW()&lt;9,"",IF(OR(AD342="",AD337=""),"",IF(AD337=0,"",(AD342/AD337)-1)))</f>
        <v/>
      </c>
      <c r="AH342" s="23" t="str">
        <f>IF(OR(AF342="",AG342=""),"",IF(AND(AF342&gt;0,AG342&gt;0),"Bull",IF(AND(AF342&lt;0,AG342&lt;0),"Bear","Mixed")))</f>
        <v/>
      </c>
      <c r="AI342" s="13"/>
      <c r="AJ342" s="13" t="str">
        <f>IF(OR(AI342="",AI341=""),"",IF(AI341=0,"",(AI342/AI341)-1))</f>
        <v/>
      </c>
      <c r="AK342" s="23" t="str">
        <f>IF(OR(AJ342="",AJ341=""),"",IF(AJ341=0,"",(AJ342/AJ341)-1))</f>
        <v/>
      </c>
      <c r="AL342" s="23" t="str">
        <f>IF(ROW()&lt;7,"",IF(OR(AJ342="",AJ339=""),"",IF(AJ339=0,"",(AJ342/AJ339)-1)))</f>
        <v/>
      </c>
      <c r="AM342" s="23" t="str">
        <f>IF(ROW()&lt;9,"",IF(OR(AJ342="",AJ337=""),"",IF(AJ337=0,"",(AJ342/AJ337)-1)))</f>
        <v/>
      </c>
      <c r="AN342" t="str">
        <f>IF(OR(AL342="",AM342=""),"",IF(AND(AL342&gt;0,AM342&gt;0),"Bull",IF(AND(AL342&lt;0,AM342&lt;0),"Bear","Mixed")))</f>
        <v/>
      </c>
      <c r="AO342" t="str">
        <f>IF(OR(AH342="",AN342=""),"",IF(AND(AH342="Bull",AN342="Bull"),"YES","NO"))</f>
        <v/>
      </c>
      <c r="AP342" t="str">
        <f>IF(OR(AH342="",AN342=""),"",IF(AND(AH342="Bear",AN342="Bear"),"YES","NO"))</f>
        <v/>
      </c>
      <c r="AQ342" t="str">
        <f>IF(AO342="YES",IF(SUM(N(X342),N(Y342),N(Z342))&gt;0,"SOXL","TQQQ"),IF(AP342="YES",IF(SUM(N(AA342),N(AB342),N(AC342))&gt;0,"SOXS","SQQQ"),"WAIT"))</f>
        <v>WAIT</v>
      </c>
      <c r="AR342" s="23" t="str">
        <f>IF(AO342="YES",IF(SUM(N(X342),N(Y342),N(Z342))&gt;0,"TQQQ","SOXL"),IF(AP342="YES",IF(SUM(N(AA342),N(AB342),N(AC342))&gt;0,"SQQQ","SOXS"),""))</f>
        <v/>
      </c>
      <c r="AS342" s="23" t="str">
        <f>IF(AQ342="WAIT","",IF(AR342="",1,0.6))</f>
        <v/>
      </c>
      <c r="AT342" s="23">
        <f>IF(AR342="",0,0.4)</f>
        <v>0</v>
      </c>
      <c r="AU342" s="23" t="str">
        <f>IF(AQ342="WAIT","WAIT",IF(AO342="YES","BULL",IF(AP342="YES","BEAR","WAIT")))</f>
        <v>WAIT</v>
      </c>
      <c r="AV342" t="str">
        <f>IF(AQ342="WAIT","Low",IF(OR(AND(AU342="BULL",ABS(SUM(N(X342),N(Y342),N(Z342)))&gt;=0.15),AND(AU342="BEAR",ABS(SUM(N(AA342),N(AB342),N(AC342)))&gt;=0.15)),"Strong",IF(OR(AND(AU342="BULL",ABS(SUM(N(X342),N(Y342),N(Z342)))&gt;=0.05),AND(AU342="BEAR",ABS(SUM(N(AA342),N(AB342),N(AC342)))&gt;=0.05)),"Moderate","Low")))</f>
        <v>Low</v>
      </c>
      <c r="AW342" t="str">
        <f>IF(AQ342="WAIT","QQQ and SMH not aligned",IF(AU342="BULL",IF(AQ342="SOXL","Bull regime; semiconductors leading","Bull regime; tech leading"),IF(AQ342="SOXS","Bear regime; semiconductors weakest","Bear regime; tech weakest")))</f>
        <v>QQQ and SMH not aligned</v>
      </c>
      <c r="AX342" t="str">
        <f>IF(AR342="WAIT","QQQ and SMH not aligned",IF(AV342="BULL",IF(AR342="SOXL","Bull regime; semiconductors leading","Bull regime; tech leading"),IF(AR342="SOXS","Bear regime; semiconductors weakest","Bear regime; tech weakest")))</f>
        <v>Bear regime; tech weakest</v>
      </c>
    </row>
    <row r="343" spans="1:50" x14ac:dyDescent="0.2">
      <c r="A343" s="12"/>
      <c r="B343" s="13"/>
      <c r="C343" s="13"/>
      <c r="D343" s="13"/>
      <c r="E343" s="13"/>
      <c r="F343" s="11" t="str">
        <f>IF(OR(E343="",E342=""),"",IF(E342=0,"",(E343/E342)-1))</f>
        <v/>
      </c>
      <c r="G343" s="13"/>
      <c r="H343" s="11" t="str">
        <f>IF(OR(G343="",G342=""),"",IF(G342=0,"",(G343/G342)-1))</f>
        <v/>
      </c>
      <c r="I343" s="13"/>
      <c r="J343" s="13"/>
      <c r="K343" s="13"/>
      <c r="L343" s="13"/>
      <c r="M343" s="23" t="str">
        <f>IF(OR(L343="",L342=""),"",IF(L342=0,"",(L343/L342)-1))</f>
        <v/>
      </c>
      <c r="N343" s="26" t="str">
        <f>IFERROR((M343/M342)-1,"")</f>
        <v/>
      </c>
      <c r="O343" s="23" t="str">
        <f>IF(OR(N343="",N342=""),"",IF(N342=0,"",(N343/N342)-1))</f>
        <v/>
      </c>
      <c r="P343" s="11" t="str">
        <f>IF(ROW()&lt;7,"",IF(OR(E343="",E340=""),"",IF(E340=0,"",(E343/E340)-1)))</f>
        <v/>
      </c>
      <c r="Q343" s="23" t="str">
        <f>IF(ROW()&lt;9,"",IF(OR(E343="",E338=""),"",IF(E338=0,"",(E343/E338)-1)))</f>
        <v/>
      </c>
      <c r="R343" s="23" t="str">
        <f>IF(ROW()&lt;7,"",IF(OR(G343="",G340=""),"",IF(G340=0,"",(G343/G340)-1)))</f>
        <v/>
      </c>
      <c r="S343" s="23" t="str">
        <f>IF(ROW()&lt;9,"",IF(OR(G343="",G338=""),"",IF(G338=0,"",(G343/G338)-1)))</f>
        <v/>
      </c>
      <c r="T343" s="23" t="str">
        <f>IF(ROW()&lt;7,"",IF(OR(L343="",L340=""),"",IF(L340=0,"",(L343/L340)-1)))</f>
        <v/>
      </c>
      <c r="U343" s="23" t="str">
        <f>IF(ROW()&lt;9,"",IF(OR(L343="",L338=""),"",IF(L338=0,"",(L343/L338)-1)))</f>
        <v/>
      </c>
      <c r="V343" s="23" t="str">
        <f>IF(ROW()&lt;7,"",IF(OR(N343="",N340=""),"",IF(N340=0,"",(N343/N340)-1)))</f>
        <v/>
      </c>
      <c r="W343" s="23" t="str">
        <f>IF(ROW()&lt;9,"",IF(OR(N343="",N338=""),"",IF(N338=0,"",(N343/N338)-1)))</f>
        <v/>
      </c>
      <c r="X343" s="23" t="str">
        <f>IF(OR(F343="",M343=""),"",F343-M343)</f>
        <v/>
      </c>
      <c r="Y343" s="23" t="str">
        <f>IF(OR(P343="",T343=""),"",P343-T343)</f>
        <v/>
      </c>
      <c r="Z343" s="23" t="str">
        <f>IF(OR(Q343="",U343=""),"",Q343-U343)</f>
        <v/>
      </c>
      <c r="AA343" s="23" t="str">
        <f>IF(OR(H343="",O343=""),"",H343-O343)</f>
        <v/>
      </c>
      <c r="AB343" s="23" t="str">
        <f>IF(OR(R343="",V343=""),"",R343-V343)</f>
        <v/>
      </c>
      <c r="AC343" s="23" t="str">
        <f>IF(OR(S343="",W343=""),"",S343-W343)</f>
        <v/>
      </c>
      <c r="AD343" s="13"/>
      <c r="AE343" s="23" t="str">
        <f>IF(OR(AD343="",AD342=""),"",IF(AD342=0,"",(AD343/AD342)-1))</f>
        <v/>
      </c>
      <c r="AF343" s="23" t="str">
        <f>IF(ROW()&lt;7,"",IF(OR(AD343="",AD340=""),"",IF(AD340=0,"",(AD343/AD340)-1)))</f>
        <v/>
      </c>
      <c r="AG343" s="23" t="str">
        <f>IF(ROW()&lt;9,"",IF(OR(AD343="",AD338=""),"",IF(AD338=0,"",(AD343/AD338)-1)))</f>
        <v/>
      </c>
      <c r="AH343" s="23" t="str">
        <f>IF(OR(AF343="",AG343=""),"",IF(AND(AF343&gt;0,AG343&gt;0),"Bull",IF(AND(AF343&lt;0,AG343&lt;0),"Bear","Mixed")))</f>
        <v/>
      </c>
      <c r="AI343" s="13"/>
      <c r="AJ343" s="13" t="str">
        <f>IF(OR(AI343="",AI342=""),"",IF(AI342=0,"",(AI343/AI342)-1))</f>
        <v/>
      </c>
      <c r="AK343" s="23" t="str">
        <f>IF(OR(AJ343="",AJ342=""),"",IF(AJ342=0,"",(AJ343/AJ342)-1))</f>
        <v/>
      </c>
      <c r="AL343" s="23" t="str">
        <f>IF(ROW()&lt;7,"",IF(OR(AJ343="",AJ340=""),"",IF(AJ340=0,"",(AJ343/AJ340)-1)))</f>
        <v/>
      </c>
      <c r="AM343" s="23" t="str">
        <f>IF(ROW()&lt;9,"",IF(OR(AJ343="",AJ338=""),"",IF(AJ338=0,"",(AJ343/AJ338)-1)))</f>
        <v/>
      </c>
      <c r="AN343" t="str">
        <f>IF(OR(AL343="",AM343=""),"",IF(AND(AL343&gt;0,AM343&gt;0),"Bull",IF(AND(AL343&lt;0,AM343&lt;0),"Bear","Mixed")))</f>
        <v/>
      </c>
      <c r="AO343" t="str">
        <f>IF(OR(AH343="",AN343=""),"",IF(AND(AH343="Bull",AN343="Bull"),"YES","NO"))</f>
        <v/>
      </c>
      <c r="AP343" t="str">
        <f>IF(OR(AH343="",AN343=""),"",IF(AND(AH343="Bear",AN343="Bear"),"YES","NO"))</f>
        <v/>
      </c>
      <c r="AQ343" t="str">
        <f>IF(AO343="YES",IF(SUM(N(X343),N(Y343),N(Z343))&gt;0,"SOXL","TQQQ"),IF(AP343="YES",IF(SUM(N(AA343),N(AB343),N(AC343))&gt;0,"SOXS","SQQQ"),"WAIT"))</f>
        <v>WAIT</v>
      </c>
      <c r="AR343" s="23" t="str">
        <f>IF(AO343="YES",IF(SUM(N(X343),N(Y343),N(Z343))&gt;0,"TQQQ","SOXL"),IF(AP343="YES",IF(SUM(N(AA343),N(AB343),N(AC343))&gt;0,"SQQQ","SOXS"),""))</f>
        <v/>
      </c>
      <c r="AS343" s="23" t="str">
        <f>IF(AQ343="WAIT","",IF(AR343="",1,0.6))</f>
        <v/>
      </c>
      <c r="AT343" s="23">
        <f>IF(AR343="",0,0.4)</f>
        <v>0</v>
      </c>
      <c r="AU343" s="23" t="str">
        <f>IF(AQ343="WAIT","WAIT",IF(AO343="YES","BULL",IF(AP343="YES","BEAR","WAIT")))</f>
        <v>WAIT</v>
      </c>
      <c r="AV343" t="str">
        <f>IF(AQ343="WAIT","Low",IF(OR(AND(AU343="BULL",ABS(SUM(N(X343),N(Y343),N(Z343)))&gt;=0.15),AND(AU343="BEAR",ABS(SUM(N(AA343),N(AB343),N(AC343)))&gt;=0.15)),"Strong",IF(OR(AND(AU343="BULL",ABS(SUM(N(X343),N(Y343),N(Z343)))&gt;=0.05),AND(AU343="BEAR",ABS(SUM(N(AA343),N(AB343),N(AC343)))&gt;=0.05)),"Moderate","Low")))</f>
        <v>Low</v>
      </c>
      <c r="AW343" t="str">
        <f>IF(AQ343="WAIT","QQQ and SMH not aligned",IF(AU343="BULL",IF(AQ343="SOXL","Bull regime; semiconductors leading","Bull regime; tech leading"),IF(AQ343="SOXS","Bear regime; semiconductors weakest","Bear regime; tech weakest")))</f>
        <v>QQQ and SMH not aligned</v>
      </c>
      <c r="AX343" t="str">
        <f>IF(AR343="WAIT","QQQ and SMH not aligned",IF(AV343="BULL",IF(AR343="SOXL","Bull regime; semiconductors leading","Bull regime; tech leading"),IF(AR343="SOXS","Bear regime; semiconductors weakest","Bear regime; tech weakest")))</f>
        <v>Bear regime; tech weakest</v>
      </c>
    </row>
    <row r="344" spans="1:50" x14ac:dyDescent="0.2">
      <c r="A344" s="12"/>
      <c r="B344" s="13"/>
      <c r="C344" s="13"/>
      <c r="D344" s="13"/>
      <c r="E344" s="13"/>
      <c r="F344" s="11" t="str">
        <f>IF(OR(E344="",E343=""),"",IF(E343=0,"",(E344/E343)-1))</f>
        <v/>
      </c>
      <c r="G344" s="13"/>
      <c r="H344" s="11" t="str">
        <f>IF(OR(G344="",G343=""),"",IF(G343=0,"",(G344/G343)-1))</f>
        <v/>
      </c>
      <c r="I344" s="13"/>
      <c r="J344" s="13"/>
      <c r="K344" s="13"/>
      <c r="L344" s="13"/>
      <c r="M344" s="23" t="str">
        <f>IF(OR(L344="",L343=""),"",IF(L343=0,"",(L344/L343)-1))</f>
        <v/>
      </c>
      <c r="N344" s="26" t="str">
        <f>IFERROR((M344/M343)-1,"")</f>
        <v/>
      </c>
      <c r="O344" s="23" t="str">
        <f>IF(OR(N344="",N343=""),"",IF(N343=0,"",(N344/N343)-1))</f>
        <v/>
      </c>
      <c r="P344" s="11" t="str">
        <f>IF(ROW()&lt;7,"",IF(OR(E344="",E341=""),"",IF(E341=0,"",(E344/E341)-1)))</f>
        <v/>
      </c>
      <c r="Q344" s="23" t="str">
        <f>IF(ROW()&lt;9,"",IF(OR(E344="",E339=""),"",IF(E339=0,"",(E344/E339)-1)))</f>
        <v/>
      </c>
      <c r="R344" s="23" t="str">
        <f>IF(ROW()&lt;7,"",IF(OR(G344="",G341=""),"",IF(G341=0,"",(G344/G341)-1)))</f>
        <v/>
      </c>
      <c r="S344" s="23" t="str">
        <f>IF(ROW()&lt;9,"",IF(OR(G344="",G339=""),"",IF(G339=0,"",(G344/G339)-1)))</f>
        <v/>
      </c>
      <c r="T344" s="23" t="str">
        <f>IF(ROW()&lt;7,"",IF(OR(L344="",L341=""),"",IF(L341=0,"",(L344/L341)-1)))</f>
        <v/>
      </c>
      <c r="U344" s="23" t="str">
        <f>IF(ROW()&lt;9,"",IF(OR(L344="",L339=""),"",IF(L339=0,"",(L344/L339)-1)))</f>
        <v/>
      </c>
      <c r="V344" s="23" t="str">
        <f>IF(ROW()&lt;7,"",IF(OR(N344="",N341=""),"",IF(N341=0,"",(N344/N341)-1)))</f>
        <v/>
      </c>
      <c r="W344" s="23" t="str">
        <f>IF(ROW()&lt;9,"",IF(OR(N344="",N339=""),"",IF(N339=0,"",(N344/N339)-1)))</f>
        <v/>
      </c>
      <c r="X344" s="23" t="str">
        <f>IF(OR(F344="",M344=""),"",F344-M344)</f>
        <v/>
      </c>
      <c r="Y344" s="23" t="str">
        <f>IF(OR(P344="",T344=""),"",P344-T344)</f>
        <v/>
      </c>
      <c r="Z344" s="23" t="str">
        <f>IF(OR(Q344="",U344=""),"",Q344-U344)</f>
        <v/>
      </c>
      <c r="AA344" s="23" t="str">
        <f>IF(OR(H344="",O344=""),"",H344-O344)</f>
        <v/>
      </c>
      <c r="AB344" s="23" t="str">
        <f>IF(OR(R344="",V344=""),"",R344-V344)</f>
        <v/>
      </c>
      <c r="AC344" s="23" t="str">
        <f>IF(OR(S344="",W344=""),"",S344-W344)</f>
        <v/>
      </c>
      <c r="AD344" s="13"/>
      <c r="AE344" s="23" t="str">
        <f>IF(OR(AD344="",AD343=""),"",IF(AD343=0,"",(AD344/AD343)-1))</f>
        <v/>
      </c>
      <c r="AF344" s="23" t="str">
        <f>IF(ROW()&lt;7,"",IF(OR(AD344="",AD341=""),"",IF(AD341=0,"",(AD344/AD341)-1)))</f>
        <v/>
      </c>
      <c r="AG344" s="23" t="str">
        <f>IF(ROW()&lt;9,"",IF(OR(AD344="",AD339=""),"",IF(AD339=0,"",(AD344/AD339)-1)))</f>
        <v/>
      </c>
      <c r="AH344" s="23" t="str">
        <f>IF(OR(AF344="",AG344=""),"",IF(AND(AF344&gt;0,AG344&gt;0),"Bull",IF(AND(AF344&lt;0,AG344&lt;0),"Bear","Mixed")))</f>
        <v/>
      </c>
      <c r="AI344" s="13"/>
      <c r="AJ344" s="13" t="str">
        <f>IF(OR(AI344="",AI343=""),"",IF(AI343=0,"",(AI344/AI343)-1))</f>
        <v/>
      </c>
      <c r="AK344" s="23" t="str">
        <f>IF(OR(AJ344="",AJ343=""),"",IF(AJ343=0,"",(AJ344/AJ343)-1))</f>
        <v/>
      </c>
      <c r="AL344" s="23" t="str">
        <f>IF(ROW()&lt;7,"",IF(OR(AJ344="",AJ341=""),"",IF(AJ341=0,"",(AJ344/AJ341)-1)))</f>
        <v/>
      </c>
      <c r="AM344" s="23" t="str">
        <f>IF(ROW()&lt;9,"",IF(OR(AJ344="",AJ339=""),"",IF(AJ339=0,"",(AJ344/AJ339)-1)))</f>
        <v/>
      </c>
      <c r="AN344" t="str">
        <f>IF(OR(AL344="",AM344=""),"",IF(AND(AL344&gt;0,AM344&gt;0),"Bull",IF(AND(AL344&lt;0,AM344&lt;0),"Bear","Mixed")))</f>
        <v/>
      </c>
      <c r="AO344" t="str">
        <f>IF(OR(AH344="",AN344=""),"",IF(AND(AH344="Bull",AN344="Bull"),"YES","NO"))</f>
        <v/>
      </c>
      <c r="AP344" t="str">
        <f>IF(OR(AH344="",AN344=""),"",IF(AND(AH344="Bear",AN344="Bear"),"YES","NO"))</f>
        <v/>
      </c>
      <c r="AQ344" t="str">
        <f>IF(AO344="YES",IF(SUM(N(X344),N(Y344),N(Z344))&gt;0,"SOXL","TQQQ"),IF(AP344="YES",IF(SUM(N(AA344),N(AB344),N(AC344))&gt;0,"SOXS","SQQQ"),"WAIT"))</f>
        <v>WAIT</v>
      </c>
      <c r="AR344" s="23" t="str">
        <f>IF(AO344="YES",IF(SUM(N(X344),N(Y344),N(Z344))&gt;0,"TQQQ","SOXL"),IF(AP344="YES",IF(SUM(N(AA344),N(AB344),N(AC344))&gt;0,"SQQQ","SOXS"),""))</f>
        <v/>
      </c>
      <c r="AS344" s="23" t="str">
        <f>IF(AQ344="WAIT","",IF(AR344="",1,0.6))</f>
        <v/>
      </c>
      <c r="AT344" s="23">
        <f>IF(AR344="",0,0.4)</f>
        <v>0</v>
      </c>
      <c r="AU344" s="23" t="str">
        <f>IF(AQ344="WAIT","WAIT",IF(AO344="YES","BULL",IF(AP344="YES","BEAR","WAIT")))</f>
        <v>WAIT</v>
      </c>
      <c r="AV344" t="str">
        <f>IF(AQ344="WAIT","Low",IF(OR(AND(AU344="BULL",ABS(SUM(N(X344),N(Y344),N(Z344)))&gt;=0.15),AND(AU344="BEAR",ABS(SUM(N(AA344),N(AB344),N(AC344)))&gt;=0.15)),"Strong",IF(OR(AND(AU344="BULL",ABS(SUM(N(X344),N(Y344),N(Z344)))&gt;=0.05),AND(AU344="BEAR",ABS(SUM(N(AA344),N(AB344),N(AC344)))&gt;=0.05)),"Moderate","Low")))</f>
        <v>Low</v>
      </c>
      <c r="AW344" t="str">
        <f>IF(AQ344="WAIT","QQQ and SMH not aligned",IF(AU344="BULL",IF(AQ344="SOXL","Bull regime; semiconductors leading","Bull regime; tech leading"),IF(AQ344="SOXS","Bear regime; semiconductors weakest","Bear regime; tech weakest")))</f>
        <v>QQQ and SMH not aligned</v>
      </c>
      <c r="AX344" t="str">
        <f>IF(AR344="WAIT","QQQ and SMH not aligned",IF(AV344="BULL",IF(AR344="SOXL","Bull regime; semiconductors leading","Bull regime; tech leading"),IF(AR344="SOXS","Bear regime; semiconductors weakest","Bear regime; tech weakest")))</f>
        <v>Bear regime; tech weakest</v>
      </c>
    </row>
    <row r="345" spans="1:50" x14ac:dyDescent="0.2">
      <c r="A345" s="12"/>
      <c r="B345" s="13"/>
      <c r="C345" s="13"/>
      <c r="D345" s="13"/>
      <c r="E345" s="13"/>
      <c r="F345" s="11" t="str">
        <f>IF(OR(E345="",E344=""),"",IF(E344=0,"",(E345/E344)-1))</f>
        <v/>
      </c>
      <c r="G345" s="13"/>
      <c r="H345" s="11" t="str">
        <f>IF(OR(G345="",G344=""),"",IF(G344=0,"",(G345/G344)-1))</f>
        <v/>
      </c>
      <c r="I345" s="13"/>
      <c r="J345" s="13"/>
      <c r="K345" s="13"/>
      <c r="L345" s="13"/>
      <c r="M345" s="23" t="str">
        <f>IF(OR(L345="",L344=""),"",IF(L344=0,"",(L345/L344)-1))</f>
        <v/>
      </c>
      <c r="N345" s="26" t="str">
        <f>IFERROR((M345/M344)-1,"")</f>
        <v/>
      </c>
      <c r="O345" s="23" t="str">
        <f>IF(OR(N345="",N344=""),"",IF(N344=0,"",(N345/N344)-1))</f>
        <v/>
      </c>
      <c r="P345" s="11" t="str">
        <f>IF(ROW()&lt;7,"",IF(OR(E345="",E342=""),"",IF(E342=0,"",(E345/E342)-1)))</f>
        <v/>
      </c>
      <c r="Q345" s="23" t="str">
        <f>IF(ROW()&lt;9,"",IF(OR(E345="",E340=""),"",IF(E340=0,"",(E345/E340)-1)))</f>
        <v/>
      </c>
      <c r="R345" s="23" t="str">
        <f>IF(ROW()&lt;7,"",IF(OR(G345="",G342=""),"",IF(G342=0,"",(G345/G342)-1)))</f>
        <v/>
      </c>
      <c r="S345" s="23" t="str">
        <f>IF(ROW()&lt;9,"",IF(OR(G345="",G340=""),"",IF(G340=0,"",(G345/G340)-1)))</f>
        <v/>
      </c>
      <c r="T345" s="23" t="str">
        <f>IF(ROW()&lt;7,"",IF(OR(L345="",L342=""),"",IF(L342=0,"",(L345/L342)-1)))</f>
        <v/>
      </c>
      <c r="U345" s="23" t="str">
        <f>IF(ROW()&lt;9,"",IF(OR(L345="",L340=""),"",IF(L340=0,"",(L345/L340)-1)))</f>
        <v/>
      </c>
      <c r="V345" s="23" t="str">
        <f>IF(ROW()&lt;7,"",IF(OR(N345="",N342=""),"",IF(N342=0,"",(N345/N342)-1)))</f>
        <v/>
      </c>
      <c r="W345" s="23" t="str">
        <f>IF(ROW()&lt;9,"",IF(OR(N345="",N340=""),"",IF(N340=0,"",(N345/N340)-1)))</f>
        <v/>
      </c>
      <c r="X345" s="23" t="str">
        <f>IF(OR(F345="",M345=""),"",F345-M345)</f>
        <v/>
      </c>
      <c r="Y345" s="23" t="str">
        <f>IF(OR(P345="",T345=""),"",P345-T345)</f>
        <v/>
      </c>
      <c r="Z345" s="23" t="str">
        <f>IF(OR(Q345="",U345=""),"",Q345-U345)</f>
        <v/>
      </c>
      <c r="AA345" s="23" t="str">
        <f>IF(OR(H345="",O345=""),"",H345-O345)</f>
        <v/>
      </c>
      <c r="AB345" s="23" t="str">
        <f>IF(OR(R345="",V345=""),"",R345-V345)</f>
        <v/>
      </c>
      <c r="AC345" s="23" t="str">
        <f>IF(OR(S345="",W345=""),"",S345-W345)</f>
        <v/>
      </c>
      <c r="AD345" s="13"/>
      <c r="AE345" s="23" t="str">
        <f>IF(OR(AD345="",AD344=""),"",IF(AD344=0,"",(AD345/AD344)-1))</f>
        <v/>
      </c>
      <c r="AF345" s="23" t="str">
        <f>IF(ROW()&lt;7,"",IF(OR(AD345="",AD342=""),"",IF(AD342=0,"",(AD345/AD342)-1)))</f>
        <v/>
      </c>
      <c r="AG345" s="23" t="str">
        <f>IF(ROW()&lt;9,"",IF(OR(AD345="",AD340=""),"",IF(AD340=0,"",(AD345/AD340)-1)))</f>
        <v/>
      </c>
      <c r="AH345" s="23" t="str">
        <f>IF(OR(AF345="",AG345=""),"",IF(AND(AF345&gt;0,AG345&gt;0),"Bull",IF(AND(AF345&lt;0,AG345&lt;0),"Bear","Mixed")))</f>
        <v/>
      </c>
      <c r="AI345" s="13"/>
      <c r="AJ345" s="13" t="str">
        <f>IF(OR(AI345="",AI344=""),"",IF(AI344=0,"",(AI345/AI344)-1))</f>
        <v/>
      </c>
      <c r="AK345" s="23" t="str">
        <f>IF(OR(AJ345="",AJ344=""),"",IF(AJ344=0,"",(AJ345/AJ344)-1))</f>
        <v/>
      </c>
      <c r="AL345" s="23" t="str">
        <f>IF(ROW()&lt;7,"",IF(OR(AJ345="",AJ342=""),"",IF(AJ342=0,"",(AJ345/AJ342)-1)))</f>
        <v/>
      </c>
      <c r="AM345" s="23" t="str">
        <f>IF(ROW()&lt;9,"",IF(OR(AJ345="",AJ340=""),"",IF(AJ340=0,"",(AJ345/AJ340)-1)))</f>
        <v/>
      </c>
      <c r="AN345" t="str">
        <f>IF(OR(AL345="",AM345=""),"",IF(AND(AL345&gt;0,AM345&gt;0),"Bull",IF(AND(AL345&lt;0,AM345&lt;0),"Bear","Mixed")))</f>
        <v/>
      </c>
      <c r="AO345" t="str">
        <f>IF(OR(AH345="",AN345=""),"",IF(AND(AH345="Bull",AN345="Bull"),"YES","NO"))</f>
        <v/>
      </c>
      <c r="AP345" t="str">
        <f>IF(OR(AH345="",AN345=""),"",IF(AND(AH345="Bear",AN345="Bear"),"YES","NO"))</f>
        <v/>
      </c>
      <c r="AQ345" t="str">
        <f>IF(AO345="YES",IF(SUM(N(X345),N(Y345),N(Z345))&gt;0,"SOXL","TQQQ"),IF(AP345="YES",IF(SUM(N(AA345),N(AB345),N(AC345))&gt;0,"SOXS","SQQQ"),"WAIT"))</f>
        <v>WAIT</v>
      </c>
      <c r="AR345" s="23" t="str">
        <f>IF(AO345="YES",IF(SUM(N(X345),N(Y345),N(Z345))&gt;0,"TQQQ","SOXL"),IF(AP345="YES",IF(SUM(N(AA345),N(AB345),N(AC345))&gt;0,"SQQQ","SOXS"),""))</f>
        <v/>
      </c>
      <c r="AS345" s="23" t="str">
        <f>IF(AQ345="WAIT","",IF(AR345="",1,0.6))</f>
        <v/>
      </c>
      <c r="AT345" s="23">
        <f>IF(AR345="",0,0.4)</f>
        <v>0</v>
      </c>
      <c r="AU345" s="23" t="str">
        <f>IF(AQ345="WAIT","WAIT",IF(AO345="YES","BULL",IF(AP345="YES","BEAR","WAIT")))</f>
        <v>WAIT</v>
      </c>
      <c r="AV345" t="str">
        <f>IF(AQ345="WAIT","Low",IF(OR(AND(AU345="BULL",ABS(SUM(N(X345),N(Y345),N(Z345)))&gt;=0.15),AND(AU345="BEAR",ABS(SUM(N(AA345),N(AB345),N(AC345)))&gt;=0.15)),"Strong",IF(OR(AND(AU345="BULL",ABS(SUM(N(X345),N(Y345),N(Z345)))&gt;=0.05),AND(AU345="BEAR",ABS(SUM(N(AA345),N(AB345),N(AC345)))&gt;=0.05)),"Moderate","Low")))</f>
        <v>Low</v>
      </c>
      <c r="AW345" t="str">
        <f>IF(AQ345="WAIT","QQQ and SMH not aligned",IF(AU345="BULL",IF(AQ345="SOXL","Bull regime; semiconductors leading","Bull regime; tech leading"),IF(AQ345="SOXS","Bear regime; semiconductors weakest","Bear regime; tech weakest")))</f>
        <v>QQQ and SMH not aligned</v>
      </c>
      <c r="AX345" t="str">
        <f>IF(AR345="WAIT","QQQ and SMH not aligned",IF(AV345="BULL",IF(AR345="SOXL","Bull regime; semiconductors leading","Bull regime; tech leading"),IF(AR345="SOXS","Bear regime; semiconductors weakest","Bear regime; tech weakest")))</f>
        <v>Bear regime; tech weakest</v>
      </c>
    </row>
    <row r="346" spans="1:50" x14ac:dyDescent="0.2">
      <c r="A346" s="12"/>
      <c r="B346" s="13"/>
      <c r="C346" s="13"/>
      <c r="D346" s="13"/>
      <c r="E346" s="13"/>
      <c r="F346" s="11" t="str">
        <f>IF(OR(E346="",E345=""),"",IF(E345=0,"",(E346/E345)-1))</f>
        <v/>
      </c>
      <c r="G346" s="13"/>
      <c r="H346" s="11" t="str">
        <f>IF(OR(G346="",G345=""),"",IF(G345=0,"",(G346/G345)-1))</f>
        <v/>
      </c>
      <c r="I346" s="13"/>
      <c r="J346" s="13"/>
      <c r="K346" s="13"/>
      <c r="L346" s="13"/>
      <c r="M346" s="23" t="str">
        <f>IF(OR(L346="",L345=""),"",IF(L345=0,"",(L346/L345)-1))</f>
        <v/>
      </c>
      <c r="N346" s="26" t="str">
        <f>IFERROR((M346/M345)-1,"")</f>
        <v/>
      </c>
      <c r="O346" s="23" t="str">
        <f>IF(OR(N346="",N345=""),"",IF(N345=0,"",(N346/N345)-1))</f>
        <v/>
      </c>
      <c r="P346" s="11" t="str">
        <f>IF(ROW()&lt;7,"",IF(OR(E346="",E343=""),"",IF(E343=0,"",(E346/E343)-1)))</f>
        <v/>
      </c>
      <c r="Q346" s="23" t="str">
        <f>IF(ROW()&lt;9,"",IF(OR(E346="",E341=""),"",IF(E341=0,"",(E346/E341)-1)))</f>
        <v/>
      </c>
      <c r="R346" s="23" t="str">
        <f>IF(ROW()&lt;7,"",IF(OR(G346="",G343=""),"",IF(G343=0,"",(G346/G343)-1)))</f>
        <v/>
      </c>
      <c r="S346" s="23" t="str">
        <f>IF(ROW()&lt;9,"",IF(OR(G346="",G341=""),"",IF(G341=0,"",(G346/G341)-1)))</f>
        <v/>
      </c>
      <c r="T346" s="23" t="str">
        <f>IF(ROW()&lt;7,"",IF(OR(L346="",L343=""),"",IF(L343=0,"",(L346/L343)-1)))</f>
        <v/>
      </c>
      <c r="U346" s="23" t="str">
        <f>IF(ROW()&lt;9,"",IF(OR(L346="",L341=""),"",IF(L341=0,"",(L346/L341)-1)))</f>
        <v/>
      </c>
      <c r="V346" s="23" t="str">
        <f>IF(ROW()&lt;7,"",IF(OR(N346="",N343=""),"",IF(N343=0,"",(N346/N343)-1)))</f>
        <v/>
      </c>
      <c r="W346" s="23" t="str">
        <f>IF(ROW()&lt;9,"",IF(OR(N346="",N341=""),"",IF(N341=0,"",(N346/N341)-1)))</f>
        <v/>
      </c>
      <c r="X346" s="23" t="str">
        <f>IF(OR(F346="",M346=""),"",F346-M346)</f>
        <v/>
      </c>
      <c r="Y346" s="23" t="str">
        <f>IF(OR(P346="",T346=""),"",P346-T346)</f>
        <v/>
      </c>
      <c r="Z346" s="23" t="str">
        <f>IF(OR(Q346="",U346=""),"",Q346-U346)</f>
        <v/>
      </c>
      <c r="AA346" s="23" t="str">
        <f>IF(OR(H346="",O346=""),"",H346-O346)</f>
        <v/>
      </c>
      <c r="AB346" s="23" t="str">
        <f>IF(OR(R346="",V346=""),"",R346-V346)</f>
        <v/>
      </c>
      <c r="AC346" s="23" t="str">
        <f>IF(OR(S346="",W346=""),"",S346-W346)</f>
        <v/>
      </c>
      <c r="AD346" s="13"/>
      <c r="AE346" s="23" t="str">
        <f>IF(OR(AD346="",AD345=""),"",IF(AD345=0,"",(AD346/AD345)-1))</f>
        <v/>
      </c>
      <c r="AF346" s="23" t="str">
        <f>IF(ROW()&lt;7,"",IF(OR(AD346="",AD343=""),"",IF(AD343=0,"",(AD346/AD343)-1)))</f>
        <v/>
      </c>
      <c r="AG346" s="23" t="str">
        <f>IF(ROW()&lt;9,"",IF(OR(AD346="",AD341=""),"",IF(AD341=0,"",(AD346/AD341)-1)))</f>
        <v/>
      </c>
      <c r="AH346" s="23" t="str">
        <f>IF(OR(AF346="",AG346=""),"",IF(AND(AF346&gt;0,AG346&gt;0),"Bull",IF(AND(AF346&lt;0,AG346&lt;0),"Bear","Mixed")))</f>
        <v/>
      </c>
      <c r="AI346" s="13"/>
      <c r="AJ346" s="13" t="str">
        <f>IF(OR(AI346="",AI345=""),"",IF(AI345=0,"",(AI346/AI345)-1))</f>
        <v/>
      </c>
      <c r="AK346" s="23" t="str">
        <f>IF(OR(AJ346="",AJ345=""),"",IF(AJ345=0,"",(AJ346/AJ345)-1))</f>
        <v/>
      </c>
      <c r="AL346" s="23" t="str">
        <f>IF(ROW()&lt;7,"",IF(OR(AJ346="",AJ343=""),"",IF(AJ343=0,"",(AJ346/AJ343)-1)))</f>
        <v/>
      </c>
      <c r="AM346" s="23" t="str">
        <f>IF(ROW()&lt;9,"",IF(OR(AJ346="",AJ341=""),"",IF(AJ341=0,"",(AJ346/AJ341)-1)))</f>
        <v/>
      </c>
      <c r="AN346" t="str">
        <f>IF(OR(AL346="",AM346=""),"",IF(AND(AL346&gt;0,AM346&gt;0),"Bull",IF(AND(AL346&lt;0,AM346&lt;0),"Bear","Mixed")))</f>
        <v/>
      </c>
      <c r="AO346" t="str">
        <f>IF(OR(AH346="",AN346=""),"",IF(AND(AH346="Bull",AN346="Bull"),"YES","NO"))</f>
        <v/>
      </c>
      <c r="AP346" t="str">
        <f>IF(OR(AH346="",AN346=""),"",IF(AND(AH346="Bear",AN346="Bear"),"YES","NO"))</f>
        <v/>
      </c>
      <c r="AQ346" t="str">
        <f>IF(AO346="YES",IF(SUM(N(X346),N(Y346),N(Z346))&gt;0,"SOXL","TQQQ"),IF(AP346="YES",IF(SUM(N(AA346),N(AB346),N(AC346))&gt;0,"SOXS","SQQQ"),"WAIT"))</f>
        <v>WAIT</v>
      </c>
      <c r="AR346" s="23" t="str">
        <f>IF(AO346="YES",IF(SUM(N(X346),N(Y346),N(Z346))&gt;0,"TQQQ","SOXL"),IF(AP346="YES",IF(SUM(N(AA346),N(AB346),N(AC346))&gt;0,"SQQQ","SOXS"),""))</f>
        <v/>
      </c>
      <c r="AS346" s="23" t="str">
        <f>IF(AQ346="WAIT","",IF(AR346="",1,0.6))</f>
        <v/>
      </c>
      <c r="AT346" s="23">
        <f>IF(AR346="",0,0.4)</f>
        <v>0</v>
      </c>
      <c r="AU346" s="23" t="str">
        <f>IF(AQ346="WAIT","WAIT",IF(AO346="YES","BULL",IF(AP346="YES","BEAR","WAIT")))</f>
        <v>WAIT</v>
      </c>
      <c r="AV346" t="str">
        <f>IF(AQ346="WAIT","Low",IF(OR(AND(AU346="BULL",ABS(SUM(N(X346),N(Y346),N(Z346)))&gt;=0.15),AND(AU346="BEAR",ABS(SUM(N(AA346),N(AB346),N(AC346)))&gt;=0.15)),"Strong",IF(OR(AND(AU346="BULL",ABS(SUM(N(X346),N(Y346),N(Z346)))&gt;=0.05),AND(AU346="BEAR",ABS(SUM(N(AA346),N(AB346),N(AC346)))&gt;=0.05)),"Moderate","Low")))</f>
        <v>Low</v>
      </c>
      <c r="AW346" t="str">
        <f>IF(AQ346="WAIT","QQQ and SMH not aligned",IF(AU346="BULL",IF(AQ346="SOXL","Bull regime; semiconductors leading","Bull regime; tech leading"),IF(AQ346="SOXS","Bear regime; semiconductors weakest","Bear regime; tech weakest")))</f>
        <v>QQQ and SMH not aligned</v>
      </c>
      <c r="AX346" t="str">
        <f>IF(AR346="WAIT","QQQ and SMH not aligned",IF(AV346="BULL",IF(AR346="SOXL","Bull regime; semiconductors leading","Bull regime; tech leading"),IF(AR346="SOXS","Bear regime; semiconductors weakest","Bear regime; tech weakest")))</f>
        <v>Bear regime; tech weakest</v>
      </c>
    </row>
    <row r="347" spans="1:50" x14ac:dyDescent="0.2">
      <c r="A347" s="12"/>
      <c r="B347" s="13"/>
      <c r="C347" s="13"/>
      <c r="D347" s="13"/>
      <c r="E347" s="13"/>
      <c r="F347" s="11" t="str">
        <f>IF(OR(E347="",E346=""),"",IF(E346=0,"",(E347/E346)-1))</f>
        <v/>
      </c>
      <c r="G347" s="13"/>
      <c r="H347" s="11" t="str">
        <f>IF(OR(G347="",G346=""),"",IF(G346=0,"",(G347/G346)-1))</f>
        <v/>
      </c>
      <c r="I347" s="13"/>
      <c r="J347" s="13"/>
      <c r="K347" s="13"/>
      <c r="L347" s="13"/>
      <c r="M347" s="23" t="str">
        <f>IF(OR(L347="",L346=""),"",IF(L346=0,"",(L347/L346)-1))</f>
        <v/>
      </c>
      <c r="N347" s="26" t="str">
        <f>IFERROR((M347/M346)-1,"")</f>
        <v/>
      </c>
      <c r="O347" s="23" t="str">
        <f>IF(OR(N347="",N346=""),"",IF(N346=0,"",(N347/N346)-1))</f>
        <v/>
      </c>
      <c r="P347" s="11" t="str">
        <f>IF(ROW()&lt;7,"",IF(OR(E347="",E344=""),"",IF(E344=0,"",(E347/E344)-1)))</f>
        <v/>
      </c>
      <c r="Q347" s="23" t="str">
        <f>IF(ROW()&lt;9,"",IF(OR(E347="",E342=""),"",IF(E342=0,"",(E347/E342)-1)))</f>
        <v/>
      </c>
      <c r="R347" s="23" t="str">
        <f>IF(ROW()&lt;7,"",IF(OR(G347="",G344=""),"",IF(G344=0,"",(G347/G344)-1)))</f>
        <v/>
      </c>
      <c r="S347" s="23" t="str">
        <f>IF(ROW()&lt;9,"",IF(OR(G347="",G342=""),"",IF(G342=0,"",(G347/G342)-1)))</f>
        <v/>
      </c>
      <c r="T347" s="23" t="str">
        <f>IF(ROW()&lt;7,"",IF(OR(L347="",L344=""),"",IF(L344=0,"",(L347/L344)-1)))</f>
        <v/>
      </c>
      <c r="U347" s="23" t="str">
        <f>IF(ROW()&lt;9,"",IF(OR(L347="",L342=""),"",IF(L342=0,"",(L347/L342)-1)))</f>
        <v/>
      </c>
      <c r="V347" s="23" t="str">
        <f>IF(ROW()&lt;7,"",IF(OR(N347="",N344=""),"",IF(N344=0,"",(N347/N344)-1)))</f>
        <v/>
      </c>
      <c r="W347" s="23" t="str">
        <f>IF(ROW()&lt;9,"",IF(OR(N347="",N342=""),"",IF(N342=0,"",(N347/N342)-1)))</f>
        <v/>
      </c>
      <c r="X347" s="23" t="str">
        <f>IF(OR(F347="",M347=""),"",F347-M347)</f>
        <v/>
      </c>
      <c r="Y347" s="23" t="str">
        <f>IF(OR(P347="",T347=""),"",P347-T347)</f>
        <v/>
      </c>
      <c r="Z347" s="23" t="str">
        <f>IF(OR(Q347="",U347=""),"",Q347-U347)</f>
        <v/>
      </c>
      <c r="AA347" s="23" t="str">
        <f>IF(OR(H347="",O347=""),"",H347-O347)</f>
        <v/>
      </c>
      <c r="AB347" s="23" t="str">
        <f>IF(OR(R347="",V347=""),"",R347-V347)</f>
        <v/>
      </c>
      <c r="AC347" s="23" t="str">
        <f>IF(OR(S347="",W347=""),"",S347-W347)</f>
        <v/>
      </c>
      <c r="AD347" s="13"/>
      <c r="AE347" s="23" t="str">
        <f>IF(OR(AD347="",AD346=""),"",IF(AD346=0,"",(AD347/AD346)-1))</f>
        <v/>
      </c>
      <c r="AF347" s="23" t="str">
        <f>IF(ROW()&lt;7,"",IF(OR(AD347="",AD344=""),"",IF(AD344=0,"",(AD347/AD344)-1)))</f>
        <v/>
      </c>
      <c r="AG347" s="23" t="str">
        <f>IF(ROW()&lt;9,"",IF(OR(AD347="",AD342=""),"",IF(AD342=0,"",(AD347/AD342)-1)))</f>
        <v/>
      </c>
      <c r="AH347" s="23" t="str">
        <f>IF(OR(AF347="",AG347=""),"",IF(AND(AF347&gt;0,AG347&gt;0),"Bull",IF(AND(AF347&lt;0,AG347&lt;0),"Bear","Mixed")))</f>
        <v/>
      </c>
      <c r="AI347" s="13"/>
      <c r="AJ347" s="13" t="str">
        <f>IF(OR(AI347="",AI346=""),"",IF(AI346=0,"",(AI347/AI346)-1))</f>
        <v/>
      </c>
      <c r="AK347" s="23" t="str">
        <f>IF(OR(AJ347="",AJ346=""),"",IF(AJ346=0,"",(AJ347/AJ346)-1))</f>
        <v/>
      </c>
      <c r="AL347" s="23" t="str">
        <f>IF(ROW()&lt;7,"",IF(OR(AJ347="",AJ344=""),"",IF(AJ344=0,"",(AJ347/AJ344)-1)))</f>
        <v/>
      </c>
      <c r="AM347" s="23" t="str">
        <f>IF(ROW()&lt;9,"",IF(OR(AJ347="",AJ342=""),"",IF(AJ342=0,"",(AJ347/AJ342)-1)))</f>
        <v/>
      </c>
      <c r="AN347" t="str">
        <f>IF(OR(AL347="",AM347=""),"",IF(AND(AL347&gt;0,AM347&gt;0),"Bull",IF(AND(AL347&lt;0,AM347&lt;0),"Bear","Mixed")))</f>
        <v/>
      </c>
      <c r="AO347" t="str">
        <f>IF(OR(AH347="",AN347=""),"",IF(AND(AH347="Bull",AN347="Bull"),"YES","NO"))</f>
        <v/>
      </c>
      <c r="AP347" t="str">
        <f>IF(OR(AH347="",AN347=""),"",IF(AND(AH347="Bear",AN347="Bear"),"YES","NO"))</f>
        <v/>
      </c>
      <c r="AQ347" t="str">
        <f>IF(AO347="YES",IF(SUM(N(X347),N(Y347),N(Z347))&gt;0,"SOXL","TQQQ"),IF(AP347="YES",IF(SUM(N(AA347),N(AB347),N(AC347))&gt;0,"SOXS","SQQQ"),"WAIT"))</f>
        <v>WAIT</v>
      </c>
      <c r="AR347" s="23" t="str">
        <f>IF(AO347="YES",IF(SUM(N(X347),N(Y347),N(Z347))&gt;0,"TQQQ","SOXL"),IF(AP347="YES",IF(SUM(N(AA347),N(AB347),N(AC347))&gt;0,"SQQQ","SOXS"),""))</f>
        <v/>
      </c>
      <c r="AS347" s="23" t="str">
        <f>IF(AQ347="WAIT","",IF(AR347="",1,0.6))</f>
        <v/>
      </c>
      <c r="AT347" s="23">
        <f>IF(AR347="",0,0.4)</f>
        <v>0</v>
      </c>
      <c r="AU347" s="23" t="str">
        <f>IF(AQ347="WAIT","WAIT",IF(AO347="YES","BULL",IF(AP347="YES","BEAR","WAIT")))</f>
        <v>WAIT</v>
      </c>
      <c r="AV347" t="str">
        <f>IF(AQ347="WAIT","Low",IF(OR(AND(AU347="BULL",ABS(SUM(N(X347),N(Y347),N(Z347)))&gt;=0.15),AND(AU347="BEAR",ABS(SUM(N(AA347),N(AB347),N(AC347)))&gt;=0.15)),"Strong",IF(OR(AND(AU347="BULL",ABS(SUM(N(X347),N(Y347),N(Z347)))&gt;=0.05),AND(AU347="BEAR",ABS(SUM(N(AA347),N(AB347),N(AC347)))&gt;=0.05)),"Moderate","Low")))</f>
        <v>Low</v>
      </c>
      <c r="AW347" t="str">
        <f>IF(AQ347="WAIT","QQQ and SMH not aligned",IF(AU347="BULL",IF(AQ347="SOXL","Bull regime; semiconductors leading","Bull regime; tech leading"),IF(AQ347="SOXS","Bear regime; semiconductors weakest","Bear regime; tech weakest")))</f>
        <v>QQQ and SMH not aligned</v>
      </c>
      <c r="AX347" t="str">
        <f>IF(AR347="WAIT","QQQ and SMH not aligned",IF(AV347="BULL",IF(AR347="SOXL","Bull regime; semiconductors leading","Bull regime; tech leading"),IF(AR347="SOXS","Bear regime; semiconductors weakest","Bear regime; tech weakest")))</f>
        <v>Bear regime; tech weakest</v>
      </c>
    </row>
    <row r="348" spans="1:50" x14ac:dyDescent="0.2">
      <c r="A348" s="12"/>
      <c r="B348" s="13"/>
      <c r="C348" s="13"/>
      <c r="D348" s="13"/>
      <c r="E348" s="13"/>
      <c r="F348" s="11" t="str">
        <f>IF(OR(E348="",E347=""),"",IF(E347=0,"",(E348/E347)-1))</f>
        <v/>
      </c>
      <c r="G348" s="13"/>
      <c r="H348" s="11" t="str">
        <f>IF(OR(G348="",G347=""),"",IF(G347=0,"",(G348/G347)-1))</f>
        <v/>
      </c>
      <c r="I348" s="13"/>
      <c r="J348" s="13"/>
      <c r="K348" s="13"/>
      <c r="L348" s="13"/>
      <c r="M348" s="23" t="str">
        <f>IF(OR(L348="",L347=""),"",IF(L347=0,"",(L348/L347)-1))</f>
        <v/>
      </c>
      <c r="N348" s="26" t="str">
        <f>IFERROR((M348/M347)-1,"")</f>
        <v/>
      </c>
      <c r="O348" s="23" t="str">
        <f>IF(OR(N348="",N347=""),"",IF(N347=0,"",(N348/N347)-1))</f>
        <v/>
      </c>
      <c r="P348" s="11" t="str">
        <f>IF(ROW()&lt;7,"",IF(OR(E348="",E345=""),"",IF(E345=0,"",(E348/E345)-1)))</f>
        <v/>
      </c>
      <c r="Q348" s="23" t="str">
        <f>IF(ROW()&lt;9,"",IF(OR(E348="",E343=""),"",IF(E343=0,"",(E348/E343)-1)))</f>
        <v/>
      </c>
      <c r="R348" s="23" t="str">
        <f>IF(ROW()&lt;7,"",IF(OR(G348="",G345=""),"",IF(G345=0,"",(G348/G345)-1)))</f>
        <v/>
      </c>
      <c r="S348" s="23" t="str">
        <f>IF(ROW()&lt;9,"",IF(OR(G348="",G343=""),"",IF(G343=0,"",(G348/G343)-1)))</f>
        <v/>
      </c>
      <c r="T348" s="23" t="str">
        <f>IF(ROW()&lt;7,"",IF(OR(L348="",L345=""),"",IF(L345=0,"",(L348/L345)-1)))</f>
        <v/>
      </c>
      <c r="U348" s="23" t="str">
        <f>IF(ROW()&lt;9,"",IF(OR(L348="",L343=""),"",IF(L343=0,"",(L348/L343)-1)))</f>
        <v/>
      </c>
      <c r="V348" s="23" t="str">
        <f>IF(ROW()&lt;7,"",IF(OR(N348="",N345=""),"",IF(N345=0,"",(N348/N345)-1)))</f>
        <v/>
      </c>
      <c r="W348" s="23" t="str">
        <f>IF(ROW()&lt;9,"",IF(OR(N348="",N343=""),"",IF(N343=0,"",(N348/N343)-1)))</f>
        <v/>
      </c>
      <c r="X348" s="23" t="str">
        <f>IF(OR(F348="",M348=""),"",F348-M348)</f>
        <v/>
      </c>
      <c r="Y348" s="23" t="str">
        <f>IF(OR(P348="",T348=""),"",P348-T348)</f>
        <v/>
      </c>
      <c r="Z348" s="23" t="str">
        <f>IF(OR(Q348="",U348=""),"",Q348-U348)</f>
        <v/>
      </c>
      <c r="AA348" s="23" t="str">
        <f>IF(OR(H348="",O348=""),"",H348-O348)</f>
        <v/>
      </c>
      <c r="AB348" s="23" t="str">
        <f>IF(OR(R348="",V348=""),"",R348-V348)</f>
        <v/>
      </c>
      <c r="AC348" s="23" t="str">
        <f>IF(OR(S348="",W348=""),"",S348-W348)</f>
        <v/>
      </c>
      <c r="AD348" s="13"/>
      <c r="AE348" s="23" t="str">
        <f>IF(OR(AD348="",AD347=""),"",IF(AD347=0,"",(AD348/AD347)-1))</f>
        <v/>
      </c>
      <c r="AF348" s="23" t="str">
        <f>IF(ROW()&lt;7,"",IF(OR(AD348="",AD345=""),"",IF(AD345=0,"",(AD348/AD345)-1)))</f>
        <v/>
      </c>
      <c r="AG348" s="23" t="str">
        <f>IF(ROW()&lt;9,"",IF(OR(AD348="",AD343=""),"",IF(AD343=0,"",(AD348/AD343)-1)))</f>
        <v/>
      </c>
      <c r="AH348" s="23" t="str">
        <f>IF(OR(AF348="",AG348=""),"",IF(AND(AF348&gt;0,AG348&gt;0),"Bull",IF(AND(AF348&lt;0,AG348&lt;0),"Bear","Mixed")))</f>
        <v/>
      </c>
      <c r="AI348" s="13"/>
      <c r="AJ348" s="13" t="str">
        <f>IF(OR(AI348="",AI347=""),"",IF(AI347=0,"",(AI348/AI347)-1))</f>
        <v/>
      </c>
      <c r="AK348" s="23" t="str">
        <f>IF(OR(AJ348="",AJ347=""),"",IF(AJ347=0,"",(AJ348/AJ347)-1))</f>
        <v/>
      </c>
      <c r="AL348" s="23" t="str">
        <f>IF(ROW()&lt;7,"",IF(OR(AJ348="",AJ345=""),"",IF(AJ345=0,"",(AJ348/AJ345)-1)))</f>
        <v/>
      </c>
      <c r="AM348" s="23" t="str">
        <f>IF(ROW()&lt;9,"",IF(OR(AJ348="",AJ343=""),"",IF(AJ343=0,"",(AJ348/AJ343)-1)))</f>
        <v/>
      </c>
      <c r="AN348" t="str">
        <f>IF(OR(AL348="",AM348=""),"",IF(AND(AL348&gt;0,AM348&gt;0),"Bull",IF(AND(AL348&lt;0,AM348&lt;0),"Bear","Mixed")))</f>
        <v/>
      </c>
      <c r="AO348" t="str">
        <f>IF(OR(AH348="",AN348=""),"",IF(AND(AH348="Bull",AN348="Bull"),"YES","NO"))</f>
        <v/>
      </c>
      <c r="AP348" t="str">
        <f>IF(OR(AH348="",AN348=""),"",IF(AND(AH348="Bear",AN348="Bear"),"YES","NO"))</f>
        <v/>
      </c>
      <c r="AQ348" t="str">
        <f>IF(AO348="YES",IF(SUM(N(X348),N(Y348),N(Z348))&gt;0,"SOXL","TQQQ"),IF(AP348="YES",IF(SUM(N(AA348),N(AB348),N(AC348))&gt;0,"SOXS","SQQQ"),"WAIT"))</f>
        <v>WAIT</v>
      </c>
      <c r="AR348" s="23" t="str">
        <f>IF(AO348="YES",IF(SUM(N(X348),N(Y348),N(Z348))&gt;0,"TQQQ","SOXL"),IF(AP348="YES",IF(SUM(N(AA348),N(AB348),N(AC348))&gt;0,"SQQQ","SOXS"),""))</f>
        <v/>
      </c>
      <c r="AS348" s="23" t="str">
        <f>IF(AQ348="WAIT","",IF(AR348="",1,0.6))</f>
        <v/>
      </c>
      <c r="AT348" s="23">
        <f>IF(AR348="",0,0.4)</f>
        <v>0</v>
      </c>
      <c r="AU348" s="23" t="str">
        <f>IF(AQ348="WAIT","WAIT",IF(AO348="YES","BULL",IF(AP348="YES","BEAR","WAIT")))</f>
        <v>WAIT</v>
      </c>
      <c r="AV348" t="str">
        <f>IF(AQ348="WAIT","Low",IF(OR(AND(AU348="BULL",ABS(SUM(N(X348),N(Y348),N(Z348)))&gt;=0.15),AND(AU348="BEAR",ABS(SUM(N(AA348),N(AB348),N(AC348)))&gt;=0.15)),"Strong",IF(OR(AND(AU348="BULL",ABS(SUM(N(X348),N(Y348),N(Z348)))&gt;=0.05),AND(AU348="BEAR",ABS(SUM(N(AA348),N(AB348),N(AC348)))&gt;=0.05)),"Moderate","Low")))</f>
        <v>Low</v>
      </c>
      <c r="AW348" t="str">
        <f>IF(AQ348="WAIT","QQQ and SMH not aligned",IF(AU348="BULL",IF(AQ348="SOXL","Bull regime; semiconductors leading","Bull regime; tech leading"),IF(AQ348="SOXS","Bear regime; semiconductors weakest","Bear regime; tech weakest")))</f>
        <v>QQQ and SMH not aligned</v>
      </c>
      <c r="AX348" t="str">
        <f>IF(AR348="WAIT","QQQ and SMH not aligned",IF(AV348="BULL",IF(AR348="SOXL","Bull regime; semiconductors leading","Bull regime; tech leading"),IF(AR348="SOXS","Bear regime; semiconductors weakest","Bear regime; tech weakest")))</f>
        <v>Bear regime; tech weakest</v>
      </c>
    </row>
    <row r="349" spans="1:50" x14ac:dyDescent="0.2">
      <c r="A349" s="12"/>
      <c r="B349" s="13"/>
      <c r="C349" s="13"/>
      <c r="D349" s="13"/>
      <c r="E349" s="13"/>
      <c r="F349" s="11" t="str">
        <f>IF(OR(E349="",E348=""),"",IF(E348=0,"",(E349/E348)-1))</f>
        <v/>
      </c>
      <c r="G349" s="13"/>
      <c r="H349" s="11" t="str">
        <f>IF(OR(G349="",G348=""),"",IF(G348=0,"",(G349/G348)-1))</f>
        <v/>
      </c>
      <c r="I349" s="13"/>
      <c r="J349" s="13"/>
      <c r="K349" s="13"/>
      <c r="L349" s="13"/>
      <c r="M349" s="23" t="str">
        <f>IF(OR(L349="",L348=""),"",IF(L348=0,"",(L349/L348)-1))</f>
        <v/>
      </c>
      <c r="N349" s="26" t="str">
        <f>IFERROR((M349/M348)-1,"")</f>
        <v/>
      </c>
      <c r="O349" s="23" t="str">
        <f>IF(OR(N349="",N348=""),"",IF(N348=0,"",(N349/N348)-1))</f>
        <v/>
      </c>
      <c r="P349" s="11" t="str">
        <f>IF(ROW()&lt;7,"",IF(OR(E349="",E346=""),"",IF(E346=0,"",(E349/E346)-1)))</f>
        <v/>
      </c>
      <c r="Q349" s="23" t="str">
        <f>IF(ROW()&lt;9,"",IF(OR(E349="",E344=""),"",IF(E344=0,"",(E349/E344)-1)))</f>
        <v/>
      </c>
      <c r="R349" s="23" t="str">
        <f>IF(ROW()&lt;7,"",IF(OR(G349="",G346=""),"",IF(G346=0,"",(G349/G346)-1)))</f>
        <v/>
      </c>
      <c r="S349" s="23" t="str">
        <f>IF(ROW()&lt;9,"",IF(OR(G349="",G344=""),"",IF(G344=0,"",(G349/G344)-1)))</f>
        <v/>
      </c>
      <c r="T349" s="23" t="str">
        <f>IF(ROW()&lt;7,"",IF(OR(L349="",L346=""),"",IF(L346=0,"",(L349/L346)-1)))</f>
        <v/>
      </c>
      <c r="U349" s="23" t="str">
        <f>IF(ROW()&lt;9,"",IF(OR(L349="",L344=""),"",IF(L344=0,"",(L349/L344)-1)))</f>
        <v/>
      </c>
      <c r="V349" s="23" t="str">
        <f>IF(ROW()&lt;7,"",IF(OR(N349="",N346=""),"",IF(N346=0,"",(N349/N346)-1)))</f>
        <v/>
      </c>
      <c r="W349" s="23" t="str">
        <f>IF(ROW()&lt;9,"",IF(OR(N349="",N344=""),"",IF(N344=0,"",(N349/N344)-1)))</f>
        <v/>
      </c>
      <c r="X349" s="23" t="str">
        <f>IF(OR(F349="",M349=""),"",F349-M349)</f>
        <v/>
      </c>
      <c r="Y349" s="23" t="str">
        <f>IF(OR(P349="",T349=""),"",P349-T349)</f>
        <v/>
      </c>
      <c r="Z349" s="23" t="str">
        <f>IF(OR(Q349="",U349=""),"",Q349-U349)</f>
        <v/>
      </c>
      <c r="AA349" s="23" t="str">
        <f>IF(OR(H349="",O349=""),"",H349-O349)</f>
        <v/>
      </c>
      <c r="AB349" s="23" t="str">
        <f>IF(OR(R349="",V349=""),"",R349-V349)</f>
        <v/>
      </c>
      <c r="AC349" s="23" t="str">
        <f>IF(OR(S349="",W349=""),"",S349-W349)</f>
        <v/>
      </c>
      <c r="AD349" s="13"/>
      <c r="AE349" s="23" t="str">
        <f>IF(OR(AD349="",AD348=""),"",IF(AD348=0,"",(AD349/AD348)-1))</f>
        <v/>
      </c>
      <c r="AF349" s="23" t="str">
        <f>IF(ROW()&lt;7,"",IF(OR(AD349="",AD346=""),"",IF(AD346=0,"",(AD349/AD346)-1)))</f>
        <v/>
      </c>
      <c r="AG349" s="23" t="str">
        <f>IF(ROW()&lt;9,"",IF(OR(AD349="",AD344=""),"",IF(AD344=0,"",(AD349/AD344)-1)))</f>
        <v/>
      </c>
      <c r="AH349" s="23" t="str">
        <f>IF(OR(AF349="",AG349=""),"",IF(AND(AF349&gt;0,AG349&gt;0),"Bull",IF(AND(AF349&lt;0,AG349&lt;0),"Bear","Mixed")))</f>
        <v/>
      </c>
      <c r="AI349" s="13"/>
      <c r="AJ349" s="13" t="str">
        <f>IF(OR(AI349="",AI348=""),"",IF(AI348=0,"",(AI349/AI348)-1))</f>
        <v/>
      </c>
      <c r="AK349" s="23" t="str">
        <f>IF(OR(AJ349="",AJ348=""),"",IF(AJ348=0,"",(AJ349/AJ348)-1))</f>
        <v/>
      </c>
      <c r="AL349" s="23" t="str">
        <f>IF(ROW()&lt;7,"",IF(OR(AJ349="",AJ346=""),"",IF(AJ346=0,"",(AJ349/AJ346)-1)))</f>
        <v/>
      </c>
      <c r="AM349" s="23" t="str">
        <f>IF(ROW()&lt;9,"",IF(OR(AJ349="",AJ344=""),"",IF(AJ344=0,"",(AJ349/AJ344)-1)))</f>
        <v/>
      </c>
      <c r="AN349" t="str">
        <f>IF(OR(AL349="",AM349=""),"",IF(AND(AL349&gt;0,AM349&gt;0),"Bull",IF(AND(AL349&lt;0,AM349&lt;0),"Bear","Mixed")))</f>
        <v/>
      </c>
      <c r="AO349" t="str">
        <f>IF(OR(AH349="",AN349=""),"",IF(AND(AH349="Bull",AN349="Bull"),"YES","NO"))</f>
        <v/>
      </c>
      <c r="AP349" t="str">
        <f>IF(OR(AH349="",AN349=""),"",IF(AND(AH349="Bear",AN349="Bear"),"YES","NO"))</f>
        <v/>
      </c>
      <c r="AQ349" t="str">
        <f>IF(AO349="YES",IF(SUM(N(X349),N(Y349),N(Z349))&gt;0,"SOXL","TQQQ"),IF(AP349="YES",IF(SUM(N(AA349),N(AB349),N(AC349))&gt;0,"SOXS","SQQQ"),"WAIT"))</f>
        <v>WAIT</v>
      </c>
      <c r="AR349" s="23" t="str">
        <f>IF(AO349="YES",IF(SUM(N(X349),N(Y349),N(Z349))&gt;0,"TQQQ","SOXL"),IF(AP349="YES",IF(SUM(N(AA349),N(AB349),N(AC349))&gt;0,"SQQQ","SOXS"),""))</f>
        <v/>
      </c>
      <c r="AS349" s="23" t="str">
        <f>IF(AQ349="WAIT","",IF(AR349="",1,0.6))</f>
        <v/>
      </c>
      <c r="AT349" s="23">
        <f>IF(AR349="",0,0.4)</f>
        <v>0</v>
      </c>
      <c r="AU349" s="23" t="str">
        <f>IF(AQ349="WAIT","WAIT",IF(AO349="YES","BULL",IF(AP349="YES","BEAR","WAIT")))</f>
        <v>WAIT</v>
      </c>
      <c r="AV349" t="str">
        <f>IF(AQ349="WAIT","Low",IF(OR(AND(AU349="BULL",ABS(SUM(N(X349),N(Y349),N(Z349)))&gt;=0.15),AND(AU349="BEAR",ABS(SUM(N(AA349),N(AB349),N(AC349)))&gt;=0.15)),"Strong",IF(OR(AND(AU349="BULL",ABS(SUM(N(X349),N(Y349),N(Z349)))&gt;=0.05),AND(AU349="BEAR",ABS(SUM(N(AA349),N(AB349),N(AC349)))&gt;=0.05)),"Moderate","Low")))</f>
        <v>Low</v>
      </c>
      <c r="AW349" t="str">
        <f>IF(AQ349="WAIT","QQQ and SMH not aligned",IF(AU349="BULL",IF(AQ349="SOXL","Bull regime; semiconductors leading","Bull regime; tech leading"),IF(AQ349="SOXS","Bear regime; semiconductors weakest","Bear regime; tech weakest")))</f>
        <v>QQQ and SMH not aligned</v>
      </c>
      <c r="AX349" t="str">
        <f>IF(AR349="WAIT","QQQ and SMH not aligned",IF(AV349="BULL",IF(AR349="SOXL","Bull regime; semiconductors leading","Bull regime; tech leading"),IF(AR349="SOXS","Bear regime; semiconductors weakest","Bear regime; tech weakest")))</f>
        <v>Bear regime; tech weakest</v>
      </c>
    </row>
    <row r="350" spans="1:50" x14ac:dyDescent="0.2">
      <c r="A350" s="12"/>
      <c r="B350" s="13"/>
      <c r="C350" s="13"/>
      <c r="D350" s="13"/>
      <c r="E350" s="13"/>
      <c r="F350" s="11" t="str">
        <f>IF(OR(E350="",E349=""),"",IF(E349=0,"",(E350/E349)-1))</f>
        <v/>
      </c>
      <c r="G350" s="13"/>
      <c r="H350" s="11" t="str">
        <f>IF(OR(G350="",G349=""),"",IF(G349=0,"",(G350/G349)-1))</f>
        <v/>
      </c>
      <c r="I350" s="13"/>
      <c r="J350" s="13"/>
      <c r="K350" s="13"/>
      <c r="L350" s="13"/>
      <c r="M350" s="23" t="str">
        <f>IF(OR(L350="",L349=""),"",IF(L349=0,"",(L350/L349)-1))</f>
        <v/>
      </c>
      <c r="N350" s="26" t="str">
        <f>IFERROR((M350/M349)-1,"")</f>
        <v/>
      </c>
      <c r="O350" s="23" t="str">
        <f>IF(OR(N350="",N349=""),"",IF(N349=0,"",(N350/N349)-1))</f>
        <v/>
      </c>
      <c r="P350" s="11" t="str">
        <f>IF(ROW()&lt;7,"",IF(OR(E350="",E347=""),"",IF(E347=0,"",(E350/E347)-1)))</f>
        <v/>
      </c>
      <c r="Q350" s="23" t="str">
        <f>IF(ROW()&lt;9,"",IF(OR(E350="",E345=""),"",IF(E345=0,"",(E350/E345)-1)))</f>
        <v/>
      </c>
      <c r="R350" s="23" t="str">
        <f>IF(ROW()&lt;7,"",IF(OR(G350="",G347=""),"",IF(G347=0,"",(G350/G347)-1)))</f>
        <v/>
      </c>
      <c r="S350" s="23" t="str">
        <f>IF(ROW()&lt;9,"",IF(OR(G350="",G345=""),"",IF(G345=0,"",(G350/G345)-1)))</f>
        <v/>
      </c>
      <c r="T350" s="23" t="str">
        <f>IF(ROW()&lt;7,"",IF(OR(L350="",L347=""),"",IF(L347=0,"",(L350/L347)-1)))</f>
        <v/>
      </c>
      <c r="U350" s="23" t="str">
        <f>IF(ROW()&lt;9,"",IF(OR(L350="",L345=""),"",IF(L345=0,"",(L350/L345)-1)))</f>
        <v/>
      </c>
      <c r="V350" s="23" t="str">
        <f>IF(ROW()&lt;7,"",IF(OR(N350="",N347=""),"",IF(N347=0,"",(N350/N347)-1)))</f>
        <v/>
      </c>
      <c r="W350" s="23" t="str">
        <f>IF(ROW()&lt;9,"",IF(OR(N350="",N345=""),"",IF(N345=0,"",(N350/N345)-1)))</f>
        <v/>
      </c>
      <c r="X350" s="23" t="str">
        <f>IF(OR(F350="",M350=""),"",F350-M350)</f>
        <v/>
      </c>
      <c r="Y350" s="23" t="str">
        <f>IF(OR(P350="",T350=""),"",P350-T350)</f>
        <v/>
      </c>
      <c r="Z350" s="23" t="str">
        <f>IF(OR(Q350="",U350=""),"",Q350-U350)</f>
        <v/>
      </c>
      <c r="AA350" s="23" t="str">
        <f>IF(OR(H350="",O350=""),"",H350-O350)</f>
        <v/>
      </c>
      <c r="AB350" s="23" t="str">
        <f>IF(OR(R350="",V350=""),"",R350-V350)</f>
        <v/>
      </c>
      <c r="AC350" s="23" t="str">
        <f>IF(OR(S350="",W350=""),"",S350-W350)</f>
        <v/>
      </c>
      <c r="AD350" s="13"/>
      <c r="AE350" s="23" t="str">
        <f>IF(OR(AD350="",AD349=""),"",IF(AD349=0,"",(AD350/AD349)-1))</f>
        <v/>
      </c>
      <c r="AF350" s="23" t="str">
        <f>IF(ROW()&lt;7,"",IF(OR(AD350="",AD347=""),"",IF(AD347=0,"",(AD350/AD347)-1)))</f>
        <v/>
      </c>
      <c r="AG350" s="23" t="str">
        <f>IF(ROW()&lt;9,"",IF(OR(AD350="",AD345=""),"",IF(AD345=0,"",(AD350/AD345)-1)))</f>
        <v/>
      </c>
      <c r="AH350" s="23" t="str">
        <f>IF(OR(AF350="",AG350=""),"",IF(AND(AF350&gt;0,AG350&gt;0),"Bull",IF(AND(AF350&lt;0,AG350&lt;0),"Bear","Mixed")))</f>
        <v/>
      </c>
      <c r="AI350" s="13"/>
      <c r="AJ350" s="13" t="str">
        <f>IF(OR(AI350="",AI349=""),"",IF(AI349=0,"",(AI350/AI349)-1))</f>
        <v/>
      </c>
      <c r="AK350" s="23" t="str">
        <f>IF(OR(AJ350="",AJ349=""),"",IF(AJ349=0,"",(AJ350/AJ349)-1))</f>
        <v/>
      </c>
      <c r="AL350" s="23" t="str">
        <f>IF(ROW()&lt;7,"",IF(OR(AJ350="",AJ347=""),"",IF(AJ347=0,"",(AJ350/AJ347)-1)))</f>
        <v/>
      </c>
      <c r="AM350" s="23" t="str">
        <f>IF(ROW()&lt;9,"",IF(OR(AJ350="",AJ345=""),"",IF(AJ345=0,"",(AJ350/AJ345)-1)))</f>
        <v/>
      </c>
      <c r="AN350" t="str">
        <f>IF(OR(AL350="",AM350=""),"",IF(AND(AL350&gt;0,AM350&gt;0),"Bull",IF(AND(AL350&lt;0,AM350&lt;0),"Bear","Mixed")))</f>
        <v/>
      </c>
      <c r="AO350" t="str">
        <f>IF(OR(AH350="",AN350=""),"",IF(AND(AH350="Bull",AN350="Bull"),"YES","NO"))</f>
        <v/>
      </c>
      <c r="AP350" t="str">
        <f>IF(OR(AH350="",AN350=""),"",IF(AND(AH350="Bear",AN350="Bear"),"YES","NO"))</f>
        <v/>
      </c>
      <c r="AQ350" t="str">
        <f>IF(AO350="YES",IF(SUM(N(X350),N(Y350),N(Z350))&gt;0,"SOXL","TQQQ"),IF(AP350="YES",IF(SUM(N(AA350),N(AB350),N(AC350))&gt;0,"SOXS","SQQQ"),"WAIT"))</f>
        <v>WAIT</v>
      </c>
      <c r="AR350" s="23" t="str">
        <f>IF(AO350="YES",IF(SUM(N(X350),N(Y350),N(Z350))&gt;0,"TQQQ","SOXL"),IF(AP350="YES",IF(SUM(N(AA350),N(AB350),N(AC350))&gt;0,"SQQQ","SOXS"),""))</f>
        <v/>
      </c>
      <c r="AS350" s="23" t="str">
        <f>IF(AQ350="WAIT","",IF(AR350="",1,0.6))</f>
        <v/>
      </c>
      <c r="AT350" s="23">
        <f>IF(AR350="",0,0.4)</f>
        <v>0</v>
      </c>
      <c r="AU350" s="23" t="str">
        <f>IF(AQ350="WAIT","WAIT",IF(AO350="YES","BULL",IF(AP350="YES","BEAR","WAIT")))</f>
        <v>WAIT</v>
      </c>
      <c r="AV350" t="str">
        <f>IF(AQ350="WAIT","Low",IF(OR(AND(AU350="BULL",ABS(SUM(N(X350),N(Y350),N(Z350)))&gt;=0.15),AND(AU350="BEAR",ABS(SUM(N(AA350),N(AB350),N(AC350)))&gt;=0.15)),"Strong",IF(OR(AND(AU350="BULL",ABS(SUM(N(X350),N(Y350),N(Z350)))&gt;=0.05),AND(AU350="BEAR",ABS(SUM(N(AA350),N(AB350),N(AC350)))&gt;=0.05)),"Moderate","Low")))</f>
        <v>Low</v>
      </c>
      <c r="AW350" t="str">
        <f>IF(AQ350="WAIT","QQQ and SMH not aligned",IF(AU350="BULL",IF(AQ350="SOXL","Bull regime; semiconductors leading","Bull regime; tech leading"),IF(AQ350="SOXS","Bear regime; semiconductors weakest","Bear regime; tech weakest")))</f>
        <v>QQQ and SMH not aligned</v>
      </c>
      <c r="AX350" t="str">
        <f>IF(AR350="WAIT","QQQ and SMH not aligned",IF(AV350="BULL",IF(AR350="SOXL","Bull regime; semiconductors leading","Bull regime; tech leading"),IF(AR350="SOXS","Bear regime; semiconductors weakest","Bear regime; tech weakest")))</f>
        <v>Bear regime; tech weakest</v>
      </c>
    </row>
    <row r="351" spans="1:50" x14ac:dyDescent="0.2">
      <c r="A351" s="12"/>
      <c r="B351" s="13"/>
      <c r="C351" s="13"/>
      <c r="D351" s="13"/>
      <c r="E351" s="13"/>
      <c r="F351" s="11" t="str">
        <f>IF(OR(E351="",E350=""),"",IF(E350=0,"",(E351/E350)-1))</f>
        <v/>
      </c>
      <c r="G351" s="13"/>
      <c r="H351" s="11" t="str">
        <f>IF(OR(G351="",G350=""),"",IF(G350=0,"",(G351/G350)-1))</f>
        <v/>
      </c>
      <c r="I351" s="13"/>
      <c r="J351" s="13"/>
      <c r="K351" s="13"/>
      <c r="L351" s="13"/>
      <c r="M351" s="23" t="str">
        <f>IF(OR(L351="",L350=""),"",IF(L350=0,"",(L351/L350)-1))</f>
        <v/>
      </c>
      <c r="N351" s="26" t="str">
        <f>IFERROR((M351/M350)-1,"")</f>
        <v/>
      </c>
      <c r="O351" s="23" t="str">
        <f>IF(OR(N351="",N350=""),"",IF(N350=0,"",(N351/N350)-1))</f>
        <v/>
      </c>
      <c r="P351" s="11" t="str">
        <f>IF(ROW()&lt;7,"",IF(OR(E351="",E348=""),"",IF(E348=0,"",(E351/E348)-1)))</f>
        <v/>
      </c>
      <c r="Q351" s="23" t="str">
        <f>IF(ROW()&lt;9,"",IF(OR(E351="",E346=""),"",IF(E346=0,"",(E351/E346)-1)))</f>
        <v/>
      </c>
      <c r="R351" s="23" t="str">
        <f>IF(ROW()&lt;7,"",IF(OR(G351="",G348=""),"",IF(G348=0,"",(G351/G348)-1)))</f>
        <v/>
      </c>
      <c r="S351" s="23" t="str">
        <f>IF(ROW()&lt;9,"",IF(OR(G351="",G346=""),"",IF(G346=0,"",(G351/G346)-1)))</f>
        <v/>
      </c>
      <c r="T351" s="23" t="str">
        <f>IF(ROW()&lt;7,"",IF(OR(L351="",L348=""),"",IF(L348=0,"",(L351/L348)-1)))</f>
        <v/>
      </c>
      <c r="U351" s="23" t="str">
        <f>IF(ROW()&lt;9,"",IF(OR(L351="",L346=""),"",IF(L346=0,"",(L351/L346)-1)))</f>
        <v/>
      </c>
      <c r="V351" s="23" t="str">
        <f>IF(ROW()&lt;7,"",IF(OR(N351="",N348=""),"",IF(N348=0,"",(N351/N348)-1)))</f>
        <v/>
      </c>
      <c r="W351" s="23" t="str">
        <f>IF(ROW()&lt;9,"",IF(OR(N351="",N346=""),"",IF(N346=0,"",(N351/N346)-1)))</f>
        <v/>
      </c>
      <c r="X351" s="23" t="str">
        <f>IF(OR(F351="",M351=""),"",F351-M351)</f>
        <v/>
      </c>
      <c r="Y351" s="23" t="str">
        <f>IF(OR(P351="",T351=""),"",P351-T351)</f>
        <v/>
      </c>
      <c r="Z351" s="23" t="str">
        <f>IF(OR(Q351="",U351=""),"",Q351-U351)</f>
        <v/>
      </c>
      <c r="AA351" s="23" t="str">
        <f>IF(OR(H351="",O351=""),"",H351-O351)</f>
        <v/>
      </c>
      <c r="AB351" s="23" t="str">
        <f>IF(OR(R351="",V351=""),"",R351-V351)</f>
        <v/>
      </c>
      <c r="AC351" s="23" t="str">
        <f>IF(OR(S351="",W351=""),"",S351-W351)</f>
        <v/>
      </c>
      <c r="AD351" s="13"/>
      <c r="AE351" s="23" t="str">
        <f>IF(OR(AD351="",AD350=""),"",IF(AD350=0,"",(AD351/AD350)-1))</f>
        <v/>
      </c>
      <c r="AF351" s="23" t="str">
        <f>IF(ROW()&lt;7,"",IF(OR(AD351="",AD348=""),"",IF(AD348=0,"",(AD351/AD348)-1)))</f>
        <v/>
      </c>
      <c r="AG351" s="23" t="str">
        <f>IF(ROW()&lt;9,"",IF(OR(AD351="",AD346=""),"",IF(AD346=0,"",(AD351/AD346)-1)))</f>
        <v/>
      </c>
      <c r="AH351" s="23" t="str">
        <f>IF(OR(AF351="",AG351=""),"",IF(AND(AF351&gt;0,AG351&gt;0),"Bull",IF(AND(AF351&lt;0,AG351&lt;0),"Bear","Mixed")))</f>
        <v/>
      </c>
      <c r="AI351" s="13"/>
      <c r="AJ351" s="13" t="str">
        <f>IF(OR(AI351="",AI350=""),"",IF(AI350=0,"",(AI351/AI350)-1))</f>
        <v/>
      </c>
      <c r="AK351" s="23" t="str">
        <f>IF(OR(AJ351="",AJ350=""),"",IF(AJ350=0,"",(AJ351/AJ350)-1))</f>
        <v/>
      </c>
      <c r="AL351" s="23" t="str">
        <f>IF(ROW()&lt;7,"",IF(OR(AJ351="",AJ348=""),"",IF(AJ348=0,"",(AJ351/AJ348)-1)))</f>
        <v/>
      </c>
      <c r="AM351" s="23" t="str">
        <f>IF(ROW()&lt;9,"",IF(OR(AJ351="",AJ346=""),"",IF(AJ346=0,"",(AJ351/AJ346)-1)))</f>
        <v/>
      </c>
      <c r="AN351" t="str">
        <f>IF(OR(AL351="",AM351=""),"",IF(AND(AL351&gt;0,AM351&gt;0),"Bull",IF(AND(AL351&lt;0,AM351&lt;0),"Bear","Mixed")))</f>
        <v/>
      </c>
      <c r="AO351" t="str">
        <f>IF(OR(AH351="",AN351=""),"",IF(AND(AH351="Bull",AN351="Bull"),"YES","NO"))</f>
        <v/>
      </c>
      <c r="AP351" t="str">
        <f>IF(OR(AH351="",AN351=""),"",IF(AND(AH351="Bear",AN351="Bear"),"YES","NO"))</f>
        <v/>
      </c>
      <c r="AQ351" t="str">
        <f>IF(AO351="YES",IF(SUM(N(X351),N(Y351),N(Z351))&gt;0,"SOXL","TQQQ"),IF(AP351="YES",IF(SUM(N(AA351),N(AB351),N(AC351))&gt;0,"SOXS","SQQQ"),"WAIT"))</f>
        <v>WAIT</v>
      </c>
      <c r="AR351" s="23" t="str">
        <f>IF(AO351="YES",IF(SUM(N(X351),N(Y351),N(Z351))&gt;0,"TQQQ","SOXL"),IF(AP351="YES",IF(SUM(N(AA351),N(AB351),N(AC351))&gt;0,"SQQQ","SOXS"),""))</f>
        <v/>
      </c>
      <c r="AS351" s="23" t="str">
        <f>IF(AQ351="WAIT","",IF(AR351="",1,0.6))</f>
        <v/>
      </c>
      <c r="AT351" s="23">
        <f>IF(AR351="",0,0.4)</f>
        <v>0</v>
      </c>
      <c r="AU351" s="23" t="str">
        <f>IF(AQ351="WAIT","WAIT",IF(AO351="YES","BULL",IF(AP351="YES","BEAR","WAIT")))</f>
        <v>WAIT</v>
      </c>
      <c r="AV351" t="str">
        <f>IF(AQ351="WAIT","Low",IF(OR(AND(AU351="BULL",ABS(SUM(N(X351),N(Y351),N(Z351)))&gt;=0.15),AND(AU351="BEAR",ABS(SUM(N(AA351),N(AB351),N(AC351)))&gt;=0.15)),"Strong",IF(OR(AND(AU351="BULL",ABS(SUM(N(X351),N(Y351),N(Z351)))&gt;=0.05),AND(AU351="BEAR",ABS(SUM(N(AA351),N(AB351),N(AC351)))&gt;=0.05)),"Moderate","Low")))</f>
        <v>Low</v>
      </c>
      <c r="AW351" t="str">
        <f>IF(AQ351="WAIT","QQQ and SMH not aligned",IF(AU351="BULL",IF(AQ351="SOXL","Bull regime; semiconductors leading","Bull regime; tech leading"),IF(AQ351="SOXS","Bear regime; semiconductors weakest","Bear regime; tech weakest")))</f>
        <v>QQQ and SMH not aligned</v>
      </c>
      <c r="AX351" t="str">
        <f>IF(AR351="WAIT","QQQ and SMH not aligned",IF(AV351="BULL",IF(AR351="SOXL","Bull regime; semiconductors leading","Bull regime; tech leading"),IF(AR351="SOXS","Bear regime; semiconductors weakest","Bear regime; tech weakest")))</f>
        <v>Bear regime; tech weakest</v>
      </c>
    </row>
    <row r="352" spans="1:50" x14ac:dyDescent="0.2">
      <c r="A352" s="12"/>
      <c r="B352" s="13"/>
      <c r="C352" s="13"/>
      <c r="D352" s="13"/>
      <c r="E352" s="13"/>
      <c r="F352" s="11" t="str">
        <f>IF(OR(E352="",E351=""),"",IF(E351=0,"",(E352/E351)-1))</f>
        <v/>
      </c>
      <c r="G352" s="13"/>
      <c r="H352" s="11" t="str">
        <f>IF(OR(G352="",G351=""),"",IF(G351=0,"",(G352/G351)-1))</f>
        <v/>
      </c>
      <c r="I352" s="13"/>
      <c r="J352" s="13"/>
      <c r="K352" s="13"/>
      <c r="L352" s="13"/>
      <c r="M352" s="23" t="str">
        <f>IF(OR(L352="",L351=""),"",IF(L351=0,"",(L352/L351)-1))</f>
        <v/>
      </c>
      <c r="N352" s="26" t="str">
        <f>IFERROR((M352/M351)-1,"")</f>
        <v/>
      </c>
      <c r="O352" s="23" t="str">
        <f>IF(OR(N352="",N351=""),"",IF(N351=0,"",(N352/N351)-1))</f>
        <v/>
      </c>
      <c r="P352" s="11" t="str">
        <f>IF(ROW()&lt;7,"",IF(OR(E352="",E349=""),"",IF(E349=0,"",(E352/E349)-1)))</f>
        <v/>
      </c>
      <c r="Q352" s="23" t="str">
        <f>IF(ROW()&lt;9,"",IF(OR(E352="",E347=""),"",IF(E347=0,"",(E352/E347)-1)))</f>
        <v/>
      </c>
      <c r="R352" s="23" t="str">
        <f>IF(ROW()&lt;7,"",IF(OR(G352="",G349=""),"",IF(G349=0,"",(G352/G349)-1)))</f>
        <v/>
      </c>
      <c r="S352" s="23" t="str">
        <f>IF(ROW()&lt;9,"",IF(OR(G352="",G347=""),"",IF(G347=0,"",(G352/G347)-1)))</f>
        <v/>
      </c>
      <c r="T352" s="23" t="str">
        <f>IF(ROW()&lt;7,"",IF(OR(L352="",L349=""),"",IF(L349=0,"",(L352/L349)-1)))</f>
        <v/>
      </c>
      <c r="U352" s="23" t="str">
        <f>IF(ROW()&lt;9,"",IF(OR(L352="",L347=""),"",IF(L347=0,"",(L352/L347)-1)))</f>
        <v/>
      </c>
      <c r="V352" s="23" t="str">
        <f>IF(ROW()&lt;7,"",IF(OR(N352="",N349=""),"",IF(N349=0,"",(N352/N349)-1)))</f>
        <v/>
      </c>
      <c r="W352" s="23" t="str">
        <f>IF(ROW()&lt;9,"",IF(OR(N352="",N347=""),"",IF(N347=0,"",(N352/N347)-1)))</f>
        <v/>
      </c>
      <c r="X352" s="23" t="str">
        <f>IF(OR(F352="",M352=""),"",F352-M352)</f>
        <v/>
      </c>
      <c r="Y352" s="23" t="str">
        <f>IF(OR(P352="",T352=""),"",P352-T352)</f>
        <v/>
      </c>
      <c r="Z352" s="23" t="str">
        <f>IF(OR(Q352="",U352=""),"",Q352-U352)</f>
        <v/>
      </c>
      <c r="AA352" s="23" t="str">
        <f>IF(OR(H352="",O352=""),"",H352-O352)</f>
        <v/>
      </c>
      <c r="AB352" s="23" t="str">
        <f>IF(OR(R352="",V352=""),"",R352-V352)</f>
        <v/>
      </c>
      <c r="AC352" s="23" t="str">
        <f>IF(OR(S352="",W352=""),"",S352-W352)</f>
        <v/>
      </c>
      <c r="AD352" s="13"/>
      <c r="AE352" s="23" t="str">
        <f>IF(OR(AD352="",AD351=""),"",IF(AD351=0,"",(AD352/AD351)-1))</f>
        <v/>
      </c>
      <c r="AF352" s="23" t="str">
        <f>IF(ROW()&lt;7,"",IF(OR(AD352="",AD349=""),"",IF(AD349=0,"",(AD352/AD349)-1)))</f>
        <v/>
      </c>
      <c r="AG352" s="23" t="str">
        <f>IF(ROW()&lt;9,"",IF(OR(AD352="",AD347=""),"",IF(AD347=0,"",(AD352/AD347)-1)))</f>
        <v/>
      </c>
      <c r="AH352" s="23" t="str">
        <f>IF(OR(AF352="",AG352=""),"",IF(AND(AF352&gt;0,AG352&gt;0),"Bull",IF(AND(AF352&lt;0,AG352&lt;0),"Bear","Mixed")))</f>
        <v/>
      </c>
      <c r="AI352" s="13"/>
      <c r="AJ352" s="13" t="str">
        <f>IF(OR(AI352="",AI351=""),"",IF(AI351=0,"",(AI352/AI351)-1))</f>
        <v/>
      </c>
      <c r="AK352" s="23" t="str">
        <f>IF(OR(AJ352="",AJ351=""),"",IF(AJ351=0,"",(AJ352/AJ351)-1))</f>
        <v/>
      </c>
      <c r="AL352" s="23" t="str">
        <f>IF(ROW()&lt;7,"",IF(OR(AJ352="",AJ349=""),"",IF(AJ349=0,"",(AJ352/AJ349)-1)))</f>
        <v/>
      </c>
      <c r="AM352" s="23" t="str">
        <f>IF(ROW()&lt;9,"",IF(OR(AJ352="",AJ347=""),"",IF(AJ347=0,"",(AJ352/AJ347)-1)))</f>
        <v/>
      </c>
      <c r="AN352" t="str">
        <f>IF(OR(AL352="",AM352=""),"",IF(AND(AL352&gt;0,AM352&gt;0),"Bull",IF(AND(AL352&lt;0,AM352&lt;0),"Bear","Mixed")))</f>
        <v/>
      </c>
      <c r="AO352" t="str">
        <f>IF(OR(AH352="",AN352=""),"",IF(AND(AH352="Bull",AN352="Bull"),"YES","NO"))</f>
        <v/>
      </c>
      <c r="AP352" t="str">
        <f>IF(OR(AH352="",AN352=""),"",IF(AND(AH352="Bear",AN352="Bear"),"YES","NO"))</f>
        <v/>
      </c>
      <c r="AQ352" t="str">
        <f>IF(AO352="YES",IF(SUM(N(X352),N(Y352),N(Z352))&gt;0,"SOXL","TQQQ"),IF(AP352="YES",IF(SUM(N(AA352),N(AB352),N(AC352))&gt;0,"SOXS","SQQQ"),"WAIT"))</f>
        <v>WAIT</v>
      </c>
      <c r="AR352" s="23" t="str">
        <f>IF(AO352="YES",IF(SUM(N(X352),N(Y352),N(Z352))&gt;0,"TQQQ","SOXL"),IF(AP352="YES",IF(SUM(N(AA352),N(AB352),N(AC352))&gt;0,"SQQQ","SOXS"),""))</f>
        <v/>
      </c>
      <c r="AS352" s="23" t="str">
        <f>IF(AQ352="WAIT","",IF(AR352="",1,0.6))</f>
        <v/>
      </c>
      <c r="AT352" s="23">
        <f>IF(AR352="",0,0.4)</f>
        <v>0</v>
      </c>
      <c r="AU352" s="23" t="str">
        <f>IF(AQ352="WAIT","WAIT",IF(AO352="YES","BULL",IF(AP352="YES","BEAR","WAIT")))</f>
        <v>WAIT</v>
      </c>
      <c r="AV352" t="str">
        <f>IF(AQ352="WAIT","Low",IF(OR(AND(AU352="BULL",ABS(SUM(N(X352),N(Y352),N(Z352)))&gt;=0.15),AND(AU352="BEAR",ABS(SUM(N(AA352),N(AB352),N(AC352)))&gt;=0.15)),"Strong",IF(OR(AND(AU352="BULL",ABS(SUM(N(X352),N(Y352),N(Z352)))&gt;=0.05),AND(AU352="BEAR",ABS(SUM(N(AA352),N(AB352),N(AC352)))&gt;=0.05)),"Moderate","Low")))</f>
        <v>Low</v>
      </c>
      <c r="AW352" t="str">
        <f>IF(AQ352="WAIT","QQQ and SMH not aligned",IF(AU352="BULL",IF(AQ352="SOXL","Bull regime; semiconductors leading","Bull regime; tech leading"),IF(AQ352="SOXS","Bear regime; semiconductors weakest","Bear regime; tech weakest")))</f>
        <v>QQQ and SMH not aligned</v>
      </c>
      <c r="AX352" t="str">
        <f>IF(AR352="WAIT","QQQ and SMH not aligned",IF(AV352="BULL",IF(AR352="SOXL","Bull regime; semiconductors leading","Bull regime; tech leading"),IF(AR352="SOXS","Bear regime; semiconductors weakest","Bear regime; tech weakest")))</f>
        <v>Bear regime; tech weakest</v>
      </c>
    </row>
    <row r="353" spans="1:50" x14ac:dyDescent="0.2">
      <c r="A353" s="12"/>
      <c r="B353" s="13"/>
      <c r="C353" s="13"/>
      <c r="D353" s="13"/>
      <c r="E353" s="13"/>
      <c r="F353" s="11" t="str">
        <f>IF(OR(E353="",E352=""),"",IF(E352=0,"",(E353/E352)-1))</f>
        <v/>
      </c>
      <c r="G353" s="13"/>
      <c r="H353" s="11" t="str">
        <f>IF(OR(G353="",G352=""),"",IF(G352=0,"",(G353/G352)-1))</f>
        <v/>
      </c>
      <c r="I353" s="13"/>
      <c r="J353" s="13"/>
      <c r="K353" s="13"/>
      <c r="L353" s="13"/>
      <c r="M353" s="23" t="str">
        <f>IF(OR(L353="",L352=""),"",IF(L352=0,"",(L353/L352)-1))</f>
        <v/>
      </c>
      <c r="N353" s="26" t="str">
        <f>IFERROR((M353/M352)-1,"")</f>
        <v/>
      </c>
      <c r="O353" s="23" t="str">
        <f>IF(OR(N353="",N352=""),"",IF(N352=0,"",(N353/N352)-1))</f>
        <v/>
      </c>
      <c r="P353" s="11" t="str">
        <f>IF(ROW()&lt;7,"",IF(OR(E353="",E350=""),"",IF(E350=0,"",(E353/E350)-1)))</f>
        <v/>
      </c>
      <c r="Q353" s="23" t="str">
        <f>IF(ROW()&lt;9,"",IF(OR(E353="",E348=""),"",IF(E348=0,"",(E353/E348)-1)))</f>
        <v/>
      </c>
      <c r="R353" s="23" t="str">
        <f>IF(ROW()&lt;7,"",IF(OR(G353="",G350=""),"",IF(G350=0,"",(G353/G350)-1)))</f>
        <v/>
      </c>
      <c r="S353" s="23" t="str">
        <f>IF(ROW()&lt;9,"",IF(OR(G353="",G348=""),"",IF(G348=0,"",(G353/G348)-1)))</f>
        <v/>
      </c>
      <c r="T353" s="23" t="str">
        <f>IF(ROW()&lt;7,"",IF(OR(L353="",L350=""),"",IF(L350=0,"",(L353/L350)-1)))</f>
        <v/>
      </c>
      <c r="U353" s="23" t="str">
        <f>IF(ROW()&lt;9,"",IF(OR(L353="",L348=""),"",IF(L348=0,"",(L353/L348)-1)))</f>
        <v/>
      </c>
      <c r="V353" s="23" t="str">
        <f>IF(ROW()&lt;7,"",IF(OR(N353="",N350=""),"",IF(N350=0,"",(N353/N350)-1)))</f>
        <v/>
      </c>
      <c r="W353" s="23" t="str">
        <f>IF(ROW()&lt;9,"",IF(OR(N353="",N348=""),"",IF(N348=0,"",(N353/N348)-1)))</f>
        <v/>
      </c>
      <c r="X353" s="23" t="str">
        <f>IF(OR(F353="",M353=""),"",F353-M353)</f>
        <v/>
      </c>
      <c r="Y353" s="23" t="str">
        <f>IF(OR(P353="",T353=""),"",P353-T353)</f>
        <v/>
      </c>
      <c r="Z353" s="23" t="str">
        <f>IF(OR(Q353="",U353=""),"",Q353-U353)</f>
        <v/>
      </c>
      <c r="AA353" s="23" t="str">
        <f>IF(OR(H353="",O353=""),"",H353-O353)</f>
        <v/>
      </c>
      <c r="AB353" s="23" t="str">
        <f>IF(OR(R353="",V353=""),"",R353-V353)</f>
        <v/>
      </c>
      <c r="AC353" s="23" t="str">
        <f>IF(OR(S353="",W353=""),"",S353-W353)</f>
        <v/>
      </c>
      <c r="AD353" s="13"/>
      <c r="AE353" s="23" t="str">
        <f>IF(OR(AD353="",AD352=""),"",IF(AD352=0,"",(AD353/AD352)-1))</f>
        <v/>
      </c>
      <c r="AF353" s="23" t="str">
        <f>IF(ROW()&lt;7,"",IF(OR(AD353="",AD350=""),"",IF(AD350=0,"",(AD353/AD350)-1)))</f>
        <v/>
      </c>
      <c r="AG353" s="23" t="str">
        <f>IF(ROW()&lt;9,"",IF(OR(AD353="",AD348=""),"",IF(AD348=0,"",(AD353/AD348)-1)))</f>
        <v/>
      </c>
      <c r="AH353" s="23" t="str">
        <f>IF(OR(AF353="",AG353=""),"",IF(AND(AF353&gt;0,AG353&gt;0),"Bull",IF(AND(AF353&lt;0,AG353&lt;0),"Bear","Mixed")))</f>
        <v/>
      </c>
      <c r="AI353" s="13"/>
      <c r="AJ353" s="13" t="str">
        <f>IF(OR(AI353="",AI352=""),"",IF(AI352=0,"",(AI353/AI352)-1))</f>
        <v/>
      </c>
      <c r="AK353" s="23" t="str">
        <f>IF(OR(AJ353="",AJ352=""),"",IF(AJ352=0,"",(AJ353/AJ352)-1))</f>
        <v/>
      </c>
      <c r="AL353" s="23" t="str">
        <f>IF(ROW()&lt;7,"",IF(OR(AJ353="",AJ350=""),"",IF(AJ350=0,"",(AJ353/AJ350)-1)))</f>
        <v/>
      </c>
      <c r="AM353" s="23" t="str">
        <f>IF(ROW()&lt;9,"",IF(OR(AJ353="",AJ348=""),"",IF(AJ348=0,"",(AJ353/AJ348)-1)))</f>
        <v/>
      </c>
      <c r="AN353" t="str">
        <f>IF(OR(AL353="",AM353=""),"",IF(AND(AL353&gt;0,AM353&gt;0),"Bull",IF(AND(AL353&lt;0,AM353&lt;0),"Bear","Mixed")))</f>
        <v/>
      </c>
      <c r="AO353" t="str">
        <f>IF(OR(AH353="",AN353=""),"",IF(AND(AH353="Bull",AN353="Bull"),"YES","NO"))</f>
        <v/>
      </c>
      <c r="AP353" t="str">
        <f>IF(OR(AH353="",AN353=""),"",IF(AND(AH353="Bear",AN353="Bear"),"YES","NO"))</f>
        <v/>
      </c>
      <c r="AQ353" t="str">
        <f>IF(AO353="YES",IF(SUM(N(X353),N(Y353),N(Z353))&gt;0,"SOXL","TQQQ"),IF(AP353="YES",IF(SUM(N(AA353),N(AB353),N(AC353))&gt;0,"SOXS","SQQQ"),"WAIT"))</f>
        <v>WAIT</v>
      </c>
      <c r="AR353" s="23" t="str">
        <f>IF(AO353="YES",IF(SUM(N(X353),N(Y353),N(Z353))&gt;0,"TQQQ","SOXL"),IF(AP353="YES",IF(SUM(N(AA353),N(AB353),N(AC353))&gt;0,"SQQQ","SOXS"),""))</f>
        <v/>
      </c>
      <c r="AS353" s="23" t="str">
        <f>IF(AQ353="WAIT","",IF(AR353="",1,0.6))</f>
        <v/>
      </c>
      <c r="AT353" s="23">
        <f>IF(AR353="",0,0.4)</f>
        <v>0</v>
      </c>
      <c r="AU353" s="23" t="str">
        <f>IF(AQ353="WAIT","WAIT",IF(AO353="YES","BULL",IF(AP353="YES","BEAR","WAIT")))</f>
        <v>WAIT</v>
      </c>
      <c r="AV353" t="str">
        <f>IF(AQ353="WAIT","Low",IF(OR(AND(AU353="BULL",ABS(SUM(N(X353),N(Y353),N(Z353)))&gt;=0.15),AND(AU353="BEAR",ABS(SUM(N(AA353),N(AB353),N(AC353)))&gt;=0.15)),"Strong",IF(OR(AND(AU353="BULL",ABS(SUM(N(X353),N(Y353),N(Z353)))&gt;=0.05),AND(AU353="BEAR",ABS(SUM(N(AA353),N(AB353),N(AC353)))&gt;=0.05)),"Moderate","Low")))</f>
        <v>Low</v>
      </c>
      <c r="AW353" t="str">
        <f>IF(AQ353="WAIT","QQQ and SMH not aligned",IF(AU353="BULL",IF(AQ353="SOXL","Bull regime; semiconductors leading","Bull regime; tech leading"),IF(AQ353="SOXS","Bear regime; semiconductors weakest","Bear regime; tech weakest")))</f>
        <v>QQQ and SMH not aligned</v>
      </c>
      <c r="AX353" t="str">
        <f>IF(AR353="WAIT","QQQ and SMH not aligned",IF(AV353="BULL",IF(AR353="SOXL","Bull regime; semiconductors leading","Bull regime; tech leading"),IF(AR353="SOXS","Bear regime; semiconductors weakest","Bear regime; tech weakest")))</f>
        <v>Bear regime; tech weakest</v>
      </c>
    </row>
    <row r="354" spans="1:50" x14ac:dyDescent="0.2">
      <c r="A354" s="12"/>
      <c r="B354" s="13"/>
      <c r="C354" s="13"/>
      <c r="D354" s="13"/>
      <c r="E354" s="13"/>
      <c r="F354" s="11" t="str">
        <f>IF(OR(E354="",E353=""),"",IF(E353=0,"",(E354/E353)-1))</f>
        <v/>
      </c>
      <c r="G354" s="13"/>
      <c r="H354" s="11" t="str">
        <f>IF(OR(G354="",G353=""),"",IF(G353=0,"",(G354/G353)-1))</f>
        <v/>
      </c>
      <c r="I354" s="13"/>
      <c r="J354" s="13"/>
      <c r="K354" s="13"/>
      <c r="L354" s="13"/>
      <c r="M354" s="23" t="str">
        <f>IF(OR(L354="",L353=""),"",IF(L353=0,"",(L354/L353)-1))</f>
        <v/>
      </c>
      <c r="N354" s="26" t="str">
        <f>IFERROR((M354/M353)-1,"")</f>
        <v/>
      </c>
      <c r="O354" s="23" t="str">
        <f>IF(OR(N354="",N353=""),"",IF(N353=0,"",(N354/N353)-1))</f>
        <v/>
      </c>
      <c r="P354" s="11" t="str">
        <f>IF(ROW()&lt;7,"",IF(OR(E354="",E351=""),"",IF(E351=0,"",(E354/E351)-1)))</f>
        <v/>
      </c>
      <c r="Q354" s="23" t="str">
        <f>IF(ROW()&lt;9,"",IF(OR(E354="",E349=""),"",IF(E349=0,"",(E354/E349)-1)))</f>
        <v/>
      </c>
      <c r="R354" s="23" t="str">
        <f>IF(ROW()&lt;7,"",IF(OR(G354="",G351=""),"",IF(G351=0,"",(G354/G351)-1)))</f>
        <v/>
      </c>
      <c r="S354" s="23" t="str">
        <f>IF(ROW()&lt;9,"",IF(OR(G354="",G349=""),"",IF(G349=0,"",(G354/G349)-1)))</f>
        <v/>
      </c>
      <c r="T354" s="23" t="str">
        <f>IF(ROW()&lt;7,"",IF(OR(L354="",L351=""),"",IF(L351=0,"",(L354/L351)-1)))</f>
        <v/>
      </c>
      <c r="U354" s="23" t="str">
        <f>IF(ROW()&lt;9,"",IF(OR(L354="",L349=""),"",IF(L349=0,"",(L354/L349)-1)))</f>
        <v/>
      </c>
      <c r="V354" s="23" t="str">
        <f>IF(ROW()&lt;7,"",IF(OR(N354="",N351=""),"",IF(N351=0,"",(N354/N351)-1)))</f>
        <v/>
      </c>
      <c r="W354" s="23" t="str">
        <f>IF(ROW()&lt;9,"",IF(OR(N354="",N349=""),"",IF(N349=0,"",(N354/N349)-1)))</f>
        <v/>
      </c>
      <c r="X354" s="23" t="str">
        <f>IF(OR(F354="",M354=""),"",F354-M354)</f>
        <v/>
      </c>
      <c r="Y354" s="23" t="str">
        <f>IF(OR(P354="",T354=""),"",P354-T354)</f>
        <v/>
      </c>
      <c r="Z354" s="23" t="str">
        <f>IF(OR(Q354="",U354=""),"",Q354-U354)</f>
        <v/>
      </c>
      <c r="AA354" s="23" t="str">
        <f>IF(OR(H354="",O354=""),"",H354-O354)</f>
        <v/>
      </c>
      <c r="AB354" s="23" t="str">
        <f>IF(OR(R354="",V354=""),"",R354-V354)</f>
        <v/>
      </c>
      <c r="AC354" s="23" t="str">
        <f>IF(OR(S354="",W354=""),"",S354-W354)</f>
        <v/>
      </c>
      <c r="AD354" s="13"/>
      <c r="AE354" s="23" t="str">
        <f>IF(OR(AD354="",AD353=""),"",IF(AD353=0,"",(AD354/AD353)-1))</f>
        <v/>
      </c>
      <c r="AF354" s="23" t="str">
        <f>IF(ROW()&lt;7,"",IF(OR(AD354="",AD351=""),"",IF(AD351=0,"",(AD354/AD351)-1)))</f>
        <v/>
      </c>
      <c r="AG354" s="23" t="str">
        <f>IF(ROW()&lt;9,"",IF(OR(AD354="",AD349=""),"",IF(AD349=0,"",(AD354/AD349)-1)))</f>
        <v/>
      </c>
      <c r="AH354" s="23" t="str">
        <f>IF(OR(AF354="",AG354=""),"",IF(AND(AF354&gt;0,AG354&gt;0),"Bull",IF(AND(AF354&lt;0,AG354&lt;0),"Bear","Mixed")))</f>
        <v/>
      </c>
      <c r="AI354" s="13"/>
      <c r="AJ354" s="13" t="str">
        <f>IF(OR(AI354="",AI353=""),"",IF(AI353=0,"",(AI354/AI353)-1))</f>
        <v/>
      </c>
      <c r="AK354" s="23" t="str">
        <f>IF(OR(AJ354="",AJ353=""),"",IF(AJ353=0,"",(AJ354/AJ353)-1))</f>
        <v/>
      </c>
      <c r="AL354" s="23" t="str">
        <f>IF(ROW()&lt;7,"",IF(OR(AJ354="",AJ351=""),"",IF(AJ351=0,"",(AJ354/AJ351)-1)))</f>
        <v/>
      </c>
      <c r="AM354" s="23" t="str">
        <f>IF(ROW()&lt;9,"",IF(OR(AJ354="",AJ349=""),"",IF(AJ349=0,"",(AJ354/AJ349)-1)))</f>
        <v/>
      </c>
      <c r="AN354" t="str">
        <f>IF(OR(AL354="",AM354=""),"",IF(AND(AL354&gt;0,AM354&gt;0),"Bull",IF(AND(AL354&lt;0,AM354&lt;0),"Bear","Mixed")))</f>
        <v/>
      </c>
      <c r="AO354" t="str">
        <f>IF(OR(AH354="",AN354=""),"",IF(AND(AH354="Bull",AN354="Bull"),"YES","NO"))</f>
        <v/>
      </c>
      <c r="AP354" t="str">
        <f>IF(OR(AH354="",AN354=""),"",IF(AND(AH354="Bear",AN354="Bear"),"YES","NO"))</f>
        <v/>
      </c>
      <c r="AQ354" t="str">
        <f>IF(AO354="YES",IF(SUM(N(X354),N(Y354),N(Z354))&gt;0,"SOXL","TQQQ"),IF(AP354="YES",IF(SUM(N(AA354),N(AB354),N(AC354))&gt;0,"SOXS","SQQQ"),"WAIT"))</f>
        <v>WAIT</v>
      </c>
      <c r="AR354" s="23" t="str">
        <f>IF(AO354="YES",IF(SUM(N(X354),N(Y354),N(Z354))&gt;0,"TQQQ","SOXL"),IF(AP354="YES",IF(SUM(N(AA354),N(AB354),N(AC354))&gt;0,"SQQQ","SOXS"),""))</f>
        <v/>
      </c>
      <c r="AS354" s="23" t="str">
        <f>IF(AQ354="WAIT","",IF(AR354="",1,0.6))</f>
        <v/>
      </c>
      <c r="AT354" s="23">
        <f>IF(AR354="",0,0.4)</f>
        <v>0</v>
      </c>
      <c r="AU354" s="23" t="str">
        <f>IF(AQ354="WAIT","WAIT",IF(AO354="YES","BULL",IF(AP354="YES","BEAR","WAIT")))</f>
        <v>WAIT</v>
      </c>
      <c r="AV354" t="str">
        <f>IF(AQ354="WAIT","Low",IF(OR(AND(AU354="BULL",ABS(SUM(N(X354),N(Y354),N(Z354)))&gt;=0.15),AND(AU354="BEAR",ABS(SUM(N(AA354),N(AB354),N(AC354)))&gt;=0.15)),"Strong",IF(OR(AND(AU354="BULL",ABS(SUM(N(X354),N(Y354),N(Z354)))&gt;=0.05),AND(AU354="BEAR",ABS(SUM(N(AA354),N(AB354),N(AC354)))&gt;=0.05)),"Moderate","Low")))</f>
        <v>Low</v>
      </c>
      <c r="AW354" t="str">
        <f>IF(AQ354="WAIT","QQQ and SMH not aligned",IF(AU354="BULL",IF(AQ354="SOXL","Bull regime; semiconductors leading","Bull regime; tech leading"),IF(AQ354="SOXS","Bear regime; semiconductors weakest","Bear regime; tech weakest")))</f>
        <v>QQQ and SMH not aligned</v>
      </c>
      <c r="AX354" t="str">
        <f>IF(AR354="WAIT","QQQ and SMH not aligned",IF(AV354="BULL",IF(AR354="SOXL","Bull regime; semiconductors leading","Bull regime; tech leading"),IF(AR354="SOXS","Bear regime; semiconductors weakest","Bear regime; tech weakest")))</f>
        <v>Bear regime; tech weakest</v>
      </c>
    </row>
    <row r="355" spans="1:50" x14ac:dyDescent="0.2">
      <c r="A355" s="12"/>
      <c r="B355" s="13"/>
      <c r="C355" s="13"/>
      <c r="D355" s="13"/>
      <c r="E355" s="13"/>
      <c r="F355" s="11" t="str">
        <f>IF(OR(E355="",E354=""),"",IF(E354=0,"",(E355/E354)-1))</f>
        <v/>
      </c>
      <c r="G355" s="13"/>
      <c r="H355" s="11" t="str">
        <f>IF(OR(G355="",G354=""),"",IF(G354=0,"",(G355/G354)-1))</f>
        <v/>
      </c>
      <c r="I355" s="13"/>
      <c r="J355" s="13"/>
      <c r="K355" s="13"/>
      <c r="L355" s="13"/>
      <c r="M355" s="23" t="str">
        <f>IF(OR(L355="",L354=""),"",IF(L354=0,"",(L355/L354)-1))</f>
        <v/>
      </c>
      <c r="N355" s="26" t="str">
        <f>IFERROR((M355/M354)-1,"")</f>
        <v/>
      </c>
      <c r="O355" s="23" t="str">
        <f>IF(OR(N355="",N354=""),"",IF(N354=0,"",(N355/N354)-1))</f>
        <v/>
      </c>
      <c r="P355" s="11" t="str">
        <f>IF(ROW()&lt;7,"",IF(OR(E355="",E352=""),"",IF(E352=0,"",(E355/E352)-1)))</f>
        <v/>
      </c>
      <c r="Q355" s="23" t="str">
        <f>IF(ROW()&lt;9,"",IF(OR(E355="",E350=""),"",IF(E350=0,"",(E355/E350)-1)))</f>
        <v/>
      </c>
      <c r="R355" s="23" t="str">
        <f>IF(ROW()&lt;7,"",IF(OR(G355="",G352=""),"",IF(G352=0,"",(G355/G352)-1)))</f>
        <v/>
      </c>
      <c r="S355" s="23" t="str">
        <f>IF(ROW()&lt;9,"",IF(OR(G355="",G350=""),"",IF(G350=0,"",(G355/G350)-1)))</f>
        <v/>
      </c>
      <c r="T355" s="23" t="str">
        <f>IF(ROW()&lt;7,"",IF(OR(L355="",L352=""),"",IF(L352=0,"",(L355/L352)-1)))</f>
        <v/>
      </c>
      <c r="U355" s="23" t="str">
        <f>IF(ROW()&lt;9,"",IF(OR(L355="",L350=""),"",IF(L350=0,"",(L355/L350)-1)))</f>
        <v/>
      </c>
      <c r="V355" s="23" t="str">
        <f>IF(ROW()&lt;7,"",IF(OR(N355="",N352=""),"",IF(N352=0,"",(N355/N352)-1)))</f>
        <v/>
      </c>
      <c r="W355" s="23" t="str">
        <f>IF(ROW()&lt;9,"",IF(OR(N355="",N350=""),"",IF(N350=0,"",(N355/N350)-1)))</f>
        <v/>
      </c>
      <c r="X355" s="23" t="str">
        <f>IF(OR(F355="",M355=""),"",F355-M355)</f>
        <v/>
      </c>
      <c r="Y355" s="23" t="str">
        <f>IF(OR(P355="",T355=""),"",P355-T355)</f>
        <v/>
      </c>
      <c r="Z355" s="23" t="str">
        <f>IF(OR(Q355="",U355=""),"",Q355-U355)</f>
        <v/>
      </c>
      <c r="AA355" s="23" t="str">
        <f>IF(OR(H355="",O355=""),"",H355-O355)</f>
        <v/>
      </c>
      <c r="AB355" s="23" t="str">
        <f>IF(OR(R355="",V355=""),"",R355-V355)</f>
        <v/>
      </c>
      <c r="AC355" s="23" t="str">
        <f>IF(OR(S355="",W355=""),"",S355-W355)</f>
        <v/>
      </c>
      <c r="AD355" s="13"/>
      <c r="AE355" s="23" t="str">
        <f>IF(OR(AD355="",AD354=""),"",IF(AD354=0,"",(AD355/AD354)-1))</f>
        <v/>
      </c>
      <c r="AF355" s="23" t="str">
        <f>IF(ROW()&lt;7,"",IF(OR(AD355="",AD352=""),"",IF(AD352=0,"",(AD355/AD352)-1)))</f>
        <v/>
      </c>
      <c r="AG355" s="23" t="str">
        <f>IF(ROW()&lt;9,"",IF(OR(AD355="",AD350=""),"",IF(AD350=0,"",(AD355/AD350)-1)))</f>
        <v/>
      </c>
      <c r="AH355" s="23" t="str">
        <f>IF(OR(AF355="",AG355=""),"",IF(AND(AF355&gt;0,AG355&gt;0),"Bull",IF(AND(AF355&lt;0,AG355&lt;0),"Bear","Mixed")))</f>
        <v/>
      </c>
      <c r="AI355" s="13"/>
      <c r="AJ355" s="13" t="str">
        <f>IF(OR(AI355="",AI354=""),"",IF(AI354=0,"",(AI355/AI354)-1))</f>
        <v/>
      </c>
      <c r="AK355" s="23" t="str">
        <f>IF(OR(AJ355="",AJ354=""),"",IF(AJ354=0,"",(AJ355/AJ354)-1))</f>
        <v/>
      </c>
      <c r="AL355" s="23" t="str">
        <f>IF(ROW()&lt;7,"",IF(OR(AJ355="",AJ352=""),"",IF(AJ352=0,"",(AJ355/AJ352)-1)))</f>
        <v/>
      </c>
      <c r="AM355" s="23" t="str">
        <f>IF(ROW()&lt;9,"",IF(OR(AJ355="",AJ350=""),"",IF(AJ350=0,"",(AJ355/AJ350)-1)))</f>
        <v/>
      </c>
      <c r="AN355" t="str">
        <f>IF(OR(AL355="",AM355=""),"",IF(AND(AL355&gt;0,AM355&gt;0),"Bull",IF(AND(AL355&lt;0,AM355&lt;0),"Bear","Mixed")))</f>
        <v/>
      </c>
      <c r="AO355" t="str">
        <f>IF(OR(AH355="",AN355=""),"",IF(AND(AH355="Bull",AN355="Bull"),"YES","NO"))</f>
        <v/>
      </c>
      <c r="AP355" t="str">
        <f>IF(OR(AH355="",AN355=""),"",IF(AND(AH355="Bear",AN355="Bear"),"YES","NO"))</f>
        <v/>
      </c>
      <c r="AQ355" t="str">
        <f>IF(AO355="YES",IF(SUM(N(X355),N(Y355),N(Z355))&gt;0,"SOXL","TQQQ"),IF(AP355="YES",IF(SUM(N(AA355),N(AB355),N(AC355))&gt;0,"SOXS","SQQQ"),"WAIT"))</f>
        <v>WAIT</v>
      </c>
      <c r="AR355" s="23" t="str">
        <f>IF(AO355="YES",IF(SUM(N(X355),N(Y355),N(Z355))&gt;0,"TQQQ","SOXL"),IF(AP355="YES",IF(SUM(N(AA355),N(AB355),N(AC355))&gt;0,"SQQQ","SOXS"),""))</f>
        <v/>
      </c>
      <c r="AS355" s="23" t="str">
        <f>IF(AQ355="WAIT","",IF(AR355="",1,0.6))</f>
        <v/>
      </c>
      <c r="AT355" s="23">
        <f>IF(AR355="",0,0.4)</f>
        <v>0</v>
      </c>
      <c r="AU355" s="23" t="str">
        <f>IF(AQ355="WAIT","WAIT",IF(AO355="YES","BULL",IF(AP355="YES","BEAR","WAIT")))</f>
        <v>WAIT</v>
      </c>
      <c r="AV355" t="str">
        <f>IF(AQ355="WAIT","Low",IF(OR(AND(AU355="BULL",ABS(SUM(N(X355),N(Y355),N(Z355)))&gt;=0.15),AND(AU355="BEAR",ABS(SUM(N(AA355),N(AB355),N(AC355)))&gt;=0.15)),"Strong",IF(OR(AND(AU355="BULL",ABS(SUM(N(X355),N(Y355),N(Z355)))&gt;=0.05),AND(AU355="BEAR",ABS(SUM(N(AA355),N(AB355),N(AC355)))&gt;=0.05)),"Moderate","Low")))</f>
        <v>Low</v>
      </c>
      <c r="AW355" t="str">
        <f>IF(AQ355="WAIT","QQQ and SMH not aligned",IF(AU355="BULL",IF(AQ355="SOXL","Bull regime; semiconductors leading","Bull regime; tech leading"),IF(AQ355="SOXS","Bear regime; semiconductors weakest","Bear regime; tech weakest")))</f>
        <v>QQQ and SMH not aligned</v>
      </c>
      <c r="AX355" t="str">
        <f>IF(AR355="WAIT","QQQ and SMH not aligned",IF(AV355="BULL",IF(AR355="SOXL","Bull regime; semiconductors leading","Bull regime; tech leading"),IF(AR355="SOXS","Bear regime; semiconductors weakest","Bear regime; tech weakest")))</f>
        <v>Bear regime; tech weakest</v>
      </c>
    </row>
    <row r="356" spans="1:50" x14ac:dyDescent="0.2">
      <c r="A356" s="12"/>
      <c r="B356" s="13"/>
      <c r="C356" s="13"/>
      <c r="D356" s="13"/>
      <c r="E356" s="13"/>
      <c r="F356" s="11" t="str">
        <f>IF(OR(E356="",E355=""),"",IF(E355=0,"",(E356/E355)-1))</f>
        <v/>
      </c>
      <c r="G356" s="13"/>
      <c r="H356" s="11" t="str">
        <f>IF(OR(G356="",G355=""),"",IF(G355=0,"",(G356/G355)-1))</f>
        <v/>
      </c>
      <c r="I356" s="13"/>
      <c r="J356" s="13"/>
      <c r="K356" s="13"/>
      <c r="L356" s="13"/>
      <c r="M356" s="23" t="str">
        <f>IF(OR(L356="",L355=""),"",IF(L355=0,"",(L356/L355)-1))</f>
        <v/>
      </c>
      <c r="N356" s="26" t="str">
        <f>IFERROR((M356/M355)-1,"")</f>
        <v/>
      </c>
      <c r="O356" s="23" t="str">
        <f>IF(OR(N356="",N355=""),"",IF(N355=0,"",(N356/N355)-1))</f>
        <v/>
      </c>
      <c r="P356" s="11" t="str">
        <f>IF(ROW()&lt;7,"",IF(OR(E356="",E353=""),"",IF(E353=0,"",(E356/E353)-1)))</f>
        <v/>
      </c>
      <c r="Q356" s="23" t="str">
        <f>IF(ROW()&lt;9,"",IF(OR(E356="",E351=""),"",IF(E351=0,"",(E356/E351)-1)))</f>
        <v/>
      </c>
      <c r="R356" s="23" t="str">
        <f>IF(ROW()&lt;7,"",IF(OR(G356="",G353=""),"",IF(G353=0,"",(G356/G353)-1)))</f>
        <v/>
      </c>
      <c r="S356" s="23" t="str">
        <f>IF(ROW()&lt;9,"",IF(OR(G356="",G351=""),"",IF(G351=0,"",(G356/G351)-1)))</f>
        <v/>
      </c>
      <c r="T356" s="23" t="str">
        <f>IF(ROW()&lt;7,"",IF(OR(L356="",L353=""),"",IF(L353=0,"",(L356/L353)-1)))</f>
        <v/>
      </c>
      <c r="U356" s="23" t="str">
        <f>IF(ROW()&lt;9,"",IF(OR(L356="",L351=""),"",IF(L351=0,"",(L356/L351)-1)))</f>
        <v/>
      </c>
      <c r="V356" s="23" t="str">
        <f>IF(ROW()&lt;7,"",IF(OR(N356="",N353=""),"",IF(N353=0,"",(N356/N353)-1)))</f>
        <v/>
      </c>
      <c r="W356" s="23" t="str">
        <f>IF(ROW()&lt;9,"",IF(OR(N356="",N351=""),"",IF(N351=0,"",(N356/N351)-1)))</f>
        <v/>
      </c>
      <c r="X356" s="23" t="str">
        <f>IF(OR(F356="",M356=""),"",F356-M356)</f>
        <v/>
      </c>
      <c r="Y356" s="23" t="str">
        <f>IF(OR(P356="",T356=""),"",P356-T356)</f>
        <v/>
      </c>
      <c r="Z356" s="23" t="str">
        <f>IF(OR(Q356="",U356=""),"",Q356-U356)</f>
        <v/>
      </c>
      <c r="AA356" s="23" t="str">
        <f>IF(OR(H356="",O356=""),"",H356-O356)</f>
        <v/>
      </c>
      <c r="AB356" s="23" t="str">
        <f>IF(OR(R356="",V356=""),"",R356-V356)</f>
        <v/>
      </c>
      <c r="AC356" s="23" t="str">
        <f>IF(OR(S356="",W356=""),"",S356-W356)</f>
        <v/>
      </c>
      <c r="AD356" s="13"/>
      <c r="AE356" s="23" t="str">
        <f>IF(OR(AD356="",AD355=""),"",IF(AD355=0,"",(AD356/AD355)-1))</f>
        <v/>
      </c>
      <c r="AF356" s="23" t="str">
        <f>IF(ROW()&lt;7,"",IF(OR(AD356="",AD353=""),"",IF(AD353=0,"",(AD356/AD353)-1)))</f>
        <v/>
      </c>
      <c r="AG356" s="23" t="str">
        <f>IF(ROW()&lt;9,"",IF(OR(AD356="",AD351=""),"",IF(AD351=0,"",(AD356/AD351)-1)))</f>
        <v/>
      </c>
      <c r="AH356" s="23" t="str">
        <f>IF(OR(AF356="",AG356=""),"",IF(AND(AF356&gt;0,AG356&gt;0),"Bull",IF(AND(AF356&lt;0,AG356&lt;0),"Bear","Mixed")))</f>
        <v/>
      </c>
      <c r="AI356" s="13"/>
      <c r="AJ356" s="13" t="str">
        <f>IF(OR(AI356="",AI355=""),"",IF(AI355=0,"",(AI356/AI355)-1))</f>
        <v/>
      </c>
      <c r="AK356" s="23" t="str">
        <f>IF(OR(AJ356="",AJ355=""),"",IF(AJ355=0,"",(AJ356/AJ355)-1))</f>
        <v/>
      </c>
      <c r="AL356" s="23" t="str">
        <f>IF(ROW()&lt;7,"",IF(OR(AJ356="",AJ353=""),"",IF(AJ353=0,"",(AJ356/AJ353)-1)))</f>
        <v/>
      </c>
      <c r="AM356" s="23" t="str">
        <f>IF(ROW()&lt;9,"",IF(OR(AJ356="",AJ351=""),"",IF(AJ351=0,"",(AJ356/AJ351)-1)))</f>
        <v/>
      </c>
      <c r="AN356" t="str">
        <f>IF(OR(AL356="",AM356=""),"",IF(AND(AL356&gt;0,AM356&gt;0),"Bull",IF(AND(AL356&lt;0,AM356&lt;0),"Bear","Mixed")))</f>
        <v/>
      </c>
      <c r="AO356" t="str">
        <f>IF(OR(AH356="",AN356=""),"",IF(AND(AH356="Bull",AN356="Bull"),"YES","NO"))</f>
        <v/>
      </c>
      <c r="AP356" t="str">
        <f>IF(OR(AH356="",AN356=""),"",IF(AND(AH356="Bear",AN356="Bear"),"YES","NO"))</f>
        <v/>
      </c>
      <c r="AQ356" t="str">
        <f>IF(AO356="YES",IF(SUM(N(X356),N(Y356),N(Z356))&gt;0,"SOXL","TQQQ"),IF(AP356="YES",IF(SUM(N(AA356),N(AB356),N(AC356))&gt;0,"SOXS","SQQQ"),"WAIT"))</f>
        <v>WAIT</v>
      </c>
      <c r="AR356" s="23" t="str">
        <f>IF(AO356="YES",IF(SUM(N(X356),N(Y356),N(Z356))&gt;0,"TQQQ","SOXL"),IF(AP356="YES",IF(SUM(N(AA356),N(AB356),N(AC356))&gt;0,"SQQQ","SOXS"),""))</f>
        <v/>
      </c>
      <c r="AS356" s="23" t="str">
        <f>IF(AQ356="WAIT","",IF(AR356="",1,0.6))</f>
        <v/>
      </c>
      <c r="AT356" s="23">
        <f>IF(AR356="",0,0.4)</f>
        <v>0</v>
      </c>
      <c r="AU356" s="23" t="str">
        <f>IF(AQ356="WAIT","WAIT",IF(AO356="YES","BULL",IF(AP356="YES","BEAR","WAIT")))</f>
        <v>WAIT</v>
      </c>
      <c r="AV356" t="str">
        <f>IF(AQ356="WAIT","Low",IF(OR(AND(AU356="BULL",ABS(SUM(N(X356),N(Y356),N(Z356)))&gt;=0.15),AND(AU356="BEAR",ABS(SUM(N(AA356),N(AB356),N(AC356)))&gt;=0.15)),"Strong",IF(OR(AND(AU356="BULL",ABS(SUM(N(X356),N(Y356),N(Z356)))&gt;=0.05),AND(AU356="BEAR",ABS(SUM(N(AA356),N(AB356),N(AC356)))&gt;=0.05)),"Moderate","Low")))</f>
        <v>Low</v>
      </c>
      <c r="AW356" t="str">
        <f>IF(AQ356="WAIT","QQQ and SMH not aligned",IF(AU356="BULL",IF(AQ356="SOXL","Bull regime; semiconductors leading","Bull regime; tech leading"),IF(AQ356="SOXS","Bear regime; semiconductors weakest","Bear regime; tech weakest")))</f>
        <v>QQQ and SMH not aligned</v>
      </c>
      <c r="AX356" t="str">
        <f>IF(AR356="WAIT","QQQ and SMH not aligned",IF(AV356="BULL",IF(AR356="SOXL","Bull regime; semiconductors leading","Bull regime; tech leading"),IF(AR356="SOXS","Bear regime; semiconductors weakest","Bear regime; tech weakest")))</f>
        <v>Bear regime; tech weakest</v>
      </c>
    </row>
    <row r="357" spans="1:50" x14ac:dyDescent="0.2">
      <c r="A357" s="12"/>
      <c r="B357" s="13"/>
      <c r="C357" s="13"/>
      <c r="D357" s="13"/>
      <c r="E357" s="13"/>
      <c r="F357" s="11" t="str">
        <f>IF(OR(E357="",E356=""),"",IF(E356=0,"",(E357/E356)-1))</f>
        <v/>
      </c>
      <c r="G357" s="13"/>
      <c r="H357" s="11" t="str">
        <f>IF(OR(G357="",G356=""),"",IF(G356=0,"",(G357/G356)-1))</f>
        <v/>
      </c>
      <c r="I357" s="13"/>
      <c r="J357" s="13"/>
      <c r="K357" s="13"/>
      <c r="L357" s="13"/>
      <c r="M357" s="23" t="str">
        <f>IF(OR(L357="",L356=""),"",IF(L356=0,"",(L357/L356)-1))</f>
        <v/>
      </c>
      <c r="N357" s="26" t="str">
        <f>IFERROR((M357/M356)-1,"")</f>
        <v/>
      </c>
      <c r="O357" s="23" t="str">
        <f>IF(OR(N357="",N356=""),"",IF(N356=0,"",(N357/N356)-1))</f>
        <v/>
      </c>
      <c r="P357" s="11" t="str">
        <f>IF(ROW()&lt;7,"",IF(OR(E357="",E354=""),"",IF(E354=0,"",(E357/E354)-1)))</f>
        <v/>
      </c>
      <c r="Q357" s="23" t="str">
        <f>IF(ROW()&lt;9,"",IF(OR(E357="",E352=""),"",IF(E352=0,"",(E357/E352)-1)))</f>
        <v/>
      </c>
      <c r="R357" s="23" t="str">
        <f>IF(ROW()&lt;7,"",IF(OR(G357="",G354=""),"",IF(G354=0,"",(G357/G354)-1)))</f>
        <v/>
      </c>
      <c r="S357" s="23" t="str">
        <f>IF(ROW()&lt;9,"",IF(OR(G357="",G352=""),"",IF(G352=0,"",(G357/G352)-1)))</f>
        <v/>
      </c>
      <c r="T357" s="23" t="str">
        <f>IF(ROW()&lt;7,"",IF(OR(L357="",L354=""),"",IF(L354=0,"",(L357/L354)-1)))</f>
        <v/>
      </c>
      <c r="U357" s="23" t="str">
        <f>IF(ROW()&lt;9,"",IF(OR(L357="",L352=""),"",IF(L352=0,"",(L357/L352)-1)))</f>
        <v/>
      </c>
      <c r="V357" s="23" t="str">
        <f>IF(ROW()&lt;7,"",IF(OR(N357="",N354=""),"",IF(N354=0,"",(N357/N354)-1)))</f>
        <v/>
      </c>
      <c r="W357" s="23" t="str">
        <f>IF(ROW()&lt;9,"",IF(OR(N357="",N352=""),"",IF(N352=0,"",(N357/N352)-1)))</f>
        <v/>
      </c>
      <c r="X357" s="23" t="str">
        <f>IF(OR(F357="",M357=""),"",F357-M357)</f>
        <v/>
      </c>
      <c r="Y357" s="23" t="str">
        <f>IF(OR(P357="",T357=""),"",P357-T357)</f>
        <v/>
      </c>
      <c r="Z357" s="23" t="str">
        <f>IF(OR(Q357="",U357=""),"",Q357-U357)</f>
        <v/>
      </c>
      <c r="AA357" s="23" t="str">
        <f>IF(OR(H357="",O357=""),"",H357-O357)</f>
        <v/>
      </c>
      <c r="AB357" s="23" t="str">
        <f>IF(OR(R357="",V357=""),"",R357-V357)</f>
        <v/>
      </c>
      <c r="AC357" s="23" t="str">
        <f>IF(OR(S357="",W357=""),"",S357-W357)</f>
        <v/>
      </c>
      <c r="AD357" s="13"/>
      <c r="AE357" s="23" t="str">
        <f>IF(OR(AD357="",AD356=""),"",IF(AD356=0,"",(AD357/AD356)-1))</f>
        <v/>
      </c>
      <c r="AF357" s="23" t="str">
        <f>IF(ROW()&lt;7,"",IF(OR(AD357="",AD354=""),"",IF(AD354=0,"",(AD357/AD354)-1)))</f>
        <v/>
      </c>
      <c r="AG357" s="23" t="str">
        <f>IF(ROW()&lt;9,"",IF(OR(AD357="",AD352=""),"",IF(AD352=0,"",(AD357/AD352)-1)))</f>
        <v/>
      </c>
      <c r="AH357" s="23" t="str">
        <f>IF(OR(AF357="",AG357=""),"",IF(AND(AF357&gt;0,AG357&gt;0),"Bull",IF(AND(AF357&lt;0,AG357&lt;0),"Bear","Mixed")))</f>
        <v/>
      </c>
      <c r="AI357" s="13"/>
      <c r="AJ357" s="13" t="str">
        <f>IF(OR(AI357="",AI356=""),"",IF(AI356=0,"",(AI357/AI356)-1))</f>
        <v/>
      </c>
      <c r="AK357" s="23" t="str">
        <f>IF(OR(AJ357="",AJ356=""),"",IF(AJ356=0,"",(AJ357/AJ356)-1))</f>
        <v/>
      </c>
      <c r="AL357" s="23" t="str">
        <f>IF(ROW()&lt;7,"",IF(OR(AJ357="",AJ354=""),"",IF(AJ354=0,"",(AJ357/AJ354)-1)))</f>
        <v/>
      </c>
      <c r="AM357" s="23" t="str">
        <f>IF(ROW()&lt;9,"",IF(OR(AJ357="",AJ352=""),"",IF(AJ352=0,"",(AJ357/AJ352)-1)))</f>
        <v/>
      </c>
      <c r="AN357" t="str">
        <f>IF(OR(AL357="",AM357=""),"",IF(AND(AL357&gt;0,AM357&gt;0),"Bull",IF(AND(AL357&lt;0,AM357&lt;0),"Bear","Mixed")))</f>
        <v/>
      </c>
      <c r="AO357" t="str">
        <f>IF(OR(AH357="",AN357=""),"",IF(AND(AH357="Bull",AN357="Bull"),"YES","NO"))</f>
        <v/>
      </c>
      <c r="AP357" t="str">
        <f>IF(OR(AH357="",AN357=""),"",IF(AND(AH357="Bear",AN357="Bear"),"YES","NO"))</f>
        <v/>
      </c>
      <c r="AQ357" t="str">
        <f>IF(AO357="YES",IF(SUM(N(X357),N(Y357),N(Z357))&gt;0,"SOXL","TQQQ"),IF(AP357="YES",IF(SUM(N(AA357),N(AB357),N(AC357))&gt;0,"SOXS","SQQQ"),"WAIT"))</f>
        <v>WAIT</v>
      </c>
      <c r="AR357" s="23" t="str">
        <f>IF(AO357="YES",IF(SUM(N(X357),N(Y357),N(Z357))&gt;0,"TQQQ","SOXL"),IF(AP357="YES",IF(SUM(N(AA357),N(AB357),N(AC357))&gt;0,"SQQQ","SOXS"),""))</f>
        <v/>
      </c>
      <c r="AS357" s="23" t="str">
        <f>IF(AQ357="WAIT","",IF(AR357="",1,0.6))</f>
        <v/>
      </c>
      <c r="AT357" s="23">
        <f>IF(AR357="",0,0.4)</f>
        <v>0</v>
      </c>
      <c r="AU357" s="23" t="str">
        <f>IF(AQ357="WAIT","WAIT",IF(AO357="YES","BULL",IF(AP357="YES","BEAR","WAIT")))</f>
        <v>WAIT</v>
      </c>
      <c r="AV357" t="str">
        <f>IF(AQ357="WAIT","Low",IF(OR(AND(AU357="BULL",ABS(SUM(N(X357),N(Y357),N(Z357)))&gt;=0.15),AND(AU357="BEAR",ABS(SUM(N(AA357),N(AB357),N(AC357)))&gt;=0.15)),"Strong",IF(OR(AND(AU357="BULL",ABS(SUM(N(X357),N(Y357),N(Z357)))&gt;=0.05),AND(AU357="BEAR",ABS(SUM(N(AA357),N(AB357),N(AC357)))&gt;=0.05)),"Moderate","Low")))</f>
        <v>Low</v>
      </c>
      <c r="AW357" t="str">
        <f>IF(AQ357="WAIT","QQQ and SMH not aligned",IF(AU357="BULL",IF(AQ357="SOXL","Bull regime; semiconductors leading","Bull regime; tech leading"),IF(AQ357="SOXS","Bear regime; semiconductors weakest","Bear regime; tech weakest")))</f>
        <v>QQQ and SMH not aligned</v>
      </c>
      <c r="AX357" t="str">
        <f>IF(AR357="WAIT","QQQ and SMH not aligned",IF(AV357="BULL",IF(AR357="SOXL","Bull regime; semiconductors leading","Bull regime; tech leading"),IF(AR357="SOXS","Bear regime; semiconductors weakest","Bear regime; tech weakest")))</f>
        <v>Bear regime; tech weakest</v>
      </c>
    </row>
    <row r="358" spans="1:50" x14ac:dyDescent="0.2">
      <c r="A358" s="12"/>
      <c r="B358" s="13"/>
      <c r="C358" s="13"/>
      <c r="D358" s="13"/>
      <c r="E358" s="13"/>
      <c r="F358" s="11" t="str">
        <f>IF(OR(E358="",E357=""),"",IF(E357=0,"",(E358/E357)-1))</f>
        <v/>
      </c>
      <c r="G358" s="13"/>
      <c r="H358" s="11" t="str">
        <f>IF(OR(G358="",G357=""),"",IF(G357=0,"",(G358/G357)-1))</f>
        <v/>
      </c>
      <c r="I358" s="13"/>
      <c r="J358" s="13"/>
      <c r="K358" s="13"/>
      <c r="L358" s="13"/>
      <c r="M358" s="23" t="str">
        <f>IF(OR(L358="",L357=""),"",IF(L357=0,"",(L358/L357)-1))</f>
        <v/>
      </c>
      <c r="N358" s="26" t="str">
        <f>IFERROR((M358/M357)-1,"")</f>
        <v/>
      </c>
      <c r="O358" s="23" t="str">
        <f>IF(OR(N358="",N357=""),"",IF(N357=0,"",(N358/N357)-1))</f>
        <v/>
      </c>
      <c r="P358" s="11" t="str">
        <f>IF(ROW()&lt;7,"",IF(OR(E358="",E355=""),"",IF(E355=0,"",(E358/E355)-1)))</f>
        <v/>
      </c>
      <c r="Q358" s="23" t="str">
        <f>IF(ROW()&lt;9,"",IF(OR(E358="",E353=""),"",IF(E353=0,"",(E358/E353)-1)))</f>
        <v/>
      </c>
      <c r="R358" s="23" t="str">
        <f>IF(ROW()&lt;7,"",IF(OR(G358="",G355=""),"",IF(G355=0,"",(G358/G355)-1)))</f>
        <v/>
      </c>
      <c r="S358" s="23" t="str">
        <f>IF(ROW()&lt;9,"",IF(OR(G358="",G353=""),"",IF(G353=0,"",(G358/G353)-1)))</f>
        <v/>
      </c>
      <c r="T358" s="23" t="str">
        <f>IF(ROW()&lt;7,"",IF(OR(L358="",L355=""),"",IF(L355=0,"",(L358/L355)-1)))</f>
        <v/>
      </c>
      <c r="U358" s="23" t="str">
        <f>IF(ROW()&lt;9,"",IF(OR(L358="",L353=""),"",IF(L353=0,"",(L358/L353)-1)))</f>
        <v/>
      </c>
      <c r="V358" s="23" t="str">
        <f>IF(ROW()&lt;7,"",IF(OR(N358="",N355=""),"",IF(N355=0,"",(N358/N355)-1)))</f>
        <v/>
      </c>
      <c r="W358" s="23" t="str">
        <f>IF(ROW()&lt;9,"",IF(OR(N358="",N353=""),"",IF(N353=0,"",(N358/N353)-1)))</f>
        <v/>
      </c>
      <c r="X358" s="23" t="str">
        <f>IF(OR(F358="",M358=""),"",F358-M358)</f>
        <v/>
      </c>
      <c r="Y358" s="23" t="str">
        <f>IF(OR(P358="",T358=""),"",P358-T358)</f>
        <v/>
      </c>
      <c r="Z358" s="23" t="str">
        <f>IF(OR(Q358="",U358=""),"",Q358-U358)</f>
        <v/>
      </c>
      <c r="AA358" s="23" t="str">
        <f>IF(OR(H358="",O358=""),"",H358-O358)</f>
        <v/>
      </c>
      <c r="AB358" s="23" t="str">
        <f>IF(OR(R358="",V358=""),"",R358-V358)</f>
        <v/>
      </c>
      <c r="AC358" s="23" t="str">
        <f>IF(OR(S358="",W358=""),"",S358-W358)</f>
        <v/>
      </c>
      <c r="AD358" s="13"/>
      <c r="AE358" s="23" t="str">
        <f>IF(OR(AD358="",AD357=""),"",IF(AD357=0,"",(AD358/AD357)-1))</f>
        <v/>
      </c>
      <c r="AF358" s="23" t="str">
        <f>IF(ROW()&lt;7,"",IF(OR(AD358="",AD355=""),"",IF(AD355=0,"",(AD358/AD355)-1)))</f>
        <v/>
      </c>
      <c r="AG358" s="23" t="str">
        <f>IF(ROW()&lt;9,"",IF(OR(AD358="",AD353=""),"",IF(AD353=0,"",(AD358/AD353)-1)))</f>
        <v/>
      </c>
      <c r="AH358" s="23" t="str">
        <f>IF(OR(AF358="",AG358=""),"",IF(AND(AF358&gt;0,AG358&gt;0),"Bull",IF(AND(AF358&lt;0,AG358&lt;0),"Bear","Mixed")))</f>
        <v/>
      </c>
      <c r="AI358" s="13"/>
      <c r="AJ358" s="13" t="str">
        <f>IF(OR(AI358="",AI357=""),"",IF(AI357=0,"",(AI358/AI357)-1))</f>
        <v/>
      </c>
      <c r="AK358" s="23" t="str">
        <f>IF(OR(AJ358="",AJ357=""),"",IF(AJ357=0,"",(AJ358/AJ357)-1))</f>
        <v/>
      </c>
      <c r="AL358" s="23" t="str">
        <f>IF(ROW()&lt;7,"",IF(OR(AJ358="",AJ355=""),"",IF(AJ355=0,"",(AJ358/AJ355)-1)))</f>
        <v/>
      </c>
      <c r="AM358" s="23" t="str">
        <f>IF(ROW()&lt;9,"",IF(OR(AJ358="",AJ353=""),"",IF(AJ353=0,"",(AJ358/AJ353)-1)))</f>
        <v/>
      </c>
      <c r="AN358" t="str">
        <f>IF(OR(AL358="",AM358=""),"",IF(AND(AL358&gt;0,AM358&gt;0),"Bull",IF(AND(AL358&lt;0,AM358&lt;0),"Bear","Mixed")))</f>
        <v/>
      </c>
      <c r="AO358" t="str">
        <f>IF(OR(AH358="",AN358=""),"",IF(AND(AH358="Bull",AN358="Bull"),"YES","NO"))</f>
        <v/>
      </c>
      <c r="AP358" t="str">
        <f>IF(OR(AH358="",AN358=""),"",IF(AND(AH358="Bear",AN358="Bear"),"YES","NO"))</f>
        <v/>
      </c>
      <c r="AQ358" t="str">
        <f>IF(AO358="YES",IF(SUM(N(X358),N(Y358),N(Z358))&gt;0,"SOXL","TQQQ"),IF(AP358="YES",IF(SUM(N(AA358),N(AB358),N(AC358))&gt;0,"SOXS","SQQQ"),"WAIT"))</f>
        <v>WAIT</v>
      </c>
      <c r="AR358" s="23" t="str">
        <f>IF(AO358="YES",IF(SUM(N(X358),N(Y358),N(Z358))&gt;0,"TQQQ","SOXL"),IF(AP358="YES",IF(SUM(N(AA358),N(AB358),N(AC358))&gt;0,"SQQQ","SOXS"),""))</f>
        <v/>
      </c>
      <c r="AS358" s="23" t="str">
        <f>IF(AQ358="WAIT","",IF(AR358="",1,0.6))</f>
        <v/>
      </c>
      <c r="AT358" s="23">
        <f>IF(AR358="",0,0.4)</f>
        <v>0</v>
      </c>
      <c r="AU358" s="23" t="str">
        <f>IF(AQ358="WAIT","WAIT",IF(AO358="YES","BULL",IF(AP358="YES","BEAR","WAIT")))</f>
        <v>WAIT</v>
      </c>
      <c r="AV358" t="str">
        <f>IF(AQ358="WAIT","Low",IF(OR(AND(AU358="BULL",ABS(SUM(N(X358),N(Y358),N(Z358)))&gt;=0.15),AND(AU358="BEAR",ABS(SUM(N(AA358),N(AB358),N(AC358)))&gt;=0.15)),"Strong",IF(OR(AND(AU358="BULL",ABS(SUM(N(X358),N(Y358),N(Z358)))&gt;=0.05),AND(AU358="BEAR",ABS(SUM(N(AA358),N(AB358),N(AC358)))&gt;=0.05)),"Moderate","Low")))</f>
        <v>Low</v>
      </c>
      <c r="AW358" t="str">
        <f>IF(AQ358="WAIT","QQQ and SMH not aligned",IF(AU358="BULL",IF(AQ358="SOXL","Bull regime; semiconductors leading","Bull regime; tech leading"),IF(AQ358="SOXS","Bear regime; semiconductors weakest","Bear regime; tech weakest")))</f>
        <v>QQQ and SMH not aligned</v>
      </c>
      <c r="AX358" t="str">
        <f>IF(AR358="WAIT","QQQ and SMH not aligned",IF(AV358="BULL",IF(AR358="SOXL","Bull regime; semiconductors leading","Bull regime; tech leading"),IF(AR358="SOXS","Bear regime; semiconductors weakest","Bear regime; tech weakest")))</f>
        <v>Bear regime; tech weakest</v>
      </c>
    </row>
    <row r="359" spans="1:50" x14ac:dyDescent="0.2">
      <c r="A359" s="12"/>
      <c r="B359" s="13"/>
      <c r="C359" s="13"/>
      <c r="D359" s="13"/>
      <c r="E359" s="13"/>
      <c r="F359" s="11" t="str">
        <f>IF(OR(E359="",E358=""),"",IF(E358=0,"",(E359/E358)-1))</f>
        <v/>
      </c>
      <c r="G359" s="13"/>
      <c r="H359" s="11" t="str">
        <f>IF(OR(G359="",G358=""),"",IF(G358=0,"",(G359/G358)-1))</f>
        <v/>
      </c>
      <c r="I359" s="13"/>
      <c r="J359" s="13"/>
      <c r="K359" s="13"/>
      <c r="L359" s="13"/>
      <c r="M359" s="23" t="str">
        <f>IF(OR(L359="",L358=""),"",IF(L358=0,"",(L359/L358)-1))</f>
        <v/>
      </c>
      <c r="N359" s="26" t="str">
        <f>IFERROR((M359/M358)-1,"")</f>
        <v/>
      </c>
      <c r="O359" s="23" t="str">
        <f>IF(OR(N359="",N358=""),"",IF(N358=0,"",(N359/N358)-1))</f>
        <v/>
      </c>
      <c r="P359" s="11" t="str">
        <f>IF(ROW()&lt;7,"",IF(OR(E359="",E356=""),"",IF(E356=0,"",(E359/E356)-1)))</f>
        <v/>
      </c>
      <c r="Q359" s="23" t="str">
        <f>IF(ROW()&lt;9,"",IF(OR(E359="",E354=""),"",IF(E354=0,"",(E359/E354)-1)))</f>
        <v/>
      </c>
      <c r="R359" s="23" t="str">
        <f>IF(ROW()&lt;7,"",IF(OR(G359="",G356=""),"",IF(G356=0,"",(G359/G356)-1)))</f>
        <v/>
      </c>
      <c r="S359" s="23" t="str">
        <f>IF(ROW()&lt;9,"",IF(OR(G359="",G354=""),"",IF(G354=0,"",(G359/G354)-1)))</f>
        <v/>
      </c>
      <c r="T359" s="23" t="str">
        <f>IF(ROW()&lt;7,"",IF(OR(L359="",L356=""),"",IF(L356=0,"",(L359/L356)-1)))</f>
        <v/>
      </c>
      <c r="U359" s="23" t="str">
        <f>IF(ROW()&lt;9,"",IF(OR(L359="",L354=""),"",IF(L354=0,"",(L359/L354)-1)))</f>
        <v/>
      </c>
      <c r="V359" s="23" t="str">
        <f>IF(ROW()&lt;7,"",IF(OR(N359="",N356=""),"",IF(N356=0,"",(N359/N356)-1)))</f>
        <v/>
      </c>
      <c r="W359" s="23" t="str">
        <f>IF(ROW()&lt;9,"",IF(OR(N359="",N354=""),"",IF(N354=0,"",(N359/N354)-1)))</f>
        <v/>
      </c>
      <c r="X359" s="23" t="str">
        <f>IF(OR(F359="",M359=""),"",F359-M359)</f>
        <v/>
      </c>
      <c r="Y359" s="23" t="str">
        <f>IF(OR(P359="",T359=""),"",P359-T359)</f>
        <v/>
      </c>
      <c r="Z359" s="23" t="str">
        <f>IF(OR(Q359="",U359=""),"",Q359-U359)</f>
        <v/>
      </c>
      <c r="AA359" s="23" t="str">
        <f>IF(OR(H359="",O359=""),"",H359-O359)</f>
        <v/>
      </c>
      <c r="AB359" s="23" t="str">
        <f>IF(OR(R359="",V359=""),"",R359-V359)</f>
        <v/>
      </c>
      <c r="AC359" s="23" t="str">
        <f>IF(OR(S359="",W359=""),"",S359-W359)</f>
        <v/>
      </c>
      <c r="AD359" s="13"/>
      <c r="AE359" s="23" t="str">
        <f>IF(OR(AD359="",AD358=""),"",IF(AD358=0,"",(AD359/AD358)-1))</f>
        <v/>
      </c>
      <c r="AF359" s="23" t="str">
        <f>IF(ROW()&lt;7,"",IF(OR(AD359="",AD356=""),"",IF(AD356=0,"",(AD359/AD356)-1)))</f>
        <v/>
      </c>
      <c r="AG359" s="23" t="str">
        <f>IF(ROW()&lt;9,"",IF(OR(AD359="",AD354=""),"",IF(AD354=0,"",(AD359/AD354)-1)))</f>
        <v/>
      </c>
      <c r="AH359" s="23" t="str">
        <f>IF(OR(AF359="",AG359=""),"",IF(AND(AF359&gt;0,AG359&gt;0),"Bull",IF(AND(AF359&lt;0,AG359&lt;0),"Bear","Mixed")))</f>
        <v/>
      </c>
      <c r="AI359" s="13"/>
      <c r="AJ359" s="13" t="str">
        <f>IF(OR(AI359="",AI358=""),"",IF(AI358=0,"",(AI359/AI358)-1))</f>
        <v/>
      </c>
      <c r="AK359" s="23" t="str">
        <f>IF(OR(AJ359="",AJ358=""),"",IF(AJ358=0,"",(AJ359/AJ358)-1))</f>
        <v/>
      </c>
      <c r="AL359" s="23" t="str">
        <f>IF(ROW()&lt;7,"",IF(OR(AJ359="",AJ356=""),"",IF(AJ356=0,"",(AJ359/AJ356)-1)))</f>
        <v/>
      </c>
      <c r="AM359" s="23" t="str">
        <f>IF(ROW()&lt;9,"",IF(OR(AJ359="",AJ354=""),"",IF(AJ354=0,"",(AJ359/AJ354)-1)))</f>
        <v/>
      </c>
      <c r="AN359" t="str">
        <f>IF(OR(AL359="",AM359=""),"",IF(AND(AL359&gt;0,AM359&gt;0),"Bull",IF(AND(AL359&lt;0,AM359&lt;0),"Bear","Mixed")))</f>
        <v/>
      </c>
      <c r="AO359" t="str">
        <f>IF(OR(AH359="",AN359=""),"",IF(AND(AH359="Bull",AN359="Bull"),"YES","NO"))</f>
        <v/>
      </c>
      <c r="AP359" t="str">
        <f>IF(OR(AH359="",AN359=""),"",IF(AND(AH359="Bear",AN359="Bear"),"YES","NO"))</f>
        <v/>
      </c>
      <c r="AQ359" t="str">
        <f>IF(AO359="YES",IF(SUM(N(X359),N(Y359),N(Z359))&gt;0,"SOXL","TQQQ"),IF(AP359="YES",IF(SUM(N(AA359),N(AB359),N(AC359))&gt;0,"SOXS","SQQQ"),"WAIT"))</f>
        <v>WAIT</v>
      </c>
      <c r="AR359" s="23" t="str">
        <f>IF(AO359="YES",IF(SUM(N(X359),N(Y359),N(Z359))&gt;0,"TQQQ","SOXL"),IF(AP359="YES",IF(SUM(N(AA359),N(AB359),N(AC359))&gt;0,"SQQQ","SOXS"),""))</f>
        <v/>
      </c>
      <c r="AS359" s="23" t="str">
        <f>IF(AQ359="WAIT","",IF(AR359="",1,0.6))</f>
        <v/>
      </c>
      <c r="AT359" s="23">
        <f>IF(AR359="",0,0.4)</f>
        <v>0</v>
      </c>
      <c r="AU359" s="23" t="str">
        <f>IF(AQ359="WAIT","WAIT",IF(AO359="YES","BULL",IF(AP359="YES","BEAR","WAIT")))</f>
        <v>WAIT</v>
      </c>
      <c r="AV359" t="str">
        <f>IF(AQ359="WAIT","Low",IF(OR(AND(AU359="BULL",ABS(SUM(N(X359),N(Y359),N(Z359)))&gt;=0.15),AND(AU359="BEAR",ABS(SUM(N(AA359),N(AB359),N(AC359)))&gt;=0.15)),"Strong",IF(OR(AND(AU359="BULL",ABS(SUM(N(X359),N(Y359),N(Z359)))&gt;=0.05),AND(AU359="BEAR",ABS(SUM(N(AA359),N(AB359),N(AC359)))&gt;=0.05)),"Moderate","Low")))</f>
        <v>Low</v>
      </c>
      <c r="AW359" t="str">
        <f>IF(AQ359="WAIT","QQQ and SMH not aligned",IF(AU359="BULL",IF(AQ359="SOXL","Bull regime; semiconductors leading","Bull regime; tech leading"),IF(AQ359="SOXS","Bear regime; semiconductors weakest","Bear regime; tech weakest")))</f>
        <v>QQQ and SMH not aligned</v>
      </c>
      <c r="AX359" t="str">
        <f>IF(AR359="WAIT","QQQ and SMH not aligned",IF(AV359="BULL",IF(AR359="SOXL","Bull regime; semiconductors leading","Bull regime; tech leading"),IF(AR359="SOXS","Bear regime; semiconductors weakest","Bear regime; tech weakest")))</f>
        <v>Bear regime; tech weakest</v>
      </c>
    </row>
    <row r="360" spans="1:50" x14ac:dyDescent="0.2">
      <c r="A360" s="12"/>
      <c r="B360" s="13"/>
      <c r="C360" s="13"/>
      <c r="D360" s="13"/>
      <c r="E360" s="13"/>
      <c r="F360" s="11" t="str">
        <f>IF(OR(E360="",E359=""),"",IF(E359=0,"",(E360/E359)-1))</f>
        <v/>
      </c>
      <c r="G360" s="13"/>
      <c r="H360" s="11" t="str">
        <f>IF(OR(G360="",G359=""),"",IF(G359=0,"",(G360/G359)-1))</f>
        <v/>
      </c>
      <c r="I360" s="13"/>
      <c r="J360" s="13"/>
      <c r="K360" s="13"/>
      <c r="L360" s="13"/>
      <c r="M360" s="23" t="str">
        <f>IF(OR(L360="",L359=""),"",IF(L359=0,"",(L360/L359)-1))</f>
        <v/>
      </c>
      <c r="N360" s="26" t="str">
        <f>IFERROR((M360/M359)-1,"")</f>
        <v/>
      </c>
      <c r="O360" s="23" t="str">
        <f>IF(OR(N360="",N359=""),"",IF(N359=0,"",(N360/N359)-1))</f>
        <v/>
      </c>
      <c r="P360" s="11" t="str">
        <f>IF(ROW()&lt;7,"",IF(OR(E360="",E357=""),"",IF(E357=0,"",(E360/E357)-1)))</f>
        <v/>
      </c>
      <c r="Q360" s="23" t="str">
        <f>IF(ROW()&lt;9,"",IF(OR(E360="",E355=""),"",IF(E355=0,"",(E360/E355)-1)))</f>
        <v/>
      </c>
      <c r="R360" s="23" t="str">
        <f>IF(ROW()&lt;7,"",IF(OR(G360="",G357=""),"",IF(G357=0,"",(G360/G357)-1)))</f>
        <v/>
      </c>
      <c r="S360" s="23" t="str">
        <f>IF(ROW()&lt;9,"",IF(OR(G360="",G355=""),"",IF(G355=0,"",(G360/G355)-1)))</f>
        <v/>
      </c>
      <c r="T360" s="23" t="str">
        <f>IF(ROW()&lt;7,"",IF(OR(L360="",L357=""),"",IF(L357=0,"",(L360/L357)-1)))</f>
        <v/>
      </c>
      <c r="U360" s="23" t="str">
        <f>IF(ROW()&lt;9,"",IF(OR(L360="",L355=""),"",IF(L355=0,"",(L360/L355)-1)))</f>
        <v/>
      </c>
      <c r="V360" s="23" t="str">
        <f>IF(ROW()&lt;7,"",IF(OR(N360="",N357=""),"",IF(N357=0,"",(N360/N357)-1)))</f>
        <v/>
      </c>
      <c r="W360" s="23" t="str">
        <f>IF(ROW()&lt;9,"",IF(OR(N360="",N355=""),"",IF(N355=0,"",(N360/N355)-1)))</f>
        <v/>
      </c>
      <c r="X360" s="23" t="str">
        <f>IF(OR(F360="",M360=""),"",F360-M360)</f>
        <v/>
      </c>
      <c r="Y360" s="23" t="str">
        <f>IF(OR(P360="",T360=""),"",P360-T360)</f>
        <v/>
      </c>
      <c r="Z360" s="23" t="str">
        <f>IF(OR(Q360="",U360=""),"",Q360-U360)</f>
        <v/>
      </c>
      <c r="AA360" s="23" t="str">
        <f>IF(OR(H360="",O360=""),"",H360-O360)</f>
        <v/>
      </c>
      <c r="AB360" s="23" t="str">
        <f>IF(OR(R360="",V360=""),"",R360-V360)</f>
        <v/>
      </c>
      <c r="AC360" s="23" t="str">
        <f>IF(OR(S360="",W360=""),"",S360-W360)</f>
        <v/>
      </c>
      <c r="AD360" s="13"/>
      <c r="AE360" s="23" t="str">
        <f>IF(OR(AD360="",AD359=""),"",IF(AD359=0,"",(AD360/AD359)-1))</f>
        <v/>
      </c>
      <c r="AF360" s="23" t="str">
        <f>IF(ROW()&lt;7,"",IF(OR(AD360="",AD357=""),"",IF(AD357=0,"",(AD360/AD357)-1)))</f>
        <v/>
      </c>
      <c r="AG360" s="23" t="str">
        <f>IF(ROW()&lt;9,"",IF(OR(AD360="",AD355=""),"",IF(AD355=0,"",(AD360/AD355)-1)))</f>
        <v/>
      </c>
      <c r="AH360" s="23" t="str">
        <f>IF(OR(AF360="",AG360=""),"",IF(AND(AF360&gt;0,AG360&gt;0),"Bull",IF(AND(AF360&lt;0,AG360&lt;0),"Bear","Mixed")))</f>
        <v/>
      </c>
      <c r="AI360" s="13"/>
      <c r="AJ360" s="13" t="str">
        <f>IF(OR(AI360="",AI359=""),"",IF(AI359=0,"",(AI360/AI359)-1))</f>
        <v/>
      </c>
      <c r="AK360" s="23" t="str">
        <f>IF(OR(AJ360="",AJ359=""),"",IF(AJ359=0,"",(AJ360/AJ359)-1))</f>
        <v/>
      </c>
      <c r="AL360" s="23" t="str">
        <f>IF(ROW()&lt;7,"",IF(OR(AJ360="",AJ357=""),"",IF(AJ357=0,"",(AJ360/AJ357)-1)))</f>
        <v/>
      </c>
      <c r="AM360" s="23" t="str">
        <f>IF(ROW()&lt;9,"",IF(OR(AJ360="",AJ355=""),"",IF(AJ355=0,"",(AJ360/AJ355)-1)))</f>
        <v/>
      </c>
      <c r="AN360" t="str">
        <f>IF(OR(AL360="",AM360=""),"",IF(AND(AL360&gt;0,AM360&gt;0),"Bull",IF(AND(AL360&lt;0,AM360&lt;0),"Bear","Mixed")))</f>
        <v/>
      </c>
      <c r="AO360" t="str">
        <f>IF(OR(AH360="",AN360=""),"",IF(AND(AH360="Bull",AN360="Bull"),"YES","NO"))</f>
        <v/>
      </c>
      <c r="AP360" t="str">
        <f>IF(OR(AH360="",AN360=""),"",IF(AND(AH360="Bear",AN360="Bear"),"YES","NO"))</f>
        <v/>
      </c>
      <c r="AQ360" t="str">
        <f>IF(AO360="YES",IF(SUM(N(X360),N(Y360),N(Z360))&gt;0,"SOXL","TQQQ"),IF(AP360="YES",IF(SUM(N(AA360),N(AB360),N(AC360))&gt;0,"SOXS","SQQQ"),"WAIT"))</f>
        <v>WAIT</v>
      </c>
      <c r="AR360" s="23" t="str">
        <f>IF(AO360="YES",IF(SUM(N(X360),N(Y360),N(Z360))&gt;0,"TQQQ","SOXL"),IF(AP360="YES",IF(SUM(N(AA360),N(AB360),N(AC360))&gt;0,"SQQQ","SOXS"),""))</f>
        <v/>
      </c>
      <c r="AS360" s="23" t="str">
        <f>IF(AQ360="WAIT","",IF(AR360="",1,0.6))</f>
        <v/>
      </c>
      <c r="AT360" s="23">
        <f>IF(AR360="",0,0.4)</f>
        <v>0</v>
      </c>
      <c r="AU360" s="23" t="str">
        <f>IF(AQ360="WAIT","WAIT",IF(AO360="YES","BULL",IF(AP360="YES","BEAR","WAIT")))</f>
        <v>WAIT</v>
      </c>
      <c r="AV360" t="str">
        <f>IF(AQ360="WAIT","Low",IF(OR(AND(AU360="BULL",ABS(SUM(N(X360),N(Y360),N(Z360)))&gt;=0.15),AND(AU360="BEAR",ABS(SUM(N(AA360),N(AB360),N(AC360)))&gt;=0.15)),"Strong",IF(OR(AND(AU360="BULL",ABS(SUM(N(X360),N(Y360),N(Z360)))&gt;=0.05),AND(AU360="BEAR",ABS(SUM(N(AA360),N(AB360),N(AC360)))&gt;=0.05)),"Moderate","Low")))</f>
        <v>Low</v>
      </c>
      <c r="AW360" t="str">
        <f>IF(AQ360="WAIT","QQQ and SMH not aligned",IF(AU360="BULL",IF(AQ360="SOXL","Bull regime; semiconductors leading","Bull regime; tech leading"),IF(AQ360="SOXS","Bear regime; semiconductors weakest","Bear regime; tech weakest")))</f>
        <v>QQQ and SMH not aligned</v>
      </c>
      <c r="AX360" t="str">
        <f>IF(AR360="WAIT","QQQ and SMH not aligned",IF(AV360="BULL",IF(AR360="SOXL","Bull regime; semiconductors leading","Bull regime; tech leading"),IF(AR360="SOXS","Bear regime; semiconductors weakest","Bear regime; tech weakest")))</f>
        <v>Bear regime; tech weakest</v>
      </c>
    </row>
    <row r="361" spans="1:50" x14ac:dyDescent="0.2">
      <c r="A361" s="12"/>
      <c r="B361" s="13"/>
      <c r="C361" s="13"/>
      <c r="D361" s="13"/>
      <c r="E361" s="13"/>
      <c r="F361" s="11" t="str">
        <f>IF(OR(E361="",E360=""),"",IF(E360=0,"",(E361/E360)-1))</f>
        <v/>
      </c>
      <c r="G361" s="13"/>
      <c r="H361" s="11" t="str">
        <f>IF(OR(G361="",G360=""),"",IF(G360=0,"",(G361/G360)-1))</f>
        <v/>
      </c>
      <c r="I361" s="13"/>
      <c r="J361" s="13"/>
      <c r="K361" s="13"/>
      <c r="L361" s="13"/>
      <c r="M361" s="23" t="str">
        <f>IF(OR(L361="",L360=""),"",IF(L360=0,"",(L361/L360)-1))</f>
        <v/>
      </c>
      <c r="N361" s="26" t="str">
        <f>IFERROR((M361/M360)-1,"")</f>
        <v/>
      </c>
      <c r="O361" s="23" t="str">
        <f>IF(OR(N361="",N360=""),"",IF(N360=0,"",(N361/N360)-1))</f>
        <v/>
      </c>
      <c r="P361" s="11" t="str">
        <f>IF(ROW()&lt;7,"",IF(OR(E361="",E358=""),"",IF(E358=0,"",(E361/E358)-1)))</f>
        <v/>
      </c>
      <c r="Q361" s="23" t="str">
        <f>IF(ROW()&lt;9,"",IF(OR(E361="",E356=""),"",IF(E356=0,"",(E361/E356)-1)))</f>
        <v/>
      </c>
      <c r="R361" s="23" t="str">
        <f>IF(ROW()&lt;7,"",IF(OR(G361="",G358=""),"",IF(G358=0,"",(G361/G358)-1)))</f>
        <v/>
      </c>
      <c r="S361" s="23" t="str">
        <f>IF(ROW()&lt;9,"",IF(OR(G361="",G356=""),"",IF(G356=0,"",(G361/G356)-1)))</f>
        <v/>
      </c>
      <c r="T361" s="23" t="str">
        <f>IF(ROW()&lt;7,"",IF(OR(L361="",L358=""),"",IF(L358=0,"",(L361/L358)-1)))</f>
        <v/>
      </c>
      <c r="U361" s="23" t="str">
        <f>IF(ROW()&lt;9,"",IF(OR(L361="",L356=""),"",IF(L356=0,"",(L361/L356)-1)))</f>
        <v/>
      </c>
      <c r="V361" s="23" t="str">
        <f>IF(ROW()&lt;7,"",IF(OR(N361="",N358=""),"",IF(N358=0,"",(N361/N358)-1)))</f>
        <v/>
      </c>
      <c r="W361" s="23" t="str">
        <f>IF(ROW()&lt;9,"",IF(OR(N361="",N356=""),"",IF(N356=0,"",(N361/N356)-1)))</f>
        <v/>
      </c>
      <c r="X361" s="23" t="str">
        <f>IF(OR(F361="",M361=""),"",F361-M361)</f>
        <v/>
      </c>
      <c r="Y361" s="23" t="str">
        <f>IF(OR(P361="",T361=""),"",P361-T361)</f>
        <v/>
      </c>
      <c r="Z361" s="23" t="str">
        <f>IF(OR(Q361="",U361=""),"",Q361-U361)</f>
        <v/>
      </c>
      <c r="AA361" s="23" t="str">
        <f>IF(OR(H361="",O361=""),"",H361-O361)</f>
        <v/>
      </c>
      <c r="AB361" s="23" t="str">
        <f>IF(OR(R361="",V361=""),"",R361-V361)</f>
        <v/>
      </c>
      <c r="AC361" s="23" t="str">
        <f>IF(OR(S361="",W361=""),"",S361-W361)</f>
        <v/>
      </c>
      <c r="AD361" s="13"/>
      <c r="AE361" s="23" t="str">
        <f>IF(OR(AD361="",AD360=""),"",IF(AD360=0,"",(AD361/AD360)-1))</f>
        <v/>
      </c>
      <c r="AF361" s="23" t="str">
        <f>IF(ROW()&lt;7,"",IF(OR(AD361="",AD358=""),"",IF(AD358=0,"",(AD361/AD358)-1)))</f>
        <v/>
      </c>
      <c r="AG361" s="23" t="str">
        <f>IF(ROW()&lt;9,"",IF(OR(AD361="",AD356=""),"",IF(AD356=0,"",(AD361/AD356)-1)))</f>
        <v/>
      </c>
      <c r="AH361" s="23" t="str">
        <f>IF(OR(AF361="",AG361=""),"",IF(AND(AF361&gt;0,AG361&gt;0),"Bull",IF(AND(AF361&lt;0,AG361&lt;0),"Bear","Mixed")))</f>
        <v/>
      </c>
      <c r="AI361" s="13"/>
      <c r="AJ361" s="13" t="str">
        <f>IF(OR(AI361="",AI360=""),"",IF(AI360=0,"",(AI361/AI360)-1))</f>
        <v/>
      </c>
      <c r="AK361" s="23" t="str">
        <f>IF(OR(AJ361="",AJ360=""),"",IF(AJ360=0,"",(AJ361/AJ360)-1))</f>
        <v/>
      </c>
      <c r="AL361" s="23" t="str">
        <f>IF(ROW()&lt;7,"",IF(OR(AJ361="",AJ358=""),"",IF(AJ358=0,"",(AJ361/AJ358)-1)))</f>
        <v/>
      </c>
      <c r="AM361" s="23" t="str">
        <f>IF(ROW()&lt;9,"",IF(OR(AJ361="",AJ356=""),"",IF(AJ356=0,"",(AJ361/AJ356)-1)))</f>
        <v/>
      </c>
      <c r="AN361" t="str">
        <f>IF(OR(AL361="",AM361=""),"",IF(AND(AL361&gt;0,AM361&gt;0),"Bull",IF(AND(AL361&lt;0,AM361&lt;0),"Bear","Mixed")))</f>
        <v/>
      </c>
      <c r="AO361" t="str">
        <f>IF(OR(AH361="",AN361=""),"",IF(AND(AH361="Bull",AN361="Bull"),"YES","NO"))</f>
        <v/>
      </c>
      <c r="AP361" t="str">
        <f>IF(OR(AH361="",AN361=""),"",IF(AND(AH361="Bear",AN361="Bear"),"YES","NO"))</f>
        <v/>
      </c>
      <c r="AQ361" t="str">
        <f>IF(AO361="YES",IF(SUM(N(X361),N(Y361),N(Z361))&gt;0,"SOXL","TQQQ"),IF(AP361="YES",IF(SUM(N(AA361),N(AB361),N(AC361))&gt;0,"SOXS","SQQQ"),"WAIT"))</f>
        <v>WAIT</v>
      </c>
      <c r="AR361" s="23" t="str">
        <f>IF(AO361="YES",IF(SUM(N(X361),N(Y361),N(Z361))&gt;0,"TQQQ","SOXL"),IF(AP361="YES",IF(SUM(N(AA361),N(AB361),N(AC361))&gt;0,"SQQQ","SOXS"),""))</f>
        <v/>
      </c>
      <c r="AS361" s="23" t="str">
        <f>IF(AQ361="WAIT","",IF(AR361="",1,0.6))</f>
        <v/>
      </c>
      <c r="AT361" s="23">
        <f>IF(AR361="",0,0.4)</f>
        <v>0</v>
      </c>
      <c r="AU361" s="23" t="str">
        <f>IF(AQ361="WAIT","WAIT",IF(AO361="YES","BULL",IF(AP361="YES","BEAR","WAIT")))</f>
        <v>WAIT</v>
      </c>
      <c r="AV361" t="str">
        <f>IF(AQ361="WAIT","Low",IF(OR(AND(AU361="BULL",ABS(SUM(N(X361),N(Y361),N(Z361)))&gt;=0.15),AND(AU361="BEAR",ABS(SUM(N(AA361),N(AB361),N(AC361)))&gt;=0.15)),"Strong",IF(OR(AND(AU361="BULL",ABS(SUM(N(X361),N(Y361),N(Z361)))&gt;=0.05),AND(AU361="BEAR",ABS(SUM(N(AA361),N(AB361),N(AC361)))&gt;=0.05)),"Moderate","Low")))</f>
        <v>Low</v>
      </c>
      <c r="AW361" t="str">
        <f>IF(AQ361="WAIT","QQQ and SMH not aligned",IF(AU361="BULL",IF(AQ361="SOXL","Bull regime; semiconductors leading","Bull regime; tech leading"),IF(AQ361="SOXS","Bear regime; semiconductors weakest","Bear regime; tech weakest")))</f>
        <v>QQQ and SMH not aligned</v>
      </c>
      <c r="AX361" t="str">
        <f>IF(AR361="WAIT","QQQ and SMH not aligned",IF(AV361="BULL",IF(AR361="SOXL","Bull regime; semiconductors leading","Bull regime; tech leading"),IF(AR361="SOXS","Bear regime; semiconductors weakest","Bear regime; tech weakest")))</f>
        <v>Bear regime; tech weakest</v>
      </c>
    </row>
    <row r="362" spans="1:50" x14ac:dyDescent="0.2">
      <c r="A362" s="12"/>
      <c r="B362" s="13"/>
      <c r="C362" s="13"/>
      <c r="D362" s="13"/>
      <c r="E362" s="13"/>
      <c r="F362" s="11" t="str">
        <f>IF(OR(E362="",E361=""),"",IF(E361=0,"",(E362/E361)-1))</f>
        <v/>
      </c>
      <c r="G362" s="13"/>
      <c r="H362" s="11" t="str">
        <f>IF(OR(G362="",G361=""),"",IF(G361=0,"",(G362/G361)-1))</f>
        <v/>
      </c>
      <c r="I362" s="13"/>
      <c r="J362" s="13"/>
      <c r="K362" s="13"/>
      <c r="L362" s="13"/>
      <c r="M362" s="23" t="str">
        <f>IF(OR(L362="",L361=""),"",IF(L361=0,"",(L362/L361)-1))</f>
        <v/>
      </c>
      <c r="N362" s="26" t="str">
        <f>IFERROR((M362/M361)-1,"")</f>
        <v/>
      </c>
      <c r="O362" s="23" t="str">
        <f>IF(OR(N362="",N361=""),"",IF(N361=0,"",(N362/N361)-1))</f>
        <v/>
      </c>
      <c r="P362" s="11" t="str">
        <f>IF(ROW()&lt;7,"",IF(OR(E362="",E359=""),"",IF(E359=0,"",(E362/E359)-1)))</f>
        <v/>
      </c>
      <c r="Q362" s="23" t="str">
        <f>IF(ROW()&lt;9,"",IF(OR(E362="",E357=""),"",IF(E357=0,"",(E362/E357)-1)))</f>
        <v/>
      </c>
      <c r="R362" s="23" t="str">
        <f>IF(ROW()&lt;7,"",IF(OR(G362="",G359=""),"",IF(G359=0,"",(G362/G359)-1)))</f>
        <v/>
      </c>
      <c r="S362" s="23" t="str">
        <f>IF(ROW()&lt;9,"",IF(OR(G362="",G357=""),"",IF(G357=0,"",(G362/G357)-1)))</f>
        <v/>
      </c>
      <c r="T362" s="23" t="str">
        <f>IF(ROW()&lt;7,"",IF(OR(L362="",L359=""),"",IF(L359=0,"",(L362/L359)-1)))</f>
        <v/>
      </c>
      <c r="U362" s="23" t="str">
        <f>IF(ROW()&lt;9,"",IF(OR(L362="",L357=""),"",IF(L357=0,"",(L362/L357)-1)))</f>
        <v/>
      </c>
      <c r="V362" s="23" t="str">
        <f>IF(ROW()&lt;7,"",IF(OR(N362="",N359=""),"",IF(N359=0,"",(N362/N359)-1)))</f>
        <v/>
      </c>
      <c r="W362" s="23" t="str">
        <f>IF(ROW()&lt;9,"",IF(OR(N362="",N357=""),"",IF(N357=0,"",(N362/N357)-1)))</f>
        <v/>
      </c>
      <c r="X362" s="23" t="str">
        <f>IF(OR(F362="",M362=""),"",F362-M362)</f>
        <v/>
      </c>
      <c r="Y362" s="23" t="str">
        <f>IF(OR(P362="",T362=""),"",P362-T362)</f>
        <v/>
      </c>
      <c r="Z362" s="23" t="str">
        <f>IF(OR(Q362="",U362=""),"",Q362-U362)</f>
        <v/>
      </c>
      <c r="AA362" s="23" t="str">
        <f>IF(OR(H362="",O362=""),"",H362-O362)</f>
        <v/>
      </c>
      <c r="AB362" s="23" t="str">
        <f>IF(OR(R362="",V362=""),"",R362-V362)</f>
        <v/>
      </c>
      <c r="AC362" s="23" t="str">
        <f>IF(OR(S362="",W362=""),"",S362-W362)</f>
        <v/>
      </c>
      <c r="AD362" s="13"/>
      <c r="AE362" s="23" t="str">
        <f>IF(OR(AD362="",AD361=""),"",IF(AD361=0,"",(AD362/AD361)-1))</f>
        <v/>
      </c>
      <c r="AF362" s="23" t="str">
        <f>IF(ROW()&lt;7,"",IF(OR(AD362="",AD359=""),"",IF(AD359=0,"",(AD362/AD359)-1)))</f>
        <v/>
      </c>
      <c r="AG362" s="23" t="str">
        <f>IF(ROW()&lt;9,"",IF(OR(AD362="",AD357=""),"",IF(AD357=0,"",(AD362/AD357)-1)))</f>
        <v/>
      </c>
      <c r="AH362" s="23" t="str">
        <f>IF(OR(AF362="",AG362=""),"",IF(AND(AF362&gt;0,AG362&gt;0),"Bull",IF(AND(AF362&lt;0,AG362&lt;0),"Bear","Mixed")))</f>
        <v/>
      </c>
      <c r="AI362" s="13"/>
      <c r="AJ362" s="13" t="str">
        <f>IF(OR(AI362="",AI361=""),"",IF(AI361=0,"",(AI362/AI361)-1))</f>
        <v/>
      </c>
      <c r="AK362" s="23" t="str">
        <f>IF(OR(AJ362="",AJ361=""),"",IF(AJ361=0,"",(AJ362/AJ361)-1))</f>
        <v/>
      </c>
      <c r="AL362" s="23" t="str">
        <f>IF(ROW()&lt;7,"",IF(OR(AJ362="",AJ359=""),"",IF(AJ359=0,"",(AJ362/AJ359)-1)))</f>
        <v/>
      </c>
      <c r="AM362" s="23" t="str">
        <f>IF(ROW()&lt;9,"",IF(OR(AJ362="",AJ357=""),"",IF(AJ357=0,"",(AJ362/AJ357)-1)))</f>
        <v/>
      </c>
      <c r="AN362" t="str">
        <f>IF(OR(AL362="",AM362=""),"",IF(AND(AL362&gt;0,AM362&gt;0),"Bull",IF(AND(AL362&lt;0,AM362&lt;0),"Bear","Mixed")))</f>
        <v/>
      </c>
      <c r="AO362" t="str">
        <f>IF(OR(AH362="",AN362=""),"",IF(AND(AH362="Bull",AN362="Bull"),"YES","NO"))</f>
        <v/>
      </c>
      <c r="AP362" t="str">
        <f>IF(OR(AH362="",AN362=""),"",IF(AND(AH362="Bear",AN362="Bear"),"YES","NO"))</f>
        <v/>
      </c>
      <c r="AQ362" t="str">
        <f>IF(AO362="YES",IF(SUM(N(X362),N(Y362),N(Z362))&gt;0,"SOXL","TQQQ"),IF(AP362="YES",IF(SUM(N(AA362),N(AB362),N(AC362))&gt;0,"SOXS","SQQQ"),"WAIT"))</f>
        <v>WAIT</v>
      </c>
      <c r="AR362" s="23" t="str">
        <f>IF(AO362="YES",IF(SUM(N(X362),N(Y362),N(Z362))&gt;0,"TQQQ","SOXL"),IF(AP362="YES",IF(SUM(N(AA362),N(AB362),N(AC362))&gt;0,"SQQQ","SOXS"),""))</f>
        <v/>
      </c>
      <c r="AS362" s="23" t="str">
        <f>IF(AQ362="WAIT","",IF(AR362="",1,0.6))</f>
        <v/>
      </c>
      <c r="AT362" s="23">
        <f>IF(AR362="",0,0.4)</f>
        <v>0</v>
      </c>
      <c r="AU362" s="23" t="str">
        <f>IF(AQ362="WAIT","WAIT",IF(AO362="YES","BULL",IF(AP362="YES","BEAR","WAIT")))</f>
        <v>WAIT</v>
      </c>
      <c r="AV362" t="str">
        <f>IF(AQ362="WAIT","Low",IF(OR(AND(AU362="BULL",ABS(SUM(N(X362),N(Y362),N(Z362)))&gt;=0.15),AND(AU362="BEAR",ABS(SUM(N(AA362),N(AB362),N(AC362)))&gt;=0.15)),"Strong",IF(OR(AND(AU362="BULL",ABS(SUM(N(X362),N(Y362),N(Z362)))&gt;=0.05),AND(AU362="BEAR",ABS(SUM(N(AA362),N(AB362),N(AC362)))&gt;=0.05)),"Moderate","Low")))</f>
        <v>Low</v>
      </c>
      <c r="AW362" t="str">
        <f>IF(AQ362="WAIT","QQQ and SMH not aligned",IF(AU362="BULL",IF(AQ362="SOXL","Bull regime; semiconductors leading","Bull regime; tech leading"),IF(AQ362="SOXS","Bear regime; semiconductors weakest","Bear regime; tech weakest")))</f>
        <v>QQQ and SMH not aligned</v>
      </c>
      <c r="AX362" t="str">
        <f>IF(AR362="WAIT","QQQ and SMH not aligned",IF(AV362="BULL",IF(AR362="SOXL","Bull regime; semiconductors leading","Bull regime; tech leading"),IF(AR362="SOXS","Bear regime; semiconductors weakest","Bear regime; tech weakest")))</f>
        <v>Bear regime; tech weakest</v>
      </c>
    </row>
    <row r="363" spans="1:50" x14ac:dyDescent="0.2">
      <c r="A363" s="12"/>
      <c r="B363" s="13"/>
      <c r="C363" s="13"/>
      <c r="D363" s="13"/>
      <c r="E363" s="13"/>
      <c r="F363" s="11" t="str">
        <f>IF(OR(E363="",E362=""),"",IF(E362=0,"",(E363/E362)-1))</f>
        <v/>
      </c>
      <c r="G363" s="13"/>
      <c r="H363" s="11" t="str">
        <f>IF(OR(G363="",G362=""),"",IF(G362=0,"",(G363/G362)-1))</f>
        <v/>
      </c>
      <c r="I363" s="13"/>
      <c r="J363" s="13"/>
      <c r="K363" s="13"/>
      <c r="L363" s="13"/>
      <c r="M363" s="23" t="str">
        <f>IF(OR(L363="",L362=""),"",IF(L362=0,"",(L363/L362)-1))</f>
        <v/>
      </c>
      <c r="N363" s="26" t="str">
        <f>IFERROR((M363/M362)-1,"")</f>
        <v/>
      </c>
      <c r="O363" s="23" t="str">
        <f>IF(OR(N363="",N362=""),"",IF(N362=0,"",(N363/N362)-1))</f>
        <v/>
      </c>
      <c r="P363" s="11" t="str">
        <f>IF(ROW()&lt;7,"",IF(OR(E363="",E360=""),"",IF(E360=0,"",(E363/E360)-1)))</f>
        <v/>
      </c>
      <c r="Q363" s="23" t="str">
        <f>IF(ROW()&lt;9,"",IF(OR(E363="",E358=""),"",IF(E358=0,"",(E363/E358)-1)))</f>
        <v/>
      </c>
      <c r="R363" s="23" t="str">
        <f>IF(ROW()&lt;7,"",IF(OR(G363="",G360=""),"",IF(G360=0,"",(G363/G360)-1)))</f>
        <v/>
      </c>
      <c r="S363" s="23" t="str">
        <f>IF(ROW()&lt;9,"",IF(OR(G363="",G358=""),"",IF(G358=0,"",(G363/G358)-1)))</f>
        <v/>
      </c>
      <c r="T363" s="23" t="str">
        <f>IF(ROW()&lt;7,"",IF(OR(L363="",L360=""),"",IF(L360=0,"",(L363/L360)-1)))</f>
        <v/>
      </c>
      <c r="U363" s="23" t="str">
        <f>IF(ROW()&lt;9,"",IF(OR(L363="",L358=""),"",IF(L358=0,"",(L363/L358)-1)))</f>
        <v/>
      </c>
      <c r="V363" s="23" t="str">
        <f>IF(ROW()&lt;7,"",IF(OR(N363="",N360=""),"",IF(N360=0,"",(N363/N360)-1)))</f>
        <v/>
      </c>
      <c r="W363" s="23" t="str">
        <f>IF(ROW()&lt;9,"",IF(OR(N363="",N358=""),"",IF(N358=0,"",(N363/N358)-1)))</f>
        <v/>
      </c>
      <c r="X363" s="23" t="str">
        <f>IF(OR(F363="",M363=""),"",F363-M363)</f>
        <v/>
      </c>
      <c r="Y363" s="23" t="str">
        <f>IF(OR(P363="",T363=""),"",P363-T363)</f>
        <v/>
      </c>
      <c r="Z363" s="23" t="str">
        <f>IF(OR(Q363="",U363=""),"",Q363-U363)</f>
        <v/>
      </c>
      <c r="AA363" s="23" t="str">
        <f>IF(OR(H363="",O363=""),"",H363-O363)</f>
        <v/>
      </c>
      <c r="AB363" s="23" t="str">
        <f>IF(OR(R363="",V363=""),"",R363-V363)</f>
        <v/>
      </c>
      <c r="AC363" s="23" t="str">
        <f>IF(OR(S363="",W363=""),"",S363-W363)</f>
        <v/>
      </c>
      <c r="AD363" s="13"/>
      <c r="AE363" s="23" t="str">
        <f>IF(OR(AD363="",AD362=""),"",IF(AD362=0,"",(AD363/AD362)-1))</f>
        <v/>
      </c>
      <c r="AF363" s="23" t="str">
        <f>IF(ROW()&lt;7,"",IF(OR(AD363="",AD360=""),"",IF(AD360=0,"",(AD363/AD360)-1)))</f>
        <v/>
      </c>
      <c r="AG363" s="23" t="str">
        <f>IF(ROW()&lt;9,"",IF(OR(AD363="",AD358=""),"",IF(AD358=0,"",(AD363/AD358)-1)))</f>
        <v/>
      </c>
      <c r="AH363" s="23" t="str">
        <f>IF(OR(AF363="",AG363=""),"",IF(AND(AF363&gt;0,AG363&gt;0),"Bull",IF(AND(AF363&lt;0,AG363&lt;0),"Bear","Mixed")))</f>
        <v/>
      </c>
      <c r="AI363" s="13"/>
      <c r="AJ363" s="13" t="str">
        <f>IF(OR(AI363="",AI362=""),"",IF(AI362=0,"",(AI363/AI362)-1))</f>
        <v/>
      </c>
      <c r="AK363" s="23" t="str">
        <f>IF(OR(AJ363="",AJ362=""),"",IF(AJ362=0,"",(AJ363/AJ362)-1))</f>
        <v/>
      </c>
      <c r="AL363" s="23" t="str">
        <f>IF(ROW()&lt;7,"",IF(OR(AJ363="",AJ360=""),"",IF(AJ360=0,"",(AJ363/AJ360)-1)))</f>
        <v/>
      </c>
      <c r="AM363" s="23" t="str">
        <f>IF(ROW()&lt;9,"",IF(OR(AJ363="",AJ358=""),"",IF(AJ358=0,"",(AJ363/AJ358)-1)))</f>
        <v/>
      </c>
      <c r="AN363" t="str">
        <f>IF(OR(AL363="",AM363=""),"",IF(AND(AL363&gt;0,AM363&gt;0),"Bull",IF(AND(AL363&lt;0,AM363&lt;0),"Bear","Mixed")))</f>
        <v/>
      </c>
      <c r="AO363" t="str">
        <f>IF(OR(AH363="",AN363=""),"",IF(AND(AH363="Bull",AN363="Bull"),"YES","NO"))</f>
        <v/>
      </c>
      <c r="AP363" t="str">
        <f>IF(OR(AH363="",AN363=""),"",IF(AND(AH363="Bear",AN363="Bear"),"YES","NO"))</f>
        <v/>
      </c>
      <c r="AQ363" t="str">
        <f>IF(AO363="YES",IF(SUM(N(X363),N(Y363),N(Z363))&gt;0,"SOXL","TQQQ"),IF(AP363="YES",IF(SUM(N(AA363),N(AB363),N(AC363))&gt;0,"SOXS","SQQQ"),"WAIT"))</f>
        <v>WAIT</v>
      </c>
      <c r="AR363" s="23" t="str">
        <f>IF(AO363="YES",IF(SUM(N(X363),N(Y363),N(Z363))&gt;0,"TQQQ","SOXL"),IF(AP363="YES",IF(SUM(N(AA363),N(AB363),N(AC363))&gt;0,"SQQQ","SOXS"),""))</f>
        <v/>
      </c>
      <c r="AS363" s="23" t="str">
        <f>IF(AQ363="WAIT","",IF(AR363="",1,0.6))</f>
        <v/>
      </c>
      <c r="AT363" s="23">
        <f>IF(AR363="",0,0.4)</f>
        <v>0</v>
      </c>
      <c r="AU363" s="23" t="str">
        <f>IF(AQ363="WAIT","WAIT",IF(AO363="YES","BULL",IF(AP363="YES","BEAR","WAIT")))</f>
        <v>WAIT</v>
      </c>
      <c r="AV363" t="str">
        <f>IF(AQ363="WAIT","Low",IF(OR(AND(AU363="BULL",ABS(SUM(N(X363),N(Y363),N(Z363)))&gt;=0.15),AND(AU363="BEAR",ABS(SUM(N(AA363),N(AB363),N(AC363)))&gt;=0.15)),"Strong",IF(OR(AND(AU363="BULL",ABS(SUM(N(X363),N(Y363),N(Z363)))&gt;=0.05),AND(AU363="BEAR",ABS(SUM(N(AA363),N(AB363),N(AC363)))&gt;=0.05)),"Moderate","Low")))</f>
        <v>Low</v>
      </c>
      <c r="AW363" t="str">
        <f>IF(AQ363="WAIT","QQQ and SMH not aligned",IF(AU363="BULL",IF(AQ363="SOXL","Bull regime; semiconductors leading","Bull regime; tech leading"),IF(AQ363="SOXS","Bear regime; semiconductors weakest","Bear regime; tech weakest")))</f>
        <v>QQQ and SMH not aligned</v>
      </c>
      <c r="AX363" t="str">
        <f>IF(AR363="WAIT","QQQ and SMH not aligned",IF(AV363="BULL",IF(AR363="SOXL","Bull regime; semiconductors leading","Bull regime; tech leading"),IF(AR363="SOXS","Bear regime; semiconductors weakest","Bear regime; tech weakest")))</f>
        <v>Bear regime; tech weakest</v>
      </c>
    </row>
    <row r="364" spans="1:50" x14ac:dyDescent="0.2">
      <c r="A364" s="12"/>
      <c r="B364" s="13"/>
      <c r="C364" s="13"/>
      <c r="D364" s="13"/>
      <c r="E364" s="13"/>
      <c r="F364" s="11" t="str">
        <f>IF(OR(E364="",E363=""),"",IF(E363=0,"",(E364/E363)-1))</f>
        <v/>
      </c>
      <c r="G364" s="13"/>
      <c r="H364" s="11" t="str">
        <f>IF(OR(G364="",G363=""),"",IF(G363=0,"",(G364/G363)-1))</f>
        <v/>
      </c>
      <c r="I364" s="13"/>
      <c r="J364" s="13"/>
      <c r="K364" s="13"/>
      <c r="L364" s="13"/>
      <c r="M364" s="23" t="str">
        <f>IF(OR(L364="",L363=""),"",IF(L363=0,"",(L364/L363)-1))</f>
        <v/>
      </c>
      <c r="N364" s="26" t="str">
        <f>IFERROR((M364/M363)-1,"")</f>
        <v/>
      </c>
      <c r="O364" s="23" t="str">
        <f>IF(OR(N364="",N363=""),"",IF(N363=0,"",(N364/N363)-1))</f>
        <v/>
      </c>
      <c r="P364" s="11" t="str">
        <f>IF(ROW()&lt;7,"",IF(OR(E364="",E361=""),"",IF(E361=0,"",(E364/E361)-1)))</f>
        <v/>
      </c>
      <c r="Q364" s="23" t="str">
        <f>IF(ROW()&lt;9,"",IF(OR(E364="",E359=""),"",IF(E359=0,"",(E364/E359)-1)))</f>
        <v/>
      </c>
      <c r="R364" s="23" t="str">
        <f>IF(ROW()&lt;7,"",IF(OR(G364="",G361=""),"",IF(G361=0,"",(G364/G361)-1)))</f>
        <v/>
      </c>
      <c r="S364" s="23" t="str">
        <f>IF(ROW()&lt;9,"",IF(OR(G364="",G359=""),"",IF(G359=0,"",(G364/G359)-1)))</f>
        <v/>
      </c>
      <c r="T364" s="23" t="str">
        <f>IF(ROW()&lt;7,"",IF(OR(L364="",L361=""),"",IF(L361=0,"",(L364/L361)-1)))</f>
        <v/>
      </c>
      <c r="U364" s="23" t="str">
        <f>IF(ROW()&lt;9,"",IF(OR(L364="",L359=""),"",IF(L359=0,"",(L364/L359)-1)))</f>
        <v/>
      </c>
      <c r="V364" s="23" t="str">
        <f>IF(ROW()&lt;7,"",IF(OR(N364="",N361=""),"",IF(N361=0,"",(N364/N361)-1)))</f>
        <v/>
      </c>
      <c r="W364" s="23" t="str">
        <f>IF(ROW()&lt;9,"",IF(OR(N364="",N359=""),"",IF(N359=0,"",(N364/N359)-1)))</f>
        <v/>
      </c>
      <c r="X364" s="23" t="str">
        <f>IF(OR(F364="",M364=""),"",F364-M364)</f>
        <v/>
      </c>
      <c r="Y364" s="23" t="str">
        <f>IF(OR(P364="",T364=""),"",P364-T364)</f>
        <v/>
      </c>
      <c r="Z364" s="23" t="str">
        <f>IF(OR(Q364="",U364=""),"",Q364-U364)</f>
        <v/>
      </c>
      <c r="AA364" s="23" t="str">
        <f>IF(OR(H364="",O364=""),"",H364-O364)</f>
        <v/>
      </c>
      <c r="AB364" s="23" t="str">
        <f>IF(OR(R364="",V364=""),"",R364-V364)</f>
        <v/>
      </c>
      <c r="AC364" s="23" t="str">
        <f>IF(OR(S364="",W364=""),"",S364-W364)</f>
        <v/>
      </c>
      <c r="AD364" s="13"/>
      <c r="AE364" s="23" t="str">
        <f>IF(OR(AD364="",AD363=""),"",IF(AD363=0,"",(AD364/AD363)-1))</f>
        <v/>
      </c>
      <c r="AF364" s="23" t="str">
        <f>IF(ROW()&lt;7,"",IF(OR(AD364="",AD361=""),"",IF(AD361=0,"",(AD364/AD361)-1)))</f>
        <v/>
      </c>
      <c r="AG364" s="23" t="str">
        <f>IF(ROW()&lt;9,"",IF(OR(AD364="",AD359=""),"",IF(AD359=0,"",(AD364/AD359)-1)))</f>
        <v/>
      </c>
      <c r="AH364" s="23" t="str">
        <f>IF(OR(AF364="",AG364=""),"",IF(AND(AF364&gt;0,AG364&gt;0),"Bull",IF(AND(AF364&lt;0,AG364&lt;0),"Bear","Mixed")))</f>
        <v/>
      </c>
      <c r="AI364" s="13"/>
      <c r="AJ364" s="13" t="str">
        <f>IF(OR(AI364="",AI363=""),"",IF(AI363=0,"",(AI364/AI363)-1))</f>
        <v/>
      </c>
      <c r="AK364" s="23" t="str">
        <f>IF(OR(AJ364="",AJ363=""),"",IF(AJ363=0,"",(AJ364/AJ363)-1))</f>
        <v/>
      </c>
      <c r="AL364" s="23" t="str">
        <f>IF(ROW()&lt;7,"",IF(OR(AJ364="",AJ361=""),"",IF(AJ361=0,"",(AJ364/AJ361)-1)))</f>
        <v/>
      </c>
      <c r="AM364" s="23" t="str">
        <f>IF(ROW()&lt;9,"",IF(OR(AJ364="",AJ359=""),"",IF(AJ359=0,"",(AJ364/AJ359)-1)))</f>
        <v/>
      </c>
      <c r="AN364" t="str">
        <f>IF(OR(AL364="",AM364=""),"",IF(AND(AL364&gt;0,AM364&gt;0),"Bull",IF(AND(AL364&lt;0,AM364&lt;0),"Bear","Mixed")))</f>
        <v/>
      </c>
      <c r="AO364" t="str">
        <f>IF(OR(AH364="",AN364=""),"",IF(AND(AH364="Bull",AN364="Bull"),"YES","NO"))</f>
        <v/>
      </c>
      <c r="AP364" t="str">
        <f>IF(OR(AH364="",AN364=""),"",IF(AND(AH364="Bear",AN364="Bear"),"YES","NO"))</f>
        <v/>
      </c>
      <c r="AQ364" t="str">
        <f>IF(AO364="YES",IF(SUM(N(X364),N(Y364),N(Z364))&gt;0,"SOXL","TQQQ"),IF(AP364="YES",IF(SUM(N(AA364),N(AB364),N(AC364))&gt;0,"SOXS","SQQQ"),"WAIT"))</f>
        <v>WAIT</v>
      </c>
      <c r="AR364" s="23" t="str">
        <f>IF(AO364="YES",IF(SUM(N(X364),N(Y364),N(Z364))&gt;0,"TQQQ","SOXL"),IF(AP364="YES",IF(SUM(N(AA364),N(AB364),N(AC364))&gt;0,"SQQQ","SOXS"),""))</f>
        <v/>
      </c>
      <c r="AS364" s="23" t="str">
        <f>IF(AQ364="WAIT","",IF(AR364="",1,0.6))</f>
        <v/>
      </c>
      <c r="AT364" s="23">
        <f>IF(AR364="",0,0.4)</f>
        <v>0</v>
      </c>
      <c r="AU364" s="23" t="str">
        <f>IF(AQ364="WAIT","WAIT",IF(AO364="YES","BULL",IF(AP364="YES","BEAR","WAIT")))</f>
        <v>WAIT</v>
      </c>
      <c r="AV364" t="str">
        <f>IF(AQ364="WAIT","Low",IF(OR(AND(AU364="BULL",ABS(SUM(N(X364),N(Y364),N(Z364)))&gt;=0.15),AND(AU364="BEAR",ABS(SUM(N(AA364),N(AB364),N(AC364)))&gt;=0.15)),"Strong",IF(OR(AND(AU364="BULL",ABS(SUM(N(X364),N(Y364),N(Z364)))&gt;=0.05),AND(AU364="BEAR",ABS(SUM(N(AA364),N(AB364),N(AC364)))&gt;=0.05)),"Moderate","Low")))</f>
        <v>Low</v>
      </c>
      <c r="AW364" t="str">
        <f>IF(AQ364="WAIT","QQQ and SMH not aligned",IF(AU364="BULL",IF(AQ364="SOXL","Bull regime; semiconductors leading","Bull regime; tech leading"),IF(AQ364="SOXS","Bear regime; semiconductors weakest","Bear regime; tech weakest")))</f>
        <v>QQQ and SMH not aligned</v>
      </c>
      <c r="AX364" t="str">
        <f>IF(AR364="WAIT","QQQ and SMH not aligned",IF(AV364="BULL",IF(AR364="SOXL","Bull regime; semiconductors leading","Bull regime; tech leading"),IF(AR364="SOXS","Bear regime; semiconductors weakest","Bear regime; tech weakest")))</f>
        <v>Bear regime; tech weakest</v>
      </c>
    </row>
    <row r="365" spans="1:50" x14ac:dyDescent="0.2">
      <c r="A365" s="12"/>
      <c r="B365" s="13"/>
      <c r="C365" s="13"/>
      <c r="D365" s="13"/>
      <c r="E365" s="13"/>
      <c r="F365" s="11" t="str">
        <f>IF(OR(E365="",E364=""),"",IF(E364=0,"",(E365/E364)-1))</f>
        <v/>
      </c>
      <c r="G365" s="13"/>
      <c r="H365" s="11" t="str">
        <f>IF(OR(G365="",G364=""),"",IF(G364=0,"",(G365/G364)-1))</f>
        <v/>
      </c>
      <c r="I365" s="13"/>
      <c r="J365" s="13"/>
      <c r="K365" s="13"/>
      <c r="L365" s="13"/>
      <c r="M365" s="23" t="str">
        <f>IF(OR(L365="",L364=""),"",IF(L364=0,"",(L365/L364)-1))</f>
        <v/>
      </c>
      <c r="N365" s="26" t="str">
        <f>IFERROR((M365/M364)-1,"")</f>
        <v/>
      </c>
      <c r="O365" s="23" t="str">
        <f>IF(OR(N365="",N364=""),"",IF(N364=0,"",(N365/N364)-1))</f>
        <v/>
      </c>
      <c r="P365" s="11" t="str">
        <f>IF(ROW()&lt;7,"",IF(OR(E365="",E362=""),"",IF(E362=0,"",(E365/E362)-1)))</f>
        <v/>
      </c>
      <c r="Q365" s="23" t="str">
        <f>IF(ROW()&lt;9,"",IF(OR(E365="",E360=""),"",IF(E360=0,"",(E365/E360)-1)))</f>
        <v/>
      </c>
      <c r="R365" s="23" t="str">
        <f>IF(ROW()&lt;7,"",IF(OR(G365="",G362=""),"",IF(G362=0,"",(G365/G362)-1)))</f>
        <v/>
      </c>
      <c r="S365" s="23" t="str">
        <f>IF(ROW()&lt;9,"",IF(OR(G365="",G360=""),"",IF(G360=0,"",(G365/G360)-1)))</f>
        <v/>
      </c>
      <c r="T365" s="23" t="str">
        <f>IF(ROW()&lt;7,"",IF(OR(L365="",L362=""),"",IF(L362=0,"",(L365/L362)-1)))</f>
        <v/>
      </c>
      <c r="U365" s="23" t="str">
        <f>IF(ROW()&lt;9,"",IF(OR(L365="",L360=""),"",IF(L360=0,"",(L365/L360)-1)))</f>
        <v/>
      </c>
      <c r="V365" s="23" t="str">
        <f>IF(ROW()&lt;7,"",IF(OR(N365="",N362=""),"",IF(N362=0,"",(N365/N362)-1)))</f>
        <v/>
      </c>
      <c r="W365" s="23" t="str">
        <f>IF(ROW()&lt;9,"",IF(OR(N365="",N360=""),"",IF(N360=0,"",(N365/N360)-1)))</f>
        <v/>
      </c>
      <c r="X365" s="23" t="str">
        <f>IF(OR(F365="",M365=""),"",F365-M365)</f>
        <v/>
      </c>
      <c r="Y365" s="23" t="str">
        <f>IF(OR(P365="",T365=""),"",P365-T365)</f>
        <v/>
      </c>
      <c r="Z365" s="23" t="str">
        <f>IF(OR(Q365="",U365=""),"",Q365-U365)</f>
        <v/>
      </c>
      <c r="AA365" s="23" t="str">
        <f>IF(OR(H365="",O365=""),"",H365-O365)</f>
        <v/>
      </c>
      <c r="AB365" s="23" t="str">
        <f>IF(OR(R365="",V365=""),"",R365-V365)</f>
        <v/>
      </c>
      <c r="AC365" s="23" t="str">
        <f>IF(OR(S365="",W365=""),"",S365-W365)</f>
        <v/>
      </c>
      <c r="AD365" s="13"/>
      <c r="AE365" s="23" t="str">
        <f>IF(OR(AD365="",AD364=""),"",IF(AD364=0,"",(AD365/AD364)-1))</f>
        <v/>
      </c>
      <c r="AF365" s="23" t="str">
        <f>IF(ROW()&lt;7,"",IF(OR(AD365="",AD362=""),"",IF(AD362=0,"",(AD365/AD362)-1)))</f>
        <v/>
      </c>
      <c r="AG365" s="23" t="str">
        <f>IF(ROW()&lt;9,"",IF(OR(AD365="",AD360=""),"",IF(AD360=0,"",(AD365/AD360)-1)))</f>
        <v/>
      </c>
      <c r="AH365" s="23" t="str">
        <f>IF(OR(AF365="",AG365=""),"",IF(AND(AF365&gt;0,AG365&gt;0),"Bull",IF(AND(AF365&lt;0,AG365&lt;0),"Bear","Mixed")))</f>
        <v/>
      </c>
      <c r="AI365" s="13"/>
      <c r="AJ365" s="13" t="str">
        <f>IF(OR(AI365="",AI364=""),"",IF(AI364=0,"",(AI365/AI364)-1))</f>
        <v/>
      </c>
      <c r="AK365" s="23" t="str">
        <f>IF(OR(AJ365="",AJ364=""),"",IF(AJ364=0,"",(AJ365/AJ364)-1))</f>
        <v/>
      </c>
      <c r="AL365" s="23" t="str">
        <f>IF(ROW()&lt;7,"",IF(OR(AJ365="",AJ362=""),"",IF(AJ362=0,"",(AJ365/AJ362)-1)))</f>
        <v/>
      </c>
      <c r="AM365" s="23" t="str">
        <f>IF(ROW()&lt;9,"",IF(OR(AJ365="",AJ360=""),"",IF(AJ360=0,"",(AJ365/AJ360)-1)))</f>
        <v/>
      </c>
      <c r="AN365" t="str">
        <f>IF(OR(AL365="",AM365=""),"",IF(AND(AL365&gt;0,AM365&gt;0),"Bull",IF(AND(AL365&lt;0,AM365&lt;0),"Bear","Mixed")))</f>
        <v/>
      </c>
      <c r="AO365" t="str">
        <f>IF(OR(AH365="",AN365=""),"",IF(AND(AH365="Bull",AN365="Bull"),"YES","NO"))</f>
        <v/>
      </c>
      <c r="AP365" t="str">
        <f>IF(OR(AH365="",AN365=""),"",IF(AND(AH365="Bear",AN365="Bear"),"YES","NO"))</f>
        <v/>
      </c>
      <c r="AQ365" t="str">
        <f>IF(AO365="YES",IF(SUM(N(X365),N(Y365),N(Z365))&gt;0,"SOXL","TQQQ"),IF(AP365="YES",IF(SUM(N(AA365),N(AB365),N(AC365))&gt;0,"SOXS","SQQQ"),"WAIT"))</f>
        <v>WAIT</v>
      </c>
      <c r="AR365" s="23" t="str">
        <f>IF(AO365="YES",IF(SUM(N(X365),N(Y365),N(Z365))&gt;0,"TQQQ","SOXL"),IF(AP365="YES",IF(SUM(N(AA365),N(AB365),N(AC365))&gt;0,"SQQQ","SOXS"),""))</f>
        <v/>
      </c>
      <c r="AS365" s="23" t="str">
        <f>IF(AQ365="WAIT","",IF(AR365="",1,0.6))</f>
        <v/>
      </c>
      <c r="AT365" s="23">
        <f>IF(AR365="",0,0.4)</f>
        <v>0</v>
      </c>
      <c r="AU365" s="23" t="str">
        <f>IF(AQ365="WAIT","WAIT",IF(AO365="YES","BULL",IF(AP365="YES","BEAR","WAIT")))</f>
        <v>WAIT</v>
      </c>
      <c r="AV365" t="str">
        <f>IF(AQ365="WAIT","Low",IF(OR(AND(AU365="BULL",ABS(SUM(N(X365),N(Y365),N(Z365)))&gt;=0.15),AND(AU365="BEAR",ABS(SUM(N(AA365),N(AB365),N(AC365)))&gt;=0.15)),"Strong",IF(OR(AND(AU365="BULL",ABS(SUM(N(X365),N(Y365),N(Z365)))&gt;=0.05),AND(AU365="BEAR",ABS(SUM(N(AA365),N(AB365),N(AC365)))&gt;=0.05)),"Moderate","Low")))</f>
        <v>Low</v>
      </c>
      <c r="AW365" t="str">
        <f>IF(AQ365="WAIT","QQQ and SMH not aligned",IF(AU365="BULL",IF(AQ365="SOXL","Bull regime; semiconductors leading","Bull regime; tech leading"),IF(AQ365="SOXS","Bear regime; semiconductors weakest","Bear regime; tech weakest")))</f>
        <v>QQQ and SMH not aligned</v>
      </c>
      <c r="AX365" t="str">
        <f>IF(AR365="WAIT","QQQ and SMH not aligned",IF(AV365="BULL",IF(AR365="SOXL","Bull regime; semiconductors leading","Bull regime; tech leading"),IF(AR365="SOXS","Bear regime; semiconductors weakest","Bear regime; tech weakest")))</f>
        <v>Bear regime; tech weakest</v>
      </c>
    </row>
    <row r="366" spans="1:50" x14ac:dyDescent="0.2">
      <c r="A366" s="12"/>
      <c r="B366" s="13"/>
      <c r="C366" s="13"/>
      <c r="D366" s="13"/>
      <c r="E366" s="13"/>
      <c r="F366" s="11" t="str">
        <f>IF(OR(E366="",E365=""),"",IF(E365=0,"",(E366/E365)-1))</f>
        <v/>
      </c>
      <c r="G366" s="13"/>
      <c r="H366" s="11" t="str">
        <f>IF(OR(G366="",G365=""),"",IF(G365=0,"",(G366/G365)-1))</f>
        <v/>
      </c>
      <c r="I366" s="13"/>
      <c r="J366" s="13"/>
      <c r="K366" s="13"/>
      <c r="L366" s="13"/>
      <c r="M366" s="23" t="str">
        <f>IF(OR(L366="",L365=""),"",IF(L365=0,"",(L366/L365)-1))</f>
        <v/>
      </c>
      <c r="N366" s="26" t="str">
        <f>IFERROR((M366/M365)-1,"")</f>
        <v/>
      </c>
      <c r="O366" s="23" t="str">
        <f>IF(OR(N366="",N365=""),"",IF(N365=0,"",(N366/N365)-1))</f>
        <v/>
      </c>
      <c r="P366" s="11" t="str">
        <f>IF(ROW()&lt;7,"",IF(OR(E366="",E363=""),"",IF(E363=0,"",(E366/E363)-1)))</f>
        <v/>
      </c>
      <c r="Q366" s="23" t="str">
        <f>IF(ROW()&lt;9,"",IF(OR(E366="",E361=""),"",IF(E361=0,"",(E366/E361)-1)))</f>
        <v/>
      </c>
      <c r="R366" s="23" t="str">
        <f>IF(ROW()&lt;7,"",IF(OR(G366="",G363=""),"",IF(G363=0,"",(G366/G363)-1)))</f>
        <v/>
      </c>
      <c r="S366" s="23" t="str">
        <f>IF(ROW()&lt;9,"",IF(OR(G366="",G361=""),"",IF(G361=0,"",(G366/G361)-1)))</f>
        <v/>
      </c>
      <c r="T366" s="23" t="str">
        <f>IF(ROW()&lt;7,"",IF(OR(L366="",L363=""),"",IF(L363=0,"",(L366/L363)-1)))</f>
        <v/>
      </c>
      <c r="U366" s="23" t="str">
        <f>IF(ROW()&lt;9,"",IF(OR(L366="",L361=""),"",IF(L361=0,"",(L366/L361)-1)))</f>
        <v/>
      </c>
      <c r="V366" s="23" t="str">
        <f>IF(ROW()&lt;7,"",IF(OR(N366="",N363=""),"",IF(N363=0,"",(N366/N363)-1)))</f>
        <v/>
      </c>
      <c r="W366" s="23" t="str">
        <f>IF(ROW()&lt;9,"",IF(OR(N366="",N361=""),"",IF(N361=0,"",(N366/N361)-1)))</f>
        <v/>
      </c>
      <c r="X366" s="23" t="str">
        <f>IF(OR(F366="",M366=""),"",F366-M366)</f>
        <v/>
      </c>
      <c r="Y366" s="23" t="str">
        <f>IF(OR(P366="",T366=""),"",P366-T366)</f>
        <v/>
      </c>
      <c r="Z366" s="23" t="str">
        <f>IF(OR(Q366="",U366=""),"",Q366-U366)</f>
        <v/>
      </c>
      <c r="AA366" s="23" t="str">
        <f>IF(OR(H366="",O366=""),"",H366-O366)</f>
        <v/>
      </c>
      <c r="AB366" s="23" t="str">
        <f>IF(OR(R366="",V366=""),"",R366-V366)</f>
        <v/>
      </c>
      <c r="AC366" s="23" t="str">
        <f>IF(OR(S366="",W366=""),"",S366-W366)</f>
        <v/>
      </c>
      <c r="AD366" s="13"/>
      <c r="AE366" s="23" t="str">
        <f>IF(OR(AD366="",AD365=""),"",IF(AD365=0,"",(AD366/AD365)-1))</f>
        <v/>
      </c>
      <c r="AF366" s="23" t="str">
        <f>IF(ROW()&lt;7,"",IF(OR(AD366="",AD363=""),"",IF(AD363=0,"",(AD366/AD363)-1)))</f>
        <v/>
      </c>
      <c r="AG366" s="23" t="str">
        <f>IF(ROW()&lt;9,"",IF(OR(AD366="",AD361=""),"",IF(AD361=0,"",(AD366/AD361)-1)))</f>
        <v/>
      </c>
      <c r="AH366" s="23" t="str">
        <f>IF(OR(AF366="",AG366=""),"",IF(AND(AF366&gt;0,AG366&gt;0),"Bull",IF(AND(AF366&lt;0,AG366&lt;0),"Bear","Mixed")))</f>
        <v/>
      </c>
      <c r="AI366" s="13"/>
      <c r="AJ366" s="13" t="str">
        <f>IF(OR(AI366="",AI365=""),"",IF(AI365=0,"",(AI366/AI365)-1))</f>
        <v/>
      </c>
      <c r="AK366" s="23" t="str">
        <f>IF(OR(AJ366="",AJ365=""),"",IF(AJ365=0,"",(AJ366/AJ365)-1))</f>
        <v/>
      </c>
      <c r="AL366" s="23" t="str">
        <f>IF(ROW()&lt;7,"",IF(OR(AJ366="",AJ363=""),"",IF(AJ363=0,"",(AJ366/AJ363)-1)))</f>
        <v/>
      </c>
      <c r="AM366" s="23" t="str">
        <f>IF(ROW()&lt;9,"",IF(OR(AJ366="",AJ361=""),"",IF(AJ361=0,"",(AJ366/AJ361)-1)))</f>
        <v/>
      </c>
      <c r="AN366" t="str">
        <f>IF(OR(AL366="",AM366=""),"",IF(AND(AL366&gt;0,AM366&gt;0),"Bull",IF(AND(AL366&lt;0,AM366&lt;0),"Bear","Mixed")))</f>
        <v/>
      </c>
      <c r="AO366" t="str">
        <f>IF(OR(AH366="",AN366=""),"",IF(AND(AH366="Bull",AN366="Bull"),"YES","NO"))</f>
        <v/>
      </c>
      <c r="AP366" t="str">
        <f>IF(OR(AH366="",AN366=""),"",IF(AND(AH366="Bear",AN366="Bear"),"YES","NO"))</f>
        <v/>
      </c>
      <c r="AQ366" t="str">
        <f>IF(AO366="YES",IF(SUM(N(X366),N(Y366),N(Z366))&gt;0,"SOXL","TQQQ"),IF(AP366="YES",IF(SUM(N(AA366),N(AB366),N(AC366))&gt;0,"SOXS","SQQQ"),"WAIT"))</f>
        <v>WAIT</v>
      </c>
      <c r="AR366" s="23" t="str">
        <f>IF(AO366="YES",IF(SUM(N(X366),N(Y366),N(Z366))&gt;0,"TQQQ","SOXL"),IF(AP366="YES",IF(SUM(N(AA366),N(AB366),N(AC366))&gt;0,"SQQQ","SOXS"),""))</f>
        <v/>
      </c>
      <c r="AS366" s="23" t="str">
        <f>IF(AQ366="WAIT","",IF(AR366="",1,0.6))</f>
        <v/>
      </c>
      <c r="AT366" s="23">
        <f>IF(AR366="",0,0.4)</f>
        <v>0</v>
      </c>
      <c r="AU366" s="23" t="str">
        <f>IF(AQ366="WAIT","WAIT",IF(AO366="YES","BULL",IF(AP366="YES","BEAR","WAIT")))</f>
        <v>WAIT</v>
      </c>
      <c r="AV366" t="str">
        <f>IF(AQ366="WAIT","Low",IF(OR(AND(AU366="BULL",ABS(SUM(N(X366),N(Y366),N(Z366)))&gt;=0.15),AND(AU366="BEAR",ABS(SUM(N(AA366),N(AB366),N(AC366)))&gt;=0.15)),"Strong",IF(OR(AND(AU366="BULL",ABS(SUM(N(X366),N(Y366),N(Z366)))&gt;=0.05),AND(AU366="BEAR",ABS(SUM(N(AA366),N(AB366),N(AC366)))&gt;=0.05)),"Moderate","Low")))</f>
        <v>Low</v>
      </c>
      <c r="AW366" t="str">
        <f>IF(AQ366="WAIT","QQQ and SMH not aligned",IF(AU366="BULL",IF(AQ366="SOXL","Bull regime; semiconductors leading","Bull regime; tech leading"),IF(AQ366="SOXS","Bear regime; semiconductors weakest","Bear regime; tech weakest")))</f>
        <v>QQQ and SMH not aligned</v>
      </c>
      <c r="AX366" t="str">
        <f>IF(AR366="WAIT","QQQ and SMH not aligned",IF(AV366="BULL",IF(AR366="SOXL","Bull regime; semiconductors leading","Bull regime; tech leading"),IF(AR366="SOXS","Bear regime; semiconductors weakest","Bear regime; tech weakest")))</f>
        <v>Bear regime; tech weakest</v>
      </c>
    </row>
    <row r="367" spans="1:50" x14ac:dyDescent="0.2">
      <c r="A367" s="12"/>
      <c r="B367" s="13"/>
      <c r="C367" s="13"/>
      <c r="D367" s="13"/>
      <c r="E367" s="13"/>
      <c r="F367" s="11" t="str">
        <f>IF(OR(E367="",E366=""),"",IF(E366=0,"",(E367/E366)-1))</f>
        <v/>
      </c>
      <c r="G367" s="13"/>
      <c r="H367" s="11" t="str">
        <f>IF(OR(G367="",G366=""),"",IF(G366=0,"",(G367/G366)-1))</f>
        <v/>
      </c>
      <c r="I367" s="13"/>
      <c r="J367" s="13"/>
      <c r="K367" s="13"/>
      <c r="L367" s="13"/>
      <c r="M367" s="23" t="str">
        <f>IF(OR(L367="",L366=""),"",IF(L366=0,"",(L367/L366)-1))</f>
        <v/>
      </c>
      <c r="N367" s="26" t="str">
        <f>IFERROR((M367/M366)-1,"")</f>
        <v/>
      </c>
      <c r="O367" s="23" t="str">
        <f>IF(OR(N367="",N366=""),"",IF(N366=0,"",(N367/N366)-1))</f>
        <v/>
      </c>
      <c r="P367" s="11" t="str">
        <f>IF(ROW()&lt;7,"",IF(OR(E367="",E364=""),"",IF(E364=0,"",(E367/E364)-1)))</f>
        <v/>
      </c>
      <c r="Q367" s="23" t="str">
        <f>IF(ROW()&lt;9,"",IF(OR(E367="",E362=""),"",IF(E362=0,"",(E367/E362)-1)))</f>
        <v/>
      </c>
      <c r="R367" s="23" t="str">
        <f>IF(ROW()&lt;7,"",IF(OR(G367="",G364=""),"",IF(G364=0,"",(G367/G364)-1)))</f>
        <v/>
      </c>
      <c r="S367" s="23" t="str">
        <f>IF(ROW()&lt;9,"",IF(OR(G367="",G362=""),"",IF(G362=0,"",(G367/G362)-1)))</f>
        <v/>
      </c>
      <c r="T367" s="23" t="str">
        <f>IF(ROW()&lt;7,"",IF(OR(L367="",L364=""),"",IF(L364=0,"",(L367/L364)-1)))</f>
        <v/>
      </c>
      <c r="U367" s="23" t="str">
        <f>IF(ROW()&lt;9,"",IF(OR(L367="",L362=""),"",IF(L362=0,"",(L367/L362)-1)))</f>
        <v/>
      </c>
      <c r="V367" s="23" t="str">
        <f>IF(ROW()&lt;7,"",IF(OR(N367="",N364=""),"",IF(N364=0,"",(N367/N364)-1)))</f>
        <v/>
      </c>
      <c r="W367" s="23" t="str">
        <f>IF(ROW()&lt;9,"",IF(OR(N367="",N362=""),"",IF(N362=0,"",(N367/N362)-1)))</f>
        <v/>
      </c>
      <c r="X367" s="23" t="str">
        <f>IF(OR(F367="",M367=""),"",F367-M367)</f>
        <v/>
      </c>
      <c r="Y367" s="23" t="str">
        <f>IF(OR(P367="",T367=""),"",P367-T367)</f>
        <v/>
      </c>
      <c r="Z367" s="23" t="str">
        <f>IF(OR(Q367="",U367=""),"",Q367-U367)</f>
        <v/>
      </c>
      <c r="AA367" s="23" t="str">
        <f>IF(OR(H367="",O367=""),"",H367-O367)</f>
        <v/>
      </c>
      <c r="AB367" s="23" t="str">
        <f>IF(OR(R367="",V367=""),"",R367-V367)</f>
        <v/>
      </c>
      <c r="AC367" s="23" t="str">
        <f>IF(OR(S367="",W367=""),"",S367-W367)</f>
        <v/>
      </c>
      <c r="AD367" s="13"/>
      <c r="AE367" s="23" t="str">
        <f>IF(OR(AD367="",AD366=""),"",IF(AD366=0,"",(AD367/AD366)-1))</f>
        <v/>
      </c>
      <c r="AF367" s="23" t="str">
        <f>IF(ROW()&lt;7,"",IF(OR(AD367="",AD364=""),"",IF(AD364=0,"",(AD367/AD364)-1)))</f>
        <v/>
      </c>
      <c r="AG367" s="23" t="str">
        <f>IF(ROW()&lt;9,"",IF(OR(AD367="",AD362=""),"",IF(AD362=0,"",(AD367/AD362)-1)))</f>
        <v/>
      </c>
      <c r="AH367" s="23" t="str">
        <f>IF(OR(AF367="",AG367=""),"",IF(AND(AF367&gt;0,AG367&gt;0),"Bull",IF(AND(AF367&lt;0,AG367&lt;0),"Bear","Mixed")))</f>
        <v/>
      </c>
      <c r="AI367" s="13"/>
      <c r="AJ367" s="13" t="str">
        <f>IF(OR(AI367="",AI366=""),"",IF(AI366=0,"",(AI367/AI366)-1))</f>
        <v/>
      </c>
      <c r="AK367" s="23" t="str">
        <f>IF(OR(AJ367="",AJ366=""),"",IF(AJ366=0,"",(AJ367/AJ366)-1))</f>
        <v/>
      </c>
      <c r="AL367" s="23" t="str">
        <f>IF(ROW()&lt;7,"",IF(OR(AJ367="",AJ364=""),"",IF(AJ364=0,"",(AJ367/AJ364)-1)))</f>
        <v/>
      </c>
      <c r="AM367" s="23" t="str">
        <f>IF(ROW()&lt;9,"",IF(OR(AJ367="",AJ362=""),"",IF(AJ362=0,"",(AJ367/AJ362)-1)))</f>
        <v/>
      </c>
      <c r="AN367" t="str">
        <f>IF(OR(AL367="",AM367=""),"",IF(AND(AL367&gt;0,AM367&gt;0),"Bull",IF(AND(AL367&lt;0,AM367&lt;0),"Bear","Mixed")))</f>
        <v/>
      </c>
      <c r="AO367" t="str">
        <f>IF(OR(AH367="",AN367=""),"",IF(AND(AH367="Bull",AN367="Bull"),"YES","NO"))</f>
        <v/>
      </c>
      <c r="AP367" t="str">
        <f>IF(OR(AH367="",AN367=""),"",IF(AND(AH367="Bear",AN367="Bear"),"YES","NO"))</f>
        <v/>
      </c>
      <c r="AQ367" t="str">
        <f>IF(AO367="YES",IF(SUM(N(X367),N(Y367),N(Z367))&gt;0,"SOXL","TQQQ"),IF(AP367="YES",IF(SUM(N(AA367),N(AB367),N(AC367))&gt;0,"SOXS","SQQQ"),"WAIT"))</f>
        <v>WAIT</v>
      </c>
      <c r="AR367" s="23" t="str">
        <f>IF(AO367="YES",IF(SUM(N(X367),N(Y367),N(Z367))&gt;0,"TQQQ","SOXL"),IF(AP367="YES",IF(SUM(N(AA367),N(AB367),N(AC367))&gt;0,"SQQQ","SOXS"),""))</f>
        <v/>
      </c>
      <c r="AS367" s="23" t="str">
        <f>IF(AQ367="WAIT","",IF(AR367="",1,0.6))</f>
        <v/>
      </c>
      <c r="AT367" s="23">
        <f>IF(AR367="",0,0.4)</f>
        <v>0</v>
      </c>
      <c r="AU367" s="23" t="str">
        <f>IF(AQ367="WAIT","WAIT",IF(AO367="YES","BULL",IF(AP367="YES","BEAR","WAIT")))</f>
        <v>WAIT</v>
      </c>
      <c r="AV367" t="str">
        <f>IF(AQ367="WAIT","Low",IF(OR(AND(AU367="BULL",ABS(SUM(N(X367),N(Y367),N(Z367)))&gt;=0.15),AND(AU367="BEAR",ABS(SUM(N(AA367),N(AB367),N(AC367)))&gt;=0.15)),"Strong",IF(OR(AND(AU367="BULL",ABS(SUM(N(X367),N(Y367),N(Z367)))&gt;=0.05),AND(AU367="BEAR",ABS(SUM(N(AA367),N(AB367),N(AC367)))&gt;=0.05)),"Moderate","Low")))</f>
        <v>Low</v>
      </c>
      <c r="AW367" t="str">
        <f>IF(AQ367="WAIT","QQQ and SMH not aligned",IF(AU367="BULL",IF(AQ367="SOXL","Bull regime; semiconductors leading","Bull regime; tech leading"),IF(AQ367="SOXS","Bear regime; semiconductors weakest","Bear regime; tech weakest")))</f>
        <v>QQQ and SMH not aligned</v>
      </c>
      <c r="AX367" t="str">
        <f>IF(AR367="WAIT","QQQ and SMH not aligned",IF(AV367="BULL",IF(AR367="SOXL","Bull regime; semiconductors leading","Bull regime; tech leading"),IF(AR367="SOXS","Bear regime; semiconductors weakest","Bear regime; tech weakest")))</f>
        <v>Bear regime; tech weakest</v>
      </c>
    </row>
    <row r="368" spans="1:50" x14ac:dyDescent="0.2">
      <c r="A368" s="12"/>
      <c r="B368" s="13"/>
      <c r="C368" s="13"/>
      <c r="D368" s="13"/>
      <c r="E368" s="13"/>
      <c r="F368" s="11" t="str">
        <f>IF(OR(E368="",E367=""),"",IF(E367=0,"",(E368/E367)-1))</f>
        <v/>
      </c>
      <c r="G368" s="13"/>
      <c r="H368" s="11" t="str">
        <f>IF(OR(G368="",G367=""),"",IF(G367=0,"",(G368/G367)-1))</f>
        <v/>
      </c>
      <c r="I368" s="13"/>
      <c r="J368" s="13"/>
      <c r="K368" s="13"/>
      <c r="L368" s="13"/>
      <c r="M368" s="23" t="str">
        <f>IF(OR(L368="",L367=""),"",IF(L367=0,"",(L368/L367)-1))</f>
        <v/>
      </c>
      <c r="N368" s="26" t="str">
        <f>IFERROR((M368/M367)-1,"")</f>
        <v/>
      </c>
      <c r="O368" s="23" t="str">
        <f>IF(OR(N368="",N367=""),"",IF(N367=0,"",(N368/N367)-1))</f>
        <v/>
      </c>
      <c r="P368" s="11" t="str">
        <f>IF(ROW()&lt;7,"",IF(OR(E368="",E365=""),"",IF(E365=0,"",(E368/E365)-1)))</f>
        <v/>
      </c>
      <c r="Q368" s="23" t="str">
        <f>IF(ROW()&lt;9,"",IF(OR(E368="",E363=""),"",IF(E363=0,"",(E368/E363)-1)))</f>
        <v/>
      </c>
      <c r="R368" s="23" t="str">
        <f>IF(ROW()&lt;7,"",IF(OR(G368="",G365=""),"",IF(G365=0,"",(G368/G365)-1)))</f>
        <v/>
      </c>
      <c r="S368" s="23" t="str">
        <f>IF(ROW()&lt;9,"",IF(OR(G368="",G363=""),"",IF(G363=0,"",(G368/G363)-1)))</f>
        <v/>
      </c>
      <c r="T368" s="23" t="str">
        <f>IF(ROW()&lt;7,"",IF(OR(L368="",L365=""),"",IF(L365=0,"",(L368/L365)-1)))</f>
        <v/>
      </c>
      <c r="U368" s="23" t="str">
        <f>IF(ROW()&lt;9,"",IF(OR(L368="",L363=""),"",IF(L363=0,"",(L368/L363)-1)))</f>
        <v/>
      </c>
      <c r="V368" s="23" t="str">
        <f>IF(ROW()&lt;7,"",IF(OR(N368="",N365=""),"",IF(N365=0,"",(N368/N365)-1)))</f>
        <v/>
      </c>
      <c r="W368" s="23" t="str">
        <f>IF(ROW()&lt;9,"",IF(OR(N368="",N363=""),"",IF(N363=0,"",(N368/N363)-1)))</f>
        <v/>
      </c>
      <c r="X368" s="23" t="str">
        <f>IF(OR(F368="",M368=""),"",F368-M368)</f>
        <v/>
      </c>
      <c r="Y368" s="23" t="str">
        <f>IF(OR(P368="",T368=""),"",P368-T368)</f>
        <v/>
      </c>
      <c r="Z368" s="23" t="str">
        <f>IF(OR(Q368="",U368=""),"",Q368-U368)</f>
        <v/>
      </c>
      <c r="AA368" s="23" t="str">
        <f>IF(OR(H368="",O368=""),"",H368-O368)</f>
        <v/>
      </c>
      <c r="AB368" s="23" t="str">
        <f>IF(OR(R368="",V368=""),"",R368-V368)</f>
        <v/>
      </c>
      <c r="AC368" s="23" t="str">
        <f>IF(OR(S368="",W368=""),"",S368-W368)</f>
        <v/>
      </c>
      <c r="AD368" s="13"/>
      <c r="AE368" s="23" t="str">
        <f>IF(OR(AD368="",AD367=""),"",IF(AD367=0,"",(AD368/AD367)-1))</f>
        <v/>
      </c>
      <c r="AF368" s="23" t="str">
        <f>IF(ROW()&lt;7,"",IF(OR(AD368="",AD365=""),"",IF(AD365=0,"",(AD368/AD365)-1)))</f>
        <v/>
      </c>
      <c r="AG368" s="23" t="str">
        <f>IF(ROW()&lt;9,"",IF(OR(AD368="",AD363=""),"",IF(AD363=0,"",(AD368/AD363)-1)))</f>
        <v/>
      </c>
      <c r="AH368" s="23" t="str">
        <f>IF(OR(AF368="",AG368=""),"",IF(AND(AF368&gt;0,AG368&gt;0),"Bull",IF(AND(AF368&lt;0,AG368&lt;0),"Bear","Mixed")))</f>
        <v/>
      </c>
      <c r="AI368" s="13"/>
      <c r="AJ368" s="13" t="str">
        <f>IF(OR(AI368="",AI367=""),"",IF(AI367=0,"",(AI368/AI367)-1))</f>
        <v/>
      </c>
      <c r="AK368" s="23" t="str">
        <f>IF(OR(AJ368="",AJ367=""),"",IF(AJ367=0,"",(AJ368/AJ367)-1))</f>
        <v/>
      </c>
      <c r="AL368" s="23" t="str">
        <f>IF(ROW()&lt;7,"",IF(OR(AJ368="",AJ365=""),"",IF(AJ365=0,"",(AJ368/AJ365)-1)))</f>
        <v/>
      </c>
      <c r="AM368" s="23" t="str">
        <f>IF(ROW()&lt;9,"",IF(OR(AJ368="",AJ363=""),"",IF(AJ363=0,"",(AJ368/AJ363)-1)))</f>
        <v/>
      </c>
      <c r="AN368" t="str">
        <f>IF(OR(AL368="",AM368=""),"",IF(AND(AL368&gt;0,AM368&gt;0),"Bull",IF(AND(AL368&lt;0,AM368&lt;0),"Bear","Mixed")))</f>
        <v/>
      </c>
      <c r="AO368" t="str">
        <f>IF(OR(AH368="",AN368=""),"",IF(AND(AH368="Bull",AN368="Bull"),"YES","NO"))</f>
        <v/>
      </c>
      <c r="AP368" t="str">
        <f>IF(OR(AH368="",AN368=""),"",IF(AND(AH368="Bear",AN368="Bear"),"YES","NO"))</f>
        <v/>
      </c>
      <c r="AQ368" t="str">
        <f>IF(AO368="YES",IF(SUM(N(X368),N(Y368),N(Z368))&gt;0,"SOXL","TQQQ"),IF(AP368="YES",IF(SUM(N(AA368),N(AB368),N(AC368))&gt;0,"SOXS","SQQQ"),"WAIT"))</f>
        <v>WAIT</v>
      </c>
      <c r="AR368" s="23" t="str">
        <f>IF(AO368="YES",IF(SUM(N(X368),N(Y368),N(Z368))&gt;0,"TQQQ","SOXL"),IF(AP368="YES",IF(SUM(N(AA368),N(AB368),N(AC368))&gt;0,"SQQQ","SOXS"),""))</f>
        <v/>
      </c>
      <c r="AS368" s="23" t="str">
        <f>IF(AQ368="WAIT","",IF(AR368="",1,0.6))</f>
        <v/>
      </c>
      <c r="AT368" s="23">
        <f>IF(AR368="",0,0.4)</f>
        <v>0</v>
      </c>
      <c r="AU368" s="23" t="str">
        <f>IF(AQ368="WAIT","WAIT",IF(AO368="YES","BULL",IF(AP368="YES","BEAR","WAIT")))</f>
        <v>WAIT</v>
      </c>
      <c r="AV368" t="str">
        <f>IF(AQ368="WAIT","Low",IF(OR(AND(AU368="BULL",ABS(SUM(N(X368),N(Y368),N(Z368)))&gt;=0.15),AND(AU368="BEAR",ABS(SUM(N(AA368),N(AB368),N(AC368)))&gt;=0.15)),"Strong",IF(OR(AND(AU368="BULL",ABS(SUM(N(X368),N(Y368),N(Z368)))&gt;=0.05),AND(AU368="BEAR",ABS(SUM(N(AA368),N(AB368),N(AC368)))&gt;=0.05)),"Moderate","Low")))</f>
        <v>Low</v>
      </c>
      <c r="AW368" t="str">
        <f>IF(AQ368="WAIT","QQQ and SMH not aligned",IF(AU368="BULL",IF(AQ368="SOXL","Bull regime; semiconductors leading","Bull regime; tech leading"),IF(AQ368="SOXS","Bear regime; semiconductors weakest","Bear regime; tech weakest")))</f>
        <v>QQQ and SMH not aligned</v>
      </c>
      <c r="AX368" t="str">
        <f>IF(AR368="WAIT","QQQ and SMH not aligned",IF(AV368="BULL",IF(AR368="SOXL","Bull regime; semiconductors leading","Bull regime; tech leading"),IF(AR368="SOXS","Bear regime; semiconductors weakest","Bear regime; tech weakest")))</f>
        <v>Bear regime; tech weakest</v>
      </c>
    </row>
    <row r="369" spans="1:50" x14ac:dyDescent="0.2">
      <c r="A369" s="12"/>
      <c r="B369" s="13"/>
      <c r="C369" s="13"/>
      <c r="D369" s="13"/>
      <c r="E369" s="13"/>
      <c r="F369" s="11" t="str">
        <f>IF(OR(E369="",E368=""),"",IF(E368=0,"",(E369/E368)-1))</f>
        <v/>
      </c>
      <c r="G369" s="13"/>
      <c r="H369" s="11" t="str">
        <f>IF(OR(G369="",G368=""),"",IF(G368=0,"",(G369/G368)-1))</f>
        <v/>
      </c>
      <c r="I369" s="13"/>
      <c r="J369" s="13"/>
      <c r="K369" s="13"/>
      <c r="L369" s="13"/>
      <c r="M369" s="23" t="str">
        <f>IF(OR(L369="",L368=""),"",IF(L368=0,"",(L369/L368)-1))</f>
        <v/>
      </c>
      <c r="N369" s="26" t="str">
        <f>IFERROR((M369/M368)-1,"")</f>
        <v/>
      </c>
      <c r="O369" s="23" t="str">
        <f>IF(OR(N369="",N368=""),"",IF(N368=0,"",(N369/N368)-1))</f>
        <v/>
      </c>
      <c r="P369" s="11" t="str">
        <f>IF(ROW()&lt;7,"",IF(OR(E369="",E366=""),"",IF(E366=0,"",(E369/E366)-1)))</f>
        <v/>
      </c>
      <c r="Q369" s="23" t="str">
        <f>IF(ROW()&lt;9,"",IF(OR(E369="",E364=""),"",IF(E364=0,"",(E369/E364)-1)))</f>
        <v/>
      </c>
      <c r="R369" s="23" t="str">
        <f>IF(ROW()&lt;7,"",IF(OR(G369="",G366=""),"",IF(G366=0,"",(G369/G366)-1)))</f>
        <v/>
      </c>
      <c r="S369" s="23" t="str">
        <f>IF(ROW()&lt;9,"",IF(OR(G369="",G364=""),"",IF(G364=0,"",(G369/G364)-1)))</f>
        <v/>
      </c>
      <c r="T369" s="23" t="str">
        <f>IF(ROW()&lt;7,"",IF(OR(L369="",L366=""),"",IF(L366=0,"",(L369/L366)-1)))</f>
        <v/>
      </c>
      <c r="U369" s="23" t="str">
        <f>IF(ROW()&lt;9,"",IF(OR(L369="",L364=""),"",IF(L364=0,"",(L369/L364)-1)))</f>
        <v/>
      </c>
      <c r="V369" s="23" t="str">
        <f>IF(ROW()&lt;7,"",IF(OR(N369="",N366=""),"",IF(N366=0,"",(N369/N366)-1)))</f>
        <v/>
      </c>
      <c r="W369" s="23" t="str">
        <f>IF(ROW()&lt;9,"",IF(OR(N369="",N364=""),"",IF(N364=0,"",(N369/N364)-1)))</f>
        <v/>
      </c>
      <c r="X369" s="23" t="str">
        <f>IF(OR(F369="",M369=""),"",F369-M369)</f>
        <v/>
      </c>
      <c r="Y369" s="23" t="str">
        <f>IF(OR(P369="",T369=""),"",P369-T369)</f>
        <v/>
      </c>
      <c r="Z369" s="23" t="str">
        <f>IF(OR(Q369="",U369=""),"",Q369-U369)</f>
        <v/>
      </c>
      <c r="AA369" s="23" t="str">
        <f>IF(OR(H369="",O369=""),"",H369-O369)</f>
        <v/>
      </c>
      <c r="AB369" s="23" t="str">
        <f>IF(OR(R369="",V369=""),"",R369-V369)</f>
        <v/>
      </c>
      <c r="AC369" s="23" t="str">
        <f>IF(OR(S369="",W369=""),"",S369-W369)</f>
        <v/>
      </c>
      <c r="AD369" s="13"/>
      <c r="AE369" s="23" t="str">
        <f>IF(OR(AD369="",AD368=""),"",IF(AD368=0,"",(AD369/AD368)-1))</f>
        <v/>
      </c>
      <c r="AF369" s="23" t="str">
        <f>IF(ROW()&lt;7,"",IF(OR(AD369="",AD366=""),"",IF(AD366=0,"",(AD369/AD366)-1)))</f>
        <v/>
      </c>
      <c r="AG369" s="23" t="str">
        <f>IF(ROW()&lt;9,"",IF(OR(AD369="",AD364=""),"",IF(AD364=0,"",(AD369/AD364)-1)))</f>
        <v/>
      </c>
      <c r="AH369" s="23" t="str">
        <f>IF(OR(AF369="",AG369=""),"",IF(AND(AF369&gt;0,AG369&gt;0),"Bull",IF(AND(AF369&lt;0,AG369&lt;0),"Bear","Mixed")))</f>
        <v/>
      </c>
      <c r="AI369" s="13"/>
      <c r="AJ369" s="13" t="str">
        <f>IF(OR(AI369="",AI368=""),"",IF(AI368=0,"",(AI369/AI368)-1))</f>
        <v/>
      </c>
      <c r="AK369" s="23" t="str">
        <f>IF(OR(AJ369="",AJ368=""),"",IF(AJ368=0,"",(AJ369/AJ368)-1))</f>
        <v/>
      </c>
      <c r="AL369" s="23" t="str">
        <f>IF(ROW()&lt;7,"",IF(OR(AJ369="",AJ366=""),"",IF(AJ366=0,"",(AJ369/AJ366)-1)))</f>
        <v/>
      </c>
      <c r="AM369" s="23" t="str">
        <f>IF(ROW()&lt;9,"",IF(OR(AJ369="",AJ364=""),"",IF(AJ364=0,"",(AJ369/AJ364)-1)))</f>
        <v/>
      </c>
      <c r="AN369" t="str">
        <f>IF(OR(AL369="",AM369=""),"",IF(AND(AL369&gt;0,AM369&gt;0),"Bull",IF(AND(AL369&lt;0,AM369&lt;0),"Bear","Mixed")))</f>
        <v/>
      </c>
      <c r="AO369" t="str">
        <f>IF(OR(AH369="",AN369=""),"",IF(AND(AH369="Bull",AN369="Bull"),"YES","NO"))</f>
        <v/>
      </c>
      <c r="AP369" t="str">
        <f>IF(OR(AH369="",AN369=""),"",IF(AND(AH369="Bear",AN369="Bear"),"YES","NO"))</f>
        <v/>
      </c>
      <c r="AQ369" t="str">
        <f>IF(AO369="YES",IF(SUM(N(X369),N(Y369),N(Z369))&gt;0,"SOXL","TQQQ"),IF(AP369="YES",IF(SUM(N(AA369),N(AB369),N(AC369))&gt;0,"SOXS","SQQQ"),"WAIT"))</f>
        <v>WAIT</v>
      </c>
      <c r="AR369" s="23" t="str">
        <f>IF(AO369="YES",IF(SUM(N(X369),N(Y369),N(Z369))&gt;0,"TQQQ","SOXL"),IF(AP369="YES",IF(SUM(N(AA369),N(AB369),N(AC369))&gt;0,"SQQQ","SOXS"),""))</f>
        <v/>
      </c>
      <c r="AS369" s="23" t="str">
        <f>IF(AQ369="WAIT","",IF(AR369="",1,0.6))</f>
        <v/>
      </c>
      <c r="AT369" s="23">
        <f>IF(AR369="",0,0.4)</f>
        <v>0</v>
      </c>
      <c r="AU369" s="23" t="str">
        <f>IF(AQ369="WAIT","WAIT",IF(AO369="YES","BULL",IF(AP369="YES","BEAR","WAIT")))</f>
        <v>WAIT</v>
      </c>
      <c r="AV369" t="str">
        <f>IF(AQ369="WAIT","Low",IF(OR(AND(AU369="BULL",ABS(SUM(N(X369),N(Y369),N(Z369)))&gt;=0.15),AND(AU369="BEAR",ABS(SUM(N(AA369),N(AB369),N(AC369)))&gt;=0.15)),"Strong",IF(OR(AND(AU369="BULL",ABS(SUM(N(X369),N(Y369),N(Z369)))&gt;=0.05),AND(AU369="BEAR",ABS(SUM(N(AA369),N(AB369),N(AC369)))&gt;=0.05)),"Moderate","Low")))</f>
        <v>Low</v>
      </c>
      <c r="AW369" t="str">
        <f>IF(AQ369="WAIT","QQQ and SMH not aligned",IF(AU369="BULL",IF(AQ369="SOXL","Bull regime; semiconductors leading","Bull regime; tech leading"),IF(AQ369="SOXS","Bear regime; semiconductors weakest","Bear regime; tech weakest")))</f>
        <v>QQQ and SMH not aligned</v>
      </c>
      <c r="AX369" t="str">
        <f>IF(AR369="WAIT","QQQ and SMH not aligned",IF(AV369="BULL",IF(AR369="SOXL","Bull regime; semiconductors leading","Bull regime; tech leading"),IF(AR369="SOXS","Bear regime; semiconductors weakest","Bear regime; tech weakest")))</f>
        <v>Bear regime; tech weakest</v>
      </c>
    </row>
    <row r="370" spans="1:50" x14ac:dyDescent="0.2">
      <c r="A370" s="12"/>
      <c r="B370" s="13"/>
      <c r="C370" s="13"/>
      <c r="D370" s="13"/>
      <c r="E370" s="13"/>
      <c r="F370" s="11" t="str">
        <f>IF(OR(E370="",E369=""),"",IF(E369=0,"",(E370/E369)-1))</f>
        <v/>
      </c>
      <c r="G370" s="13"/>
      <c r="H370" s="11" t="str">
        <f>IF(OR(G370="",G369=""),"",IF(G369=0,"",(G370/G369)-1))</f>
        <v/>
      </c>
      <c r="I370" s="13"/>
      <c r="J370" s="13"/>
      <c r="K370" s="13"/>
      <c r="L370" s="13"/>
      <c r="M370" s="23" t="str">
        <f>IF(OR(L370="",L369=""),"",IF(L369=0,"",(L370/L369)-1))</f>
        <v/>
      </c>
      <c r="N370" s="26" t="str">
        <f>IFERROR((M370/M369)-1,"")</f>
        <v/>
      </c>
      <c r="O370" s="23" t="str">
        <f>IF(OR(N370="",N369=""),"",IF(N369=0,"",(N370/N369)-1))</f>
        <v/>
      </c>
      <c r="P370" s="11" t="str">
        <f>IF(ROW()&lt;7,"",IF(OR(E370="",E367=""),"",IF(E367=0,"",(E370/E367)-1)))</f>
        <v/>
      </c>
      <c r="Q370" s="23" t="str">
        <f>IF(ROW()&lt;9,"",IF(OR(E370="",E365=""),"",IF(E365=0,"",(E370/E365)-1)))</f>
        <v/>
      </c>
      <c r="R370" s="23" t="str">
        <f>IF(ROW()&lt;7,"",IF(OR(G370="",G367=""),"",IF(G367=0,"",(G370/G367)-1)))</f>
        <v/>
      </c>
      <c r="S370" s="23" t="str">
        <f>IF(ROW()&lt;9,"",IF(OR(G370="",G365=""),"",IF(G365=0,"",(G370/G365)-1)))</f>
        <v/>
      </c>
      <c r="T370" s="23" t="str">
        <f>IF(ROW()&lt;7,"",IF(OR(L370="",L367=""),"",IF(L367=0,"",(L370/L367)-1)))</f>
        <v/>
      </c>
      <c r="U370" s="23" t="str">
        <f>IF(ROW()&lt;9,"",IF(OR(L370="",L365=""),"",IF(L365=0,"",(L370/L365)-1)))</f>
        <v/>
      </c>
      <c r="V370" s="23" t="str">
        <f>IF(ROW()&lt;7,"",IF(OR(N370="",N367=""),"",IF(N367=0,"",(N370/N367)-1)))</f>
        <v/>
      </c>
      <c r="W370" s="23" t="str">
        <f>IF(ROW()&lt;9,"",IF(OR(N370="",N365=""),"",IF(N365=0,"",(N370/N365)-1)))</f>
        <v/>
      </c>
      <c r="X370" s="23" t="str">
        <f>IF(OR(F370="",M370=""),"",F370-M370)</f>
        <v/>
      </c>
      <c r="Y370" s="23" t="str">
        <f>IF(OR(P370="",T370=""),"",P370-T370)</f>
        <v/>
      </c>
      <c r="Z370" s="23" t="str">
        <f>IF(OR(Q370="",U370=""),"",Q370-U370)</f>
        <v/>
      </c>
      <c r="AA370" s="23" t="str">
        <f>IF(OR(H370="",O370=""),"",H370-O370)</f>
        <v/>
      </c>
      <c r="AB370" s="23" t="str">
        <f>IF(OR(R370="",V370=""),"",R370-V370)</f>
        <v/>
      </c>
      <c r="AC370" s="23" t="str">
        <f>IF(OR(S370="",W370=""),"",S370-W370)</f>
        <v/>
      </c>
      <c r="AD370" s="13"/>
      <c r="AE370" s="23" t="str">
        <f>IF(OR(AD370="",AD369=""),"",IF(AD369=0,"",(AD370/AD369)-1))</f>
        <v/>
      </c>
      <c r="AF370" s="23" t="str">
        <f>IF(ROW()&lt;7,"",IF(OR(AD370="",AD367=""),"",IF(AD367=0,"",(AD370/AD367)-1)))</f>
        <v/>
      </c>
      <c r="AG370" s="23" t="str">
        <f>IF(ROW()&lt;9,"",IF(OR(AD370="",AD365=""),"",IF(AD365=0,"",(AD370/AD365)-1)))</f>
        <v/>
      </c>
      <c r="AH370" s="23" t="str">
        <f>IF(OR(AF370="",AG370=""),"",IF(AND(AF370&gt;0,AG370&gt;0),"Bull",IF(AND(AF370&lt;0,AG370&lt;0),"Bear","Mixed")))</f>
        <v/>
      </c>
      <c r="AI370" s="13"/>
      <c r="AJ370" s="13" t="str">
        <f>IF(OR(AI370="",AI369=""),"",IF(AI369=0,"",(AI370/AI369)-1))</f>
        <v/>
      </c>
      <c r="AK370" s="23" t="str">
        <f>IF(OR(AJ370="",AJ369=""),"",IF(AJ369=0,"",(AJ370/AJ369)-1))</f>
        <v/>
      </c>
      <c r="AL370" s="23" t="str">
        <f>IF(ROW()&lt;7,"",IF(OR(AJ370="",AJ367=""),"",IF(AJ367=0,"",(AJ370/AJ367)-1)))</f>
        <v/>
      </c>
      <c r="AM370" s="23" t="str">
        <f>IF(ROW()&lt;9,"",IF(OR(AJ370="",AJ365=""),"",IF(AJ365=0,"",(AJ370/AJ365)-1)))</f>
        <v/>
      </c>
      <c r="AN370" t="str">
        <f>IF(OR(AL370="",AM370=""),"",IF(AND(AL370&gt;0,AM370&gt;0),"Bull",IF(AND(AL370&lt;0,AM370&lt;0),"Bear","Mixed")))</f>
        <v/>
      </c>
      <c r="AO370" t="str">
        <f>IF(OR(AH370="",AN370=""),"",IF(AND(AH370="Bull",AN370="Bull"),"YES","NO"))</f>
        <v/>
      </c>
      <c r="AP370" t="str">
        <f>IF(OR(AH370="",AN370=""),"",IF(AND(AH370="Bear",AN370="Bear"),"YES","NO"))</f>
        <v/>
      </c>
      <c r="AQ370" t="str">
        <f>IF(AO370="YES",IF(SUM(N(X370),N(Y370),N(Z370))&gt;0,"SOXL","TQQQ"),IF(AP370="YES",IF(SUM(N(AA370),N(AB370),N(AC370))&gt;0,"SOXS","SQQQ"),"WAIT"))</f>
        <v>WAIT</v>
      </c>
      <c r="AR370" s="23" t="str">
        <f>IF(AO370="YES",IF(SUM(N(X370),N(Y370),N(Z370))&gt;0,"TQQQ","SOXL"),IF(AP370="YES",IF(SUM(N(AA370),N(AB370),N(AC370))&gt;0,"SQQQ","SOXS"),""))</f>
        <v/>
      </c>
      <c r="AS370" s="23" t="str">
        <f>IF(AQ370="WAIT","",IF(AR370="",1,0.6))</f>
        <v/>
      </c>
      <c r="AT370" s="23">
        <f>IF(AR370="",0,0.4)</f>
        <v>0</v>
      </c>
      <c r="AU370" s="23" t="str">
        <f>IF(AQ370="WAIT","WAIT",IF(AO370="YES","BULL",IF(AP370="YES","BEAR","WAIT")))</f>
        <v>WAIT</v>
      </c>
      <c r="AV370" t="str">
        <f>IF(AQ370="WAIT","Low",IF(OR(AND(AU370="BULL",ABS(SUM(N(X370),N(Y370),N(Z370)))&gt;=0.15),AND(AU370="BEAR",ABS(SUM(N(AA370),N(AB370),N(AC370)))&gt;=0.15)),"Strong",IF(OR(AND(AU370="BULL",ABS(SUM(N(X370),N(Y370),N(Z370)))&gt;=0.05),AND(AU370="BEAR",ABS(SUM(N(AA370),N(AB370),N(AC370)))&gt;=0.05)),"Moderate","Low")))</f>
        <v>Low</v>
      </c>
      <c r="AW370" t="str">
        <f>IF(AQ370="WAIT","QQQ and SMH not aligned",IF(AU370="BULL",IF(AQ370="SOXL","Bull regime; semiconductors leading","Bull regime; tech leading"),IF(AQ370="SOXS","Bear regime; semiconductors weakest","Bear regime; tech weakest")))</f>
        <v>QQQ and SMH not aligned</v>
      </c>
      <c r="AX370" t="str">
        <f>IF(AR370="WAIT","QQQ and SMH not aligned",IF(AV370="BULL",IF(AR370="SOXL","Bull regime; semiconductors leading","Bull regime; tech leading"),IF(AR370="SOXS","Bear regime; semiconductors weakest","Bear regime; tech weakest")))</f>
        <v>Bear regime; tech weakest</v>
      </c>
    </row>
    <row r="371" spans="1:50" x14ac:dyDescent="0.2">
      <c r="A371" s="12"/>
      <c r="B371" s="13"/>
      <c r="C371" s="13"/>
      <c r="D371" s="13"/>
      <c r="E371" s="13"/>
      <c r="F371" s="11" t="str">
        <f>IF(OR(E371="",E370=""),"",IF(E370=0,"",(E371/E370)-1))</f>
        <v/>
      </c>
      <c r="G371" s="13"/>
      <c r="H371" s="11" t="str">
        <f>IF(OR(G371="",G370=""),"",IF(G370=0,"",(G371/G370)-1))</f>
        <v/>
      </c>
      <c r="I371" s="13"/>
      <c r="J371" s="13"/>
      <c r="K371" s="13"/>
      <c r="L371" s="13"/>
      <c r="M371" s="23" t="str">
        <f>IF(OR(L371="",L370=""),"",IF(L370=0,"",(L371/L370)-1))</f>
        <v/>
      </c>
      <c r="N371" s="26" t="str">
        <f>IFERROR((M371/M370)-1,"")</f>
        <v/>
      </c>
      <c r="O371" s="23" t="str">
        <f>IF(OR(N371="",N370=""),"",IF(N370=0,"",(N371/N370)-1))</f>
        <v/>
      </c>
      <c r="P371" s="11" t="str">
        <f>IF(ROW()&lt;7,"",IF(OR(E371="",E368=""),"",IF(E368=0,"",(E371/E368)-1)))</f>
        <v/>
      </c>
      <c r="Q371" s="23" t="str">
        <f>IF(ROW()&lt;9,"",IF(OR(E371="",E366=""),"",IF(E366=0,"",(E371/E366)-1)))</f>
        <v/>
      </c>
      <c r="R371" s="23" t="str">
        <f>IF(ROW()&lt;7,"",IF(OR(G371="",G368=""),"",IF(G368=0,"",(G371/G368)-1)))</f>
        <v/>
      </c>
      <c r="S371" s="23" t="str">
        <f>IF(ROW()&lt;9,"",IF(OR(G371="",G366=""),"",IF(G366=0,"",(G371/G366)-1)))</f>
        <v/>
      </c>
      <c r="T371" s="23" t="str">
        <f>IF(ROW()&lt;7,"",IF(OR(L371="",L368=""),"",IF(L368=0,"",(L371/L368)-1)))</f>
        <v/>
      </c>
      <c r="U371" s="23" t="str">
        <f>IF(ROW()&lt;9,"",IF(OR(L371="",L366=""),"",IF(L366=0,"",(L371/L366)-1)))</f>
        <v/>
      </c>
      <c r="V371" s="23" t="str">
        <f>IF(ROW()&lt;7,"",IF(OR(N371="",N368=""),"",IF(N368=0,"",(N371/N368)-1)))</f>
        <v/>
      </c>
      <c r="W371" s="23" t="str">
        <f>IF(ROW()&lt;9,"",IF(OR(N371="",N366=""),"",IF(N366=0,"",(N371/N366)-1)))</f>
        <v/>
      </c>
      <c r="X371" s="23" t="str">
        <f>IF(OR(F371="",M371=""),"",F371-M371)</f>
        <v/>
      </c>
      <c r="Y371" s="23" t="str">
        <f>IF(OR(P371="",T371=""),"",P371-T371)</f>
        <v/>
      </c>
      <c r="Z371" s="23" t="str">
        <f>IF(OR(Q371="",U371=""),"",Q371-U371)</f>
        <v/>
      </c>
      <c r="AA371" s="23" t="str">
        <f>IF(OR(H371="",O371=""),"",H371-O371)</f>
        <v/>
      </c>
      <c r="AB371" s="23" t="str">
        <f>IF(OR(R371="",V371=""),"",R371-V371)</f>
        <v/>
      </c>
      <c r="AC371" s="23" t="str">
        <f>IF(OR(S371="",W371=""),"",S371-W371)</f>
        <v/>
      </c>
      <c r="AD371" s="13"/>
      <c r="AE371" s="23" t="str">
        <f>IF(OR(AD371="",AD370=""),"",IF(AD370=0,"",(AD371/AD370)-1))</f>
        <v/>
      </c>
      <c r="AF371" s="23" t="str">
        <f>IF(ROW()&lt;7,"",IF(OR(AD371="",AD368=""),"",IF(AD368=0,"",(AD371/AD368)-1)))</f>
        <v/>
      </c>
      <c r="AG371" s="23" t="str">
        <f>IF(ROW()&lt;9,"",IF(OR(AD371="",AD366=""),"",IF(AD366=0,"",(AD371/AD366)-1)))</f>
        <v/>
      </c>
      <c r="AH371" s="23" t="str">
        <f>IF(OR(AF371="",AG371=""),"",IF(AND(AF371&gt;0,AG371&gt;0),"Bull",IF(AND(AF371&lt;0,AG371&lt;0),"Bear","Mixed")))</f>
        <v/>
      </c>
      <c r="AI371" s="13"/>
      <c r="AJ371" s="13" t="str">
        <f>IF(OR(AI371="",AI370=""),"",IF(AI370=0,"",(AI371/AI370)-1))</f>
        <v/>
      </c>
      <c r="AK371" s="23" t="str">
        <f>IF(OR(AJ371="",AJ370=""),"",IF(AJ370=0,"",(AJ371/AJ370)-1))</f>
        <v/>
      </c>
      <c r="AL371" s="23" t="str">
        <f>IF(ROW()&lt;7,"",IF(OR(AJ371="",AJ368=""),"",IF(AJ368=0,"",(AJ371/AJ368)-1)))</f>
        <v/>
      </c>
      <c r="AM371" s="23" t="str">
        <f>IF(ROW()&lt;9,"",IF(OR(AJ371="",AJ366=""),"",IF(AJ366=0,"",(AJ371/AJ366)-1)))</f>
        <v/>
      </c>
      <c r="AN371" t="str">
        <f>IF(OR(AL371="",AM371=""),"",IF(AND(AL371&gt;0,AM371&gt;0),"Bull",IF(AND(AL371&lt;0,AM371&lt;0),"Bear","Mixed")))</f>
        <v/>
      </c>
      <c r="AO371" t="str">
        <f>IF(OR(AH371="",AN371=""),"",IF(AND(AH371="Bull",AN371="Bull"),"YES","NO"))</f>
        <v/>
      </c>
      <c r="AP371" t="str">
        <f>IF(OR(AH371="",AN371=""),"",IF(AND(AH371="Bear",AN371="Bear"),"YES","NO"))</f>
        <v/>
      </c>
      <c r="AQ371" t="str">
        <f>IF(AO371="YES",IF(SUM(N(X371),N(Y371),N(Z371))&gt;0,"SOXL","TQQQ"),IF(AP371="YES",IF(SUM(N(AA371),N(AB371),N(AC371))&gt;0,"SOXS","SQQQ"),"WAIT"))</f>
        <v>WAIT</v>
      </c>
      <c r="AR371" s="23" t="str">
        <f>IF(AO371="YES",IF(SUM(N(X371),N(Y371),N(Z371))&gt;0,"TQQQ","SOXL"),IF(AP371="YES",IF(SUM(N(AA371),N(AB371),N(AC371))&gt;0,"SQQQ","SOXS"),""))</f>
        <v/>
      </c>
      <c r="AS371" s="23" t="str">
        <f>IF(AQ371="WAIT","",IF(AR371="",1,0.6))</f>
        <v/>
      </c>
      <c r="AT371" s="23">
        <f>IF(AR371="",0,0.4)</f>
        <v>0</v>
      </c>
      <c r="AU371" s="23" t="str">
        <f>IF(AQ371="WAIT","WAIT",IF(AO371="YES","BULL",IF(AP371="YES","BEAR","WAIT")))</f>
        <v>WAIT</v>
      </c>
      <c r="AV371" t="str">
        <f>IF(AQ371="WAIT","Low",IF(OR(AND(AU371="BULL",ABS(SUM(N(X371),N(Y371),N(Z371)))&gt;=0.15),AND(AU371="BEAR",ABS(SUM(N(AA371),N(AB371),N(AC371)))&gt;=0.15)),"Strong",IF(OR(AND(AU371="BULL",ABS(SUM(N(X371),N(Y371),N(Z371)))&gt;=0.05),AND(AU371="BEAR",ABS(SUM(N(AA371),N(AB371),N(AC371)))&gt;=0.05)),"Moderate","Low")))</f>
        <v>Low</v>
      </c>
      <c r="AW371" t="str">
        <f>IF(AQ371="WAIT","QQQ and SMH not aligned",IF(AU371="BULL",IF(AQ371="SOXL","Bull regime; semiconductors leading","Bull regime; tech leading"),IF(AQ371="SOXS","Bear regime; semiconductors weakest","Bear regime; tech weakest")))</f>
        <v>QQQ and SMH not aligned</v>
      </c>
      <c r="AX371" t="str">
        <f>IF(AR371="WAIT","QQQ and SMH not aligned",IF(AV371="BULL",IF(AR371="SOXL","Bull regime; semiconductors leading","Bull regime; tech leading"),IF(AR371="SOXS","Bear regime; semiconductors weakest","Bear regime; tech weakest")))</f>
        <v>Bear regime; tech weakest</v>
      </c>
    </row>
    <row r="372" spans="1:50" x14ac:dyDescent="0.2">
      <c r="A372" s="12"/>
      <c r="B372" s="13"/>
      <c r="C372" s="13"/>
      <c r="D372" s="13"/>
      <c r="E372" s="13"/>
      <c r="F372" s="11" t="str">
        <f>IF(OR(E372="",E371=""),"",IF(E371=0,"",(E372/E371)-1))</f>
        <v/>
      </c>
      <c r="G372" s="13"/>
      <c r="H372" s="11" t="str">
        <f>IF(OR(G372="",G371=""),"",IF(G371=0,"",(G372/G371)-1))</f>
        <v/>
      </c>
      <c r="I372" s="13"/>
      <c r="J372" s="13"/>
      <c r="K372" s="13"/>
      <c r="L372" s="13"/>
      <c r="M372" s="23" t="str">
        <f>IF(OR(L372="",L371=""),"",IF(L371=0,"",(L372/L371)-1))</f>
        <v/>
      </c>
      <c r="N372" s="26" t="str">
        <f>IFERROR((M372/M371)-1,"")</f>
        <v/>
      </c>
      <c r="O372" s="23" t="str">
        <f>IF(OR(N372="",N371=""),"",IF(N371=0,"",(N372/N371)-1))</f>
        <v/>
      </c>
      <c r="P372" s="11" t="str">
        <f>IF(ROW()&lt;7,"",IF(OR(E372="",E369=""),"",IF(E369=0,"",(E372/E369)-1)))</f>
        <v/>
      </c>
      <c r="Q372" s="23" t="str">
        <f>IF(ROW()&lt;9,"",IF(OR(E372="",E367=""),"",IF(E367=0,"",(E372/E367)-1)))</f>
        <v/>
      </c>
      <c r="R372" s="23" t="str">
        <f>IF(ROW()&lt;7,"",IF(OR(G372="",G369=""),"",IF(G369=0,"",(G372/G369)-1)))</f>
        <v/>
      </c>
      <c r="S372" s="23" t="str">
        <f>IF(ROW()&lt;9,"",IF(OR(G372="",G367=""),"",IF(G367=0,"",(G372/G367)-1)))</f>
        <v/>
      </c>
      <c r="T372" s="23" t="str">
        <f>IF(ROW()&lt;7,"",IF(OR(L372="",L369=""),"",IF(L369=0,"",(L372/L369)-1)))</f>
        <v/>
      </c>
      <c r="U372" s="23" t="str">
        <f>IF(ROW()&lt;9,"",IF(OR(L372="",L367=""),"",IF(L367=0,"",(L372/L367)-1)))</f>
        <v/>
      </c>
      <c r="V372" s="23" t="str">
        <f>IF(ROW()&lt;7,"",IF(OR(N372="",N369=""),"",IF(N369=0,"",(N372/N369)-1)))</f>
        <v/>
      </c>
      <c r="W372" s="23" t="str">
        <f>IF(ROW()&lt;9,"",IF(OR(N372="",N367=""),"",IF(N367=0,"",(N372/N367)-1)))</f>
        <v/>
      </c>
      <c r="X372" s="23" t="str">
        <f>IF(OR(F372="",M372=""),"",F372-M372)</f>
        <v/>
      </c>
      <c r="Y372" s="23" t="str">
        <f>IF(OR(P372="",T372=""),"",P372-T372)</f>
        <v/>
      </c>
      <c r="Z372" s="23" t="str">
        <f>IF(OR(Q372="",U372=""),"",Q372-U372)</f>
        <v/>
      </c>
      <c r="AA372" s="23" t="str">
        <f>IF(OR(H372="",O372=""),"",H372-O372)</f>
        <v/>
      </c>
      <c r="AB372" s="23" t="str">
        <f>IF(OR(R372="",V372=""),"",R372-V372)</f>
        <v/>
      </c>
      <c r="AC372" s="23" t="str">
        <f>IF(OR(S372="",W372=""),"",S372-W372)</f>
        <v/>
      </c>
      <c r="AD372" s="13"/>
      <c r="AE372" s="23" t="str">
        <f>IF(OR(AD372="",AD371=""),"",IF(AD371=0,"",(AD372/AD371)-1))</f>
        <v/>
      </c>
      <c r="AF372" s="23" t="str">
        <f>IF(ROW()&lt;7,"",IF(OR(AD372="",AD369=""),"",IF(AD369=0,"",(AD372/AD369)-1)))</f>
        <v/>
      </c>
      <c r="AG372" s="23" t="str">
        <f>IF(ROW()&lt;9,"",IF(OR(AD372="",AD367=""),"",IF(AD367=0,"",(AD372/AD367)-1)))</f>
        <v/>
      </c>
      <c r="AH372" s="23" t="str">
        <f>IF(OR(AF372="",AG372=""),"",IF(AND(AF372&gt;0,AG372&gt;0),"Bull",IF(AND(AF372&lt;0,AG372&lt;0),"Bear","Mixed")))</f>
        <v/>
      </c>
      <c r="AI372" s="13"/>
      <c r="AJ372" s="13" t="str">
        <f>IF(OR(AI372="",AI371=""),"",IF(AI371=0,"",(AI372/AI371)-1))</f>
        <v/>
      </c>
      <c r="AK372" s="23" t="str">
        <f>IF(OR(AJ372="",AJ371=""),"",IF(AJ371=0,"",(AJ372/AJ371)-1))</f>
        <v/>
      </c>
      <c r="AL372" s="23" t="str">
        <f>IF(ROW()&lt;7,"",IF(OR(AJ372="",AJ369=""),"",IF(AJ369=0,"",(AJ372/AJ369)-1)))</f>
        <v/>
      </c>
      <c r="AM372" s="23" t="str">
        <f>IF(ROW()&lt;9,"",IF(OR(AJ372="",AJ367=""),"",IF(AJ367=0,"",(AJ372/AJ367)-1)))</f>
        <v/>
      </c>
      <c r="AN372" t="str">
        <f>IF(OR(AL372="",AM372=""),"",IF(AND(AL372&gt;0,AM372&gt;0),"Bull",IF(AND(AL372&lt;0,AM372&lt;0),"Bear","Mixed")))</f>
        <v/>
      </c>
      <c r="AO372" t="str">
        <f>IF(OR(AH372="",AN372=""),"",IF(AND(AH372="Bull",AN372="Bull"),"YES","NO"))</f>
        <v/>
      </c>
      <c r="AP372" t="str">
        <f>IF(OR(AH372="",AN372=""),"",IF(AND(AH372="Bear",AN372="Bear"),"YES","NO"))</f>
        <v/>
      </c>
      <c r="AQ372" t="str">
        <f>IF(AO372="YES",IF(SUM(N(X372),N(Y372),N(Z372))&gt;0,"SOXL","TQQQ"),IF(AP372="YES",IF(SUM(N(AA372),N(AB372),N(AC372))&gt;0,"SOXS","SQQQ"),"WAIT"))</f>
        <v>WAIT</v>
      </c>
      <c r="AR372" s="23" t="str">
        <f>IF(AO372="YES",IF(SUM(N(X372),N(Y372),N(Z372))&gt;0,"TQQQ","SOXL"),IF(AP372="YES",IF(SUM(N(AA372),N(AB372),N(AC372))&gt;0,"SQQQ","SOXS"),""))</f>
        <v/>
      </c>
      <c r="AS372" s="23" t="str">
        <f>IF(AQ372="WAIT","",IF(AR372="",1,0.6))</f>
        <v/>
      </c>
      <c r="AT372" s="23">
        <f>IF(AR372="",0,0.4)</f>
        <v>0</v>
      </c>
      <c r="AU372" s="23" t="str">
        <f>IF(AQ372="WAIT","WAIT",IF(AO372="YES","BULL",IF(AP372="YES","BEAR","WAIT")))</f>
        <v>WAIT</v>
      </c>
      <c r="AV372" t="str">
        <f>IF(AQ372="WAIT","Low",IF(OR(AND(AU372="BULL",ABS(SUM(N(X372),N(Y372),N(Z372)))&gt;=0.15),AND(AU372="BEAR",ABS(SUM(N(AA372),N(AB372),N(AC372)))&gt;=0.15)),"Strong",IF(OR(AND(AU372="BULL",ABS(SUM(N(X372),N(Y372),N(Z372)))&gt;=0.05),AND(AU372="BEAR",ABS(SUM(N(AA372),N(AB372),N(AC372)))&gt;=0.05)),"Moderate","Low")))</f>
        <v>Low</v>
      </c>
      <c r="AW372" t="str">
        <f>IF(AQ372="WAIT","QQQ and SMH not aligned",IF(AU372="BULL",IF(AQ372="SOXL","Bull regime; semiconductors leading","Bull regime; tech leading"),IF(AQ372="SOXS","Bear regime; semiconductors weakest","Bear regime; tech weakest")))</f>
        <v>QQQ and SMH not aligned</v>
      </c>
      <c r="AX372" t="str">
        <f>IF(AR372="WAIT","QQQ and SMH not aligned",IF(AV372="BULL",IF(AR372="SOXL","Bull regime; semiconductors leading","Bull regime; tech leading"),IF(AR372="SOXS","Bear regime; semiconductors weakest","Bear regime; tech weakest")))</f>
        <v>Bear regime; tech weakest</v>
      </c>
    </row>
    <row r="373" spans="1:50" x14ac:dyDescent="0.2">
      <c r="A373" s="12"/>
      <c r="B373" s="13"/>
      <c r="C373" s="13"/>
      <c r="D373" s="13"/>
      <c r="E373" s="13"/>
      <c r="F373" s="11" t="str">
        <f>IF(OR(E373="",E372=""),"",IF(E372=0,"",(E373/E372)-1))</f>
        <v/>
      </c>
      <c r="G373" s="13"/>
      <c r="H373" s="11" t="str">
        <f>IF(OR(G373="",G372=""),"",IF(G372=0,"",(G373/G372)-1))</f>
        <v/>
      </c>
      <c r="I373" s="13"/>
      <c r="J373" s="13"/>
      <c r="K373" s="13"/>
      <c r="L373" s="13"/>
      <c r="M373" s="23" t="str">
        <f>IF(OR(L373="",L372=""),"",IF(L372=0,"",(L373/L372)-1))</f>
        <v/>
      </c>
      <c r="N373" s="26" t="str">
        <f>IFERROR((M373/M372)-1,"")</f>
        <v/>
      </c>
      <c r="O373" s="23" t="str">
        <f>IF(OR(N373="",N372=""),"",IF(N372=0,"",(N373/N372)-1))</f>
        <v/>
      </c>
      <c r="P373" s="11" t="str">
        <f>IF(ROW()&lt;7,"",IF(OR(E373="",E370=""),"",IF(E370=0,"",(E373/E370)-1)))</f>
        <v/>
      </c>
      <c r="Q373" s="23" t="str">
        <f>IF(ROW()&lt;9,"",IF(OR(E373="",E368=""),"",IF(E368=0,"",(E373/E368)-1)))</f>
        <v/>
      </c>
      <c r="R373" s="23" t="str">
        <f>IF(ROW()&lt;7,"",IF(OR(G373="",G370=""),"",IF(G370=0,"",(G373/G370)-1)))</f>
        <v/>
      </c>
      <c r="S373" s="23" t="str">
        <f>IF(ROW()&lt;9,"",IF(OR(G373="",G368=""),"",IF(G368=0,"",(G373/G368)-1)))</f>
        <v/>
      </c>
      <c r="T373" s="23" t="str">
        <f>IF(ROW()&lt;7,"",IF(OR(L373="",L370=""),"",IF(L370=0,"",(L373/L370)-1)))</f>
        <v/>
      </c>
      <c r="U373" s="23" t="str">
        <f>IF(ROW()&lt;9,"",IF(OR(L373="",L368=""),"",IF(L368=0,"",(L373/L368)-1)))</f>
        <v/>
      </c>
      <c r="V373" s="23" t="str">
        <f>IF(ROW()&lt;7,"",IF(OR(N373="",N370=""),"",IF(N370=0,"",(N373/N370)-1)))</f>
        <v/>
      </c>
      <c r="W373" s="23" t="str">
        <f>IF(ROW()&lt;9,"",IF(OR(N373="",N368=""),"",IF(N368=0,"",(N373/N368)-1)))</f>
        <v/>
      </c>
      <c r="X373" s="23" t="str">
        <f>IF(OR(F373="",M373=""),"",F373-M373)</f>
        <v/>
      </c>
      <c r="Y373" s="23" t="str">
        <f>IF(OR(P373="",T373=""),"",P373-T373)</f>
        <v/>
      </c>
      <c r="Z373" s="23" t="str">
        <f>IF(OR(Q373="",U373=""),"",Q373-U373)</f>
        <v/>
      </c>
      <c r="AA373" s="23" t="str">
        <f>IF(OR(H373="",O373=""),"",H373-O373)</f>
        <v/>
      </c>
      <c r="AB373" s="23" t="str">
        <f>IF(OR(R373="",V373=""),"",R373-V373)</f>
        <v/>
      </c>
      <c r="AC373" s="23" t="str">
        <f>IF(OR(S373="",W373=""),"",S373-W373)</f>
        <v/>
      </c>
      <c r="AD373" s="13"/>
      <c r="AE373" s="23" t="str">
        <f>IF(OR(AD373="",AD372=""),"",IF(AD372=0,"",(AD373/AD372)-1))</f>
        <v/>
      </c>
      <c r="AF373" s="23" t="str">
        <f>IF(ROW()&lt;7,"",IF(OR(AD373="",AD370=""),"",IF(AD370=0,"",(AD373/AD370)-1)))</f>
        <v/>
      </c>
      <c r="AG373" s="23" t="str">
        <f>IF(ROW()&lt;9,"",IF(OR(AD373="",AD368=""),"",IF(AD368=0,"",(AD373/AD368)-1)))</f>
        <v/>
      </c>
      <c r="AH373" s="23" t="str">
        <f>IF(OR(AF373="",AG373=""),"",IF(AND(AF373&gt;0,AG373&gt;0),"Bull",IF(AND(AF373&lt;0,AG373&lt;0),"Bear","Mixed")))</f>
        <v/>
      </c>
      <c r="AI373" s="13"/>
      <c r="AJ373" s="13" t="str">
        <f>IF(OR(AI373="",AI372=""),"",IF(AI372=0,"",(AI373/AI372)-1))</f>
        <v/>
      </c>
      <c r="AK373" s="23" t="str">
        <f>IF(OR(AJ373="",AJ372=""),"",IF(AJ372=0,"",(AJ373/AJ372)-1))</f>
        <v/>
      </c>
      <c r="AL373" s="23" t="str">
        <f>IF(ROW()&lt;7,"",IF(OR(AJ373="",AJ370=""),"",IF(AJ370=0,"",(AJ373/AJ370)-1)))</f>
        <v/>
      </c>
      <c r="AM373" s="23" t="str">
        <f>IF(ROW()&lt;9,"",IF(OR(AJ373="",AJ368=""),"",IF(AJ368=0,"",(AJ373/AJ368)-1)))</f>
        <v/>
      </c>
      <c r="AN373" t="str">
        <f>IF(OR(AL373="",AM373=""),"",IF(AND(AL373&gt;0,AM373&gt;0),"Bull",IF(AND(AL373&lt;0,AM373&lt;0),"Bear","Mixed")))</f>
        <v/>
      </c>
      <c r="AO373" t="str">
        <f>IF(OR(AH373="",AN373=""),"",IF(AND(AH373="Bull",AN373="Bull"),"YES","NO"))</f>
        <v/>
      </c>
      <c r="AP373" t="str">
        <f>IF(OR(AH373="",AN373=""),"",IF(AND(AH373="Bear",AN373="Bear"),"YES","NO"))</f>
        <v/>
      </c>
      <c r="AQ373" t="str">
        <f>IF(AO373="YES",IF(SUM(N(X373),N(Y373),N(Z373))&gt;0,"SOXL","TQQQ"),IF(AP373="YES",IF(SUM(N(AA373),N(AB373),N(AC373))&gt;0,"SOXS","SQQQ"),"WAIT"))</f>
        <v>WAIT</v>
      </c>
      <c r="AR373" s="23" t="str">
        <f>IF(AO373="YES",IF(SUM(N(X373),N(Y373),N(Z373))&gt;0,"TQQQ","SOXL"),IF(AP373="YES",IF(SUM(N(AA373),N(AB373),N(AC373))&gt;0,"SQQQ","SOXS"),""))</f>
        <v/>
      </c>
      <c r="AS373" s="23" t="str">
        <f>IF(AQ373="WAIT","",IF(AR373="",1,0.6))</f>
        <v/>
      </c>
      <c r="AT373" s="23">
        <f>IF(AR373="",0,0.4)</f>
        <v>0</v>
      </c>
      <c r="AU373" s="23" t="str">
        <f>IF(AQ373="WAIT","WAIT",IF(AO373="YES","BULL",IF(AP373="YES","BEAR","WAIT")))</f>
        <v>WAIT</v>
      </c>
      <c r="AV373" t="str">
        <f>IF(AQ373="WAIT","Low",IF(OR(AND(AU373="BULL",ABS(SUM(N(X373),N(Y373),N(Z373)))&gt;=0.15),AND(AU373="BEAR",ABS(SUM(N(AA373),N(AB373),N(AC373)))&gt;=0.15)),"Strong",IF(OR(AND(AU373="BULL",ABS(SUM(N(X373),N(Y373),N(Z373)))&gt;=0.05),AND(AU373="BEAR",ABS(SUM(N(AA373),N(AB373),N(AC373)))&gt;=0.05)),"Moderate","Low")))</f>
        <v>Low</v>
      </c>
      <c r="AW373" t="str">
        <f>IF(AQ373="WAIT","QQQ and SMH not aligned",IF(AU373="BULL",IF(AQ373="SOXL","Bull regime; semiconductors leading","Bull regime; tech leading"),IF(AQ373="SOXS","Bear regime; semiconductors weakest","Bear regime; tech weakest")))</f>
        <v>QQQ and SMH not aligned</v>
      </c>
      <c r="AX373" t="str">
        <f>IF(AR373="WAIT","QQQ and SMH not aligned",IF(AV373="BULL",IF(AR373="SOXL","Bull regime; semiconductors leading","Bull regime; tech leading"),IF(AR373="SOXS","Bear regime; semiconductors weakest","Bear regime; tech weakest")))</f>
        <v>Bear regime; tech weakest</v>
      </c>
    </row>
    <row r="374" spans="1:50" x14ac:dyDescent="0.2">
      <c r="A374" s="12"/>
      <c r="B374" s="13"/>
      <c r="C374" s="13"/>
      <c r="D374" s="13"/>
      <c r="E374" s="13"/>
      <c r="F374" s="11" t="str">
        <f>IF(OR(E374="",E373=""),"",IF(E373=0,"",(E374/E373)-1))</f>
        <v/>
      </c>
      <c r="G374" s="13"/>
      <c r="H374" s="11" t="str">
        <f>IF(OR(G374="",G373=""),"",IF(G373=0,"",(G374/G373)-1))</f>
        <v/>
      </c>
      <c r="I374" s="13"/>
      <c r="J374" s="13"/>
      <c r="K374" s="13"/>
      <c r="L374" s="13"/>
      <c r="M374" s="23" t="str">
        <f>IF(OR(L374="",L373=""),"",IF(L373=0,"",(L374/L373)-1))</f>
        <v/>
      </c>
      <c r="N374" s="26" t="str">
        <f>IFERROR((M374/M373)-1,"")</f>
        <v/>
      </c>
      <c r="O374" s="23" t="str">
        <f>IF(OR(N374="",N373=""),"",IF(N373=0,"",(N374/N373)-1))</f>
        <v/>
      </c>
      <c r="P374" s="11" t="str">
        <f>IF(ROW()&lt;7,"",IF(OR(E374="",E371=""),"",IF(E371=0,"",(E374/E371)-1)))</f>
        <v/>
      </c>
      <c r="Q374" s="23" t="str">
        <f>IF(ROW()&lt;9,"",IF(OR(E374="",E369=""),"",IF(E369=0,"",(E374/E369)-1)))</f>
        <v/>
      </c>
      <c r="R374" s="23" t="str">
        <f>IF(ROW()&lt;7,"",IF(OR(G374="",G371=""),"",IF(G371=0,"",(G374/G371)-1)))</f>
        <v/>
      </c>
      <c r="S374" s="23" t="str">
        <f>IF(ROW()&lt;9,"",IF(OR(G374="",G369=""),"",IF(G369=0,"",(G374/G369)-1)))</f>
        <v/>
      </c>
      <c r="T374" s="23" t="str">
        <f>IF(ROW()&lt;7,"",IF(OR(L374="",L371=""),"",IF(L371=0,"",(L374/L371)-1)))</f>
        <v/>
      </c>
      <c r="U374" s="23" t="str">
        <f>IF(ROW()&lt;9,"",IF(OR(L374="",L369=""),"",IF(L369=0,"",(L374/L369)-1)))</f>
        <v/>
      </c>
      <c r="V374" s="23" t="str">
        <f>IF(ROW()&lt;7,"",IF(OR(N374="",N371=""),"",IF(N371=0,"",(N374/N371)-1)))</f>
        <v/>
      </c>
      <c r="W374" s="23" t="str">
        <f>IF(ROW()&lt;9,"",IF(OR(N374="",N369=""),"",IF(N369=0,"",(N374/N369)-1)))</f>
        <v/>
      </c>
      <c r="X374" s="23" t="str">
        <f>IF(OR(F374="",M374=""),"",F374-M374)</f>
        <v/>
      </c>
      <c r="Y374" s="23" t="str">
        <f>IF(OR(P374="",T374=""),"",P374-T374)</f>
        <v/>
      </c>
      <c r="Z374" s="23" t="str">
        <f>IF(OR(Q374="",U374=""),"",Q374-U374)</f>
        <v/>
      </c>
      <c r="AA374" s="23" t="str">
        <f>IF(OR(H374="",O374=""),"",H374-O374)</f>
        <v/>
      </c>
      <c r="AB374" s="23" t="str">
        <f>IF(OR(R374="",V374=""),"",R374-V374)</f>
        <v/>
      </c>
      <c r="AC374" s="23" t="str">
        <f>IF(OR(S374="",W374=""),"",S374-W374)</f>
        <v/>
      </c>
      <c r="AD374" s="13"/>
      <c r="AE374" s="23" t="str">
        <f>IF(OR(AD374="",AD373=""),"",IF(AD373=0,"",(AD374/AD373)-1))</f>
        <v/>
      </c>
      <c r="AF374" s="23" t="str">
        <f>IF(ROW()&lt;7,"",IF(OR(AD374="",AD371=""),"",IF(AD371=0,"",(AD374/AD371)-1)))</f>
        <v/>
      </c>
      <c r="AG374" s="23" t="str">
        <f>IF(ROW()&lt;9,"",IF(OR(AD374="",AD369=""),"",IF(AD369=0,"",(AD374/AD369)-1)))</f>
        <v/>
      </c>
      <c r="AH374" s="23" t="str">
        <f>IF(OR(AF374="",AG374=""),"",IF(AND(AF374&gt;0,AG374&gt;0),"Bull",IF(AND(AF374&lt;0,AG374&lt;0),"Bear","Mixed")))</f>
        <v/>
      </c>
      <c r="AI374" s="13"/>
      <c r="AJ374" s="13" t="str">
        <f>IF(OR(AI374="",AI373=""),"",IF(AI373=0,"",(AI374/AI373)-1))</f>
        <v/>
      </c>
      <c r="AK374" s="23" t="str">
        <f>IF(OR(AJ374="",AJ373=""),"",IF(AJ373=0,"",(AJ374/AJ373)-1))</f>
        <v/>
      </c>
      <c r="AL374" s="23" t="str">
        <f>IF(ROW()&lt;7,"",IF(OR(AJ374="",AJ371=""),"",IF(AJ371=0,"",(AJ374/AJ371)-1)))</f>
        <v/>
      </c>
      <c r="AM374" s="23" t="str">
        <f>IF(ROW()&lt;9,"",IF(OR(AJ374="",AJ369=""),"",IF(AJ369=0,"",(AJ374/AJ369)-1)))</f>
        <v/>
      </c>
      <c r="AN374" t="str">
        <f>IF(OR(AL374="",AM374=""),"",IF(AND(AL374&gt;0,AM374&gt;0),"Bull",IF(AND(AL374&lt;0,AM374&lt;0),"Bear","Mixed")))</f>
        <v/>
      </c>
      <c r="AO374" t="str">
        <f>IF(OR(AH374="",AN374=""),"",IF(AND(AH374="Bull",AN374="Bull"),"YES","NO"))</f>
        <v/>
      </c>
      <c r="AP374" t="str">
        <f>IF(OR(AH374="",AN374=""),"",IF(AND(AH374="Bear",AN374="Bear"),"YES","NO"))</f>
        <v/>
      </c>
      <c r="AQ374" t="str">
        <f>IF(AO374="YES",IF(SUM(N(X374),N(Y374),N(Z374))&gt;0,"SOXL","TQQQ"),IF(AP374="YES",IF(SUM(N(AA374),N(AB374),N(AC374))&gt;0,"SOXS","SQQQ"),"WAIT"))</f>
        <v>WAIT</v>
      </c>
      <c r="AR374" s="23" t="str">
        <f>IF(AO374="YES",IF(SUM(N(X374),N(Y374),N(Z374))&gt;0,"TQQQ","SOXL"),IF(AP374="YES",IF(SUM(N(AA374),N(AB374),N(AC374))&gt;0,"SQQQ","SOXS"),""))</f>
        <v/>
      </c>
      <c r="AS374" s="23" t="str">
        <f>IF(AQ374="WAIT","",IF(AR374="",1,0.6))</f>
        <v/>
      </c>
      <c r="AT374" s="23">
        <f>IF(AR374="",0,0.4)</f>
        <v>0</v>
      </c>
      <c r="AU374" s="23" t="str">
        <f>IF(AQ374="WAIT","WAIT",IF(AO374="YES","BULL",IF(AP374="YES","BEAR","WAIT")))</f>
        <v>WAIT</v>
      </c>
      <c r="AV374" t="str">
        <f>IF(AQ374="WAIT","Low",IF(OR(AND(AU374="BULL",ABS(SUM(N(X374),N(Y374),N(Z374)))&gt;=0.15),AND(AU374="BEAR",ABS(SUM(N(AA374),N(AB374),N(AC374)))&gt;=0.15)),"Strong",IF(OR(AND(AU374="BULL",ABS(SUM(N(X374),N(Y374),N(Z374)))&gt;=0.05),AND(AU374="BEAR",ABS(SUM(N(AA374),N(AB374),N(AC374)))&gt;=0.05)),"Moderate","Low")))</f>
        <v>Low</v>
      </c>
      <c r="AW374" t="str">
        <f>IF(AQ374="WAIT","QQQ and SMH not aligned",IF(AU374="BULL",IF(AQ374="SOXL","Bull regime; semiconductors leading","Bull regime; tech leading"),IF(AQ374="SOXS","Bear regime; semiconductors weakest","Bear regime; tech weakest")))</f>
        <v>QQQ and SMH not aligned</v>
      </c>
      <c r="AX374" t="str">
        <f>IF(AR374="WAIT","QQQ and SMH not aligned",IF(AV374="BULL",IF(AR374="SOXL","Bull regime; semiconductors leading","Bull regime; tech leading"),IF(AR374="SOXS","Bear regime; semiconductors weakest","Bear regime; tech weakest")))</f>
        <v>Bear regime; tech weakest</v>
      </c>
    </row>
    <row r="375" spans="1:50" x14ac:dyDescent="0.2">
      <c r="A375" s="12"/>
      <c r="B375" s="13"/>
      <c r="C375" s="13"/>
      <c r="D375" s="13"/>
      <c r="E375" s="13"/>
      <c r="F375" s="11" t="str">
        <f>IF(OR(E375="",E374=""),"",IF(E374=0,"",(E375/E374)-1))</f>
        <v/>
      </c>
      <c r="G375" s="13"/>
      <c r="H375" s="11" t="str">
        <f>IF(OR(G375="",G374=""),"",IF(G374=0,"",(G375/G374)-1))</f>
        <v/>
      </c>
      <c r="I375" s="13"/>
      <c r="J375" s="13"/>
      <c r="K375" s="13"/>
      <c r="L375" s="13"/>
      <c r="M375" s="23" t="str">
        <f>IF(OR(L375="",L374=""),"",IF(L374=0,"",(L375/L374)-1))</f>
        <v/>
      </c>
      <c r="N375" s="26" t="str">
        <f>IFERROR((M375/M374)-1,"")</f>
        <v/>
      </c>
      <c r="O375" s="23" t="str">
        <f>IF(OR(N375="",N374=""),"",IF(N374=0,"",(N375/N374)-1))</f>
        <v/>
      </c>
      <c r="P375" s="11" t="str">
        <f>IF(ROW()&lt;7,"",IF(OR(E375="",E372=""),"",IF(E372=0,"",(E375/E372)-1)))</f>
        <v/>
      </c>
      <c r="Q375" s="23" t="str">
        <f>IF(ROW()&lt;9,"",IF(OR(E375="",E370=""),"",IF(E370=0,"",(E375/E370)-1)))</f>
        <v/>
      </c>
      <c r="R375" s="23" t="str">
        <f>IF(ROW()&lt;7,"",IF(OR(G375="",G372=""),"",IF(G372=0,"",(G375/G372)-1)))</f>
        <v/>
      </c>
      <c r="S375" s="23" t="str">
        <f>IF(ROW()&lt;9,"",IF(OR(G375="",G370=""),"",IF(G370=0,"",(G375/G370)-1)))</f>
        <v/>
      </c>
      <c r="T375" s="23" t="str">
        <f>IF(ROW()&lt;7,"",IF(OR(L375="",L372=""),"",IF(L372=0,"",(L375/L372)-1)))</f>
        <v/>
      </c>
      <c r="U375" s="23" t="str">
        <f>IF(ROW()&lt;9,"",IF(OR(L375="",L370=""),"",IF(L370=0,"",(L375/L370)-1)))</f>
        <v/>
      </c>
      <c r="V375" s="23" t="str">
        <f>IF(ROW()&lt;7,"",IF(OR(N375="",N372=""),"",IF(N372=0,"",(N375/N372)-1)))</f>
        <v/>
      </c>
      <c r="W375" s="23" t="str">
        <f>IF(ROW()&lt;9,"",IF(OR(N375="",N370=""),"",IF(N370=0,"",(N375/N370)-1)))</f>
        <v/>
      </c>
      <c r="X375" s="23" t="str">
        <f>IF(OR(F375="",M375=""),"",F375-M375)</f>
        <v/>
      </c>
      <c r="Y375" s="23" t="str">
        <f>IF(OR(P375="",T375=""),"",P375-T375)</f>
        <v/>
      </c>
      <c r="Z375" s="23" t="str">
        <f>IF(OR(Q375="",U375=""),"",Q375-U375)</f>
        <v/>
      </c>
      <c r="AA375" s="23" t="str">
        <f>IF(OR(H375="",O375=""),"",H375-O375)</f>
        <v/>
      </c>
      <c r="AB375" s="23" t="str">
        <f>IF(OR(R375="",V375=""),"",R375-V375)</f>
        <v/>
      </c>
      <c r="AC375" s="23" t="str">
        <f>IF(OR(S375="",W375=""),"",S375-W375)</f>
        <v/>
      </c>
      <c r="AD375" s="13"/>
      <c r="AE375" s="23" t="str">
        <f>IF(OR(AD375="",AD374=""),"",IF(AD374=0,"",(AD375/AD374)-1))</f>
        <v/>
      </c>
      <c r="AF375" s="23" t="str">
        <f>IF(ROW()&lt;7,"",IF(OR(AD375="",AD372=""),"",IF(AD372=0,"",(AD375/AD372)-1)))</f>
        <v/>
      </c>
      <c r="AG375" s="23" t="str">
        <f>IF(ROW()&lt;9,"",IF(OR(AD375="",AD370=""),"",IF(AD370=0,"",(AD375/AD370)-1)))</f>
        <v/>
      </c>
      <c r="AH375" s="23" t="str">
        <f>IF(OR(AF375="",AG375=""),"",IF(AND(AF375&gt;0,AG375&gt;0),"Bull",IF(AND(AF375&lt;0,AG375&lt;0),"Bear","Mixed")))</f>
        <v/>
      </c>
      <c r="AI375" s="13"/>
      <c r="AJ375" s="13" t="str">
        <f>IF(OR(AI375="",AI374=""),"",IF(AI374=0,"",(AI375/AI374)-1))</f>
        <v/>
      </c>
      <c r="AK375" s="23" t="str">
        <f>IF(OR(AJ375="",AJ374=""),"",IF(AJ374=0,"",(AJ375/AJ374)-1))</f>
        <v/>
      </c>
      <c r="AL375" s="23" t="str">
        <f>IF(ROW()&lt;7,"",IF(OR(AJ375="",AJ372=""),"",IF(AJ372=0,"",(AJ375/AJ372)-1)))</f>
        <v/>
      </c>
      <c r="AM375" s="23" t="str">
        <f>IF(ROW()&lt;9,"",IF(OR(AJ375="",AJ370=""),"",IF(AJ370=0,"",(AJ375/AJ370)-1)))</f>
        <v/>
      </c>
      <c r="AN375" t="str">
        <f>IF(OR(AL375="",AM375=""),"",IF(AND(AL375&gt;0,AM375&gt;0),"Bull",IF(AND(AL375&lt;0,AM375&lt;0),"Bear","Mixed")))</f>
        <v/>
      </c>
      <c r="AO375" t="str">
        <f>IF(OR(AH375="",AN375=""),"",IF(AND(AH375="Bull",AN375="Bull"),"YES","NO"))</f>
        <v/>
      </c>
      <c r="AP375" t="str">
        <f>IF(OR(AH375="",AN375=""),"",IF(AND(AH375="Bear",AN375="Bear"),"YES","NO"))</f>
        <v/>
      </c>
      <c r="AQ375" t="str">
        <f>IF(AO375="YES",IF(SUM(N(X375),N(Y375),N(Z375))&gt;0,"SOXL","TQQQ"),IF(AP375="YES",IF(SUM(N(AA375),N(AB375),N(AC375))&gt;0,"SOXS","SQQQ"),"WAIT"))</f>
        <v>WAIT</v>
      </c>
      <c r="AR375" s="23" t="str">
        <f>IF(AO375="YES",IF(SUM(N(X375),N(Y375),N(Z375))&gt;0,"TQQQ","SOXL"),IF(AP375="YES",IF(SUM(N(AA375),N(AB375),N(AC375))&gt;0,"SQQQ","SOXS"),""))</f>
        <v/>
      </c>
      <c r="AS375" s="23" t="str">
        <f>IF(AQ375="WAIT","",IF(AR375="",1,0.6))</f>
        <v/>
      </c>
      <c r="AT375" s="23">
        <f>IF(AR375="",0,0.4)</f>
        <v>0</v>
      </c>
      <c r="AU375" s="23" t="str">
        <f>IF(AQ375="WAIT","WAIT",IF(AO375="YES","BULL",IF(AP375="YES","BEAR","WAIT")))</f>
        <v>WAIT</v>
      </c>
      <c r="AV375" t="str">
        <f>IF(AQ375="WAIT","Low",IF(OR(AND(AU375="BULL",ABS(SUM(N(X375),N(Y375),N(Z375)))&gt;=0.15),AND(AU375="BEAR",ABS(SUM(N(AA375),N(AB375),N(AC375)))&gt;=0.15)),"Strong",IF(OR(AND(AU375="BULL",ABS(SUM(N(X375),N(Y375),N(Z375)))&gt;=0.05),AND(AU375="BEAR",ABS(SUM(N(AA375),N(AB375),N(AC375)))&gt;=0.05)),"Moderate","Low")))</f>
        <v>Low</v>
      </c>
      <c r="AW375" t="str">
        <f>IF(AQ375="WAIT","QQQ and SMH not aligned",IF(AU375="BULL",IF(AQ375="SOXL","Bull regime; semiconductors leading","Bull regime; tech leading"),IF(AQ375="SOXS","Bear regime; semiconductors weakest","Bear regime; tech weakest")))</f>
        <v>QQQ and SMH not aligned</v>
      </c>
      <c r="AX375" t="str">
        <f>IF(AR375="WAIT","QQQ and SMH not aligned",IF(AV375="BULL",IF(AR375="SOXL","Bull regime; semiconductors leading","Bull regime; tech leading"),IF(AR375="SOXS","Bear regime; semiconductors weakest","Bear regime; tech weakest")))</f>
        <v>Bear regime; tech weakest</v>
      </c>
    </row>
    <row r="376" spans="1:50" x14ac:dyDescent="0.2">
      <c r="A376" s="12"/>
      <c r="B376" s="13"/>
      <c r="C376" s="13"/>
      <c r="D376" s="13"/>
      <c r="E376" s="13"/>
      <c r="F376" s="11" t="str">
        <f>IF(OR(E376="",E375=""),"",IF(E375=0,"",(E376/E375)-1))</f>
        <v/>
      </c>
      <c r="G376" s="13"/>
      <c r="H376" s="11" t="str">
        <f>IF(OR(G376="",G375=""),"",IF(G375=0,"",(G376/G375)-1))</f>
        <v/>
      </c>
      <c r="I376" s="13"/>
      <c r="J376" s="13"/>
      <c r="K376" s="13"/>
      <c r="L376" s="13"/>
      <c r="M376" s="23" t="str">
        <f>IF(OR(L376="",L375=""),"",IF(L375=0,"",(L376/L375)-1))</f>
        <v/>
      </c>
      <c r="N376" s="26" t="str">
        <f>IFERROR((M376/M375)-1,"")</f>
        <v/>
      </c>
      <c r="O376" s="23" t="str">
        <f>IF(OR(N376="",N375=""),"",IF(N375=0,"",(N376/N375)-1))</f>
        <v/>
      </c>
      <c r="P376" s="11" t="str">
        <f>IF(ROW()&lt;7,"",IF(OR(E376="",E373=""),"",IF(E373=0,"",(E376/E373)-1)))</f>
        <v/>
      </c>
      <c r="Q376" s="23" t="str">
        <f>IF(ROW()&lt;9,"",IF(OR(E376="",E371=""),"",IF(E371=0,"",(E376/E371)-1)))</f>
        <v/>
      </c>
      <c r="R376" s="23" t="str">
        <f>IF(ROW()&lt;7,"",IF(OR(G376="",G373=""),"",IF(G373=0,"",(G376/G373)-1)))</f>
        <v/>
      </c>
      <c r="S376" s="23" t="str">
        <f>IF(ROW()&lt;9,"",IF(OR(G376="",G371=""),"",IF(G371=0,"",(G376/G371)-1)))</f>
        <v/>
      </c>
      <c r="T376" s="23" t="str">
        <f>IF(ROW()&lt;7,"",IF(OR(L376="",L373=""),"",IF(L373=0,"",(L376/L373)-1)))</f>
        <v/>
      </c>
      <c r="U376" s="23" t="str">
        <f>IF(ROW()&lt;9,"",IF(OR(L376="",L371=""),"",IF(L371=0,"",(L376/L371)-1)))</f>
        <v/>
      </c>
      <c r="V376" s="23" t="str">
        <f>IF(ROW()&lt;7,"",IF(OR(N376="",N373=""),"",IF(N373=0,"",(N376/N373)-1)))</f>
        <v/>
      </c>
      <c r="W376" s="23" t="str">
        <f>IF(ROW()&lt;9,"",IF(OR(N376="",N371=""),"",IF(N371=0,"",(N376/N371)-1)))</f>
        <v/>
      </c>
      <c r="X376" s="23" t="str">
        <f>IF(OR(F376="",M376=""),"",F376-M376)</f>
        <v/>
      </c>
      <c r="Y376" s="23" t="str">
        <f>IF(OR(P376="",T376=""),"",P376-T376)</f>
        <v/>
      </c>
      <c r="Z376" s="23" t="str">
        <f>IF(OR(Q376="",U376=""),"",Q376-U376)</f>
        <v/>
      </c>
      <c r="AA376" s="23" t="str">
        <f>IF(OR(H376="",O376=""),"",H376-O376)</f>
        <v/>
      </c>
      <c r="AB376" s="23" t="str">
        <f>IF(OR(R376="",V376=""),"",R376-V376)</f>
        <v/>
      </c>
      <c r="AC376" s="23" t="str">
        <f>IF(OR(S376="",W376=""),"",S376-W376)</f>
        <v/>
      </c>
      <c r="AD376" s="13"/>
      <c r="AE376" s="23" t="str">
        <f>IF(OR(AD376="",AD375=""),"",IF(AD375=0,"",(AD376/AD375)-1))</f>
        <v/>
      </c>
      <c r="AF376" s="23" t="str">
        <f>IF(ROW()&lt;7,"",IF(OR(AD376="",AD373=""),"",IF(AD373=0,"",(AD376/AD373)-1)))</f>
        <v/>
      </c>
      <c r="AG376" s="23" t="str">
        <f>IF(ROW()&lt;9,"",IF(OR(AD376="",AD371=""),"",IF(AD371=0,"",(AD376/AD371)-1)))</f>
        <v/>
      </c>
      <c r="AH376" s="23" t="str">
        <f>IF(OR(AF376="",AG376=""),"",IF(AND(AF376&gt;0,AG376&gt;0),"Bull",IF(AND(AF376&lt;0,AG376&lt;0),"Bear","Mixed")))</f>
        <v/>
      </c>
      <c r="AI376" s="13"/>
      <c r="AJ376" s="13" t="str">
        <f>IF(OR(AI376="",AI375=""),"",IF(AI375=0,"",(AI376/AI375)-1))</f>
        <v/>
      </c>
      <c r="AK376" s="23" t="str">
        <f>IF(OR(AJ376="",AJ375=""),"",IF(AJ375=0,"",(AJ376/AJ375)-1))</f>
        <v/>
      </c>
      <c r="AL376" s="23" t="str">
        <f>IF(ROW()&lt;7,"",IF(OR(AJ376="",AJ373=""),"",IF(AJ373=0,"",(AJ376/AJ373)-1)))</f>
        <v/>
      </c>
      <c r="AM376" s="23" t="str">
        <f>IF(ROW()&lt;9,"",IF(OR(AJ376="",AJ371=""),"",IF(AJ371=0,"",(AJ376/AJ371)-1)))</f>
        <v/>
      </c>
      <c r="AN376" t="str">
        <f>IF(OR(AL376="",AM376=""),"",IF(AND(AL376&gt;0,AM376&gt;0),"Bull",IF(AND(AL376&lt;0,AM376&lt;0),"Bear","Mixed")))</f>
        <v/>
      </c>
      <c r="AO376" t="str">
        <f>IF(OR(AH376="",AN376=""),"",IF(AND(AH376="Bull",AN376="Bull"),"YES","NO"))</f>
        <v/>
      </c>
      <c r="AP376" t="str">
        <f>IF(OR(AH376="",AN376=""),"",IF(AND(AH376="Bear",AN376="Bear"),"YES","NO"))</f>
        <v/>
      </c>
      <c r="AQ376" t="str">
        <f>IF(AO376="YES",IF(SUM(N(X376),N(Y376),N(Z376))&gt;0,"SOXL","TQQQ"),IF(AP376="YES",IF(SUM(N(AA376),N(AB376),N(AC376))&gt;0,"SOXS","SQQQ"),"WAIT"))</f>
        <v>WAIT</v>
      </c>
      <c r="AR376" s="23" t="str">
        <f>IF(AO376="YES",IF(SUM(N(X376),N(Y376),N(Z376))&gt;0,"TQQQ","SOXL"),IF(AP376="YES",IF(SUM(N(AA376),N(AB376),N(AC376))&gt;0,"SQQQ","SOXS"),""))</f>
        <v/>
      </c>
      <c r="AS376" s="23" t="str">
        <f>IF(AQ376="WAIT","",IF(AR376="",1,0.6))</f>
        <v/>
      </c>
      <c r="AT376" s="23">
        <f>IF(AR376="",0,0.4)</f>
        <v>0</v>
      </c>
      <c r="AU376" s="23" t="str">
        <f>IF(AQ376="WAIT","WAIT",IF(AO376="YES","BULL",IF(AP376="YES","BEAR","WAIT")))</f>
        <v>WAIT</v>
      </c>
      <c r="AV376" t="str">
        <f>IF(AQ376="WAIT","Low",IF(OR(AND(AU376="BULL",ABS(SUM(N(X376),N(Y376),N(Z376)))&gt;=0.15),AND(AU376="BEAR",ABS(SUM(N(AA376),N(AB376),N(AC376)))&gt;=0.15)),"Strong",IF(OR(AND(AU376="BULL",ABS(SUM(N(X376),N(Y376),N(Z376)))&gt;=0.05),AND(AU376="BEAR",ABS(SUM(N(AA376),N(AB376),N(AC376)))&gt;=0.05)),"Moderate","Low")))</f>
        <v>Low</v>
      </c>
      <c r="AW376" t="str">
        <f>IF(AQ376="WAIT","QQQ and SMH not aligned",IF(AU376="BULL",IF(AQ376="SOXL","Bull regime; semiconductors leading","Bull regime; tech leading"),IF(AQ376="SOXS","Bear regime; semiconductors weakest","Bear regime; tech weakest")))</f>
        <v>QQQ and SMH not aligned</v>
      </c>
      <c r="AX376" t="str">
        <f>IF(AR376="WAIT","QQQ and SMH not aligned",IF(AV376="BULL",IF(AR376="SOXL","Bull regime; semiconductors leading","Bull regime; tech leading"),IF(AR376="SOXS","Bear regime; semiconductors weakest","Bear regime; tech weakest")))</f>
        <v>Bear regime; tech weakest</v>
      </c>
    </row>
    <row r="377" spans="1:50" x14ac:dyDescent="0.2">
      <c r="A377" s="12"/>
      <c r="B377" s="13"/>
      <c r="C377" s="13"/>
      <c r="D377" s="13"/>
      <c r="E377" s="13"/>
      <c r="F377" s="11" t="str">
        <f>IF(OR(E377="",E376=""),"",IF(E376=0,"",(E377/E376)-1))</f>
        <v/>
      </c>
      <c r="G377" s="13"/>
      <c r="H377" s="11" t="str">
        <f>IF(OR(G377="",G376=""),"",IF(G376=0,"",(G377/G376)-1))</f>
        <v/>
      </c>
      <c r="I377" s="13"/>
      <c r="J377" s="13"/>
      <c r="K377" s="13"/>
      <c r="L377" s="13"/>
      <c r="M377" s="23" t="str">
        <f>IF(OR(L377="",L376=""),"",IF(L376=0,"",(L377/L376)-1))</f>
        <v/>
      </c>
      <c r="N377" s="26" t="str">
        <f>IFERROR((M377/M376)-1,"")</f>
        <v/>
      </c>
      <c r="O377" s="23" t="str">
        <f>IF(OR(N377="",N376=""),"",IF(N376=0,"",(N377/N376)-1))</f>
        <v/>
      </c>
      <c r="P377" s="11" t="str">
        <f>IF(ROW()&lt;7,"",IF(OR(E377="",E374=""),"",IF(E374=0,"",(E377/E374)-1)))</f>
        <v/>
      </c>
      <c r="Q377" s="23" t="str">
        <f>IF(ROW()&lt;9,"",IF(OR(E377="",E372=""),"",IF(E372=0,"",(E377/E372)-1)))</f>
        <v/>
      </c>
      <c r="R377" s="23" t="str">
        <f>IF(ROW()&lt;7,"",IF(OR(G377="",G374=""),"",IF(G374=0,"",(G377/G374)-1)))</f>
        <v/>
      </c>
      <c r="S377" s="23" t="str">
        <f>IF(ROW()&lt;9,"",IF(OR(G377="",G372=""),"",IF(G372=0,"",(G377/G372)-1)))</f>
        <v/>
      </c>
      <c r="T377" s="23" t="str">
        <f>IF(ROW()&lt;7,"",IF(OR(L377="",L374=""),"",IF(L374=0,"",(L377/L374)-1)))</f>
        <v/>
      </c>
      <c r="U377" s="23" t="str">
        <f>IF(ROW()&lt;9,"",IF(OR(L377="",L372=""),"",IF(L372=0,"",(L377/L372)-1)))</f>
        <v/>
      </c>
      <c r="V377" s="23" t="str">
        <f>IF(ROW()&lt;7,"",IF(OR(N377="",N374=""),"",IF(N374=0,"",(N377/N374)-1)))</f>
        <v/>
      </c>
      <c r="W377" s="23" t="str">
        <f>IF(ROW()&lt;9,"",IF(OR(N377="",N372=""),"",IF(N372=0,"",(N377/N372)-1)))</f>
        <v/>
      </c>
      <c r="X377" s="23" t="str">
        <f>IF(OR(F377="",M377=""),"",F377-M377)</f>
        <v/>
      </c>
      <c r="Y377" s="23" t="str">
        <f>IF(OR(P377="",T377=""),"",P377-T377)</f>
        <v/>
      </c>
      <c r="Z377" s="23" t="str">
        <f>IF(OR(Q377="",U377=""),"",Q377-U377)</f>
        <v/>
      </c>
      <c r="AA377" s="23" t="str">
        <f>IF(OR(H377="",O377=""),"",H377-O377)</f>
        <v/>
      </c>
      <c r="AB377" s="23" t="str">
        <f>IF(OR(R377="",V377=""),"",R377-V377)</f>
        <v/>
      </c>
      <c r="AC377" s="23" t="str">
        <f>IF(OR(S377="",W377=""),"",S377-W377)</f>
        <v/>
      </c>
      <c r="AD377" s="13"/>
      <c r="AE377" s="23" t="str">
        <f>IF(OR(AD377="",AD376=""),"",IF(AD376=0,"",(AD377/AD376)-1))</f>
        <v/>
      </c>
      <c r="AF377" s="23" t="str">
        <f>IF(ROW()&lt;7,"",IF(OR(AD377="",AD374=""),"",IF(AD374=0,"",(AD377/AD374)-1)))</f>
        <v/>
      </c>
      <c r="AG377" s="23" t="str">
        <f>IF(ROW()&lt;9,"",IF(OR(AD377="",AD372=""),"",IF(AD372=0,"",(AD377/AD372)-1)))</f>
        <v/>
      </c>
      <c r="AH377" s="23" t="str">
        <f>IF(OR(AF377="",AG377=""),"",IF(AND(AF377&gt;0,AG377&gt;0),"Bull",IF(AND(AF377&lt;0,AG377&lt;0),"Bear","Mixed")))</f>
        <v/>
      </c>
      <c r="AI377" s="13"/>
      <c r="AJ377" s="13" t="str">
        <f>IF(OR(AI377="",AI376=""),"",IF(AI376=0,"",(AI377/AI376)-1))</f>
        <v/>
      </c>
      <c r="AK377" s="23" t="str">
        <f>IF(OR(AJ377="",AJ376=""),"",IF(AJ376=0,"",(AJ377/AJ376)-1))</f>
        <v/>
      </c>
      <c r="AL377" s="23" t="str">
        <f>IF(ROW()&lt;7,"",IF(OR(AJ377="",AJ374=""),"",IF(AJ374=0,"",(AJ377/AJ374)-1)))</f>
        <v/>
      </c>
      <c r="AM377" s="23" t="str">
        <f>IF(ROW()&lt;9,"",IF(OR(AJ377="",AJ372=""),"",IF(AJ372=0,"",(AJ377/AJ372)-1)))</f>
        <v/>
      </c>
      <c r="AN377" t="str">
        <f>IF(OR(AL377="",AM377=""),"",IF(AND(AL377&gt;0,AM377&gt;0),"Bull",IF(AND(AL377&lt;0,AM377&lt;0),"Bear","Mixed")))</f>
        <v/>
      </c>
      <c r="AO377" t="str">
        <f>IF(OR(AH377="",AN377=""),"",IF(AND(AH377="Bull",AN377="Bull"),"YES","NO"))</f>
        <v/>
      </c>
      <c r="AP377" t="str">
        <f>IF(OR(AH377="",AN377=""),"",IF(AND(AH377="Bear",AN377="Bear"),"YES","NO"))</f>
        <v/>
      </c>
      <c r="AQ377" t="str">
        <f>IF(AO377="YES",IF(SUM(N(X377),N(Y377),N(Z377))&gt;0,"SOXL","TQQQ"),IF(AP377="YES",IF(SUM(N(AA377),N(AB377),N(AC377))&gt;0,"SOXS","SQQQ"),"WAIT"))</f>
        <v>WAIT</v>
      </c>
      <c r="AR377" s="23" t="str">
        <f>IF(AO377="YES",IF(SUM(N(X377),N(Y377),N(Z377))&gt;0,"TQQQ","SOXL"),IF(AP377="YES",IF(SUM(N(AA377),N(AB377),N(AC377))&gt;0,"SQQQ","SOXS"),""))</f>
        <v/>
      </c>
      <c r="AS377" s="23" t="str">
        <f>IF(AQ377="WAIT","",IF(AR377="",1,0.6))</f>
        <v/>
      </c>
      <c r="AT377" s="23">
        <f>IF(AR377="",0,0.4)</f>
        <v>0</v>
      </c>
      <c r="AU377" s="23" t="str">
        <f>IF(AQ377="WAIT","WAIT",IF(AO377="YES","BULL",IF(AP377="YES","BEAR","WAIT")))</f>
        <v>WAIT</v>
      </c>
      <c r="AV377" t="str">
        <f>IF(AQ377="WAIT","Low",IF(OR(AND(AU377="BULL",ABS(SUM(N(X377),N(Y377),N(Z377)))&gt;=0.15),AND(AU377="BEAR",ABS(SUM(N(AA377),N(AB377),N(AC377)))&gt;=0.15)),"Strong",IF(OR(AND(AU377="BULL",ABS(SUM(N(X377),N(Y377),N(Z377)))&gt;=0.05),AND(AU377="BEAR",ABS(SUM(N(AA377),N(AB377),N(AC377)))&gt;=0.05)),"Moderate","Low")))</f>
        <v>Low</v>
      </c>
      <c r="AW377" t="str">
        <f>IF(AQ377="WAIT","QQQ and SMH not aligned",IF(AU377="BULL",IF(AQ377="SOXL","Bull regime; semiconductors leading","Bull regime; tech leading"),IF(AQ377="SOXS","Bear regime; semiconductors weakest","Bear regime; tech weakest")))</f>
        <v>QQQ and SMH not aligned</v>
      </c>
      <c r="AX377" t="str">
        <f>IF(AR377="WAIT","QQQ and SMH not aligned",IF(AV377="BULL",IF(AR377="SOXL","Bull regime; semiconductors leading","Bull regime; tech leading"),IF(AR377="SOXS","Bear regime; semiconductors weakest","Bear regime; tech weakest")))</f>
        <v>Bear regime; tech weakest</v>
      </c>
    </row>
    <row r="378" spans="1:50" x14ac:dyDescent="0.2">
      <c r="A378" s="12"/>
      <c r="B378" s="13"/>
      <c r="C378" s="13"/>
      <c r="D378" s="13"/>
      <c r="E378" s="13"/>
      <c r="F378" s="11" t="str">
        <f>IF(OR(E378="",E377=""),"",IF(E377=0,"",(E378/E377)-1))</f>
        <v/>
      </c>
      <c r="G378" s="13"/>
      <c r="H378" s="11" t="str">
        <f>IF(OR(G378="",G377=""),"",IF(G377=0,"",(G378/G377)-1))</f>
        <v/>
      </c>
      <c r="I378" s="13"/>
      <c r="J378" s="13"/>
      <c r="K378" s="13"/>
      <c r="L378" s="13"/>
      <c r="M378" s="23" t="str">
        <f>IF(OR(L378="",L377=""),"",IF(L377=0,"",(L378/L377)-1))</f>
        <v/>
      </c>
      <c r="N378" s="26" t="str">
        <f>IFERROR((M378/M377)-1,"")</f>
        <v/>
      </c>
      <c r="O378" s="23" t="str">
        <f>IF(OR(N378="",N377=""),"",IF(N377=0,"",(N378/N377)-1))</f>
        <v/>
      </c>
      <c r="P378" s="11" t="str">
        <f>IF(ROW()&lt;7,"",IF(OR(E378="",E375=""),"",IF(E375=0,"",(E378/E375)-1)))</f>
        <v/>
      </c>
      <c r="Q378" s="23" t="str">
        <f>IF(ROW()&lt;9,"",IF(OR(E378="",E373=""),"",IF(E373=0,"",(E378/E373)-1)))</f>
        <v/>
      </c>
      <c r="R378" s="23" t="str">
        <f>IF(ROW()&lt;7,"",IF(OR(G378="",G375=""),"",IF(G375=0,"",(G378/G375)-1)))</f>
        <v/>
      </c>
      <c r="S378" s="23" t="str">
        <f>IF(ROW()&lt;9,"",IF(OR(G378="",G373=""),"",IF(G373=0,"",(G378/G373)-1)))</f>
        <v/>
      </c>
      <c r="T378" s="23" t="str">
        <f>IF(ROW()&lt;7,"",IF(OR(L378="",L375=""),"",IF(L375=0,"",(L378/L375)-1)))</f>
        <v/>
      </c>
      <c r="U378" s="23" t="str">
        <f>IF(ROW()&lt;9,"",IF(OR(L378="",L373=""),"",IF(L373=0,"",(L378/L373)-1)))</f>
        <v/>
      </c>
      <c r="V378" s="23" t="str">
        <f>IF(ROW()&lt;7,"",IF(OR(N378="",N375=""),"",IF(N375=0,"",(N378/N375)-1)))</f>
        <v/>
      </c>
      <c r="W378" s="23" t="str">
        <f>IF(ROW()&lt;9,"",IF(OR(N378="",N373=""),"",IF(N373=0,"",(N378/N373)-1)))</f>
        <v/>
      </c>
      <c r="X378" s="23" t="str">
        <f>IF(OR(F378="",M378=""),"",F378-M378)</f>
        <v/>
      </c>
      <c r="Y378" s="23" t="str">
        <f>IF(OR(P378="",T378=""),"",P378-T378)</f>
        <v/>
      </c>
      <c r="Z378" s="23" t="str">
        <f>IF(OR(Q378="",U378=""),"",Q378-U378)</f>
        <v/>
      </c>
      <c r="AA378" s="23" t="str">
        <f>IF(OR(H378="",O378=""),"",H378-O378)</f>
        <v/>
      </c>
      <c r="AB378" s="23" t="str">
        <f>IF(OR(R378="",V378=""),"",R378-V378)</f>
        <v/>
      </c>
      <c r="AC378" s="23" t="str">
        <f>IF(OR(S378="",W378=""),"",S378-W378)</f>
        <v/>
      </c>
      <c r="AD378" s="13"/>
      <c r="AE378" s="23" t="str">
        <f>IF(OR(AD378="",AD377=""),"",IF(AD377=0,"",(AD378/AD377)-1))</f>
        <v/>
      </c>
      <c r="AF378" s="23" t="str">
        <f>IF(ROW()&lt;7,"",IF(OR(AD378="",AD375=""),"",IF(AD375=0,"",(AD378/AD375)-1)))</f>
        <v/>
      </c>
      <c r="AG378" s="23" t="str">
        <f>IF(ROW()&lt;9,"",IF(OR(AD378="",AD373=""),"",IF(AD373=0,"",(AD378/AD373)-1)))</f>
        <v/>
      </c>
      <c r="AH378" s="23" t="str">
        <f>IF(OR(AF378="",AG378=""),"",IF(AND(AF378&gt;0,AG378&gt;0),"Bull",IF(AND(AF378&lt;0,AG378&lt;0),"Bear","Mixed")))</f>
        <v/>
      </c>
      <c r="AI378" s="13"/>
      <c r="AJ378" s="13" t="str">
        <f>IF(OR(AI378="",AI377=""),"",IF(AI377=0,"",(AI378/AI377)-1))</f>
        <v/>
      </c>
      <c r="AK378" s="23" t="str">
        <f>IF(OR(AJ378="",AJ377=""),"",IF(AJ377=0,"",(AJ378/AJ377)-1))</f>
        <v/>
      </c>
      <c r="AL378" s="23" t="str">
        <f>IF(ROW()&lt;7,"",IF(OR(AJ378="",AJ375=""),"",IF(AJ375=0,"",(AJ378/AJ375)-1)))</f>
        <v/>
      </c>
      <c r="AM378" s="23" t="str">
        <f>IF(ROW()&lt;9,"",IF(OR(AJ378="",AJ373=""),"",IF(AJ373=0,"",(AJ378/AJ373)-1)))</f>
        <v/>
      </c>
      <c r="AN378" t="str">
        <f>IF(OR(AL378="",AM378=""),"",IF(AND(AL378&gt;0,AM378&gt;0),"Bull",IF(AND(AL378&lt;0,AM378&lt;0),"Bear","Mixed")))</f>
        <v/>
      </c>
      <c r="AO378" t="str">
        <f>IF(OR(AH378="",AN378=""),"",IF(AND(AH378="Bull",AN378="Bull"),"YES","NO"))</f>
        <v/>
      </c>
      <c r="AP378" t="str">
        <f>IF(OR(AH378="",AN378=""),"",IF(AND(AH378="Bear",AN378="Bear"),"YES","NO"))</f>
        <v/>
      </c>
      <c r="AQ378" t="str">
        <f>IF(AO378="YES",IF(SUM(N(X378),N(Y378),N(Z378))&gt;0,"SOXL","TQQQ"),IF(AP378="YES",IF(SUM(N(AA378),N(AB378),N(AC378))&gt;0,"SOXS","SQQQ"),"WAIT"))</f>
        <v>WAIT</v>
      </c>
      <c r="AR378" s="23" t="str">
        <f>IF(AO378="YES",IF(SUM(N(X378),N(Y378),N(Z378))&gt;0,"TQQQ","SOXL"),IF(AP378="YES",IF(SUM(N(AA378),N(AB378),N(AC378))&gt;0,"SQQQ","SOXS"),""))</f>
        <v/>
      </c>
      <c r="AS378" s="23" t="str">
        <f>IF(AQ378="WAIT","",IF(AR378="",1,0.6))</f>
        <v/>
      </c>
      <c r="AT378" s="23">
        <f>IF(AR378="",0,0.4)</f>
        <v>0</v>
      </c>
      <c r="AU378" s="23" t="str">
        <f>IF(AQ378="WAIT","WAIT",IF(AO378="YES","BULL",IF(AP378="YES","BEAR","WAIT")))</f>
        <v>WAIT</v>
      </c>
      <c r="AV378" t="str">
        <f>IF(AQ378="WAIT","Low",IF(OR(AND(AU378="BULL",ABS(SUM(N(X378),N(Y378),N(Z378)))&gt;=0.15),AND(AU378="BEAR",ABS(SUM(N(AA378),N(AB378),N(AC378)))&gt;=0.15)),"Strong",IF(OR(AND(AU378="BULL",ABS(SUM(N(X378),N(Y378),N(Z378)))&gt;=0.05),AND(AU378="BEAR",ABS(SUM(N(AA378),N(AB378),N(AC378)))&gt;=0.05)),"Moderate","Low")))</f>
        <v>Low</v>
      </c>
      <c r="AW378" t="str">
        <f>IF(AQ378="WAIT","QQQ and SMH not aligned",IF(AU378="BULL",IF(AQ378="SOXL","Bull regime; semiconductors leading","Bull regime; tech leading"),IF(AQ378="SOXS","Bear regime; semiconductors weakest","Bear regime; tech weakest")))</f>
        <v>QQQ and SMH not aligned</v>
      </c>
      <c r="AX378" t="str">
        <f>IF(AR378="WAIT","QQQ and SMH not aligned",IF(AV378="BULL",IF(AR378="SOXL","Bull regime; semiconductors leading","Bull regime; tech leading"),IF(AR378="SOXS","Bear regime; semiconductors weakest","Bear regime; tech weakest")))</f>
        <v>Bear regime; tech weakest</v>
      </c>
    </row>
    <row r="379" spans="1:50" x14ac:dyDescent="0.2">
      <c r="A379" s="12"/>
      <c r="B379" s="13"/>
      <c r="C379" s="13"/>
      <c r="D379" s="13"/>
      <c r="E379" s="13"/>
      <c r="F379" s="11" t="str">
        <f>IF(OR(E379="",E378=""),"",IF(E378=0,"",(E379/E378)-1))</f>
        <v/>
      </c>
      <c r="G379" s="13"/>
      <c r="H379" s="11" t="str">
        <f>IF(OR(G379="",G378=""),"",IF(G378=0,"",(G379/G378)-1))</f>
        <v/>
      </c>
      <c r="I379" s="13"/>
      <c r="J379" s="13"/>
      <c r="K379" s="13"/>
      <c r="L379" s="13"/>
      <c r="M379" s="23" t="str">
        <f>IF(OR(L379="",L378=""),"",IF(L378=0,"",(L379/L378)-1))</f>
        <v/>
      </c>
      <c r="N379" s="26" t="str">
        <f>IFERROR((M379/M378)-1,"")</f>
        <v/>
      </c>
      <c r="O379" s="23" t="str">
        <f>IF(OR(N379="",N378=""),"",IF(N378=0,"",(N379/N378)-1))</f>
        <v/>
      </c>
      <c r="P379" s="11" t="str">
        <f>IF(ROW()&lt;7,"",IF(OR(E379="",E376=""),"",IF(E376=0,"",(E379/E376)-1)))</f>
        <v/>
      </c>
      <c r="Q379" s="23" t="str">
        <f>IF(ROW()&lt;9,"",IF(OR(E379="",E374=""),"",IF(E374=0,"",(E379/E374)-1)))</f>
        <v/>
      </c>
      <c r="R379" s="23" t="str">
        <f>IF(ROW()&lt;7,"",IF(OR(G379="",G376=""),"",IF(G376=0,"",(G379/G376)-1)))</f>
        <v/>
      </c>
      <c r="S379" s="23" t="str">
        <f>IF(ROW()&lt;9,"",IF(OR(G379="",G374=""),"",IF(G374=0,"",(G379/G374)-1)))</f>
        <v/>
      </c>
      <c r="T379" s="23" t="str">
        <f>IF(ROW()&lt;7,"",IF(OR(L379="",L376=""),"",IF(L376=0,"",(L379/L376)-1)))</f>
        <v/>
      </c>
      <c r="U379" s="23" t="str">
        <f>IF(ROW()&lt;9,"",IF(OR(L379="",L374=""),"",IF(L374=0,"",(L379/L374)-1)))</f>
        <v/>
      </c>
      <c r="V379" s="23" t="str">
        <f>IF(ROW()&lt;7,"",IF(OR(N379="",N376=""),"",IF(N376=0,"",(N379/N376)-1)))</f>
        <v/>
      </c>
      <c r="W379" s="23" t="str">
        <f>IF(ROW()&lt;9,"",IF(OR(N379="",N374=""),"",IF(N374=0,"",(N379/N374)-1)))</f>
        <v/>
      </c>
      <c r="X379" s="23" t="str">
        <f>IF(OR(F379="",M379=""),"",F379-M379)</f>
        <v/>
      </c>
      <c r="Y379" s="23" t="str">
        <f>IF(OR(P379="",T379=""),"",P379-T379)</f>
        <v/>
      </c>
      <c r="Z379" s="23" t="str">
        <f>IF(OR(Q379="",U379=""),"",Q379-U379)</f>
        <v/>
      </c>
      <c r="AA379" s="23" t="str">
        <f>IF(OR(H379="",O379=""),"",H379-O379)</f>
        <v/>
      </c>
      <c r="AB379" s="23" t="str">
        <f>IF(OR(R379="",V379=""),"",R379-V379)</f>
        <v/>
      </c>
      <c r="AC379" s="23" t="str">
        <f>IF(OR(S379="",W379=""),"",S379-W379)</f>
        <v/>
      </c>
      <c r="AD379" s="13"/>
      <c r="AE379" s="23" t="str">
        <f>IF(OR(AD379="",AD378=""),"",IF(AD378=0,"",(AD379/AD378)-1))</f>
        <v/>
      </c>
      <c r="AF379" s="23" t="str">
        <f>IF(ROW()&lt;7,"",IF(OR(AD379="",AD376=""),"",IF(AD376=0,"",(AD379/AD376)-1)))</f>
        <v/>
      </c>
      <c r="AG379" s="23" t="str">
        <f>IF(ROW()&lt;9,"",IF(OR(AD379="",AD374=""),"",IF(AD374=0,"",(AD379/AD374)-1)))</f>
        <v/>
      </c>
      <c r="AH379" s="23" t="str">
        <f>IF(OR(AF379="",AG379=""),"",IF(AND(AF379&gt;0,AG379&gt;0),"Bull",IF(AND(AF379&lt;0,AG379&lt;0),"Bear","Mixed")))</f>
        <v/>
      </c>
      <c r="AI379" s="13"/>
      <c r="AJ379" s="13" t="str">
        <f>IF(OR(AI379="",AI378=""),"",IF(AI378=0,"",(AI379/AI378)-1))</f>
        <v/>
      </c>
      <c r="AK379" s="23" t="str">
        <f>IF(OR(AJ379="",AJ378=""),"",IF(AJ378=0,"",(AJ379/AJ378)-1))</f>
        <v/>
      </c>
      <c r="AL379" s="23" t="str">
        <f>IF(ROW()&lt;7,"",IF(OR(AJ379="",AJ376=""),"",IF(AJ376=0,"",(AJ379/AJ376)-1)))</f>
        <v/>
      </c>
      <c r="AM379" s="23" t="str">
        <f>IF(ROW()&lt;9,"",IF(OR(AJ379="",AJ374=""),"",IF(AJ374=0,"",(AJ379/AJ374)-1)))</f>
        <v/>
      </c>
      <c r="AN379" t="str">
        <f>IF(OR(AL379="",AM379=""),"",IF(AND(AL379&gt;0,AM379&gt;0),"Bull",IF(AND(AL379&lt;0,AM379&lt;0),"Bear","Mixed")))</f>
        <v/>
      </c>
      <c r="AO379" t="str">
        <f>IF(OR(AH379="",AN379=""),"",IF(AND(AH379="Bull",AN379="Bull"),"YES","NO"))</f>
        <v/>
      </c>
      <c r="AP379" t="str">
        <f>IF(OR(AH379="",AN379=""),"",IF(AND(AH379="Bear",AN379="Bear"),"YES","NO"))</f>
        <v/>
      </c>
      <c r="AQ379" t="str">
        <f>IF(AO379="YES",IF(SUM(N(X379),N(Y379),N(Z379))&gt;0,"SOXL","TQQQ"),IF(AP379="YES",IF(SUM(N(AA379),N(AB379),N(AC379))&gt;0,"SOXS","SQQQ"),"WAIT"))</f>
        <v>WAIT</v>
      </c>
      <c r="AR379" s="23" t="str">
        <f>IF(AO379="YES",IF(SUM(N(X379),N(Y379),N(Z379))&gt;0,"TQQQ","SOXL"),IF(AP379="YES",IF(SUM(N(AA379),N(AB379),N(AC379))&gt;0,"SQQQ","SOXS"),""))</f>
        <v/>
      </c>
      <c r="AS379" s="23" t="str">
        <f>IF(AQ379="WAIT","",IF(AR379="",1,0.6))</f>
        <v/>
      </c>
      <c r="AT379" s="23">
        <f>IF(AR379="",0,0.4)</f>
        <v>0</v>
      </c>
      <c r="AU379" s="23" t="str">
        <f>IF(AQ379="WAIT","WAIT",IF(AO379="YES","BULL",IF(AP379="YES","BEAR","WAIT")))</f>
        <v>WAIT</v>
      </c>
      <c r="AV379" t="str">
        <f>IF(AQ379="WAIT","Low",IF(OR(AND(AU379="BULL",ABS(SUM(N(X379),N(Y379),N(Z379)))&gt;=0.15),AND(AU379="BEAR",ABS(SUM(N(AA379),N(AB379),N(AC379)))&gt;=0.15)),"Strong",IF(OR(AND(AU379="BULL",ABS(SUM(N(X379),N(Y379),N(Z379)))&gt;=0.05),AND(AU379="BEAR",ABS(SUM(N(AA379),N(AB379),N(AC379)))&gt;=0.05)),"Moderate","Low")))</f>
        <v>Low</v>
      </c>
      <c r="AW379" t="str">
        <f>IF(AQ379="WAIT","QQQ and SMH not aligned",IF(AU379="BULL",IF(AQ379="SOXL","Bull regime; semiconductors leading","Bull regime; tech leading"),IF(AQ379="SOXS","Bear regime; semiconductors weakest","Bear regime; tech weakest")))</f>
        <v>QQQ and SMH not aligned</v>
      </c>
      <c r="AX379" t="str">
        <f>IF(AR379="WAIT","QQQ and SMH not aligned",IF(AV379="BULL",IF(AR379="SOXL","Bull regime; semiconductors leading","Bull regime; tech leading"),IF(AR379="SOXS","Bear regime; semiconductors weakest","Bear regime; tech weakest")))</f>
        <v>Bear regime; tech weakest</v>
      </c>
    </row>
    <row r="380" spans="1:50" x14ac:dyDescent="0.2">
      <c r="A380" s="12"/>
      <c r="B380" s="13"/>
      <c r="C380" s="13"/>
      <c r="D380" s="13"/>
      <c r="E380" s="13"/>
      <c r="F380" s="11" t="str">
        <f>IF(OR(E380="",E379=""),"",IF(E379=0,"",(E380/E379)-1))</f>
        <v/>
      </c>
      <c r="G380" s="13"/>
      <c r="H380" s="11" t="str">
        <f>IF(OR(G380="",G379=""),"",IF(G379=0,"",(G380/G379)-1))</f>
        <v/>
      </c>
      <c r="I380" s="13"/>
      <c r="J380" s="13"/>
      <c r="K380" s="13"/>
      <c r="L380" s="13"/>
      <c r="M380" s="23" t="str">
        <f>IF(OR(L380="",L379=""),"",IF(L379=0,"",(L380/L379)-1))</f>
        <v/>
      </c>
      <c r="N380" s="26" t="str">
        <f>IFERROR((M380/M379)-1,"")</f>
        <v/>
      </c>
      <c r="O380" s="23" t="str">
        <f>IF(OR(N380="",N379=""),"",IF(N379=0,"",(N380/N379)-1))</f>
        <v/>
      </c>
      <c r="P380" s="11" t="str">
        <f>IF(ROW()&lt;7,"",IF(OR(E380="",E377=""),"",IF(E377=0,"",(E380/E377)-1)))</f>
        <v/>
      </c>
      <c r="Q380" s="23" t="str">
        <f>IF(ROW()&lt;9,"",IF(OR(E380="",E375=""),"",IF(E375=0,"",(E380/E375)-1)))</f>
        <v/>
      </c>
      <c r="R380" s="23" t="str">
        <f>IF(ROW()&lt;7,"",IF(OR(G380="",G377=""),"",IF(G377=0,"",(G380/G377)-1)))</f>
        <v/>
      </c>
      <c r="S380" s="23" t="str">
        <f>IF(ROW()&lt;9,"",IF(OR(G380="",G375=""),"",IF(G375=0,"",(G380/G375)-1)))</f>
        <v/>
      </c>
      <c r="T380" s="23" t="str">
        <f>IF(ROW()&lt;7,"",IF(OR(L380="",L377=""),"",IF(L377=0,"",(L380/L377)-1)))</f>
        <v/>
      </c>
      <c r="U380" s="23" t="str">
        <f>IF(ROW()&lt;9,"",IF(OR(L380="",L375=""),"",IF(L375=0,"",(L380/L375)-1)))</f>
        <v/>
      </c>
      <c r="V380" s="23" t="str">
        <f>IF(ROW()&lt;7,"",IF(OR(N380="",N377=""),"",IF(N377=0,"",(N380/N377)-1)))</f>
        <v/>
      </c>
      <c r="W380" s="23" t="str">
        <f>IF(ROW()&lt;9,"",IF(OR(N380="",N375=""),"",IF(N375=0,"",(N380/N375)-1)))</f>
        <v/>
      </c>
      <c r="X380" s="23" t="str">
        <f>IF(OR(F380="",M380=""),"",F380-M380)</f>
        <v/>
      </c>
      <c r="Y380" s="23" t="str">
        <f>IF(OR(P380="",T380=""),"",P380-T380)</f>
        <v/>
      </c>
      <c r="Z380" s="23" t="str">
        <f>IF(OR(Q380="",U380=""),"",Q380-U380)</f>
        <v/>
      </c>
      <c r="AA380" s="23" t="str">
        <f>IF(OR(H380="",O380=""),"",H380-O380)</f>
        <v/>
      </c>
      <c r="AB380" s="23" t="str">
        <f>IF(OR(R380="",V380=""),"",R380-V380)</f>
        <v/>
      </c>
      <c r="AC380" s="23" t="str">
        <f>IF(OR(S380="",W380=""),"",S380-W380)</f>
        <v/>
      </c>
      <c r="AD380" s="13"/>
      <c r="AE380" s="23" t="str">
        <f>IF(OR(AD380="",AD379=""),"",IF(AD379=0,"",(AD380/AD379)-1))</f>
        <v/>
      </c>
      <c r="AF380" s="23" t="str">
        <f>IF(ROW()&lt;7,"",IF(OR(AD380="",AD377=""),"",IF(AD377=0,"",(AD380/AD377)-1)))</f>
        <v/>
      </c>
      <c r="AG380" s="23" t="str">
        <f>IF(ROW()&lt;9,"",IF(OR(AD380="",AD375=""),"",IF(AD375=0,"",(AD380/AD375)-1)))</f>
        <v/>
      </c>
      <c r="AH380" s="23" t="str">
        <f>IF(OR(AF380="",AG380=""),"",IF(AND(AF380&gt;0,AG380&gt;0),"Bull",IF(AND(AF380&lt;0,AG380&lt;0),"Bear","Mixed")))</f>
        <v/>
      </c>
      <c r="AI380" s="13"/>
      <c r="AJ380" s="13" t="str">
        <f>IF(OR(AI380="",AI379=""),"",IF(AI379=0,"",(AI380/AI379)-1))</f>
        <v/>
      </c>
      <c r="AK380" s="23" t="str">
        <f>IF(OR(AJ380="",AJ379=""),"",IF(AJ379=0,"",(AJ380/AJ379)-1))</f>
        <v/>
      </c>
      <c r="AL380" s="23" t="str">
        <f>IF(ROW()&lt;7,"",IF(OR(AJ380="",AJ377=""),"",IF(AJ377=0,"",(AJ380/AJ377)-1)))</f>
        <v/>
      </c>
      <c r="AM380" s="23" t="str">
        <f>IF(ROW()&lt;9,"",IF(OR(AJ380="",AJ375=""),"",IF(AJ375=0,"",(AJ380/AJ375)-1)))</f>
        <v/>
      </c>
      <c r="AN380" t="str">
        <f>IF(OR(AL380="",AM380=""),"",IF(AND(AL380&gt;0,AM380&gt;0),"Bull",IF(AND(AL380&lt;0,AM380&lt;0),"Bear","Mixed")))</f>
        <v/>
      </c>
      <c r="AO380" t="str">
        <f>IF(OR(AH380="",AN380=""),"",IF(AND(AH380="Bull",AN380="Bull"),"YES","NO"))</f>
        <v/>
      </c>
      <c r="AP380" t="str">
        <f>IF(OR(AH380="",AN380=""),"",IF(AND(AH380="Bear",AN380="Bear"),"YES","NO"))</f>
        <v/>
      </c>
      <c r="AQ380" t="str">
        <f>IF(AO380="YES",IF(SUM(N(X380),N(Y380),N(Z380))&gt;0,"SOXL","TQQQ"),IF(AP380="YES",IF(SUM(N(AA380),N(AB380),N(AC380))&gt;0,"SOXS","SQQQ"),"WAIT"))</f>
        <v>WAIT</v>
      </c>
      <c r="AR380" s="23" t="str">
        <f>IF(AO380="YES",IF(SUM(N(X380),N(Y380),N(Z380))&gt;0,"TQQQ","SOXL"),IF(AP380="YES",IF(SUM(N(AA380),N(AB380),N(AC380))&gt;0,"SQQQ","SOXS"),""))</f>
        <v/>
      </c>
      <c r="AS380" s="23" t="str">
        <f>IF(AQ380="WAIT","",IF(AR380="",1,0.6))</f>
        <v/>
      </c>
      <c r="AT380" s="23">
        <f>IF(AR380="",0,0.4)</f>
        <v>0</v>
      </c>
      <c r="AU380" s="23" t="str">
        <f>IF(AQ380="WAIT","WAIT",IF(AO380="YES","BULL",IF(AP380="YES","BEAR","WAIT")))</f>
        <v>WAIT</v>
      </c>
      <c r="AV380" t="str">
        <f>IF(AQ380="WAIT","Low",IF(OR(AND(AU380="BULL",ABS(SUM(N(X380),N(Y380),N(Z380)))&gt;=0.15),AND(AU380="BEAR",ABS(SUM(N(AA380),N(AB380),N(AC380)))&gt;=0.15)),"Strong",IF(OR(AND(AU380="BULL",ABS(SUM(N(X380),N(Y380),N(Z380)))&gt;=0.05),AND(AU380="BEAR",ABS(SUM(N(AA380),N(AB380),N(AC380)))&gt;=0.05)),"Moderate","Low")))</f>
        <v>Low</v>
      </c>
      <c r="AW380" t="str">
        <f>IF(AQ380="WAIT","QQQ and SMH not aligned",IF(AU380="BULL",IF(AQ380="SOXL","Bull regime; semiconductors leading","Bull regime; tech leading"),IF(AQ380="SOXS","Bear regime; semiconductors weakest","Bear regime; tech weakest")))</f>
        <v>QQQ and SMH not aligned</v>
      </c>
      <c r="AX380" t="str">
        <f>IF(AR380="WAIT","QQQ and SMH not aligned",IF(AV380="BULL",IF(AR380="SOXL","Bull regime; semiconductors leading","Bull regime; tech leading"),IF(AR380="SOXS","Bear regime; semiconductors weakest","Bear regime; tech weakest")))</f>
        <v>Bear regime; tech weakest</v>
      </c>
    </row>
    <row r="381" spans="1:50" x14ac:dyDescent="0.2">
      <c r="A381" s="12"/>
      <c r="B381" s="13"/>
      <c r="C381" s="13"/>
      <c r="D381" s="13"/>
      <c r="E381" s="13"/>
      <c r="F381" s="11" t="str">
        <f>IF(OR(E381="",E380=""),"",IF(E380=0,"",(E381/E380)-1))</f>
        <v/>
      </c>
      <c r="G381" s="13"/>
      <c r="H381" s="11" t="str">
        <f>IF(OR(G381="",G380=""),"",IF(G380=0,"",(G381/G380)-1))</f>
        <v/>
      </c>
      <c r="I381" s="13"/>
      <c r="J381" s="13"/>
      <c r="K381" s="13"/>
      <c r="L381" s="13"/>
      <c r="M381" s="23" t="str">
        <f>IF(OR(L381="",L380=""),"",IF(L380=0,"",(L381/L380)-1))</f>
        <v/>
      </c>
      <c r="N381" s="26" t="str">
        <f>IFERROR((M381/M380)-1,"")</f>
        <v/>
      </c>
      <c r="O381" s="23" t="str">
        <f>IF(OR(N381="",N380=""),"",IF(N380=0,"",(N381/N380)-1))</f>
        <v/>
      </c>
      <c r="P381" s="11" t="str">
        <f>IF(ROW()&lt;7,"",IF(OR(E381="",E378=""),"",IF(E378=0,"",(E381/E378)-1)))</f>
        <v/>
      </c>
      <c r="Q381" s="23" t="str">
        <f>IF(ROW()&lt;9,"",IF(OR(E381="",E376=""),"",IF(E376=0,"",(E381/E376)-1)))</f>
        <v/>
      </c>
      <c r="R381" s="23" t="str">
        <f>IF(ROW()&lt;7,"",IF(OR(G381="",G378=""),"",IF(G378=0,"",(G381/G378)-1)))</f>
        <v/>
      </c>
      <c r="S381" s="23" t="str">
        <f>IF(ROW()&lt;9,"",IF(OR(G381="",G376=""),"",IF(G376=0,"",(G381/G376)-1)))</f>
        <v/>
      </c>
      <c r="T381" s="23" t="str">
        <f>IF(ROW()&lt;7,"",IF(OR(L381="",L378=""),"",IF(L378=0,"",(L381/L378)-1)))</f>
        <v/>
      </c>
      <c r="U381" s="23" t="str">
        <f>IF(ROW()&lt;9,"",IF(OR(L381="",L376=""),"",IF(L376=0,"",(L381/L376)-1)))</f>
        <v/>
      </c>
      <c r="V381" s="23" t="str">
        <f>IF(ROW()&lt;7,"",IF(OR(N381="",N378=""),"",IF(N378=0,"",(N381/N378)-1)))</f>
        <v/>
      </c>
      <c r="W381" s="23" t="str">
        <f>IF(ROW()&lt;9,"",IF(OR(N381="",N376=""),"",IF(N376=0,"",(N381/N376)-1)))</f>
        <v/>
      </c>
      <c r="X381" s="23" t="str">
        <f>IF(OR(F381="",M381=""),"",F381-M381)</f>
        <v/>
      </c>
      <c r="Y381" s="23" t="str">
        <f>IF(OR(P381="",T381=""),"",P381-T381)</f>
        <v/>
      </c>
      <c r="Z381" s="23" t="str">
        <f>IF(OR(Q381="",U381=""),"",Q381-U381)</f>
        <v/>
      </c>
      <c r="AA381" s="23" t="str">
        <f>IF(OR(H381="",O381=""),"",H381-O381)</f>
        <v/>
      </c>
      <c r="AB381" s="23" t="str">
        <f>IF(OR(R381="",V381=""),"",R381-V381)</f>
        <v/>
      </c>
      <c r="AC381" s="23" t="str">
        <f>IF(OR(S381="",W381=""),"",S381-W381)</f>
        <v/>
      </c>
      <c r="AD381" s="13"/>
      <c r="AE381" s="23" t="str">
        <f>IF(OR(AD381="",AD380=""),"",IF(AD380=0,"",(AD381/AD380)-1))</f>
        <v/>
      </c>
      <c r="AF381" s="23" t="str">
        <f>IF(ROW()&lt;7,"",IF(OR(AD381="",AD378=""),"",IF(AD378=0,"",(AD381/AD378)-1)))</f>
        <v/>
      </c>
      <c r="AG381" s="23" t="str">
        <f>IF(ROW()&lt;9,"",IF(OR(AD381="",AD376=""),"",IF(AD376=0,"",(AD381/AD376)-1)))</f>
        <v/>
      </c>
      <c r="AH381" s="23" t="str">
        <f>IF(OR(AF381="",AG381=""),"",IF(AND(AF381&gt;0,AG381&gt;0),"Bull",IF(AND(AF381&lt;0,AG381&lt;0),"Bear","Mixed")))</f>
        <v/>
      </c>
      <c r="AI381" s="13"/>
      <c r="AJ381" s="13" t="str">
        <f>IF(OR(AI381="",AI380=""),"",IF(AI380=0,"",(AI381/AI380)-1))</f>
        <v/>
      </c>
      <c r="AK381" s="23" t="str">
        <f>IF(OR(AJ381="",AJ380=""),"",IF(AJ380=0,"",(AJ381/AJ380)-1))</f>
        <v/>
      </c>
      <c r="AL381" s="23" t="str">
        <f>IF(ROW()&lt;7,"",IF(OR(AJ381="",AJ378=""),"",IF(AJ378=0,"",(AJ381/AJ378)-1)))</f>
        <v/>
      </c>
      <c r="AM381" s="23" t="str">
        <f>IF(ROW()&lt;9,"",IF(OR(AJ381="",AJ376=""),"",IF(AJ376=0,"",(AJ381/AJ376)-1)))</f>
        <v/>
      </c>
      <c r="AN381" t="str">
        <f>IF(OR(AL381="",AM381=""),"",IF(AND(AL381&gt;0,AM381&gt;0),"Bull",IF(AND(AL381&lt;0,AM381&lt;0),"Bear","Mixed")))</f>
        <v/>
      </c>
      <c r="AO381" t="str">
        <f>IF(OR(AH381="",AN381=""),"",IF(AND(AH381="Bull",AN381="Bull"),"YES","NO"))</f>
        <v/>
      </c>
      <c r="AP381" t="str">
        <f>IF(OR(AH381="",AN381=""),"",IF(AND(AH381="Bear",AN381="Bear"),"YES","NO"))</f>
        <v/>
      </c>
      <c r="AQ381" t="str">
        <f>IF(AO381="YES",IF(SUM(N(X381),N(Y381),N(Z381))&gt;0,"SOXL","TQQQ"),IF(AP381="YES",IF(SUM(N(AA381),N(AB381),N(AC381))&gt;0,"SOXS","SQQQ"),"WAIT"))</f>
        <v>WAIT</v>
      </c>
      <c r="AR381" s="23" t="str">
        <f>IF(AO381="YES",IF(SUM(N(X381),N(Y381),N(Z381))&gt;0,"TQQQ","SOXL"),IF(AP381="YES",IF(SUM(N(AA381),N(AB381),N(AC381))&gt;0,"SQQQ","SOXS"),""))</f>
        <v/>
      </c>
      <c r="AS381" s="23" t="str">
        <f>IF(AQ381="WAIT","",IF(AR381="",1,0.6))</f>
        <v/>
      </c>
      <c r="AT381" s="23">
        <f>IF(AR381="",0,0.4)</f>
        <v>0</v>
      </c>
      <c r="AU381" s="23" t="str">
        <f>IF(AQ381="WAIT","WAIT",IF(AO381="YES","BULL",IF(AP381="YES","BEAR","WAIT")))</f>
        <v>WAIT</v>
      </c>
      <c r="AV381" t="str">
        <f>IF(AQ381="WAIT","Low",IF(OR(AND(AU381="BULL",ABS(SUM(N(X381),N(Y381),N(Z381)))&gt;=0.15),AND(AU381="BEAR",ABS(SUM(N(AA381),N(AB381),N(AC381)))&gt;=0.15)),"Strong",IF(OR(AND(AU381="BULL",ABS(SUM(N(X381),N(Y381),N(Z381)))&gt;=0.05),AND(AU381="BEAR",ABS(SUM(N(AA381),N(AB381),N(AC381)))&gt;=0.05)),"Moderate","Low")))</f>
        <v>Low</v>
      </c>
      <c r="AW381" t="str">
        <f>IF(AQ381="WAIT","QQQ and SMH not aligned",IF(AU381="BULL",IF(AQ381="SOXL","Bull regime; semiconductors leading","Bull regime; tech leading"),IF(AQ381="SOXS","Bear regime; semiconductors weakest","Bear regime; tech weakest")))</f>
        <v>QQQ and SMH not aligned</v>
      </c>
      <c r="AX381" t="str">
        <f>IF(AR381="WAIT","QQQ and SMH not aligned",IF(AV381="BULL",IF(AR381="SOXL","Bull regime; semiconductors leading","Bull regime; tech leading"),IF(AR381="SOXS","Bear regime; semiconductors weakest","Bear regime; tech weakest")))</f>
        <v>Bear regime; tech weakest</v>
      </c>
    </row>
    <row r="382" spans="1:50" x14ac:dyDescent="0.2">
      <c r="A382" s="12"/>
      <c r="B382" s="13"/>
      <c r="C382" s="13"/>
      <c r="D382" s="13"/>
      <c r="E382" s="13"/>
      <c r="F382" s="11" t="str">
        <f>IF(OR(E382="",E381=""),"",IF(E381=0,"",(E382/E381)-1))</f>
        <v/>
      </c>
      <c r="G382" s="13"/>
      <c r="H382" s="11" t="str">
        <f>IF(OR(G382="",G381=""),"",IF(G381=0,"",(G382/G381)-1))</f>
        <v/>
      </c>
      <c r="I382" s="13"/>
      <c r="J382" s="13"/>
      <c r="K382" s="13"/>
      <c r="L382" s="13"/>
      <c r="M382" s="23" t="str">
        <f>IF(OR(L382="",L381=""),"",IF(L381=0,"",(L382/L381)-1))</f>
        <v/>
      </c>
      <c r="N382" s="26" t="str">
        <f>IFERROR((M382/M381)-1,"")</f>
        <v/>
      </c>
      <c r="O382" s="23" t="str">
        <f>IF(OR(N382="",N381=""),"",IF(N381=0,"",(N382/N381)-1))</f>
        <v/>
      </c>
      <c r="P382" s="11" t="str">
        <f>IF(ROW()&lt;7,"",IF(OR(E382="",E379=""),"",IF(E379=0,"",(E382/E379)-1)))</f>
        <v/>
      </c>
      <c r="Q382" s="23" t="str">
        <f>IF(ROW()&lt;9,"",IF(OR(E382="",E377=""),"",IF(E377=0,"",(E382/E377)-1)))</f>
        <v/>
      </c>
      <c r="R382" s="23" t="str">
        <f>IF(ROW()&lt;7,"",IF(OR(G382="",G379=""),"",IF(G379=0,"",(G382/G379)-1)))</f>
        <v/>
      </c>
      <c r="S382" s="23" t="str">
        <f>IF(ROW()&lt;9,"",IF(OR(G382="",G377=""),"",IF(G377=0,"",(G382/G377)-1)))</f>
        <v/>
      </c>
      <c r="T382" s="23" t="str">
        <f>IF(ROW()&lt;7,"",IF(OR(L382="",L379=""),"",IF(L379=0,"",(L382/L379)-1)))</f>
        <v/>
      </c>
      <c r="U382" s="23" t="str">
        <f>IF(ROW()&lt;9,"",IF(OR(L382="",L377=""),"",IF(L377=0,"",(L382/L377)-1)))</f>
        <v/>
      </c>
      <c r="V382" s="23" t="str">
        <f>IF(ROW()&lt;7,"",IF(OR(N382="",N379=""),"",IF(N379=0,"",(N382/N379)-1)))</f>
        <v/>
      </c>
      <c r="W382" s="23" t="str">
        <f>IF(ROW()&lt;9,"",IF(OR(N382="",N377=""),"",IF(N377=0,"",(N382/N377)-1)))</f>
        <v/>
      </c>
      <c r="X382" s="23" t="str">
        <f>IF(OR(F382="",M382=""),"",F382-M382)</f>
        <v/>
      </c>
      <c r="Y382" s="23" t="str">
        <f>IF(OR(P382="",T382=""),"",P382-T382)</f>
        <v/>
      </c>
      <c r="Z382" s="23" t="str">
        <f>IF(OR(Q382="",U382=""),"",Q382-U382)</f>
        <v/>
      </c>
      <c r="AA382" s="23" t="str">
        <f>IF(OR(H382="",O382=""),"",H382-O382)</f>
        <v/>
      </c>
      <c r="AB382" s="23" t="str">
        <f>IF(OR(R382="",V382=""),"",R382-V382)</f>
        <v/>
      </c>
      <c r="AC382" s="23" t="str">
        <f>IF(OR(S382="",W382=""),"",S382-W382)</f>
        <v/>
      </c>
      <c r="AD382" s="13"/>
      <c r="AE382" s="23" t="str">
        <f>IF(OR(AD382="",AD381=""),"",IF(AD381=0,"",(AD382/AD381)-1))</f>
        <v/>
      </c>
      <c r="AF382" s="23" t="str">
        <f>IF(ROW()&lt;7,"",IF(OR(AD382="",AD379=""),"",IF(AD379=0,"",(AD382/AD379)-1)))</f>
        <v/>
      </c>
      <c r="AG382" s="23" t="str">
        <f>IF(ROW()&lt;9,"",IF(OR(AD382="",AD377=""),"",IF(AD377=0,"",(AD382/AD377)-1)))</f>
        <v/>
      </c>
      <c r="AH382" s="23" t="str">
        <f>IF(OR(AF382="",AG382=""),"",IF(AND(AF382&gt;0,AG382&gt;0),"Bull",IF(AND(AF382&lt;0,AG382&lt;0),"Bear","Mixed")))</f>
        <v/>
      </c>
      <c r="AI382" s="13"/>
      <c r="AJ382" s="13" t="str">
        <f>IF(OR(AI382="",AI381=""),"",IF(AI381=0,"",(AI382/AI381)-1))</f>
        <v/>
      </c>
      <c r="AK382" s="23" t="str">
        <f>IF(OR(AJ382="",AJ381=""),"",IF(AJ381=0,"",(AJ382/AJ381)-1))</f>
        <v/>
      </c>
      <c r="AL382" s="23" t="str">
        <f>IF(ROW()&lt;7,"",IF(OR(AJ382="",AJ379=""),"",IF(AJ379=0,"",(AJ382/AJ379)-1)))</f>
        <v/>
      </c>
      <c r="AM382" s="23" t="str">
        <f>IF(ROW()&lt;9,"",IF(OR(AJ382="",AJ377=""),"",IF(AJ377=0,"",(AJ382/AJ377)-1)))</f>
        <v/>
      </c>
      <c r="AN382" t="str">
        <f>IF(OR(AL382="",AM382=""),"",IF(AND(AL382&gt;0,AM382&gt;0),"Bull",IF(AND(AL382&lt;0,AM382&lt;0),"Bear","Mixed")))</f>
        <v/>
      </c>
      <c r="AO382" t="str">
        <f>IF(OR(AH382="",AN382=""),"",IF(AND(AH382="Bull",AN382="Bull"),"YES","NO"))</f>
        <v/>
      </c>
      <c r="AP382" t="str">
        <f>IF(OR(AH382="",AN382=""),"",IF(AND(AH382="Bear",AN382="Bear"),"YES","NO"))</f>
        <v/>
      </c>
      <c r="AQ382" t="str">
        <f>IF(AO382="YES",IF(SUM(N(X382),N(Y382),N(Z382))&gt;0,"SOXL","TQQQ"),IF(AP382="YES",IF(SUM(N(AA382),N(AB382),N(AC382))&gt;0,"SOXS","SQQQ"),"WAIT"))</f>
        <v>WAIT</v>
      </c>
      <c r="AR382" s="23" t="str">
        <f>IF(AO382="YES",IF(SUM(N(X382),N(Y382),N(Z382))&gt;0,"TQQQ","SOXL"),IF(AP382="YES",IF(SUM(N(AA382),N(AB382),N(AC382))&gt;0,"SQQQ","SOXS"),""))</f>
        <v/>
      </c>
      <c r="AS382" s="23" t="str">
        <f>IF(AQ382="WAIT","",IF(AR382="",1,0.6))</f>
        <v/>
      </c>
      <c r="AT382" s="23">
        <f>IF(AR382="",0,0.4)</f>
        <v>0</v>
      </c>
      <c r="AU382" s="23" t="str">
        <f>IF(AQ382="WAIT","WAIT",IF(AO382="YES","BULL",IF(AP382="YES","BEAR","WAIT")))</f>
        <v>WAIT</v>
      </c>
      <c r="AV382" t="str">
        <f>IF(AQ382="WAIT","Low",IF(OR(AND(AU382="BULL",ABS(SUM(N(X382),N(Y382),N(Z382)))&gt;=0.15),AND(AU382="BEAR",ABS(SUM(N(AA382),N(AB382),N(AC382)))&gt;=0.15)),"Strong",IF(OR(AND(AU382="BULL",ABS(SUM(N(X382),N(Y382),N(Z382)))&gt;=0.05),AND(AU382="BEAR",ABS(SUM(N(AA382),N(AB382),N(AC382)))&gt;=0.05)),"Moderate","Low")))</f>
        <v>Low</v>
      </c>
      <c r="AW382" t="str">
        <f>IF(AQ382="WAIT","QQQ and SMH not aligned",IF(AU382="BULL",IF(AQ382="SOXL","Bull regime; semiconductors leading","Bull regime; tech leading"),IF(AQ382="SOXS","Bear regime; semiconductors weakest","Bear regime; tech weakest")))</f>
        <v>QQQ and SMH not aligned</v>
      </c>
      <c r="AX382" t="str">
        <f>IF(AR382="WAIT","QQQ and SMH not aligned",IF(AV382="BULL",IF(AR382="SOXL","Bull regime; semiconductors leading","Bull regime; tech leading"),IF(AR382="SOXS","Bear regime; semiconductors weakest","Bear regime; tech weakest")))</f>
        <v>Bear regime; tech weakest</v>
      </c>
    </row>
    <row r="383" spans="1:50" x14ac:dyDescent="0.2">
      <c r="A383" s="12"/>
      <c r="B383" s="13"/>
      <c r="C383" s="13"/>
      <c r="D383" s="13"/>
      <c r="E383" s="13"/>
      <c r="F383" s="11" t="str">
        <f>IF(OR(E383="",E382=""),"",IF(E382=0,"",(E383/E382)-1))</f>
        <v/>
      </c>
      <c r="G383" s="13"/>
      <c r="H383" s="11" t="str">
        <f>IF(OR(G383="",G382=""),"",IF(G382=0,"",(G383/G382)-1))</f>
        <v/>
      </c>
      <c r="I383" s="13"/>
      <c r="J383" s="13"/>
      <c r="K383" s="13"/>
      <c r="L383" s="13"/>
      <c r="M383" s="23" t="str">
        <f>IF(OR(L383="",L382=""),"",IF(L382=0,"",(L383/L382)-1))</f>
        <v/>
      </c>
      <c r="N383" s="26" t="str">
        <f>IFERROR((M383/M382)-1,"")</f>
        <v/>
      </c>
      <c r="O383" s="23" t="str">
        <f>IF(OR(N383="",N382=""),"",IF(N382=0,"",(N383/N382)-1))</f>
        <v/>
      </c>
      <c r="P383" s="11" t="str">
        <f>IF(ROW()&lt;7,"",IF(OR(E383="",E380=""),"",IF(E380=0,"",(E383/E380)-1)))</f>
        <v/>
      </c>
      <c r="Q383" s="23" t="str">
        <f>IF(ROW()&lt;9,"",IF(OR(E383="",E378=""),"",IF(E378=0,"",(E383/E378)-1)))</f>
        <v/>
      </c>
      <c r="R383" s="23" t="str">
        <f>IF(ROW()&lt;7,"",IF(OR(G383="",G380=""),"",IF(G380=0,"",(G383/G380)-1)))</f>
        <v/>
      </c>
      <c r="S383" s="23" t="str">
        <f>IF(ROW()&lt;9,"",IF(OR(G383="",G378=""),"",IF(G378=0,"",(G383/G378)-1)))</f>
        <v/>
      </c>
      <c r="T383" s="23" t="str">
        <f>IF(ROW()&lt;7,"",IF(OR(L383="",L380=""),"",IF(L380=0,"",(L383/L380)-1)))</f>
        <v/>
      </c>
      <c r="U383" s="23" t="str">
        <f>IF(ROW()&lt;9,"",IF(OR(L383="",L378=""),"",IF(L378=0,"",(L383/L378)-1)))</f>
        <v/>
      </c>
      <c r="V383" s="23" t="str">
        <f>IF(ROW()&lt;7,"",IF(OR(N383="",N380=""),"",IF(N380=0,"",(N383/N380)-1)))</f>
        <v/>
      </c>
      <c r="W383" s="23" t="str">
        <f>IF(ROW()&lt;9,"",IF(OR(N383="",N378=""),"",IF(N378=0,"",(N383/N378)-1)))</f>
        <v/>
      </c>
      <c r="X383" s="23" t="str">
        <f>IF(OR(F383="",M383=""),"",F383-M383)</f>
        <v/>
      </c>
      <c r="Y383" s="23" t="str">
        <f>IF(OR(P383="",T383=""),"",P383-T383)</f>
        <v/>
      </c>
      <c r="Z383" s="23" t="str">
        <f>IF(OR(Q383="",U383=""),"",Q383-U383)</f>
        <v/>
      </c>
      <c r="AA383" s="23" t="str">
        <f>IF(OR(H383="",O383=""),"",H383-O383)</f>
        <v/>
      </c>
      <c r="AB383" s="23" t="str">
        <f>IF(OR(R383="",V383=""),"",R383-V383)</f>
        <v/>
      </c>
      <c r="AC383" s="23" t="str">
        <f>IF(OR(S383="",W383=""),"",S383-W383)</f>
        <v/>
      </c>
      <c r="AD383" s="13"/>
      <c r="AE383" s="23" t="str">
        <f>IF(OR(AD383="",AD382=""),"",IF(AD382=0,"",(AD383/AD382)-1))</f>
        <v/>
      </c>
      <c r="AF383" s="23" t="str">
        <f>IF(ROW()&lt;7,"",IF(OR(AD383="",AD380=""),"",IF(AD380=0,"",(AD383/AD380)-1)))</f>
        <v/>
      </c>
      <c r="AG383" s="23" t="str">
        <f>IF(ROW()&lt;9,"",IF(OR(AD383="",AD378=""),"",IF(AD378=0,"",(AD383/AD378)-1)))</f>
        <v/>
      </c>
      <c r="AH383" s="23" t="str">
        <f>IF(OR(AF383="",AG383=""),"",IF(AND(AF383&gt;0,AG383&gt;0),"Bull",IF(AND(AF383&lt;0,AG383&lt;0),"Bear","Mixed")))</f>
        <v/>
      </c>
      <c r="AI383" s="13"/>
      <c r="AJ383" s="13" t="str">
        <f>IF(OR(AI383="",AI382=""),"",IF(AI382=0,"",(AI383/AI382)-1))</f>
        <v/>
      </c>
      <c r="AK383" s="23" t="str">
        <f>IF(OR(AJ383="",AJ382=""),"",IF(AJ382=0,"",(AJ383/AJ382)-1))</f>
        <v/>
      </c>
      <c r="AL383" s="23" t="str">
        <f>IF(ROW()&lt;7,"",IF(OR(AJ383="",AJ380=""),"",IF(AJ380=0,"",(AJ383/AJ380)-1)))</f>
        <v/>
      </c>
      <c r="AM383" s="23" t="str">
        <f>IF(ROW()&lt;9,"",IF(OR(AJ383="",AJ378=""),"",IF(AJ378=0,"",(AJ383/AJ378)-1)))</f>
        <v/>
      </c>
      <c r="AN383" t="str">
        <f>IF(OR(AL383="",AM383=""),"",IF(AND(AL383&gt;0,AM383&gt;0),"Bull",IF(AND(AL383&lt;0,AM383&lt;0),"Bear","Mixed")))</f>
        <v/>
      </c>
      <c r="AO383" t="str">
        <f>IF(OR(AH383="",AN383=""),"",IF(AND(AH383="Bull",AN383="Bull"),"YES","NO"))</f>
        <v/>
      </c>
      <c r="AP383" t="str">
        <f>IF(OR(AH383="",AN383=""),"",IF(AND(AH383="Bear",AN383="Bear"),"YES","NO"))</f>
        <v/>
      </c>
      <c r="AQ383" t="str">
        <f>IF(AO383="YES",IF(SUM(N(X383),N(Y383),N(Z383))&gt;0,"SOXL","TQQQ"),IF(AP383="YES",IF(SUM(N(AA383),N(AB383),N(AC383))&gt;0,"SOXS","SQQQ"),"WAIT"))</f>
        <v>WAIT</v>
      </c>
      <c r="AR383" s="23" t="str">
        <f>IF(AO383="YES",IF(SUM(N(X383),N(Y383),N(Z383))&gt;0,"TQQQ","SOXL"),IF(AP383="YES",IF(SUM(N(AA383),N(AB383),N(AC383))&gt;0,"SQQQ","SOXS"),""))</f>
        <v/>
      </c>
      <c r="AS383" s="23" t="str">
        <f>IF(AQ383="WAIT","",IF(AR383="",1,0.6))</f>
        <v/>
      </c>
      <c r="AT383" s="23">
        <f>IF(AR383="",0,0.4)</f>
        <v>0</v>
      </c>
      <c r="AU383" s="23" t="str">
        <f>IF(AQ383="WAIT","WAIT",IF(AO383="YES","BULL",IF(AP383="YES","BEAR","WAIT")))</f>
        <v>WAIT</v>
      </c>
      <c r="AV383" t="str">
        <f>IF(AQ383="WAIT","Low",IF(OR(AND(AU383="BULL",ABS(SUM(N(X383),N(Y383),N(Z383)))&gt;=0.15),AND(AU383="BEAR",ABS(SUM(N(AA383),N(AB383),N(AC383)))&gt;=0.15)),"Strong",IF(OR(AND(AU383="BULL",ABS(SUM(N(X383),N(Y383),N(Z383)))&gt;=0.05),AND(AU383="BEAR",ABS(SUM(N(AA383),N(AB383),N(AC383)))&gt;=0.05)),"Moderate","Low")))</f>
        <v>Low</v>
      </c>
      <c r="AW383" t="str">
        <f>IF(AQ383="WAIT","QQQ and SMH not aligned",IF(AU383="BULL",IF(AQ383="SOXL","Bull regime; semiconductors leading","Bull regime; tech leading"),IF(AQ383="SOXS","Bear regime; semiconductors weakest","Bear regime; tech weakest")))</f>
        <v>QQQ and SMH not aligned</v>
      </c>
      <c r="AX383" t="str">
        <f>IF(AR383="WAIT","QQQ and SMH not aligned",IF(AV383="BULL",IF(AR383="SOXL","Bull regime; semiconductors leading","Bull regime; tech leading"),IF(AR383="SOXS","Bear regime; semiconductors weakest","Bear regime; tech weakest")))</f>
        <v>Bear regime; tech weakest</v>
      </c>
    </row>
    <row r="384" spans="1:50" x14ac:dyDescent="0.2">
      <c r="A384" s="12"/>
      <c r="B384" s="13"/>
      <c r="C384" s="13"/>
      <c r="D384" s="13"/>
      <c r="E384" s="13"/>
      <c r="F384" s="11" t="str">
        <f>IF(OR(E384="",E383=""),"",IF(E383=0,"",(E384/E383)-1))</f>
        <v/>
      </c>
      <c r="G384" s="13"/>
      <c r="H384" s="11" t="str">
        <f>IF(OR(G384="",G383=""),"",IF(G383=0,"",(G384/G383)-1))</f>
        <v/>
      </c>
      <c r="I384" s="13"/>
      <c r="J384" s="13"/>
      <c r="K384" s="13"/>
      <c r="L384" s="13"/>
      <c r="M384" s="23" t="str">
        <f>IF(OR(L384="",L383=""),"",IF(L383=0,"",(L384/L383)-1))</f>
        <v/>
      </c>
      <c r="N384" s="26" t="str">
        <f>IFERROR((M384/M383)-1,"")</f>
        <v/>
      </c>
      <c r="O384" s="23" t="str">
        <f>IF(OR(N384="",N383=""),"",IF(N383=0,"",(N384/N383)-1))</f>
        <v/>
      </c>
      <c r="P384" s="11" t="str">
        <f>IF(ROW()&lt;7,"",IF(OR(E384="",E381=""),"",IF(E381=0,"",(E384/E381)-1)))</f>
        <v/>
      </c>
      <c r="Q384" s="23" t="str">
        <f>IF(ROW()&lt;9,"",IF(OR(E384="",E379=""),"",IF(E379=0,"",(E384/E379)-1)))</f>
        <v/>
      </c>
      <c r="R384" s="23" t="str">
        <f>IF(ROW()&lt;7,"",IF(OR(G384="",G381=""),"",IF(G381=0,"",(G384/G381)-1)))</f>
        <v/>
      </c>
      <c r="S384" s="23" t="str">
        <f>IF(ROW()&lt;9,"",IF(OR(G384="",G379=""),"",IF(G379=0,"",(G384/G379)-1)))</f>
        <v/>
      </c>
      <c r="T384" s="23" t="str">
        <f>IF(ROW()&lt;7,"",IF(OR(L384="",L381=""),"",IF(L381=0,"",(L384/L381)-1)))</f>
        <v/>
      </c>
      <c r="U384" s="23" t="str">
        <f>IF(ROW()&lt;9,"",IF(OR(L384="",L379=""),"",IF(L379=0,"",(L384/L379)-1)))</f>
        <v/>
      </c>
      <c r="V384" s="23" t="str">
        <f>IF(ROW()&lt;7,"",IF(OR(N384="",N381=""),"",IF(N381=0,"",(N384/N381)-1)))</f>
        <v/>
      </c>
      <c r="W384" s="23" t="str">
        <f>IF(ROW()&lt;9,"",IF(OR(N384="",N379=""),"",IF(N379=0,"",(N384/N379)-1)))</f>
        <v/>
      </c>
      <c r="X384" s="23" t="str">
        <f>IF(OR(F384="",M384=""),"",F384-M384)</f>
        <v/>
      </c>
      <c r="Y384" s="23" t="str">
        <f>IF(OR(P384="",T384=""),"",P384-T384)</f>
        <v/>
      </c>
      <c r="Z384" s="23" t="str">
        <f>IF(OR(Q384="",U384=""),"",Q384-U384)</f>
        <v/>
      </c>
      <c r="AA384" s="23" t="str">
        <f>IF(OR(H384="",O384=""),"",H384-O384)</f>
        <v/>
      </c>
      <c r="AB384" s="23" t="str">
        <f>IF(OR(R384="",V384=""),"",R384-V384)</f>
        <v/>
      </c>
      <c r="AC384" s="23" t="str">
        <f>IF(OR(S384="",W384=""),"",S384-W384)</f>
        <v/>
      </c>
      <c r="AD384" s="13"/>
      <c r="AE384" s="23" t="str">
        <f>IF(OR(AD384="",AD383=""),"",IF(AD383=0,"",(AD384/AD383)-1))</f>
        <v/>
      </c>
      <c r="AF384" s="23" t="str">
        <f>IF(ROW()&lt;7,"",IF(OR(AD384="",AD381=""),"",IF(AD381=0,"",(AD384/AD381)-1)))</f>
        <v/>
      </c>
      <c r="AG384" s="23" t="str">
        <f>IF(ROW()&lt;9,"",IF(OR(AD384="",AD379=""),"",IF(AD379=0,"",(AD384/AD379)-1)))</f>
        <v/>
      </c>
      <c r="AH384" s="23" t="str">
        <f>IF(OR(AF384="",AG384=""),"",IF(AND(AF384&gt;0,AG384&gt;0),"Bull",IF(AND(AF384&lt;0,AG384&lt;0),"Bear","Mixed")))</f>
        <v/>
      </c>
      <c r="AI384" s="13"/>
      <c r="AJ384" s="13" t="str">
        <f>IF(OR(AI384="",AI383=""),"",IF(AI383=0,"",(AI384/AI383)-1))</f>
        <v/>
      </c>
      <c r="AK384" s="23" t="str">
        <f>IF(OR(AJ384="",AJ383=""),"",IF(AJ383=0,"",(AJ384/AJ383)-1))</f>
        <v/>
      </c>
      <c r="AL384" s="23" t="str">
        <f>IF(ROW()&lt;7,"",IF(OR(AJ384="",AJ381=""),"",IF(AJ381=0,"",(AJ384/AJ381)-1)))</f>
        <v/>
      </c>
      <c r="AM384" s="23" t="str">
        <f>IF(ROW()&lt;9,"",IF(OR(AJ384="",AJ379=""),"",IF(AJ379=0,"",(AJ384/AJ379)-1)))</f>
        <v/>
      </c>
      <c r="AN384" t="str">
        <f>IF(OR(AL384="",AM384=""),"",IF(AND(AL384&gt;0,AM384&gt;0),"Bull",IF(AND(AL384&lt;0,AM384&lt;0),"Bear","Mixed")))</f>
        <v/>
      </c>
      <c r="AO384" t="str">
        <f>IF(OR(AH384="",AN384=""),"",IF(AND(AH384="Bull",AN384="Bull"),"YES","NO"))</f>
        <v/>
      </c>
      <c r="AP384" t="str">
        <f>IF(OR(AH384="",AN384=""),"",IF(AND(AH384="Bear",AN384="Bear"),"YES","NO"))</f>
        <v/>
      </c>
      <c r="AQ384" t="str">
        <f>IF(AO384="YES",IF(SUM(N(X384),N(Y384),N(Z384))&gt;0,"SOXL","TQQQ"),IF(AP384="YES",IF(SUM(N(AA384),N(AB384),N(AC384))&gt;0,"SOXS","SQQQ"),"WAIT"))</f>
        <v>WAIT</v>
      </c>
      <c r="AR384" s="23" t="str">
        <f>IF(AO384="YES",IF(SUM(N(X384),N(Y384),N(Z384))&gt;0,"TQQQ","SOXL"),IF(AP384="YES",IF(SUM(N(AA384),N(AB384),N(AC384))&gt;0,"SQQQ","SOXS"),""))</f>
        <v/>
      </c>
      <c r="AS384" s="23" t="str">
        <f>IF(AQ384="WAIT","",IF(AR384="",1,0.6))</f>
        <v/>
      </c>
      <c r="AT384" s="23">
        <f>IF(AR384="",0,0.4)</f>
        <v>0</v>
      </c>
      <c r="AU384" s="23" t="str">
        <f>IF(AQ384="WAIT","WAIT",IF(AO384="YES","BULL",IF(AP384="YES","BEAR","WAIT")))</f>
        <v>WAIT</v>
      </c>
      <c r="AV384" t="str">
        <f>IF(AQ384="WAIT","Low",IF(OR(AND(AU384="BULL",ABS(SUM(N(X384),N(Y384),N(Z384)))&gt;=0.15),AND(AU384="BEAR",ABS(SUM(N(AA384),N(AB384),N(AC384)))&gt;=0.15)),"Strong",IF(OR(AND(AU384="BULL",ABS(SUM(N(X384),N(Y384),N(Z384)))&gt;=0.05),AND(AU384="BEAR",ABS(SUM(N(AA384),N(AB384),N(AC384)))&gt;=0.05)),"Moderate","Low")))</f>
        <v>Low</v>
      </c>
      <c r="AW384" t="str">
        <f>IF(AQ384="WAIT","QQQ and SMH not aligned",IF(AU384="BULL",IF(AQ384="SOXL","Bull regime; semiconductors leading","Bull regime; tech leading"),IF(AQ384="SOXS","Bear regime; semiconductors weakest","Bear regime; tech weakest")))</f>
        <v>QQQ and SMH not aligned</v>
      </c>
      <c r="AX384" t="str">
        <f>IF(AR384="WAIT","QQQ and SMH not aligned",IF(AV384="BULL",IF(AR384="SOXL","Bull regime; semiconductors leading","Bull regime; tech leading"),IF(AR384="SOXS","Bear regime; semiconductors weakest","Bear regime; tech weakest")))</f>
        <v>Bear regime; tech weakest</v>
      </c>
    </row>
    <row r="385" spans="1:50" x14ac:dyDescent="0.2">
      <c r="A385" s="12"/>
      <c r="B385" s="13"/>
      <c r="C385" s="13"/>
      <c r="D385" s="13"/>
      <c r="E385" s="13"/>
      <c r="F385" s="11" t="str">
        <f>IF(OR(E385="",E384=""),"",IF(E384=0,"",(E385/E384)-1))</f>
        <v/>
      </c>
      <c r="G385" s="13"/>
      <c r="H385" s="11" t="str">
        <f>IF(OR(G385="",G384=""),"",IF(G384=0,"",(G385/G384)-1))</f>
        <v/>
      </c>
      <c r="I385" s="13"/>
      <c r="J385" s="13"/>
      <c r="K385" s="13"/>
      <c r="L385" s="13"/>
      <c r="M385" s="23" t="str">
        <f>IF(OR(L385="",L384=""),"",IF(L384=0,"",(L385/L384)-1))</f>
        <v/>
      </c>
      <c r="N385" s="26" t="str">
        <f>IFERROR((M385/M384)-1,"")</f>
        <v/>
      </c>
      <c r="O385" s="23" t="str">
        <f>IF(OR(N385="",N384=""),"",IF(N384=0,"",(N385/N384)-1))</f>
        <v/>
      </c>
      <c r="P385" s="11" t="str">
        <f>IF(ROW()&lt;7,"",IF(OR(E385="",E382=""),"",IF(E382=0,"",(E385/E382)-1)))</f>
        <v/>
      </c>
      <c r="Q385" s="23" t="str">
        <f>IF(ROW()&lt;9,"",IF(OR(E385="",E380=""),"",IF(E380=0,"",(E385/E380)-1)))</f>
        <v/>
      </c>
      <c r="R385" s="23" t="str">
        <f>IF(ROW()&lt;7,"",IF(OR(G385="",G382=""),"",IF(G382=0,"",(G385/G382)-1)))</f>
        <v/>
      </c>
      <c r="S385" s="23" t="str">
        <f>IF(ROW()&lt;9,"",IF(OR(G385="",G380=""),"",IF(G380=0,"",(G385/G380)-1)))</f>
        <v/>
      </c>
      <c r="T385" s="23" t="str">
        <f>IF(ROW()&lt;7,"",IF(OR(L385="",L382=""),"",IF(L382=0,"",(L385/L382)-1)))</f>
        <v/>
      </c>
      <c r="U385" s="23" t="str">
        <f>IF(ROW()&lt;9,"",IF(OR(L385="",L380=""),"",IF(L380=0,"",(L385/L380)-1)))</f>
        <v/>
      </c>
      <c r="V385" s="23" t="str">
        <f>IF(ROW()&lt;7,"",IF(OR(N385="",N382=""),"",IF(N382=0,"",(N385/N382)-1)))</f>
        <v/>
      </c>
      <c r="W385" s="23" t="str">
        <f>IF(ROW()&lt;9,"",IF(OR(N385="",N380=""),"",IF(N380=0,"",(N385/N380)-1)))</f>
        <v/>
      </c>
      <c r="X385" s="23" t="str">
        <f>IF(OR(F385="",M385=""),"",F385-M385)</f>
        <v/>
      </c>
      <c r="Y385" s="23" t="str">
        <f>IF(OR(P385="",T385=""),"",P385-T385)</f>
        <v/>
      </c>
      <c r="Z385" s="23" t="str">
        <f>IF(OR(Q385="",U385=""),"",Q385-U385)</f>
        <v/>
      </c>
      <c r="AA385" s="23" t="str">
        <f>IF(OR(H385="",O385=""),"",H385-O385)</f>
        <v/>
      </c>
      <c r="AB385" s="23" t="str">
        <f>IF(OR(R385="",V385=""),"",R385-V385)</f>
        <v/>
      </c>
      <c r="AC385" s="23" t="str">
        <f>IF(OR(S385="",W385=""),"",S385-W385)</f>
        <v/>
      </c>
      <c r="AD385" s="13"/>
      <c r="AE385" s="23" t="str">
        <f>IF(OR(AD385="",AD384=""),"",IF(AD384=0,"",(AD385/AD384)-1))</f>
        <v/>
      </c>
      <c r="AF385" s="23" t="str">
        <f>IF(ROW()&lt;7,"",IF(OR(AD385="",AD382=""),"",IF(AD382=0,"",(AD385/AD382)-1)))</f>
        <v/>
      </c>
      <c r="AG385" s="23" t="str">
        <f>IF(ROW()&lt;9,"",IF(OR(AD385="",AD380=""),"",IF(AD380=0,"",(AD385/AD380)-1)))</f>
        <v/>
      </c>
      <c r="AH385" s="23" t="str">
        <f>IF(OR(AF385="",AG385=""),"",IF(AND(AF385&gt;0,AG385&gt;0),"Bull",IF(AND(AF385&lt;0,AG385&lt;0),"Bear","Mixed")))</f>
        <v/>
      </c>
      <c r="AI385" s="13"/>
      <c r="AJ385" s="13" t="str">
        <f>IF(OR(AI385="",AI384=""),"",IF(AI384=0,"",(AI385/AI384)-1))</f>
        <v/>
      </c>
      <c r="AK385" s="23" t="str">
        <f>IF(OR(AJ385="",AJ384=""),"",IF(AJ384=0,"",(AJ385/AJ384)-1))</f>
        <v/>
      </c>
      <c r="AL385" s="23" t="str">
        <f>IF(ROW()&lt;7,"",IF(OR(AJ385="",AJ382=""),"",IF(AJ382=0,"",(AJ385/AJ382)-1)))</f>
        <v/>
      </c>
      <c r="AM385" s="23" t="str">
        <f>IF(ROW()&lt;9,"",IF(OR(AJ385="",AJ380=""),"",IF(AJ380=0,"",(AJ385/AJ380)-1)))</f>
        <v/>
      </c>
      <c r="AN385" t="str">
        <f>IF(OR(AL385="",AM385=""),"",IF(AND(AL385&gt;0,AM385&gt;0),"Bull",IF(AND(AL385&lt;0,AM385&lt;0),"Bear","Mixed")))</f>
        <v/>
      </c>
      <c r="AO385" t="str">
        <f>IF(OR(AH385="",AN385=""),"",IF(AND(AH385="Bull",AN385="Bull"),"YES","NO"))</f>
        <v/>
      </c>
      <c r="AP385" t="str">
        <f>IF(OR(AH385="",AN385=""),"",IF(AND(AH385="Bear",AN385="Bear"),"YES","NO"))</f>
        <v/>
      </c>
      <c r="AQ385" t="str">
        <f>IF(AO385="YES",IF(SUM(N(X385),N(Y385),N(Z385))&gt;0,"SOXL","TQQQ"),IF(AP385="YES",IF(SUM(N(AA385),N(AB385),N(AC385))&gt;0,"SOXS","SQQQ"),"WAIT"))</f>
        <v>WAIT</v>
      </c>
      <c r="AR385" s="23" t="str">
        <f>IF(AO385="YES",IF(SUM(N(X385),N(Y385),N(Z385))&gt;0,"TQQQ","SOXL"),IF(AP385="YES",IF(SUM(N(AA385),N(AB385),N(AC385))&gt;0,"SQQQ","SOXS"),""))</f>
        <v/>
      </c>
      <c r="AS385" s="23" t="str">
        <f>IF(AQ385="WAIT","",IF(AR385="",1,0.6))</f>
        <v/>
      </c>
      <c r="AT385" s="23">
        <f>IF(AR385="",0,0.4)</f>
        <v>0</v>
      </c>
      <c r="AU385" s="23" t="str">
        <f>IF(AQ385="WAIT","WAIT",IF(AO385="YES","BULL",IF(AP385="YES","BEAR","WAIT")))</f>
        <v>WAIT</v>
      </c>
      <c r="AV385" t="str">
        <f>IF(AQ385="WAIT","Low",IF(OR(AND(AU385="BULL",ABS(SUM(N(X385),N(Y385),N(Z385)))&gt;=0.15),AND(AU385="BEAR",ABS(SUM(N(AA385),N(AB385),N(AC385)))&gt;=0.15)),"Strong",IF(OR(AND(AU385="BULL",ABS(SUM(N(X385),N(Y385),N(Z385)))&gt;=0.05),AND(AU385="BEAR",ABS(SUM(N(AA385),N(AB385),N(AC385)))&gt;=0.05)),"Moderate","Low")))</f>
        <v>Low</v>
      </c>
      <c r="AW385" t="str">
        <f>IF(AQ385="WAIT","QQQ and SMH not aligned",IF(AU385="BULL",IF(AQ385="SOXL","Bull regime; semiconductors leading","Bull regime; tech leading"),IF(AQ385="SOXS","Bear regime; semiconductors weakest","Bear regime; tech weakest")))</f>
        <v>QQQ and SMH not aligned</v>
      </c>
      <c r="AX385" t="str">
        <f>IF(AR385="WAIT","QQQ and SMH not aligned",IF(AV385="BULL",IF(AR385="SOXL","Bull regime; semiconductors leading","Bull regime; tech leading"),IF(AR385="SOXS","Bear regime; semiconductors weakest","Bear regime; tech weakest")))</f>
        <v>Bear regime; tech weakest</v>
      </c>
    </row>
    <row r="386" spans="1:50" x14ac:dyDescent="0.2">
      <c r="A386" s="12"/>
      <c r="B386" s="13"/>
      <c r="C386" s="13"/>
      <c r="D386" s="13"/>
      <c r="E386" s="13"/>
      <c r="F386" s="11" t="str">
        <f>IF(OR(E386="",E385=""),"",IF(E385=0,"",(E386/E385)-1))</f>
        <v/>
      </c>
      <c r="G386" s="13"/>
      <c r="H386" s="11" t="str">
        <f>IF(OR(G386="",G385=""),"",IF(G385=0,"",(G386/G385)-1))</f>
        <v/>
      </c>
      <c r="I386" s="13"/>
      <c r="J386" s="13"/>
      <c r="K386" s="13"/>
      <c r="L386" s="13"/>
      <c r="M386" s="23" t="str">
        <f>IF(OR(L386="",L385=""),"",IF(L385=0,"",(L386/L385)-1))</f>
        <v/>
      </c>
      <c r="N386" s="26" t="str">
        <f>IFERROR((M386/M385)-1,"")</f>
        <v/>
      </c>
      <c r="O386" s="23" t="str">
        <f>IF(OR(N386="",N385=""),"",IF(N385=0,"",(N386/N385)-1))</f>
        <v/>
      </c>
      <c r="P386" s="11" t="str">
        <f>IF(ROW()&lt;7,"",IF(OR(E386="",E383=""),"",IF(E383=0,"",(E386/E383)-1)))</f>
        <v/>
      </c>
      <c r="Q386" s="23" t="str">
        <f>IF(ROW()&lt;9,"",IF(OR(E386="",E381=""),"",IF(E381=0,"",(E386/E381)-1)))</f>
        <v/>
      </c>
      <c r="R386" s="23" t="str">
        <f>IF(ROW()&lt;7,"",IF(OR(G386="",G383=""),"",IF(G383=0,"",(G386/G383)-1)))</f>
        <v/>
      </c>
      <c r="S386" s="23" t="str">
        <f>IF(ROW()&lt;9,"",IF(OR(G386="",G381=""),"",IF(G381=0,"",(G386/G381)-1)))</f>
        <v/>
      </c>
      <c r="T386" s="23" t="str">
        <f>IF(ROW()&lt;7,"",IF(OR(L386="",L383=""),"",IF(L383=0,"",(L386/L383)-1)))</f>
        <v/>
      </c>
      <c r="U386" s="23" t="str">
        <f>IF(ROW()&lt;9,"",IF(OR(L386="",L381=""),"",IF(L381=0,"",(L386/L381)-1)))</f>
        <v/>
      </c>
      <c r="V386" s="23" t="str">
        <f>IF(ROW()&lt;7,"",IF(OR(N386="",N383=""),"",IF(N383=0,"",(N386/N383)-1)))</f>
        <v/>
      </c>
      <c r="W386" s="23" t="str">
        <f>IF(ROW()&lt;9,"",IF(OR(N386="",N381=""),"",IF(N381=0,"",(N386/N381)-1)))</f>
        <v/>
      </c>
      <c r="X386" s="23" t="str">
        <f>IF(OR(F386="",M386=""),"",F386-M386)</f>
        <v/>
      </c>
      <c r="Y386" s="23" t="str">
        <f>IF(OR(P386="",T386=""),"",P386-T386)</f>
        <v/>
      </c>
      <c r="Z386" s="23" t="str">
        <f>IF(OR(Q386="",U386=""),"",Q386-U386)</f>
        <v/>
      </c>
      <c r="AA386" s="23" t="str">
        <f>IF(OR(H386="",O386=""),"",H386-O386)</f>
        <v/>
      </c>
      <c r="AB386" s="23" t="str">
        <f>IF(OR(R386="",V386=""),"",R386-V386)</f>
        <v/>
      </c>
      <c r="AC386" s="23" t="str">
        <f>IF(OR(S386="",W386=""),"",S386-W386)</f>
        <v/>
      </c>
      <c r="AD386" s="13"/>
      <c r="AE386" s="23" t="str">
        <f>IF(OR(AD386="",AD385=""),"",IF(AD385=0,"",(AD386/AD385)-1))</f>
        <v/>
      </c>
      <c r="AF386" s="23" t="str">
        <f>IF(ROW()&lt;7,"",IF(OR(AD386="",AD383=""),"",IF(AD383=0,"",(AD386/AD383)-1)))</f>
        <v/>
      </c>
      <c r="AG386" s="23" t="str">
        <f>IF(ROW()&lt;9,"",IF(OR(AD386="",AD381=""),"",IF(AD381=0,"",(AD386/AD381)-1)))</f>
        <v/>
      </c>
      <c r="AH386" s="23" t="str">
        <f>IF(OR(AF386="",AG386=""),"",IF(AND(AF386&gt;0,AG386&gt;0),"Bull",IF(AND(AF386&lt;0,AG386&lt;0),"Bear","Mixed")))</f>
        <v/>
      </c>
      <c r="AI386" s="13"/>
      <c r="AJ386" s="13" t="str">
        <f>IF(OR(AI386="",AI385=""),"",IF(AI385=0,"",(AI386/AI385)-1))</f>
        <v/>
      </c>
      <c r="AK386" s="23" t="str">
        <f>IF(OR(AJ386="",AJ385=""),"",IF(AJ385=0,"",(AJ386/AJ385)-1))</f>
        <v/>
      </c>
      <c r="AL386" s="23" t="str">
        <f>IF(ROW()&lt;7,"",IF(OR(AJ386="",AJ383=""),"",IF(AJ383=0,"",(AJ386/AJ383)-1)))</f>
        <v/>
      </c>
      <c r="AM386" s="23" t="str">
        <f>IF(ROW()&lt;9,"",IF(OR(AJ386="",AJ381=""),"",IF(AJ381=0,"",(AJ386/AJ381)-1)))</f>
        <v/>
      </c>
      <c r="AN386" t="str">
        <f>IF(OR(AL386="",AM386=""),"",IF(AND(AL386&gt;0,AM386&gt;0),"Bull",IF(AND(AL386&lt;0,AM386&lt;0),"Bear","Mixed")))</f>
        <v/>
      </c>
      <c r="AO386" t="str">
        <f>IF(OR(AH386="",AN386=""),"",IF(AND(AH386="Bull",AN386="Bull"),"YES","NO"))</f>
        <v/>
      </c>
      <c r="AP386" t="str">
        <f>IF(OR(AH386="",AN386=""),"",IF(AND(AH386="Bear",AN386="Bear"),"YES","NO"))</f>
        <v/>
      </c>
      <c r="AQ386" t="str">
        <f>IF(AO386="YES",IF(SUM(N(X386),N(Y386),N(Z386))&gt;0,"SOXL","TQQQ"),IF(AP386="YES",IF(SUM(N(AA386),N(AB386),N(AC386))&gt;0,"SOXS","SQQQ"),"WAIT"))</f>
        <v>WAIT</v>
      </c>
      <c r="AR386" s="23" t="str">
        <f>IF(AO386="YES",IF(SUM(N(X386),N(Y386),N(Z386))&gt;0,"TQQQ","SOXL"),IF(AP386="YES",IF(SUM(N(AA386),N(AB386),N(AC386))&gt;0,"SQQQ","SOXS"),""))</f>
        <v/>
      </c>
      <c r="AS386" s="23" t="str">
        <f>IF(AQ386="WAIT","",IF(AR386="",1,0.6))</f>
        <v/>
      </c>
      <c r="AT386" s="23">
        <f>IF(AR386="",0,0.4)</f>
        <v>0</v>
      </c>
      <c r="AU386" s="23" t="str">
        <f>IF(AQ386="WAIT","WAIT",IF(AO386="YES","BULL",IF(AP386="YES","BEAR","WAIT")))</f>
        <v>WAIT</v>
      </c>
      <c r="AV386" t="str">
        <f>IF(AQ386="WAIT","Low",IF(OR(AND(AU386="BULL",ABS(SUM(N(X386),N(Y386),N(Z386)))&gt;=0.15),AND(AU386="BEAR",ABS(SUM(N(AA386),N(AB386),N(AC386)))&gt;=0.15)),"Strong",IF(OR(AND(AU386="BULL",ABS(SUM(N(X386),N(Y386),N(Z386)))&gt;=0.05),AND(AU386="BEAR",ABS(SUM(N(AA386),N(AB386),N(AC386)))&gt;=0.05)),"Moderate","Low")))</f>
        <v>Low</v>
      </c>
      <c r="AW386" t="str">
        <f>IF(AQ386="WAIT","QQQ and SMH not aligned",IF(AU386="BULL",IF(AQ386="SOXL","Bull regime; semiconductors leading","Bull regime; tech leading"),IF(AQ386="SOXS","Bear regime; semiconductors weakest","Bear regime; tech weakest")))</f>
        <v>QQQ and SMH not aligned</v>
      </c>
      <c r="AX386" t="str">
        <f>IF(AR386="WAIT","QQQ and SMH not aligned",IF(AV386="BULL",IF(AR386="SOXL","Bull regime; semiconductors leading","Bull regime; tech leading"),IF(AR386="SOXS","Bear regime; semiconductors weakest","Bear regime; tech weakest")))</f>
        <v>Bear regime; tech weakest</v>
      </c>
    </row>
    <row r="387" spans="1:50" x14ac:dyDescent="0.2">
      <c r="A387" s="12"/>
      <c r="B387" s="13"/>
      <c r="C387" s="13"/>
      <c r="D387" s="13"/>
      <c r="E387" s="13"/>
      <c r="F387" s="11" t="str">
        <f>IF(OR(E387="",E386=""),"",IF(E386=0,"",(E387/E386)-1))</f>
        <v/>
      </c>
      <c r="G387" s="13"/>
      <c r="H387" s="11" t="str">
        <f>IF(OR(G387="",G386=""),"",IF(G386=0,"",(G387/G386)-1))</f>
        <v/>
      </c>
      <c r="I387" s="13"/>
      <c r="J387" s="13"/>
      <c r="K387" s="13"/>
      <c r="L387" s="13"/>
      <c r="M387" s="23" t="str">
        <f>IF(OR(L387="",L386=""),"",IF(L386=0,"",(L387/L386)-1))</f>
        <v/>
      </c>
      <c r="N387" s="26" t="str">
        <f>IFERROR((M387/M386)-1,"")</f>
        <v/>
      </c>
      <c r="O387" s="23" t="str">
        <f>IF(OR(N387="",N386=""),"",IF(N386=0,"",(N387/N386)-1))</f>
        <v/>
      </c>
      <c r="P387" s="11" t="str">
        <f>IF(ROW()&lt;7,"",IF(OR(E387="",E384=""),"",IF(E384=0,"",(E387/E384)-1)))</f>
        <v/>
      </c>
      <c r="Q387" s="23" t="str">
        <f>IF(ROW()&lt;9,"",IF(OR(E387="",E382=""),"",IF(E382=0,"",(E387/E382)-1)))</f>
        <v/>
      </c>
      <c r="R387" s="23" t="str">
        <f>IF(ROW()&lt;7,"",IF(OR(G387="",G384=""),"",IF(G384=0,"",(G387/G384)-1)))</f>
        <v/>
      </c>
      <c r="S387" s="23" t="str">
        <f>IF(ROW()&lt;9,"",IF(OR(G387="",G382=""),"",IF(G382=0,"",(G387/G382)-1)))</f>
        <v/>
      </c>
      <c r="T387" s="23" t="str">
        <f>IF(ROW()&lt;7,"",IF(OR(L387="",L384=""),"",IF(L384=0,"",(L387/L384)-1)))</f>
        <v/>
      </c>
      <c r="U387" s="23" t="str">
        <f>IF(ROW()&lt;9,"",IF(OR(L387="",L382=""),"",IF(L382=0,"",(L387/L382)-1)))</f>
        <v/>
      </c>
      <c r="V387" s="23" t="str">
        <f>IF(ROW()&lt;7,"",IF(OR(N387="",N384=""),"",IF(N384=0,"",(N387/N384)-1)))</f>
        <v/>
      </c>
      <c r="W387" s="23" t="str">
        <f>IF(ROW()&lt;9,"",IF(OR(N387="",N382=""),"",IF(N382=0,"",(N387/N382)-1)))</f>
        <v/>
      </c>
      <c r="X387" s="23" t="str">
        <f>IF(OR(F387="",M387=""),"",F387-M387)</f>
        <v/>
      </c>
      <c r="Y387" s="23" t="str">
        <f>IF(OR(P387="",T387=""),"",P387-T387)</f>
        <v/>
      </c>
      <c r="Z387" s="23" t="str">
        <f>IF(OR(Q387="",U387=""),"",Q387-U387)</f>
        <v/>
      </c>
      <c r="AA387" s="23" t="str">
        <f>IF(OR(H387="",O387=""),"",H387-O387)</f>
        <v/>
      </c>
      <c r="AB387" s="23" t="str">
        <f>IF(OR(R387="",V387=""),"",R387-V387)</f>
        <v/>
      </c>
      <c r="AC387" s="23" t="str">
        <f>IF(OR(S387="",W387=""),"",S387-W387)</f>
        <v/>
      </c>
      <c r="AD387" s="13"/>
      <c r="AE387" s="23" t="str">
        <f>IF(OR(AD387="",AD386=""),"",IF(AD386=0,"",(AD387/AD386)-1))</f>
        <v/>
      </c>
      <c r="AF387" s="23" t="str">
        <f>IF(ROW()&lt;7,"",IF(OR(AD387="",AD384=""),"",IF(AD384=0,"",(AD387/AD384)-1)))</f>
        <v/>
      </c>
      <c r="AG387" s="23" t="str">
        <f>IF(ROW()&lt;9,"",IF(OR(AD387="",AD382=""),"",IF(AD382=0,"",(AD387/AD382)-1)))</f>
        <v/>
      </c>
      <c r="AH387" s="23" t="str">
        <f>IF(OR(AF387="",AG387=""),"",IF(AND(AF387&gt;0,AG387&gt;0),"Bull",IF(AND(AF387&lt;0,AG387&lt;0),"Bear","Mixed")))</f>
        <v/>
      </c>
      <c r="AI387" s="13"/>
      <c r="AJ387" s="13" t="str">
        <f>IF(OR(AI387="",AI386=""),"",IF(AI386=0,"",(AI387/AI386)-1))</f>
        <v/>
      </c>
      <c r="AK387" s="23" t="str">
        <f>IF(OR(AJ387="",AJ386=""),"",IF(AJ386=0,"",(AJ387/AJ386)-1))</f>
        <v/>
      </c>
      <c r="AL387" s="23" t="str">
        <f>IF(ROW()&lt;7,"",IF(OR(AJ387="",AJ384=""),"",IF(AJ384=0,"",(AJ387/AJ384)-1)))</f>
        <v/>
      </c>
      <c r="AM387" s="23" t="str">
        <f>IF(ROW()&lt;9,"",IF(OR(AJ387="",AJ382=""),"",IF(AJ382=0,"",(AJ387/AJ382)-1)))</f>
        <v/>
      </c>
      <c r="AN387" t="str">
        <f>IF(OR(AL387="",AM387=""),"",IF(AND(AL387&gt;0,AM387&gt;0),"Bull",IF(AND(AL387&lt;0,AM387&lt;0),"Bear","Mixed")))</f>
        <v/>
      </c>
      <c r="AO387" t="str">
        <f>IF(OR(AH387="",AN387=""),"",IF(AND(AH387="Bull",AN387="Bull"),"YES","NO"))</f>
        <v/>
      </c>
      <c r="AP387" t="str">
        <f>IF(OR(AH387="",AN387=""),"",IF(AND(AH387="Bear",AN387="Bear"),"YES","NO"))</f>
        <v/>
      </c>
      <c r="AQ387" t="str">
        <f>IF(AO387="YES",IF(SUM(N(X387),N(Y387),N(Z387))&gt;0,"SOXL","TQQQ"),IF(AP387="YES",IF(SUM(N(AA387),N(AB387),N(AC387))&gt;0,"SOXS","SQQQ"),"WAIT"))</f>
        <v>WAIT</v>
      </c>
      <c r="AR387" s="23" t="str">
        <f>IF(AO387="YES",IF(SUM(N(X387),N(Y387),N(Z387))&gt;0,"TQQQ","SOXL"),IF(AP387="YES",IF(SUM(N(AA387),N(AB387),N(AC387))&gt;0,"SQQQ","SOXS"),""))</f>
        <v/>
      </c>
      <c r="AS387" s="23" t="str">
        <f>IF(AQ387="WAIT","",IF(AR387="",1,0.6))</f>
        <v/>
      </c>
      <c r="AT387" s="23">
        <f>IF(AR387="",0,0.4)</f>
        <v>0</v>
      </c>
      <c r="AU387" s="23" t="str">
        <f>IF(AQ387="WAIT","WAIT",IF(AO387="YES","BULL",IF(AP387="YES","BEAR","WAIT")))</f>
        <v>WAIT</v>
      </c>
      <c r="AV387" t="str">
        <f>IF(AQ387="WAIT","Low",IF(OR(AND(AU387="BULL",ABS(SUM(N(X387),N(Y387),N(Z387)))&gt;=0.15),AND(AU387="BEAR",ABS(SUM(N(AA387),N(AB387),N(AC387)))&gt;=0.15)),"Strong",IF(OR(AND(AU387="BULL",ABS(SUM(N(X387),N(Y387),N(Z387)))&gt;=0.05),AND(AU387="BEAR",ABS(SUM(N(AA387),N(AB387),N(AC387)))&gt;=0.05)),"Moderate","Low")))</f>
        <v>Low</v>
      </c>
      <c r="AW387" t="str">
        <f>IF(AQ387="WAIT","QQQ and SMH not aligned",IF(AU387="BULL",IF(AQ387="SOXL","Bull regime; semiconductors leading","Bull regime; tech leading"),IF(AQ387="SOXS","Bear regime; semiconductors weakest","Bear regime; tech weakest")))</f>
        <v>QQQ and SMH not aligned</v>
      </c>
      <c r="AX387" t="str">
        <f>IF(AR387="WAIT","QQQ and SMH not aligned",IF(AV387="BULL",IF(AR387="SOXL","Bull regime; semiconductors leading","Bull regime; tech leading"),IF(AR387="SOXS","Bear regime; semiconductors weakest","Bear regime; tech weakest")))</f>
        <v>Bear regime; tech weakest</v>
      </c>
    </row>
    <row r="388" spans="1:50" x14ac:dyDescent="0.2">
      <c r="A388" s="12"/>
      <c r="B388" s="13"/>
      <c r="C388" s="13"/>
      <c r="D388" s="13"/>
      <c r="E388" s="13"/>
      <c r="F388" s="11" t="str">
        <f>IF(OR(E388="",E387=""),"",IF(E387=0,"",(E388/E387)-1))</f>
        <v/>
      </c>
      <c r="G388" s="13"/>
      <c r="H388" s="11" t="str">
        <f>IF(OR(G388="",G387=""),"",IF(G387=0,"",(G388/G387)-1))</f>
        <v/>
      </c>
      <c r="I388" s="13"/>
      <c r="J388" s="13"/>
      <c r="K388" s="13"/>
      <c r="L388" s="13"/>
      <c r="M388" s="23" t="str">
        <f>IF(OR(L388="",L387=""),"",IF(L387=0,"",(L388/L387)-1))</f>
        <v/>
      </c>
      <c r="N388" s="26" t="str">
        <f>IFERROR((M388/M387)-1,"")</f>
        <v/>
      </c>
      <c r="O388" s="23" t="str">
        <f>IF(OR(N388="",N387=""),"",IF(N387=0,"",(N388/N387)-1))</f>
        <v/>
      </c>
      <c r="P388" s="11" t="str">
        <f>IF(ROW()&lt;7,"",IF(OR(E388="",E385=""),"",IF(E385=0,"",(E388/E385)-1)))</f>
        <v/>
      </c>
      <c r="Q388" s="23" t="str">
        <f>IF(ROW()&lt;9,"",IF(OR(E388="",E383=""),"",IF(E383=0,"",(E388/E383)-1)))</f>
        <v/>
      </c>
      <c r="R388" s="23" t="str">
        <f>IF(ROW()&lt;7,"",IF(OR(G388="",G385=""),"",IF(G385=0,"",(G388/G385)-1)))</f>
        <v/>
      </c>
      <c r="S388" s="23" t="str">
        <f>IF(ROW()&lt;9,"",IF(OR(G388="",G383=""),"",IF(G383=0,"",(G388/G383)-1)))</f>
        <v/>
      </c>
      <c r="T388" s="23" t="str">
        <f>IF(ROW()&lt;7,"",IF(OR(L388="",L385=""),"",IF(L385=0,"",(L388/L385)-1)))</f>
        <v/>
      </c>
      <c r="U388" s="23" t="str">
        <f>IF(ROW()&lt;9,"",IF(OR(L388="",L383=""),"",IF(L383=0,"",(L388/L383)-1)))</f>
        <v/>
      </c>
      <c r="V388" s="23" t="str">
        <f>IF(ROW()&lt;7,"",IF(OR(N388="",N385=""),"",IF(N385=0,"",(N388/N385)-1)))</f>
        <v/>
      </c>
      <c r="W388" s="23" t="str">
        <f>IF(ROW()&lt;9,"",IF(OR(N388="",N383=""),"",IF(N383=0,"",(N388/N383)-1)))</f>
        <v/>
      </c>
      <c r="X388" s="23" t="str">
        <f>IF(OR(F388="",M388=""),"",F388-M388)</f>
        <v/>
      </c>
      <c r="Y388" s="23" t="str">
        <f>IF(OR(P388="",T388=""),"",P388-T388)</f>
        <v/>
      </c>
      <c r="Z388" s="23" t="str">
        <f>IF(OR(Q388="",U388=""),"",Q388-U388)</f>
        <v/>
      </c>
      <c r="AA388" s="23" t="str">
        <f>IF(OR(H388="",O388=""),"",H388-O388)</f>
        <v/>
      </c>
      <c r="AB388" s="23" t="str">
        <f>IF(OR(R388="",V388=""),"",R388-V388)</f>
        <v/>
      </c>
      <c r="AC388" s="23" t="str">
        <f>IF(OR(S388="",W388=""),"",S388-W388)</f>
        <v/>
      </c>
      <c r="AD388" s="13"/>
      <c r="AE388" s="23" t="str">
        <f>IF(OR(AD388="",AD387=""),"",IF(AD387=0,"",(AD388/AD387)-1))</f>
        <v/>
      </c>
      <c r="AF388" s="23" t="str">
        <f>IF(ROW()&lt;7,"",IF(OR(AD388="",AD385=""),"",IF(AD385=0,"",(AD388/AD385)-1)))</f>
        <v/>
      </c>
      <c r="AG388" s="23" t="str">
        <f>IF(ROW()&lt;9,"",IF(OR(AD388="",AD383=""),"",IF(AD383=0,"",(AD388/AD383)-1)))</f>
        <v/>
      </c>
      <c r="AH388" s="23" t="str">
        <f>IF(OR(AF388="",AG388=""),"",IF(AND(AF388&gt;0,AG388&gt;0),"Bull",IF(AND(AF388&lt;0,AG388&lt;0),"Bear","Mixed")))</f>
        <v/>
      </c>
      <c r="AI388" s="13"/>
      <c r="AJ388" s="13" t="str">
        <f>IF(OR(AI388="",AI387=""),"",IF(AI387=0,"",(AI388/AI387)-1))</f>
        <v/>
      </c>
      <c r="AK388" s="23" t="str">
        <f>IF(OR(AJ388="",AJ387=""),"",IF(AJ387=0,"",(AJ388/AJ387)-1))</f>
        <v/>
      </c>
      <c r="AL388" s="23" t="str">
        <f>IF(ROW()&lt;7,"",IF(OR(AJ388="",AJ385=""),"",IF(AJ385=0,"",(AJ388/AJ385)-1)))</f>
        <v/>
      </c>
      <c r="AM388" s="23" t="str">
        <f>IF(ROW()&lt;9,"",IF(OR(AJ388="",AJ383=""),"",IF(AJ383=0,"",(AJ388/AJ383)-1)))</f>
        <v/>
      </c>
      <c r="AN388" t="str">
        <f>IF(OR(AL388="",AM388=""),"",IF(AND(AL388&gt;0,AM388&gt;0),"Bull",IF(AND(AL388&lt;0,AM388&lt;0),"Bear","Mixed")))</f>
        <v/>
      </c>
      <c r="AO388" t="str">
        <f>IF(OR(AH388="",AN388=""),"",IF(AND(AH388="Bull",AN388="Bull"),"YES","NO"))</f>
        <v/>
      </c>
      <c r="AP388" t="str">
        <f>IF(OR(AH388="",AN388=""),"",IF(AND(AH388="Bear",AN388="Bear"),"YES","NO"))</f>
        <v/>
      </c>
      <c r="AQ388" t="str">
        <f>IF(AO388="YES",IF(SUM(N(X388),N(Y388),N(Z388))&gt;0,"SOXL","TQQQ"),IF(AP388="YES",IF(SUM(N(AA388),N(AB388),N(AC388))&gt;0,"SOXS","SQQQ"),"WAIT"))</f>
        <v>WAIT</v>
      </c>
      <c r="AR388" s="23" t="str">
        <f>IF(AO388="YES",IF(SUM(N(X388),N(Y388),N(Z388))&gt;0,"TQQQ","SOXL"),IF(AP388="YES",IF(SUM(N(AA388),N(AB388),N(AC388))&gt;0,"SQQQ","SOXS"),""))</f>
        <v/>
      </c>
      <c r="AS388" s="23" t="str">
        <f>IF(AQ388="WAIT","",IF(AR388="",1,0.6))</f>
        <v/>
      </c>
      <c r="AT388" s="23">
        <f>IF(AR388="",0,0.4)</f>
        <v>0</v>
      </c>
      <c r="AU388" s="23" t="str">
        <f>IF(AQ388="WAIT","WAIT",IF(AO388="YES","BULL",IF(AP388="YES","BEAR","WAIT")))</f>
        <v>WAIT</v>
      </c>
      <c r="AV388" t="str">
        <f>IF(AQ388="WAIT","Low",IF(OR(AND(AU388="BULL",ABS(SUM(N(X388),N(Y388),N(Z388)))&gt;=0.15),AND(AU388="BEAR",ABS(SUM(N(AA388),N(AB388),N(AC388)))&gt;=0.15)),"Strong",IF(OR(AND(AU388="BULL",ABS(SUM(N(X388),N(Y388),N(Z388)))&gt;=0.05),AND(AU388="BEAR",ABS(SUM(N(AA388),N(AB388),N(AC388)))&gt;=0.05)),"Moderate","Low")))</f>
        <v>Low</v>
      </c>
      <c r="AW388" t="str">
        <f>IF(AQ388="WAIT","QQQ and SMH not aligned",IF(AU388="BULL",IF(AQ388="SOXL","Bull regime; semiconductors leading","Bull regime; tech leading"),IF(AQ388="SOXS","Bear regime; semiconductors weakest","Bear regime; tech weakest")))</f>
        <v>QQQ and SMH not aligned</v>
      </c>
      <c r="AX388" t="str">
        <f>IF(AR388="WAIT","QQQ and SMH not aligned",IF(AV388="BULL",IF(AR388="SOXL","Bull regime; semiconductors leading","Bull regime; tech leading"),IF(AR388="SOXS","Bear regime; semiconductors weakest","Bear regime; tech weakest")))</f>
        <v>Bear regime; tech weakest</v>
      </c>
    </row>
    <row r="389" spans="1:50" x14ac:dyDescent="0.2">
      <c r="A389" s="12"/>
      <c r="B389" s="13"/>
      <c r="C389" s="13"/>
      <c r="D389" s="13"/>
      <c r="E389" s="13"/>
      <c r="F389" s="11" t="str">
        <f>IF(OR(E389="",E388=""),"",IF(E388=0,"",(E389/E388)-1))</f>
        <v/>
      </c>
      <c r="G389" s="13"/>
      <c r="H389" s="11" t="str">
        <f>IF(OR(G389="",G388=""),"",IF(G388=0,"",(G389/G388)-1))</f>
        <v/>
      </c>
      <c r="I389" s="13"/>
      <c r="J389" s="13"/>
      <c r="K389" s="13"/>
      <c r="L389" s="13"/>
      <c r="M389" s="23" t="str">
        <f>IF(OR(L389="",L388=""),"",IF(L388=0,"",(L389/L388)-1))</f>
        <v/>
      </c>
      <c r="N389" s="26" t="str">
        <f>IFERROR((M389/M388)-1,"")</f>
        <v/>
      </c>
      <c r="O389" s="23" t="str">
        <f>IF(OR(N389="",N388=""),"",IF(N388=0,"",(N389/N388)-1))</f>
        <v/>
      </c>
      <c r="P389" s="11" t="str">
        <f>IF(ROW()&lt;7,"",IF(OR(E389="",E386=""),"",IF(E386=0,"",(E389/E386)-1)))</f>
        <v/>
      </c>
      <c r="Q389" s="23" t="str">
        <f>IF(ROW()&lt;9,"",IF(OR(E389="",E384=""),"",IF(E384=0,"",(E389/E384)-1)))</f>
        <v/>
      </c>
      <c r="R389" s="23" t="str">
        <f>IF(ROW()&lt;7,"",IF(OR(G389="",G386=""),"",IF(G386=0,"",(G389/G386)-1)))</f>
        <v/>
      </c>
      <c r="S389" s="23" t="str">
        <f>IF(ROW()&lt;9,"",IF(OR(G389="",G384=""),"",IF(G384=0,"",(G389/G384)-1)))</f>
        <v/>
      </c>
      <c r="T389" s="23" t="str">
        <f>IF(ROW()&lt;7,"",IF(OR(L389="",L386=""),"",IF(L386=0,"",(L389/L386)-1)))</f>
        <v/>
      </c>
      <c r="U389" s="23" t="str">
        <f>IF(ROW()&lt;9,"",IF(OR(L389="",L384=""),"",IF(L384=0,"",(L389/L384)-1)))</f>
        <v/>
      </c>
      <c r="V389" s="23" t="str">
        <f>IF(ROW()&lt;7,"",IF(OR(N389="",N386=""),"",IF(N386=0,"",(N389/N386)-1)))</f>
        <v/>
      </c>
      <c r="W389" s="23" t="str">
        <f>IF(ROW()&lt;9,"",IF(OR(N389="",N384=""),"",IF(N384=0,"",(N389/N384)-1)))</f>
        <v/>
      </c>
      <c r="X389" s="23" t="str">
        <f>IF(OR(F389="",M389=""),"",F389-M389)</f>
        <v/>
      </c>
      <c r="Y389" s="23" t="str">
        <f>IF(OR(P389="",T389=""),"",P389-T389)</f>
        <v/>
      </c>
      <c r="Z389" s="23" t="str">
        <f>IF(OR(Q389="",U389=""),"",Q389-U389)</f>
        <v/>
      </c>
      <c r="AA389" s="23" t="str">
        <f>IF(OR(H389="",O389=""),"",H389-O389)</f>
        <v/>
      </c>
      <c r="AB389" s="23" t="str">
        <f>IF(OR(R389="",V389=""),"",R389-V389)</f>
        <v/>
      </c>
      <c r="AC389" s="23" t="str">
        <f>IF(OR(S389="",W389=""),"",S389-W389)</f>
        <v/>
      </c>
      <c r="AD389" s="13"/>
      <c r="AE389" s="23" t="str">
        <f>IF(OR(AD389="",AD388=""),"",IF(AD388=0,"",(AD389/AD388)-1))</f>
        <v/>
      </c>
      <c r="AF389" s="23" t="str">
        <f>IF(ROW()&lt;7,"",IF(OR(AD389="",AD386=""),"",IF(AD386=0,"",(AD389/AD386)-1)))</f>
        <v/>
      </c>
      <c r="AG389" s="23" t="str">
        <f>IF(ROW()&lt;9,"",IF(OR(AD389="",AD384=""),"",IF(AD384=0,"",(AD389/AD384)-1)))</f>
        <v/>
      </c>
      <c r="AH389" s="23" t="str">
        <f>IF(OR(AF389="",AG389=""),"",IF(AND(AF389&gt;0,AG389&gt;0),"Bull",IF(AND(AF389&lt;0,AG389&lt;0),"Bear","Mixed")))</f>
        <v/>
      </c>
      <c r="AI389" s="13"/>
      <c r="AJ389" s="13" t="str">
        <f>IF(OR(AI389="",AI388=""),"",IF(AI388=0,"",(AI389/AI388)-1))</f>
        <v/>
      </c>
      <c r="AK389" s="23" t="str">
        <f>IF(OR(AJ389="",AJ388=""),"",IF(AJ388=0,"",(AJ389/AJ388)-1))</f>
        <v/>
      </c>
      <c r="AL389" s="23" t="str">
        <f>IF(ROW()&lt;7,"",IF(OR(AJ389="",AJ386=""),"",IF(AJ386=0,"",(AJ389/AJ386)-1)))</f>
        <v/>
      </c>
      <c r="AM389" s="23" t="str">
        <f>IF(ROW()&lt;9,"",IF(OR(AJ389="",AJ384=""),"",IF(AJ384=0,"",(AJ389/AJ384)-1)))</f>
        <v/>
      </c>
      <c r="AN389" t="str">
        <f>IF(OR(AL389="",AM389=""),"",IF(AND(AL389&gt;0,AM389&gt;0),"Bull",IF(AND(AL389&lt;0,AM389&lt;0),"Bear","Mixed")))</f>
        <v/>
      </c>
      <c r="AO389" t="str">
        <f>IF(OR(AH389="",AN389=""),"",IF(AND(AH389="Bull",AN389="Bull"),"YES","NO"))</f>
        <v/>
      </c>
      <c r="AP389" t="str">
        <f>IF(OR(AH389="",AN389=""),"",IF(AND(AH389="Bear",AN389="Bear"),"YES","NO"))</f>
        <v/>
      </c>
      <c r="AQ389" t="str">
        <f>IF(AO389="YES",IF(SUM(N(X389),N(Y389),N(Z389))&gt;0,"SOXL","TQQQ"),IF(AP389="YES",IF(SUM(N(AA389),N(AB389),N(AC389))&gt;0,"SOXS","SQQQ"),"WAIT"))</f>
        <v>WAIT</v>
      </c>
      <c r="AR389" s="23" t="str">
        <f>IF(AO389="YES",IF(SUM(N(X389),N(Y389),N(Z389))&gt;0,"TQQQ","SOXL"),IF(AP389="YES",IF(SUM(N(AA389),N(AB389),N(AC389))&gt;0,"SQQQ","SOXS"),""))</f>
        <v/>
      </c>
      <c r="AS389" s="23" t="str">
        <f>IF(AQ389="WAIT","",IF(AR389="",1,0.6))</f>
        <v/>
      </c>
      <c r="AT389" s="23">
        <f>IF(AR389="",0,0.4)</f>
        <v>0</v>
      </c>
      <c r="AU389" s="23" t="str">
        <f>IF(AQ389="WAIT","WAIT",IF(AO389="YES","BULL",IF(AP389="YES","BEAR","WAIT")))</f>
        <v>WAIT</v>
      </c>
      <c r="AV389" t="str">
        <f>IF(AQ389="WAIT","Low",IF(OR(AND(AU389="BULL",ABS(SUM(N(X389),N(Y389),N(Z389)))&gt;=0.15),AND(AU389="BEAR",ABS(SUM(N(AA389),N(AB389),N(AC389)))&gt;=0.15)),"Strong",IF(OR(AND(AU389="BULL",ABS(SUM(N(X389),N(Y389),N(Z389)))&gt;=0.05),AND(AU389="BEAR",ABS(SUM(N(AA389),N(AB389),N(AC389)))&gt;=0.05)),"Moderate","Low")))</f>
        <v>Low</v>
      </c>
      <c r="AW389" t="str">
        <f>IF(AQ389="WAIT","QQQ and SMH not aligned",IF(AU389="BULL",IF(AQ389="SOXL","Bull regime; semiconductors leading","Bull regime; tech leading"),IF(AQ389="SOXS","Bear regime; semiconductors weakest","Bear regime; tech weakest")))</f>
        <v>QQQ and SMH not aligned</v>
      </c>
      <c r="AX389" t="str">
        <f>IF(AR389="WAIT","QQQ and SMH not aligned",IF(AV389="BULL",IF(AR389="SOXL","Bull regime; semiconductors leading","Bull regime; tech leading"),IF(AR389="SOXS","Bear regime; semiconductors weakest","Bear regime; tech weakest")))</f>
        <v>Bear regime; tech weakest</v>
      </c>
    </row>
    <row r="390" spans="1:50" x14ac:dyDescent="0.2">
      <c r="A390" s="12"/>
      <c r="B390" s="13"/>
      <c r="C390" s="13"/>
      <c r="D390" s="13"/>
      <c r="E390" s="13"/>
      <c r="F390" s="11" t="str">
        <f>IF(OR(E390="",E389=""),"",IF(E389=0,"",(E390/E389)-1))</f>
        <v/>
      </c>
      <c r="G390" s="13"/>
      <c r="H390" s="11" t="str">
        <f>IF(OR(G390="",G389=""),"",IF(G389=0,"",(G390/G389)-1))</f>
        <v/>
      </c>
      <c r="I390" s="13"/>
      <c r="J390" s="13"/>
      <c r="K390" s="13"/>
      <c r="L390" s="13"/>
      <c r="M390" s="23" t="str">
        <f>IF(OR(L390="",L389=""),"",IF(L389=0,"",(L390/L389)-1))</f>
        <v/>
      </c>
      <c r="N390" s="26" t="str">
        <f>IFERROR((M390/M389)-1,"")</f>
        <v/>
      </c>
      <c r="O390" s="23" t="str">
        <f>IF(OR(N390="",N389=""),"",IF(N389=0,"",(N390/N389)-1))</f>
        <v/>
      </c>
      <c r="P390" s="11" t="str">
        <f>IF(ROW()&lt;7,"",IF(OR(E390="",E387=""),"",IF(E387=0,"",(E390/E387)-1)))</f>
        <v/>
      </c>
      <c r="Q390" s="23" t="str">
        <f>IF(ROW()&lt;9,"",IF(OR(E390="",E385=""),"",IF(E385=0,"",(E390/E385)-1)))</f>
        <v/>
      </c>
      <c r="R390" s="23" t="str">
        <f>IF(ROW()&lt;7,"",IF(OR(G390="",G387=""),"",IF(G387=0,"",(G390/G387)-1)))</f>
        <v/>
      </c>
      <c r="S390" s="23" t="str">
        <f>IF(ROW()&lt;9,"",IF(OR(G390="",G385=""),"",IF(G385=0,"",(G390/G385)-1)))</f>
        <v/>
      </c>
      <c r="T390" s="23" t="str">
        <f>IF(ROW()&lt;7,"",IF(OR(L390="",L387=""),"",IF(L387=0,"",(L390/L387)-1)))</f>
        <v/>
      </c>
      <c r="U390" s="23" t="str">
        <f>IF(ROW()&lt;9,"",IF(OR(L390="",L385=""),"",IF(L385=0,"",(L390/L385)-1)))</f>
        <v/>
      </c>
      <c r="V390" s="23" t="str">
        <f>IF(ROW()&lt;7,"",IF(OR(N390="",N387=""),"",IF(N387=0,"",(N390/N387)-1)))</f>
        <v/>
      </c>
      <c r="W390" s="23" t="str">
        <f>IF(ROW()&lt;9,"",IF(OR(N390="",N385=""),"",IF(N385=0,"",(N390/N385)-1)))</f>
        <v/>
      </c>
      <c r="X390" s="23" t="str">
        <f>IF(OR(F390="",M390=""),"",F390-M390)</f>
        <v/>
      </c>
      <c r="Y390" s="23" t="str">
        <f>IF(OR(P390="",T390=""),"",P390-T390)</f>
        <v/>
      </c>
      <c r="Z390" s="23" t="str">
        <f>IF(OR(Q390="",U390=""),"",Q390-U390)</f>
        <v/>
      </c>
      <c r="AA390" s="23" t="str">
        <f>IF(OR(H390="",O390=""),"",H390-O390)</f>
        <v/>
      </c>
      <c r="AB390" s="23" t="str">
        <f>IF(OR(R390="",V390=""),"",R390-V390)</f>
        <v/>
      </c>
      <c r="AC390" s="23" t="str">
        <f>IF(OR(S390="",W390=""),"",S390-W390)</f>
        <v/>
      </c>
      <c r="AD390" s="13"/>
      <c r="AE390" s="23" t="str">
        <f>IF(OR(AD390="",AD389=""),"",IF(AD389=0,"",(AD390/AD389)-1))</f>
        <v/>
      </c>
      <c r="AF390" s="23" t="str">
        <f>IF(ROW()&lt;7,"",IF(OR(AD390="",AD387=""),"",IF(AD387=0,"",(AD390/AD387)-1)))</f>
        <v/>
      </c>
      <c r="AG390" s="23" t="str">
        <f>IF(ROW()&lt;9,"",IF(OR(AD390="",AD385=""),"",IF(AD385=0,"",(AD390/AD385)-1)))</f>
        <v/>
      </c>
      <c r="AH390" s="23" t="str">
        <f>IF(OR(AF390="",AG390=""),"",IF(AND(AF390&gt;0,AG390&gt;0),"Bull",IF(AND(AF390&lt;0,AG390&lt;0),"Bear","Mixed")))</f>
        <v/>
      </c>
      <c r="AI390" s="13"/>
      <c r="AJ390" s="13" t="str">
        <f>IF(OR(AI390="",AI389=""),"",IF(AI389=0,"",(AI390/AI389)-1))</f>
        <v/>
      </c>
      <c r="AK390" s="23" t="str">
        <f>IF(OR(AJ390="",AJ389=""),"",IF(AJ389=0,"",(AJ390/AJ389)-1))</f>
        <v/>
      </c>
      <c r="AL390" s="23" t="str">
        <f>IF(ROW()&lt;7,"",IF(OR(AJ390="",AJ387=""),"",IF(AJ387=0,"",(AJ390/AJ387)-1)))</f>
        <v/>
      </c>
      <c r="AM390" s="23" t="str">
        <f>IF(ROW()&lt;9,"",IF(OR(AJ390="",AJ385=""),"",IF(AJ385=0,"",(AJ390/AJ385)-1)))</f>
        <v/>
      </c>
      <c r="AN390" t="str">
        <f>IF(OR(AL390="",AM390=""),"",IF(AND(AL390&gt;0,AM390&gt;0),"Bull",IF(AND(AL390&lt;0,AM390&lt;0),"Bear","Mixed")))</f>
        <v/>
      </c>
      <c r="AO390" t="str">
        <f>IF(OR(AH390="",AN390=""),"",IF(AND(AH390="Bull",AN390="Bull"),"YES","NO"))</f>
        <v/>
      </c>
      <c r="AP390" t="str">
        <f>IF(OR(AH390="",AN390=""),"",IF(AND(AH390="Bear",AN390="Bear"),"YES","NO"))</f>
        <v/>
      </c>
      <c r="AQ390" t="str">
        <f>IF(AO390="YES",IF(SUM(N(X390),N(Y390),N(Z390))&gt;0,"SOXL","TQQQ"),IF(AP390="YES",IF(SUM(N(AA390),N(AB390),N(AC390))&gt;0,"SOXS","SQQQ"),"WAIT"))</f>
        <v>WAIT</v>
      </c>
      <c r="AR390" s="23" t="str">
        <f>IF(AO390="YES",IF(SUM(N(X390),N(Y390),N(Z390))&gt;0,"TQQQ","SOXL"),IF(AP390="YES",IF(SUM(N(AA390),N(AB390),N(AC390))&gt;0,"SQQQ","SOXS"),""))</f>
        <v/>
      </c>
      <c r="AS390" s="23" t="str">
        <f>IF(AQ390="WAIT","",IF(AR390="",1,0.6))</f>
        <v/>
      </c>
      <c r="AT390" s="23">
        <f>IF(AR390="",0,0.4)</f>
        <v>0</v>
      </c>
      <c r="AU390" s="23" t="str">
        <f>IF(AQ390="WAIT","WAIT",IF(AO390="YES","BULL",IF(AP390="YES","BEAR","WAIT")))</f>
        <v>WAIT</v>
      </c>
      <c r="AV390" t="str">
        <f>IF(AQ390="WAIT","Low",IF(OR(AND(AU390="BULL",ABS(SUM(N(X390),N(Y390),N(Z390)))&gt;=0.15),AND(AU390="BEAR",ABS(SUM(N(AA390),N(AB390),N(AC390)))&gt;=0.15)),"Strong",IF(OR(AND(AU390="BULL",ABS(SUM(N(X390),N(Y390),N(Z390)))&gt;=0.05),AND(AU390="BEAR",ABS(SUM(N(AA390),N(AB390),N(AC390)))&gt;=0.05)),"Moderate","Low")))</f>
        <v>Low</v>
      </c>
      <c r="AW390" t="str">
        <f>IF(AQ390="WAIT","QQQ and SMH not aligned",IF(AU390="BULL",IF(AQ390="SOXL","Bull regime; semiconductors leading","Bull regime; tech leading"),IF(AQ390="SOXS","Bear regime; semiconductors weakest","Bear regime; tech weakest")))</f>
        <v>QQQ and SMH not aligned</v>
      </c>
      <c r="AX390" t="str">
        <f>IF(AR390="WAIT","QQQ and SMH not aligned",IF(AV390="BULL",IF(AR390="SOXL","Bull regime; semiconductors leading","Bull regime; tech leading"),IF(AR390="SOXS","Bear regime; semiconductors weakest","Bear regime; tech weakest")))</f>
        <v>Bear regime; tech weakest</v>
      </c>
    </row>
    <row r="391" spans="1:50" x14ac:dyDescent="0.2">
      <c r="A391" s="12"/>
      <c r="B391" s="13"/>
      <c r="C391" s="13"/>
      <c r="D391" s="13"/>
      <c r="E391" s="13"/>
      <c r="F391" s="11" t="str">
        <f>IF(OR(E391="",E390=""),"",IF(E390=0,"",(E391/E390)-1))</f>
        <v/>
      </c>
      <c r="G391" s="13"/>
      <c r="H391" s="11" t="str">
        <f>IF(OR(G391="",G390=""),"",IF(G390=0,"",(G391/G390)-1))</f>
        <v/>
      </c>
      <c r="I391" s="13"/>
      <c r="J391" s="13"/>
      <c r="K391" s="13"/>
      <c r="L391" s="13"/>
      <c r="M391" s="23" t="str">
        <f>IF(OR(L391="",L390=""),"",IF(L390=0,"",(L391/L390)-1))</f>
        <v/>
      </c>
      <c r="N391" s="26" t="str">
        <f>IFERROR((M391/M390)-1,"")</f>
        <v/>
      </c>
      <c r="O391" s="23" t="str">
        <f>IF(OR(N391="",N390=""),"",IF(N390=0,"",(N391/N390)-1))</f>
        <v/>
      </c>
      <c r="P391" s="11" t="str">
        <f>IF(ROW()&lt;7,"",IF(OR(E391="",E388=""),"",IF(E388=0,"",(E391/E388)-1)))</f>
        <v/>
      </c>
      <c r="Q391" s="23" t="str">
        <f>IF(ROW()&lt;9,"",IF(OR(E391="",E386=""),"",IF(E386=0,"",(E391/E386)-1)))</f>
        <v/>
      </c>
      <c r="R391" s="23" t="str">
        <f>IF(ROW()&lt;7,"",IF(OR(G391="",G388=""),"",IF(G388=0,"",(G391/G388)-1)))</f>
        <v/>
      </c>
      <c r="S391" s="23" t="str">
        <f>IF(ROW()&lt;9,"",IF(OR(G391="",G386=""),"",IF(G386=0,"",(G391/G386)-1)))</f>
        <v/>
      </c>
      <c r="T391" s="23" t="str">
        <f>IF(ROW()&lt;7,"",IF(OR(L391="",L388=""),"",IF(L388=0,"",(L391/L388)-1)))</f>
        <v/>
      </c>
      <c r="U391" s="23" t="str">
        <f>IF(ROW()&lt;9,"",IF(OR(L391="",L386=""),"",IF(L386=0,"",(L391/L386)-1)))</f>
        <v/>
      </c>
      <c r="V391" s="23" t="str">
        <f>IF(ROW()&lt;7,"",IF(OR(N391="",N388=""),"",IF(N388=0,"",(N391/N388)-1)))</f>
        <v/>
      </c>
      <c r="W391" s="23" t="str">
        <f>IF(ROW()&lt;9,"",IF(OR(N391="",N386=""),"",IF(N386=0,"",(N391/N386)-1)))</f>
        <v/>
      </c>
      <c r="X391" s="23" t="str">
        <f>IF(OR(F391="",M391=""),"",F391-M391)</f>
        <v/>
      </c>
      <c r="Y391" s="23" t="str">
        <f>IF(OR(P391="",T391=""),"",P391-T391)</f>
        <v/>
      </c>
      <c r="Z391" s="23" t="str">
        <f>IF(OR(Q391="",U391=""),"",Q391-U391)</f>
        <v/>
      </c>
      <c r="AA391" s="23" t="str">
        <f>IF(OR(H391="",O391=""),"",H391-O391)</f>
        <v/>
      </c>
      <c r="AB391" s="23" t="str">
        <f>IF(OR(R391="",V391=""),"",R391-V391)</f>
        <v/>
      </c>
      <c r="AC391" s="23" t="str">
        <f>IF(OR(S391="",W391=""),"",S391-W391)</f>
        <v/>
      </c>
      <c r="AD391" s="13"/>
      <c r="AE391" s="23" t="str">
        <f>IF(OR(AD391="",AD390=""),"",IF(AD390=0,"",(AD391/AD390)-1))</f>
        <v/>
      </c>
      <c r="AF391" s="23" t="str">
        <f>IF(ROW()&lt;7,"",IF(OR(AD391="",AD388=""),"",IF(AD388=0,"",(AD391/AD388)-1)))</f>
        <v/>
      </c>
      <c r="AG391" s="23" t="str">
        <f>IF(ROW()&lt;9,"",IF(OR(AD391="",AD386=""),"",IF(AD386=0,"",(AD391/AD386)-1)))</f>
        <v/>
      </c>
      <c r="AH391" s="23" t="str">
        <f>IF(OR(AF391="",AG391=""),"",IF(AND(AF391&gt;0,AG391&gt;0),"Bull",IF(AND(AF391&lt;0,AG391&lt;0),"Bear","Mixed")))</f>
        <v/>
      </c>
      <c r="AI391" s="13"/>
      <c r="AJ391" s="13" t="str">
        <f>IF(OR(AI391="",AI390=""),"",IF(AI390=0,"",(AI391/AI390)-1))</f>
        <v/>
      </c>
      <c r="AK391" s="23" t="str">
        <f>IF(OR(AJ391="",AJ390=""),"",IF(AJ390=0,"",(AJ391/AJ390)-1))</f>
        <v/>
      </c>
      <c r="AL391" s="23" t="str">
        <f>IF(ROW()&lt;7,"",IF(OR(AJ391="",AJ388=""),"",IF(AJ388=0,"",(AJ391/AJ388)-1)))</f>
        <v/>
      </c>
      <c r="AM391" s="23" t="str">
        <f>IF(ROW()&lt;9,"",IF(OR(AJ391="",AJ386=""),"",IF(AJ386=0,"",(AJ391/AJ386)-1)))</f>
        <v/>
      </c>
      <c r="AN391" t="str">
        <f>IF(OR(AL391="",AM391=""),"",IF(AND(AL391&gt;0,AM391&gt;0),"Bull",IF(AND(AL391&lt;0,AM391&lt;0),"Bear","Mixed")))</f>
        <v/>
      </c>
      <c r="AO391" t="str">
        <f>IF(OR(AH391="",AN391=""),"",IF(AND(AH391="Bull",AN391="Bull"),"YES","NO"))</f>
        <v/>
      </c>
      <c r="AP391" t="str">
        <f>IF(OR(AH391="",AN391=""),"",IF(AND(AH391="Bear",AN391="Bear"),"YES","NO"))</f>
        <v/>
      </c>
      <c r="AQ391" t="str">
        <f>IF(AO391="YES",IF(SUM(N(X391),N(Y391),N(Z391))&gt;0,"SOXL","TQQQ"),IF(AP391="YES",IF(SUM(N(AA391),N(AB391),N(AC391))&gt;0,"SOXS","SQQQ"),"WAIT"))</f>
        <v>WAIT</v>
      </c>
      <c r="AR391" s="23" t="str">
        <f>IF(AO391="YES",IF(SUM(N(X391),N(Y391),N(Z391))&gt;0,"TQQQ","SOXL"),IF(AP391="YES",IF(SUM(N(AA391),N(AB391),N(AC391))&gt;0,"SQQQ","SOXS"),""))</f>
        <v/>
      </c>
      <c r="AS391" s="23" t="str">
        <f>IF(AQ391="WAIT","",IF(AR391="",1,0.6))</f>
        <v/>
      </c>
      <c r="AT391" s="23">
        <f>IF(AR391="",0,0.4)</f>
        <v>0</v>
      </c>
      <c r="AU391" s="23" t="str">
        <f>IF(AQ391="WAIT","WAIT",IF(AO391="YES","BULL",IF(AP391="YES","BEAR","WAIT")))</f>
        <v>WAIT</v>
      </c>
      <c r="AV391" t="str">
        <f>IF(AQ391="WAIT","Low",IF(OR(AND(AU391="BULL",ABS(SUM(N(X391),N(Y391),N(Z391)))&gt;=0.15),AND(AU391="BEAR",ABS(SUM(N(AA391),N(AB391),N(AC391)))&gt;=0.15)),"Strong",IF(OR(AND(AU391="BULL",ABS(SUM(N(X391),N(Y391),N(Z391)))&gt;=0.05),AND(AU391="BEAR",ABS(SUM(N(AA391),N(AB391),N(AC391)))&gt;=0.05)),"Moderate","Low")))</f>
        <v>Low</v>
      </c>
      <c r="AW391" t="str">
        <f>IF(AQ391="WAIT","QQQ and SMH not aligned",IF(AU391="BULL",IF(AQ391="SOXL","Bull regime; semiconductors leading","Bull regime; tech leading"),IF(AQ391="SOXS","Bear regime; semiconductors weakest","Bear regime; tech weakest")))</f>
        <v>QQQ and SMH not aligned</v>
      </c>
      <c r="AX391" t="str">
        <f>IF(AR391="WAIT","QQQ and SMH not aligned",IF(AV391="BULL",IF(AR391="SOXL","Bull regime; semiconductors leading","Bull regime; tech leading"),IF(AR391="SOXS","Bear regime; semiconductors weakest","Bear regime; tech weakest")))</f>
        <v>Bear regime; tech weakest</v>
      </c>
    </row>
    <row r="392" spans="1:50" x14ac:dyDescent="0.2">
      <c r="A392" s="12"/>
      <c r="B392" s="13"/>
      <c r="C392" s="13"/>
      <c r="D392" s="13"/>
      <c r="E392" s="13"/>
      <c r="F392" s="11" t="str">
        <f>IF(OR(E392="",E391=""),"",IF(E391=0,"",(E392/E391)-1))</f>
        <v/>
      </c>
      <c r="G392" s="13"/>
      <c r="H392" s="11" t="str">
        <f>IF(OR(G392="",G391=""),"",IF(G391=0,"",(G392/G391)-1))</f>
        <v/>
      </c>
      <c r="I392" s="13"/>
      <c r="J392" s="13"/>
      <c r="K392" s="13"/>
      <c r="L392" s="13"/>
      <c r="M392" s="23" t="str">
        <f>IF(OR(L392="",L391=""),"",IF(L391=0,"",(L392/L391)-1))</f>
        <v/>
      </c>
      <c r="N392" s="26" t="str">
        <f>IFERROR((M392/M391)-1,"")</f>
        <v/>
      </c>
      <c r="O392" s="23" t="str">
        <f>IF(OR(N392="",N391=""),"",IF(N391=0,"",(N392/N391)-1))</f>
        <v/>
      </c>
      <c r="P392" s="11" t="str">
        <f>IF(ROW()&lt;7,"",IF(OR(E392="",E389=""),"",IF(E389=0,"",(E392/E389)-1)))</f>
        <v/>
      </c>
      <c r="Q392" s="23" t="str">
        <f>IF(ROW()&lt;9,"",IF(OR(E392="",E387=""),"",IF(E387=0,"",(E392/E387)-1)))</f>
        <v/>
      </c>
      <c r="R392" s="23" t="str">
        <f>IF(ROW()&lt;7,"",IF(OR(G392="",G389=""),"",IF(G389=0,"",(G392/G389)-1)))</f>
        <v/>
      </c>
      <c r="S392" s="23" t="str">
        <f>IF(ROW()&lt;9,"",IF(OR(G392="",G387=""),"",IF(G387=0,"",(G392/G387)-1)))</f>
        <v/>
      </c>
      <c r="T392" s="23" t="str">
        <f>IF(ROW()&lt;7,"",IF(OR(L392="",L389=""),"",IF(L389=0,"",(L392/L389)-1)))</f>
        <v/>
      </c>
      <c r="U392" s="23" t="str">
        <f>IF(ROW()&lt;9,"",IF(OR(L392="",L387=""),"",IF(L387=0,"",(L392/L387)-1)))</f>
        <v/>
      </c>
      <c r="V392" s="23" t="str">
        <f>IF(ROW()&lt;7,"",IF(OR(N392="",N389=""),"",IF(N389=0,"",(N392/N389)-1)))</f>
        <v/>
      </c>
      <c r="W392" s="23" t="str">
        <f>IF(ROW()&lt;9,"",IF(OR(N392="",N387=""),"",IF(N387=0,"",(N392/N387)-1)))</f>
        <v/>
      </c>
      <c r="X392" s="23" t="str">
        <f>IF(OR(F392="",M392=""),"",F392-M392)</f>
        <v/>
      </c>
      <c r="Y392" s="23" t="str">
        <f>IF(OR(P392="",T392=""),"",P392-T392)</f>
        <v/>
      </c>
      <c r="Z392" s="23" t="str">
        <f>IF(OR(Q392="",U392=""),"",Q392-U392)</f>
        <v/>
      </c>
      <c r="AA392" s="23" t="str">
        <f>IF(OR(H392="",O392=""),"",H392-O392)</f>
        <v/>
      </c>
      <c r="AB392" s="23" t="str">
        <f>IF(OR(R392="",V392=""),"",R392-V392)</f>
        <v/>
      </c>
      <c r="AC392" s="23" t="str">
        <f>IF(OR(S392="",W392=""),"",S392-W392)</f>
        <v/>
      </c>
      <c r="AD392" s="13"/>
      <c r="AE392" s="23" t="str">
        <f>IF(OR(AD392="",AD391=""),"",IF(AD391=0,"",(AD392/AD391)-1))</f>
        <v/>
      </c>
      <c r="AF392" s="23" t="str">
        <f>IF(ROW()&lt;7,"",IF(OR(AD392="",AD389=""),"",IF(AD389=0,"",(AD392/AD389)-1)))</f>
        <v/>
      </c>
      <c r="AG392" s="23" t="str">
        <f>IF(ROW()&lt;9,"",IF(OR(AD392="",AD387=""),"",IF(AD387=0,"",(AD392/AD387)-1)))</f>
        <v/>
      </c>
      <c r="AH392" s="23" t="str">
        <f>IF(OR(AF392="",AG392=""),"",IF(AND(AF392&gt;0,AG392&gt;0),"Bull",IF(AND(AF392&lt;0,AG392&lt;0),"Bear","Mixed")))</f>
        <v/>
      </c>
      <c r="AI392" s="13"/>
      <c r="AJ392" s="13" t="str">
        <f>IF(OR(AI392="",AI391=""),"",IF(AI391=0,"",(AI392/AI391)-1))</f>
        <v/>
      </c>
      <c r="AK392" s="23" t="str">
        <f>IF(OR(AJ392="",AJ391=""),"",IF(AJ391=0,"",(AJ392/AJ391)-1))</f>
        <v/>
      </c>
      <c r="AL392" s="23" t="str">
        <f>IF(ROW()&lt;7,"",IF(OR(AJ392="",AJ389=""),"",IF(AJ389=0,"",(AJ392/AJ389)-1)))</f>
        <v/>
      </c>
      <c r="AM392" s="23" t="str">
        <f>IF(ROW()&lt;9,"",IF(OR(AJ392="",AJ387=""),"",IF(AJ387=0,"",(AJ392/AJ387)-1)))</f>
        <v/>
      </c>
      <c r="AN392" t="str">
        <f>IF(OR(AL392="",AM392=""),"",IF(AND(AL392&gt;0,AM392&gt;0),"Bull",IF(AND(AL392&lt;0,AM392&lt;0),"Bear","Mixed")))</f>
        <v/>
      </c>
      <c r="AO392" t="str">
        <f>IF(OR(AH392="",AN392=""),"",IF(AND(AH392="Bull",AN392="Bull"),"YES","NO"))</f>
        <v/>
      </c>
      <c r="AP392" t="str">
        <f>IF(OR(AH392="",AN392=""),"",IF(AND(AH392="Bear",AN392="Bear"),"YES","NO"))</f>
        <v/>
      </c>
      <c r="AQ392" t="str">
        <f>IF(AO392="YES",IF(SUM(N(X392),N(Y392),N(Z392))&gt;0,"SOXL","TQQQ"),IF(AP392="YES",IF(SUM(N(AA392),N(AB392),N(AC392))&gt;0,"SOXS","SQQQ"),"WAIT"))</f>
        <v>WAIT</v>
      </c>
      <c r="AR392" s="23" t="str">
        <f>IF(AO392="YES",IF(SUM(N(X392),N(Y392),N(Z392))&gt;0,"TQQQ","SOXL"),IF(AP392="YES",IF(SUM(N(AA392),N(AB392),N(AC392))&gt;0,"SQQQ","SOXS"),""))</f>
        <v/>
      </c>
      <c r="AS392" s="23" t="str">
        <f>IF(AQ392="WAIT","",IF(AR392="",1,0.6))</f>
        <v/>
      </c>
      <c r="AT392" s="23">
        <f>IF(AR392="",0,0.4)</f>
        <v>0</v>
      </c>
      <c r="AU392" s="23" t="str">
        <f>IF(AQ392="WAIT","WAIT",IF(AO392="YES","BULL",IF(AP392="YES","BEAR","WAIT")))</f>
        <v>WAIT</v>
      </c>
      <c r="AV392" t="str">
        <f>IF(AQ392="WAIT","Low",IF(OR(AND(AU392="BULL",ABS(SUM(N(X392),N(Y392),N(Z392)))&gt;=0.15),AND(AU392="BEAR",ABS(SUM(N(AA392),N(AB392),N(AC392)))&gt;=0.15)),"Strong",IF(OR(AND(AU392="BULL",ABS(SUM(N(X392),N(Y392),N(Z392)))&gt;=0.05),AND(AU392="BEAR",ABS(SUM(N(AA392),N(AB392),N(AC392)))&gt;=0.05)),"Moderate","Low")))</f>
        <v>Low</v>
      </c>
      <c r="AW392" t="str">
        <f>IF(AQ392="WAIT","QQQ and SMH not aligned",IF(AU392="BULL",IF(AQ392="SOXL","Bull regime; semiconductors leading","Bull regime; tech leading"),IF(AQ392="SOXS","Bear regime; semiconductors weakest","Bear regime; tech weakest")))</f>
        <v>QQQ and SMH not aligned</v>
      </c>
      <c r="AX392" t="str">
        <f>IF(AR392="WAIT","QQQ and SMH not aligned",IF(AV392="BULL",IF(AR392="SOXL","Bull regime; semiconductors leading","Bull regime; tech leading"),IF(AR392="SOXS","Bear regime; semiconductors weakest","Bear regime; tech weakest")))</f>
        <v>Bear regime; tech weakest</v>
      </c>
    </row>
    <row r="393" spans="1:50" x14ac:dyDescent="0.2">
      <c r="A393" s="12"/>
      <c r="B393" s="13"/>
      <c r="C393" s="13"/>
      <c r="D393" s="13"/>
      <c r="E393" s="13"/>
      <c r="F393" s="11" t="str">
        <f>IF(OR(E393="",E392=""),"",IF(E392=0,"",(E393/E392)-1))</f>
        <v/>
      </c>
      <c r="G393" s="13"/>
      <c r="H393" s="11" t="str">
        <f>IF(OR(G393="",G392=""),"",IF(G392=0,"",(G393/G392)-1))</f>
        <v/>
      </c>
      <c r="I393" s="13"/>
      <c r="J393" s="13"/>
      <c r="K393" s="13"/>
      <c r="L393" s="13"/>
      <c r="M393" s="23" t="str">
        <f>IF(OR(L393="",L392=""),"",IF(L392=0,"",(L393/L392)-1))</f>
        <v/>
      </c>
      <c r="N393" s="26" t="str">
        <f>IFERROR((M393/M392)-1,"")</f>
        <v/>
      </c>
      <c r="O393" s="23" t="str">
        <f>IF(OR(N393="",N392=""),"",IF(N392=0,"",(N393/N392)-1))</f>
        <v/>
      </c>
      <c r="P393" s="11" t="str">
        <f>IF(ROW()&lt;7,"",IF(OR(E393="",E390=""),"",IF(E390=0,"",(E393/E390)-1)))</f>
        <v/>
      </c>
      <c r="Q393" s="23" t="str">
        <f>IF(ROW()&lt;9,"",IF(OR(E393="",E388=""),"",IF(E388=0,"",(E393/E388)-1)))</f>
        <v/>
      </c>
      <c r="R393" s="23" t="str">
        <f>IF(ROW()&lt;7,"",IF(OR(G393="",G390=""),"",IF(G390=0,"",(G393/G390)-1)))</f>
        <v/>
      </c>
      <c r="S393" s="23" t="str">
        <f>IF(ROW()&lt;9,"",IF(OR(G393="",G388=""),"",IF(G388=0,"",(G393/G388)-1)))</f>
        <v/>
      </c>
      <c r="T393" s="23" t="str">
        <f>IF(ROW()&lt;7,"",IF(OR(L393="",L390=""),"",IF(L390=0,"",(L393/L390)-1)))</f>
        <v/>
      </c>
      <c r="U393" s="23" t="str">
        <f>IF(ROW()&lt;9,"",IF(OR(L393="",L388=""),"",IF(L388=0,"",(L393/L388)-1)))</f>
        <v/>
      </c>
      <c r="V393" s="23" t="str">
        <f>IF(ROW()&lt;7,"",IF(OR(N393="",N390=""),"",IF(N390=0,"",(N393/N390)-1)))</f>
        <v/>
      </c>
      <c r="W393" s="23" t="str">
        <f>IF(ROW()&lt;9,"",IF(OR(N393="",N388=""),"",IF(N388=0,"",(N393/N388)-1)))</f>
        <v/>
      </c>
      <c r="X393" s="23" t="str">
        <f>IF(OR(F393="",M393=""),"",F393-M393)</f>
        <v/>
      </c>
      <c r="Y393" s="23" t="str">
        <f>IF(OR(P393="",T393=""),"",P393-T393)</f>
        <v/>
      </c>
      <c r="Z393" s="23" t="str">
        <f>IF(OR(Q393="",U393=""),"",Q393-U393)</f>
        <v/>
      </c>
      <c r="AA393" s="23" t="str">
        <f>IF(OR(H393="",O393=""),"",H393-O393)</f>
        <v/>
      </c>
      <c r="AB393" s="23" t="str">
        <f>IF(OR(R393="",V393=""),"",R393-V393)</f>
        <v/>
      </c>
      <c r="AC393" s="23" t="str">
        <f>IF(OR(S393="",W393=""),"",S393-W393)</f>
        <v/>
      </c>
      <c r="AD393" s="13"/>
      <c r="AE393" s="23" t="str">
        <f>IF(OR(AD393="",AD392=""),"",IF(AD392=0,"",(AD393/AD392)-1))</f>
        <v/>
      </c>
      <c r="AF393" s="23" t="str">
        <f>IF(ROW()&lt;7,"",IF(OR(AD393="",AD390=""),"",IF(AD390=0,"",(AD393/AD390)-1)))</f>
        <v/>
      </c>
      <c r="AG393" s="23" t="str">
        <f>IF(ROW()&lt;9,"",IF(OR(AD393="",AD388=""),"",IF(AD388=0,"",(AD393/AD388)-1)))</f>
        <v/>
      </c>
      <c r="AH393" s="23" t="str">
        <f>IF(OR(AF393="",AG393=""),"",IF(AND(AF393&gt;0,AG393&gt;0),"Bull",IF(AND(AF393&lt;0,AG393&lt;0),"Bear","Mixed")))</f>
        <v/>
      </c>
      <c r="AI393" s="13"/>
      <c r="AJ393" s="13" t="str">
        <f>IF(OR(AI393="",AI392=""),"",IF(AI392=0,"",(AI393/AI392)-1))</f>
        <v/>
      </c>
      <c r="AK393" s="23" t="str">
        <f>IF(OR(AJ393="",AJ392=""),"",IF(AJ392=0,"",(AJ393/AJ392)-1))</f>
        <v/>
      </c>
      <c r="AL393" s="23" t="str">
        <f>IF(ROW()&lt;7,"",IF(OR(AJ393="",AJ390=""),"",IF(AJ390=0,"",(AJ393/AJ390)-1)))</f>
        <v/>
      </c>
      <c r="AM393" s="23" t="str">
        <f>IF(ROW()&lt;9,"",IF(OR(AJ393="",AJ388=""),"",IF(AJ388=0,"",(AJ393/AJ388)-1)))</f>
        <v/>
      </c>
      <c r="AN393" t="str">
        <f>IF(OR(AL393="",AM393=""),"",IF(AND(AL393&gt;0,AM393&gt;0),"Bull",IF(AND(AL393&lt;0,AM393&lt;0),"Bear","Mixed")))</f>
        <v/>
      </c>
      <c r="AO393" t="str">
        <f>IF(OR(AH393="",AN393=""),"",IF(AND(AH393="Bull",AN393="Bull"),"YES","NO"))</f>
        <v/>
      </c>
      <c r="AP393" t="str">
        <f>IF(OR(AH393="",AN393=""),"",IF(AND(AH393="Bear",AN393="Bear"),"YES","NO"))</f>
        <v/>
      </c>
      <c r="AQ393" t="str">
        <f>IF(AO393="YES",IF(SUM(N(X393),N(Y393),N(Z393))&gt;0,"SOXL","TQQQ"),IF(AP393="YES",IF(SUM(N(AA393),N(AB393),N(AC393))&gt;0,"SOXS","SQQQ"),"WAIT"))</f>
        <v>WAIT</v>
      </c>
      <c r="AR393" s="23" t="str">
        <f>IF(AO393="YES",IF(SUM(N(X393),N(Y393),N(Z393))&gt;0,"TQQQ","SOXL"),IF(AP393="YES",IF(SUM(N(AA393),N(AB393),N(AC393))&gt;0,"SQQQ","SOXS"),""))</f>
        <v/>
      </c>
      <c r="AS393" s="23" t="str">
        <f>IF(AQ393="WAIT","",IF(AR393="",1,0.6))</f>
        <v/>
      </c>
      <c r="AT393" s="23">
        <f>IF(AR393="",0,0.4)</f>
        <v>0</v>
      </c>
      <c r="AU393" s="23" t="str">
        <f>IF(AQ393="WAIT","WAIT",IF(AO393="YES","BULL",IF(AP393="YES","BEAR","WAIT")))</f>
        <v>WAIT</v>
      </c>
      <c r="AV393" t="str">
        <f>IF(AQ393="WAIT","Low",IF(OR(AND(AU393="BULL",ABS(SUM(N(X393),N(Y393),N(Z393)))&gt;=0.15),AND(AU393="BEAR",ABS(SUM(N(AA393),N(AB393),N(AC393)))&gt;=0.15)),"Strong",IF(OR(AND(AU393="BULL",ABS(SUM(N(X393),N(Y393),N(Z393)))&gt;=0.05),AND(AU393="BEAR",ABS(SUM(N(AA393),N(AB393),N(AC393)))&gt;=0.05)),"Moderate","Low")))</f>
        <v>Low</v>
      </c>
      <c r="AW393" t="str">
        <f>IF(AQ393="WAIT","QQQ and SMH not aligned",IF(AU393="BULL",IF(AQ393="SOXL","Bull regime; semiconductors leading","Bull regime; tech leading"),IF(AQ393="SOXS","Bear regime; semiconductors weakest","Bear regime; tech weakest")))</f>
        <v>QQQ and SMH not aligned</v>
      </c>
      <c r="AX393" t="str">
        <f>IF(AR393="WAIT","QQQ and SMH not aligned",IF(AV393="BULL",IF(AR393="SOXL","Bull regime; semiconductors leading","Bull regime; tech leading"),IF(AR393="SOXS","Bear regime; semiconductors weakest","Bear regime; tech weakest")))</f>
        <v>Bear regime; tech weakest</v>
      </c>
    </row>
    <row r="394" spans="1:50" x14ac:dyDescent="0.2">
      <c r="A394" s="12"/>
      <c r="B394" s="13"/>
      <c r="C394" s="13"/>
      <c r="D394" s="13"/>
      <c r="E394" s="13"/>
      <c r="F394" s="11" t="str">
        <f>IF(OR(E394="",E393=""),"",IF(E393=0,"",(E394/E393)-1))</f>
        <v/>
      </c>
      <c r="G394" s="13"/>
      <c r="H394" s="11" t="str">
        <f>IF(OR(G394="",G393=""),"",IF(G393=0,"",(G394/G393)-1))</f>
        <v/>
      </c>
      <c r="I394" s="13"/>
      <c r="J394" s="13"/>
      <c r="K394" s="13"/>
      <c r="L394" s="13"/>
      <c r="M394" s="23" t="str">
        <f>IF(OR(L394="",L393=""),"",IF(L393=0,"",(L394/L393)-1))</f>
        <v/>
      </c>
      <c r="N394" s="26" t="str">
        <f>IFERROR((M394/M393)-1,"")</f>
        <v/>
      </c>
      <c r="O394" s="23" t="str">
        <f>IF(OR(N394="",N393=""),"",IF(N393=0,"",(N394/N393)-1))</f>
        <v/>
      </c>
      <c r="P394" s="11" t="str">
        <f>IF(ROW()&lt;7,"",IF(OR(E394="",E391=""),"",IF(E391=0,"",(E394/E391)-1)))</f>
        <v/>
      </c>
      <c r="Q394" s="23" t="str">
        <f>IF(ROW()&lt;9,"",IF(OR(E394="",E389=""),"",IF(E389=0,"",(E394/E389)-1)))</f>
        <v/>
      </c>
      <c r="R394" s="23" t="str">
        <f>IF(ROW()&lt;7,"",IF(OR(G394="",G391=""),"",IF(G391=0,"",(G394/G391)-1)))</f>
        <v/>
      </c>
      <c r="S394" s="23" t="str">
        <f>IF(ROW()&lt;9,"",IF(OR(G394="",G389=""),"",IF(G389=0,"",(G394/G389)-1)))</f>
        <v/>
      </c>
      <c r="T394" s="23" t="str">
        <f>IF(ROW()&lt;7,"",IF(OR(L394="",L391=""),"",IF(L391=0,"",(L394/L391)-1)))</f>
        <v/>
      </c>
      <c r="U394" s="23" t="str">
        <f>IF(ROW()&lt;9,"",IF(OR(L394="",L389=""),"",IF(L389=0,"",(L394/L389)-1)))</f>
        <v/>
      </c>
      <c r="V394" s="23" t="str">
        <f>IF(ROW()&lt;7,"",IF(OR(N394="",N391=""),"",IF(N391=0,"",(N394/N391)-1)))</f>
        <v/>
      </c>
      <c r="W394" s="23" t="str">
        <f>IF(ROW()&lt;9,"",IF(OR(N394="",N389=""),"",IF(N389=0,"",(N394/N389)-1)))</f>
        <v/>
      </c>
      <c r="X394" s="23" t="str">
        <f>IF(OR(F394="",M394=""),"",F394-M394)</f>
        <v/>
      </c>
      <c r="Y394" s="23" t="str">
        <f>IF(OR(P394="",T394=""),"",P394-T394)</f>
        <v/>
      </c>
      <c r="Z394" s="23" t="str">
        <f>IF(OR(Q394="",U394=""),"",Q394-U394)</f>
        <v/>
      </c>
      <c r="AA394" s="23" t="str">
        <f>IF(OR(H394="",O394=""),"",H394-O394)</f>
        <v/>
      </c>
      <c r="AB394" s="23" t="str">
        <f>IF(OR(R394="",V394=""),"",R394-V394)</f>
        <v/>
      </c>
      <c r="AC394" s="23" t="str">
        <f>IF(OR(S394="",W394=""),"",S394-W394)</f>
        <v/>
      </c>
      <c r="AD394" s="13"/>
      <c r="AE394" s="23" t="str">
        <f>IF(OR(AD394="",AD393=""),"",IF(AD393=0,"",(AD394/AD393)-1))</f>
        <v/>
      </c>
      <c r="AF394" s="23" t="str">
        <f>IF(ROW()&lt;7,"",IF(OR(AD394="",AD391=""),"",IF(AD391=0,"",(AD394/AD391)-1)))</f>
        <v/>
      </c>
      <c r="AG394" s="23" t="str">
        <f>IF(ROW()&lt;9,"",IF(OR(AD394="",AD389=""),"",IF(AD389=0,"",(AD394/AD389)-1)))</f>
        <v/>
      </c>
      <c r="AH394" s="23" t="str">
        <f>IF(OR(AF394="",AG394=""),"",IF(AND(AF394&gt;0,AG394&gt;0),"Bull",IF(AND(AF394&lt;0,AG394&lt;0),"Bear","Mixed")))</f>
        <v/>
      </c>
      <c r="AI394" s="13"/>
      <c r="AJ394" s="13" t="str">
        <f>IF(OR(AI394="",AI393=""),"",IF(AI393=0,"",(AI394/AI393)-1))</f>
        <v/>
      </c>
      <c r="AK394" s="23" t="str">
        <f>IF(OR(AJ394="",AJ393=""),"",IF(AJ393=0,"",(AJ394/AJ393)-1))</f>
        <v/>
      </c>
      <c r="AL394" s="23" t="str">
        <f>IF(ROW()&lt;7,"",IF(OR(AJ394="",AJ391=""),"",IF(AJ391=0,"",(AJ394/AJ391)-1)))</f>
        <v/>
      </c>
      <c r="AM394" s="23" t="str">
        <f>IF(ROW()&lt;9,"",IF(OR(AJ394="",AJ389=""),"",IF(AJ389=0,"",(AJ394/AJ389)-1)))</f>
        <v/>
      </c>
      <c r="AN394" t="str">
        <f>IF(OR(AL394="",AM394=""),"",IF(AND(AL394&gt;0,AM394&gt;0),"Bull",IF(AND(AL394&lt;0,AM394&lt;0),"Bear","Mixed")))</f>
        <v/>
      </c>
      <c r="AO394" t="str">
        <f>IF(OR(AH394="",AN394=""),"",IF(AND(AH394="Bull",AN394="Bull"),"YES","NO"))</f>
        <v/>
      </c>
      <c r="AP394" t="str">
        <f>IF(OR(AH394="",AN394=""),"",IF(AND(AH394="Bear",AN394="Bear"),"YES","NO"))</f>
        <v/>
      </c>
      <c r="AQ394" t="str">
        <f>IF(AO394="YES",IF(SUM(N(X394),N(Y394),N(Z394))&gt;0,"SOXL","TQQQ"),IF(AP394="YES",IF(SUM(N(AA394),N(AB394),N(AC394))&gt;0,"SOXS","SQQQ"),"WAIT"))</f>
        <v>WAIT</v>
      </c>
      <c r="AR394" s="23" t="str">
        <f>IF(AO394="YES",IF(SUM(N(X394),N(Y394),N(Z394))&gt;0,"TQQQ","SOXL"),IF(AP394="YES",IF(SUM(N(AA394),N(AB394),N(AC394))&gt;0,"SQQQ","SOXS"),""))</f>
        <v/>
      </c>
      <c r="AS394" s="23" t="str">
        <f>IF(AQ394="WAIT","",IF(AR394="",1,0.6))</f>
        <v/>
      </c>
      <c r="AT394" s="23">
        <f>IF(AR394="",0,0.4)</f>
        <v>0</v>
      </c>
      <c r="AU394" s="23" t="str">
        <f>IF(AQ394="WAIT","WAIT",IF(AO394="YES","BULL",IF(AP394="YES","BEAR","WAIT")))</f>
        <v>WAIT</v>
      </c>
      <c r="AV394" t="str">
        <f>IF(AQ394="WAIT","Low",IF(OR(AND(AU394="BULL",ABS(SUM(N(X394),N(Y394),N(Z394)))&gt;=0.15),AND(AU394="BEAR",ABS(SUM(N(AA394),N(AB394),N(AC394)))&gt;=0.15)),"Strong",IF(OR(AND(AU394="BULL",ABS(SUM(N(X394),N(Y394),N(Z394)))&gt;=0.05),AND(AU394="BEAR",ABS(SUM(N(AA394),N(AB394),N(AC394)))&gt;=0.05)),"Moderate","Low")))</f>
        <v>Low</v>
      </c>
      <c r="AW394" t="str">
        <f>IF(AQ394="WAIT","QQQ and SMH not aligned",IF(AU394="BULL",IF(AQ394="SOXL","Bull regime; semiconductors leading","Bull regime; tech leading"),IF(AQ394="SOXS","Bear regime; semiconductors weakest","Bear regime; tech weakest")))</f>
        <v>QQQ and SMH not aligned</v>
      </c>
      <c r="AX394" t="str">
        <f>IF(AR394="WAIT","QQQ and SMH not aligned",IF(AV394="BULL",IF(AR394="SOXL","Bull regime; semiconductors leading","Bull regime; tech leading"),IF(AR394="SOXS","Bear regime; semiconductors weakest","Bear regime; tech weakest")))</f>
        <v>Bear regime; tech weakest</v>
      </c>
    </row>
    <row r="395" spans="1:50" x14ac:dyDescent="0.2">
      <c r="A395" s="12"/>
      <c r="B395" s="13"/>
      <c r="C395" s="13"/>
      <c r="D395" s="13"/>
      <c r="E395" s="13"/>
      <c r="F395" s="11" t="str">
        <f>IF(OR(E395="",E394=""),"",IF(E394=0,"",(E395/E394)-1))</f>
        <v/>
      </c>
      <c r="G395" s="13"/>
      <c r="H395" s="11" t="str">
        <f>IF(OR(G395="",G394=""),"",IF(G394=0,"",(G395/G394)-1))</f>
        <v/>
      </c>
      <c r="I395" s="13"/>
      <c r="J395" s="13"/>
      <c r="K395" s="13"/>
      <c r="L395" s="13"/>
      <c r="M395" s="23" t="str">
        <f>IF(OR(L395="",L394=""),"",IF(L394=0,"",(L395/L394)-1))</f>
        <v/>
      </c>
      <c r="N395" s="26" t="str">
        <f>IFERROR((M395/M394)-1,"")</f>
        <v/>
      </c>
      <c r="O395" s="23" t="str">
        <f>IF(OR(N395="",N394=""),"",IF(N394=0,"",(N395/N394)-1))</f>
        <v/>
      </c>
      <c r="P395" s="11" t="str">
        <f>IF(ROW()&lt;7,"",IF(OR(E395="",E392=""),"",IF(E392=0,"",(E395/E392)-1)))</f>
        <v/>
      </c>
      <c r="Q395" s="23" t="str">
        <f>IF(ROW()&lt;9,"",IF(OR(E395="",E390=""),"",IF(E390=0,"",(E395/E390)-1)))</f>
        <v/>
      </c>
      <c r="R395" s="23" t="str">
        <f>IF(ROW()&lt;7,"",IF(OR(G395="",G392=""),"",IF(G392=0,"",(G395/G392)-1)))</f>
        <v/>
      </c>
      <c r="S395" s="23" t="str">
        <f>IF(ROW()&lt;9,"",IF(OR(G395="",G390=""),"",IF(G390=0,"",(G395/G390)-1)))</f>
        <v/>
      </c>
      <c r="T395" s="23" t="str">
        <f>IF(ROW()&lt;7,"",IF(OR(L395="",L392=""),"",IF(L392=0,"",(L395/L392)-1)))</f>
        <v/>
      </c>
      <c r="U395" s="23" t="str">
        <f>IF(ROW()&lt;9,"",IF(OR(L395="",L390=""),"",IF(L390=0,"",(L395/L390)-1)))</f>
        <v/>
      </c>
      <c r="V395" s="23" t="str">
        <f>IF(ROW()&lt;7,"",IF(OR(N395="",N392=""),"",IF(N392=0,"",(N395/N392)-1)))</f>
        <v/>
      </c>
      <c r="W395" s="23" t="str">
        <f>IF(ROW()&lt;9,"",IF(OR(N395="",N390=""),"",IF(N390=0,"",(N395/N390)-1)))</f>
        <v/>
      </c>
      <c r="X395" s="23" t="str">
        <f>IF(OR(F395="",M395=""),"",F395-M395)</f>
        <v/>
      </c>
      <c r="Y395" s="23" t="str">
        <f>IF(OR(P395="",T395=""),"",P395-T395)</f>
        <v/>
      </c>
      <c r="Z395" s="23" t="str">
        <f>IF(OR(Q395="",U395=""),"",Q395-U395)</f>
        <v/>
      </c>
      <c r="AA395" s="23" t="str">
        <f>IF(OR(H395="",O395=""),"",H395-O395)</f>
        <v/>
      </c>
      <c r="AB395" s="23" t="str">
        <f>IF(OR(R395="",V395=""),"",R395-V395)</f>
        <v/>
      </c>
      <c r="AC395" s="23" t="str">
        <f>IF(OR(S395="",W395=""),"",S395-W395)</f>
        <v/>
      </c>
      <c r="AD395" s="13"/>
      <c r="AE395" s="23" t="str">
        <f>IF(OR(AD395="",AD394=""),"",IF(AD394=0,"",(AD395/AD394)-1))</f>
        <v/>
      </c>
      <c r="AF395" s="23" t="str">
        <f>IF(ROW()&lt;7,"",IF(OR(AD395="",AD392=""),"",IF(AD392=0,"",(AD395/AD392)-1)))</f>
        <v/>
      </c>
      <c r="AG395" s="23" t="str">
        <f>IF(ROW()&lt;9,"",IF(OR(AD395="",AD390=""),"",IF(AD390=0,"",(AD395/AD390)-1)))</f>
        <v/>
      </c>
      <c r="AH395" s="23" t="str">
        <f>IF(OR(AF395="",AG395=""),"",IF(AND(AF395&gt;0,AG395&gt;0),"Bull",IF(AND(AF395&lt;0,AG395&lt;0),"Bear","Mixed")))</f>
        <v/>
      </c>
      <c r="AI395" s="13"/>
      <c r="AJ395" s="13" t="str">
        <f>IF(OR(AI395="",AI394=""),"",IF(AI394=0,"",(AI395/AI394)-1))</f>
        <v/>
      </c>
      <c r="AK395" s="23" t="str">
        <f>IF(OR(AJ395="",AJ394=""),"",IF(AJ394=0,"",(AJ395/AJ394)-1))</f>
        <v/>
      </c>
      <c r="AL395" s="23" t="str">
        <f>IF(ROW()&lt;7,"",IF(OR(AJ395="",AJ392=""),"",IF(AJ392=0,"",(AJ395/AJ392)-1)))</f>
        <v/>
      </c>
      <c r="AM395" s="23" t="str">
        <f>IF(ROW()&lt;9,"",IF(OR(AJ395="",AJ390=""),"",IF(AJ390=0,"",(AJ395/AJ390)-1)))</f>
        <v/>
      </c>
      <c r="AN395" t="str">
        <f>IF(OR(AL395="",AM395=""),"",IF(AND(AL395&gt;0,AM395&gt;0),"Bull",IF(AND(AL395&lt;0,AM395&lt;0),"Bear","Mixed")))</f>
        <v/>
      </c>
      <c r="AO395" t="str">
        <f>IF(OR(AH395="",AN395=""),"",IF(AND(AH395="Bull",AN395="Bull"),"YES","NO"))</f>
        <v/>
      </c>
      <c r="AP395" t="str">
        <f>IF(OR(AH395="",AN395=""),"",IF(AND(AH395="Bear",AN395="Bear"),"YES","NO"))</f>
        <v/>
      </c>
      <c r="AQ395" t="str">
        <f>IF(AO395="YES",IF(SUM(N(X395),N(Y395),N(Z395))&gt;0,"SOXL","TQQQ"),IF(AP395="YES",IF(SUM(N(AA395),N(AB395),N(AC395))&gt;0,"SOXS","SQQQ"),"WAIT"))</f>
        <v>WAIT</v>
      </c>
      <c r="AR395" s="23" t="str">
        <f>IF(AO395="YES",IF(SUM(N(X395),N(Y395),N(Z395))&gt;0,"TQQQ","SOXL"),IF(AP395="YES",IF(SUM(N(AA395),N(AB395),N(AC395))&gt;0,"SQQQ","SOXS"),""))</f>
        <v/>
      </c>
      <c r="AS395" s="23" t="str">
        <f>IF(AQ395="WAIT","",IF(AR395="",1,0.6))</f>
        <v/>
      </c>
      <c r="AT395" s="23">
        <f>IF(AR395="",0,0.4)</f>
        <v>0</v>
      </c>
      <c r="AU395" s="23" t="str">
        <f>IF(AQ395="WAIT","WAIT",IF(AO395="YES","BULL",IF(AP395="YES","BEAR","WAIT")))</f>
        <v>WAIT</v>
      </c>
      <c r="AV395" t="str">
        <f>IF(AQ395="WAIT","Low",IF(OR(AND(AU395="BULL",ABS(SUM(N(X395),N(Y395),N(Z395)))&gt;=0.15),AND(AU395="BEAR",ABS(SUM(N(AA395),N(AB395),N(AC395)))&gt;=0.15)),"Strong",IF(OR(AND(AU395="BULL",ABS(SUM(N(X395),N(Y395),N(Z395)))&gt;=0.05),AND(AU395="BEAR",ABS(SUM(N(AA395),N(AB395),N(AC395)))&gt;=0.05)),"Moderate","Low")))</f>
        <v>Low</v>
      </c>
      <c r="AW395" t="str">
        <f>IF(AQ395="WAIT","QQQ and SMH not aligned",IF(AU395="BULL",IF(AQ395="SOXL","Bull regime; semiconductors leading","Bull regime; tech leading"),IF(AQ395="SOXS","Bear regime; semiconductors weakest","Bear regime; tech weakest")))</f>
        <v>QQQ and SMH not aligned</v>
      </c>
      <c r="AX395" t="str">
        <f>IF(AR395="WAIT","QQQ and SMH not aligned",IF(AV395="BULL",IF(AR395="SOXL","Bull regime; semiconductors leading","Bull regime; tech leading"),IF(AR395="SOXS","Bear regime; semiconductors weakest","Bear regime; tech weakest")))</f>
        <v>Bear regime; tech weakest</v>
      </c>
    </row>
    <row r="396" spans="1:50" x14ac:dyDescent="0.2">
      <c r="A396" s="12"/>
      <c r="B396" s="13"/>
      <c r="C396" s="13"/>
      <c r="D396" s="13"/>
      <c r="E396" s="13"/>
      <c r="F396" s="11" t="str">
        <f>IF(OR(E396="",E395=""),"",IF(E395=0,"",(E396/E395)-1))</f>
        <v/>
      </c>
      <c r="G396" s="13"/>
      <c r="H396" s="11" t="str">
        <f>IF(OR(G396="",G395=""),"",IF(G395=0,"",(G396/G395)-1))</f>
        <v/>
      </c>
      <c r="I396" s="13"/>
      <c r="J396" s="13"/>
      <c r="K396" s="13"/>
      <c r="L396" s="13"/>
      <c r="M396" s="23" t="str">
        <f>IF(OR(L396="",L395=""),"",IF(L395=0,"",(L396/L395)-1))</f>
        <v/>
      </c>
      <c r="N396" s="26" t="str">
        <f>IFERROR((M396/M395)-1,"")</f>
        <v/>
      </c>
      <c r="O396" s="23" t="str">
        <f>IF(OR(N396="",N395=""),"",IF(N395=0,"",(N396/N395)-1))</f>
        <v/>
      </c>
      <c r="P396" s="11" t="str">
        <f>IF(ROW()&lt;7,"",IF(OR(E396="",E393=""),"",IF(E393=0,"",(E396/E393)-1)))</f>
        <v/>
      </c>
      <c r="Q396" s="23" t="str">
        <f>IF(ROW()&lt;9,"",IF(OR(E396="",E391=""),"",IF(E391=0,"",(E396/E391)-1)))</f>
        <v/>
      </c>
      <c r="R396" s="23" t="str">
        <f>IF(ROW()&lt;7,"",IF(OR(G396="",G393=""),"",IF(G393=0,"",(G396/G393)-1)))</f>
        <v/>
      </c>
      <c r="S396" s="23" t="str">
        <f>IF(ROW()&lt;9,"",IF(OR(G396="",G391=""),"",IF(G391=0,"",(G396/G391)-1)))</f>
        <v/>
      </c>
      <c r="T396" s="23" t="str">
        <f>IF(ROW()&lt;7,"",IF(OR(L396="",L393=""),"",IF(L393=0,"",(L396/L393)-1)))</f>
        <v/>
      </c>
      <c r="U396" s="23" t="str">
        <f>IF(ROW()&lt;9,"",IF(OR(L396="",L391=""),"",IF(L391=0,"",(L396/L391)-1)))</f>
        <v/>
      </c>
      <c r="V396" s="23" t="str">
        <f>IF(ROW()&lt;7,"",IF(OR(N396="",N393=""),"",IF(N393=0,"",(N396/N393)-1)))</f>
        <v/>
      </c>
      <c r="W396" s="23" t="str">
        <f>IF(ROW()&lt;9,"",IF(OR(N396="",N391=""),"",IF(N391=0,"",(N396/N391)-1)))</f>
        <v/>
      </c>
      <c r="X396" s="23" t="str">
        <f>IF(OR(F396="",M396=""),"",F396-M396)</f>
        <v/>
      </c>
      <c r="Y396" s="23" t="str">
        <f>IF(OR(P396="",T396=""),"",P396-T396)</f>
        <v/>
      </c>
      <c r="Z396" s="23" t="str">
        <f>IF(OR(Q396="",U396=""),"",Q396-U396)</f>
        <v/>
      </c>
      <c r="AA396" s="23" t="str">
        <f>IF(OR(H396="",O396=""),"",H396-O396)</f>
        <v/>
      </c>
      <c r="AB396" s="23" t="str">
        <f>IF(OR(R396="",V396=""),"",R396-V396)</f>
        <v/>
      </c>
      <c r="AC396" s="23" t="str">
        <f>IF(OR(S396="",W396=""),"",S396-W396)</f>
        <v/>
      </c>
      <c r="AD396" s="13"/>
      <c r="AE396" s="23" t="str">
        <f>IF(OR(AD396="",AD395=""),"",IF(AD395=0,"",(AD396/AD395)-1))</f>
        <v/>
      </c>
      <c r="AF396" s="23" t="str">
        <f>IF(ROW()&lt;7,"",IF(OR(AD396="",AD393=""),"",IF(AD393=0,"",(AD396/AD393)-1)))</f>
        <v/>
      </c>
      <c r="AG396" s="23" t="str">
        <f>IF(ROW()&lt;9,"",IF(OR(AD396="",AD391=""),"",IF(AD391=0,"",(AD396/AD391)-1)))</f>
        <v/>
      </c>
      <c r="AH396" s="23" t="str">
        <f>IF(OR(AF396="",AG396=""),"",IF(AND(AF396&gt;0,AG396&gt;0),"Bull",IF(AND(AF396&lt;0,AG396&lt;0),"Bear","Mixed")))</f>
        <v/>
      </c>
      <c r="AI396" s="13"/>
      <c r="AJ396" s="13" t="str">
        <f>IF(OR(AI396="",AI395=""),"",IF(AI395=0,"",(AI396/AI395)-1))</f>
        <v/>
      </c>
      <c r="AK396" s="23" t="str">
        <f>IF(OR(AJ396="",AJ395=""),"",IF(AJ395=0,"",(AJ396/AJ395)-1))</f>
        <v/>
      </c>
      <c r="AL396" s="23" t="str">
        <f>IF(ROW()&lt;7,"",IF(OR(AJ396="",AJ393=""),"",IF(AJ393=0,"",(AJ396/AJ393)-1)))</f>
        <v/>
      </c>
      <c r="AM396" s="23" t="str">
        <f>IF(ROW()&lt;9,"",IF(OR(AJ396="",AJ391=""),"",IF(AJ391=0,"",(AJ396/AJ391)-1)))</f>
        <v/>
      </c>
      <c r="AN396" t="str">
        <f>IF(OR(AL396="",AM396=""),"",IF(AND(AL396&gt;0,AM396&gt;0),"Bull",IF(AND(AL396&lt;0,AM396&lt;0),"Bear","Mixed")))</f>
        <v/>
      </c>
      <c r="AO396" t="str">
        <f>IF(OR(AH396="",AN396=""),"",IF(AND(AH396="Bull",AN396="Bull"),"YES","NO"))</f>
        <v/>
      </c>
      <c r="AP396" t="str">
        <f>IF(OR(AH396="",AN396=""),"",IF(AND(AH396="Bear",AN396="Bear"),"YES","NO"))</f>
        <v/>
      </c>
      <c r="AQ396" t="str">
        <f>IF(AO396="YES",IF(SUM(N(X396),N(Y396),N(Z396))&gt;0,"SOXL","TQQQ"),IF(AP396="YES",IF(SUM(N(AA396),N(AB396),N(AC396))&gt;0,"SOXS","SQQQ"),"WAIT"))</f>
        <v>WAIT</v>
      </c>
      <c r="AR396" s="23" t="str">
        <f>IF(AO396="YES",IF(SUM(N(X396),N(Y396),N(Z396))&gt;0,"TQQQ","SOXL"),IF(AP396="YES",IF(SUM(N(AA396),N(AB396),N(AC396))&gt;0,"SQQQ","SOXS"),""))</f>
        <v/>
      </c>
      <c r="AS396" s="23" t="str">
        <f>IF(AQ396="WAIT","",IF(AR396="",1,0.6))</f>
        <v/>
      </c>
      <c r="AT396" s="23">
        <f>IF(AR396="",0,0.4)</f>
        <v>0</v>
      </c>
      <c r="AU396" s="23" t="str">
        <f>IF(AQ396="WAIT","WAIT",IF(AO396="YES","BULL",IF(AP396="YES","BEAR","WAIT")))</f>
        <v>WAIT</v>
      </c>
      <c r="AV396" t="str">
        <f>IF(AQ396="WAIT","Low",IF(OR(AND(AU396="BULL",ABS(SUM(N(X396),N(Y396),N(Z396)))&gt;=0.15),AND(AU396="BEAR",ABS(SUM(N(AA396),N(AB396),N(AC396)))&gt;=0.15)),"Strong",IF(OR(AND(AU396="BULL",ABS(SUM(N(X396),N(Y396),N(Z396)))&gt;=0.05),AND(AU396="BEAR",ABS(SUM(N(AA396),N(AB396),N(AC396)))&gt;=0.05)),"Moderate","Low")))</f>
        <v>Low</v>
      </c>
      <c r="AW396" t="str">
        <f>IF(AQ396="WAIT","QQQ and SMH not aligned",IF(AU396="BULL",IF(AQ396="SOXL","Bull regime; semiconductors leading","Bull regime; tech leading"),IF(AQ396="SOXS","Bear regime; semiconductors weakest","Bear regime; tech weakest")))</f>
        <v>QQQ and SMH not aligned</v>
      </c>
      <c r="AX396" t="str">
        <f>IF(AR396="WAIT","QQQ and SMH not aligned",IF(AV396="BULL",IF(AR396="SOXL","Bull regime; semiconductors leading","Bull regime; tech leading"),IF(AR396="SOXS","Bear regime; semiconductors weakest","Bear regime; tech weakest")))</f>
        <v>Bear regime; tech weakest</v>
      </c>
    </row>
    <row r="397" spans="1:50" x14ac:dyDescent="0.2">
      <c r="A397" s="12"/>
      <c r="B397" s="13"/>
      <c r="C397" s="13"/>
      <c r="D397" s="13"/>
      <c r="E397" s="13"/>
      <c r="F397" s="11" t="str">
        <f>IF(OR(E397="",E396=""),"",IF(E396=0,"",(E397/E396)-1))</f>
        <v/>
      </c>
      <c r="G397" s="13"/>
      <c r="H397" s="11" t="str">
        <f>IF(OR(G397="",G396=""),"",IF(G396=0,"",(G397/G396)-1))</f>
        <v/>
      </c>
      <c r="I397" s="13"/>
      <c r="J397" s="13"/>
      <c r="K397" s="13"/>
      <c r="L397" s="13"/>
      <c r="M397" s="23" t="str">
        <f>IF(OR(L397="",L396=""),"",IF(L396=0,"",(L397/L396)-1))</f>
        <v/>
      </c>
      <c r="N397" s="26" t="str">
        <f>IFERROR((M397/M396)-1,"")</f>
        <v/>
      </c>
      <c r="O397" s="23" t="str">
        <f>IF(OR(N397="",N396=""),"",IF(N396=0,"",(N397/N396)-1))</f>
        <v/>
      </c>
      <c r="P397" s="11" t="str">
        <f>IF(ROW()&lt;7,"",IF(OR(E397="",E394=""),"",IF(E394=0,"",(E397/E394)-1)))</f>
        <v/>
      </c>
      <c r="Q397" s="23" t="str">
        <f>IF(ROW()&lt;9,"",IF(OR(E397="",E392=""),"",IF(E392=0,"",(E397/E392)-1)))</f>
        <v/>
      </c>
      <c r="R397" s="23" t="str">
        <f>IF(ROW()&lt;7,"",IF(OR(G397="",G394=""),"",IF(G394=0,"",(G397/G394)-1)))</f>
        <v/>
      </c>
      <c r="S397" s="23" t="str">
        <f>IF(ROW()&lt;9,"",IF(OR(G397="",G392=""),"",IF(G392=0,"",(G397/G392)-1)))</f>
        <v/>
      </c>
      <c r="T397" s="23" t="str">
        <f>IF(ROW()&lt;7,"",IF(OR(L397="",L394=""),"",IF(L394=0,"",(L397/L394)-1)))</f>
        <v/>
      </c>
      <c r="U397" s="23" t="str">
        <f>IF(ROW()&lt;9,"",IF(OR(L397="",L392=""),"",IF(L392=0,"",(L397/L392)-1)))</f>
        <v/>
      </c>
      <c r="V397" s="23" t="str">
        <f>IF(ROW()&lt;7,"",IF(OR(N397="",N394=""),"",IF(N394=0,"",(N397/N394)-1)))</f>
        <v/>
      </c>
      <c r="W397" s="23" t="str">
        <f>IF(ROW()&lt;9,"",IF(OR(N397="",N392=""),"",IF(N392=0,"",(N397/N392)-1)))</f>
        <v/>
      </c>
      <c r="X397" s="23" t="str">
        <f>IF(OR(F397="",M397=""),"",F397-M397)</f>
        <v/>
      </c>
      <c r="Y397" s="23" t="str">
        <f>IF(OR(P397="",T397=""),"",P397-T397)</f>
        <v/>
      </c>
      <c r="Z397" s="23" t="str">
        <f>IF(OR(Q397="",U397=""),"",Q397-U397)</f>
        <v/>
      </c>
      <c r="AA397" s="23" t="str">
        <f>IF(OR(H397="",O397=""),"",H397-O397)</f>
        <v/>
      </c>
      <c r="AB397" s="23" t="str">
        <f>IF(OR(R397="",V397=""),"",R397-V397)</f>
        <v/>
      </c>
      <c r="AC397" s="23" t="str">
        <f>IF(OR(S397="",W397=""),"",S397-W397)</f>
        <v/>
      </c>
      <c r="AD397" s="13"/>
      <c r="AE397" s="23" t="str">
        <f>IF(OR(AD397="",AD396=""),"",IF(AD396=0,"",(AD397/AD396)-1))</f>
        <v/>
      </c>
      <c r="AF397" s="23" t="str">
        <f>IF(ROW()&lt;7,"",IF(OR(AD397="",AD394=""),"",IF(AD394=0,"",(AD397/AD394)-1)))</f>
        <v/>
      </c>
      <c r="AG397" s="23" t="str">
        <f>IF(ROW()&lt;9,"",IF(OR(AD397="",AD392=""),"",IF(AD392=0,"",(AD397/AD392)-1)))</f>
        <v/>
      </c>
      <c r="AH397" s="23" t="str">
        <f>IF(OR(AF397="",AG397=""),"",IF(AND(AF397&gt;0,AG397&gt;0),"Bull",IF(AND(AF397&lt;0,AG397&lt;0),"Bear","Mixed")))</f>
        <v/>
      </c>
      <c r="AI397" s="13"/>
      <c r="AJ397" s="13" t="str">
        <f>IF(OR(AI397="",AI396=""),"",IF(AI396=0,"",(AI397/AI396)-1))</f>
        <v/>
      </c>
      <c r="AK397" s="23" t="str">
        <f>IF(OR(AJ397="",AJ396=""),"",IF(AJ396=0,"",(AJ397/AJ396)-1))</f>
        <v/>
      </c>
      <c r="AL397" s="23" t="str">
        <f>IF(ROW()&lt;7,"",IF(OR(AJ397="",AJ394=""),"",IF(AJ394=0,"",(AJ397/AJ394)-1)))</f>
        <v/>
      </c>
      <c r="AM397" s="23" t="str">
        <f>IF(ROW()&lt;9,"",IF(OR(AJ397="",AJ392=""),"",IF(AJ392=0,"",(AJ397/AJ392)-1)))</f>
        <v/>
      </c>
      <c r="AN397" t="str">
        <f>IF(OR(AL397="",AM397=""),"",IF(AND(AL397&gt;0,AM397&gt;0),"Bull",IF(AND(AL397&lt;0,AM397&lt;0),"Bear","Mixed")))</f>
        <v/>
      </c>
      <c r="AO397" t="str">
        <f>IF(OR(AH397="",AN397=""),"",IF(AND(AH397="Bull",AN397="Bull"),"YES","NO"))</f>
        <v/>
      </c>
      <c r="AP397" t="str">
        <f>IF(OR(AH397="",AN397=""),"",IF(AND(AH397="Bear",AN397="Bear"),"YES","NO"))</f>
        <v/>
      </c>
      <c r="AQ397" t="str">
        <f>IF(AO397="YES",IF(SUM(N(X397),N(Y397),N(Z397))&gt;0,"SOXL","TQQQ"),IF(AP397="YES",IF(SUM(N(AA397),N(AB397),N(AC397))&gt;0,"SOXS","SQQQ"),"WAIT"))</f>
        <v>WAIT</v>
      </c>
      <c r="AR397" s="23" t="str">
        <f>IF(AO397="YES",IF(SUM(N(X397),N(Y397),N(Z397))&gt;0,"TQQQ","SOXL"),IF(AP397="YES",IF(SUM(N(AA397),N(AB397),N(AC397))&gt;0,"SQQQ","SOXS"),""))</f>
        <v/>
      </c>
      <c r="AS397" s="23" t="str">
        <f>IF(AQ397="WAIT","",IF(AR397="",1,0.6))</f>
        <v/>
      </c>
      <c r="AT397" s="23">
        <f>IF(AR397="",0,0.4)</f>
        <v>0</v>
      </c>
      <c r="AU397" s="23" t="str">
        <f>IF(AQ397="WAIT","WAIT",IF(AO397="YES","BULL",IF(AP397="YES","BEAR","WAIT")))</f>
        <v>WAIT</v>
      </c>
      <c r="AV397" t="str">
        <f>IF(AQ397="WAIT","Low",IF(OR(AND(AU397="BULL",ABS(SUM(N(X397),N(Y397),N(Z397)))&gt;=0.15),AND(AU397="BEAR",ABS(SUM(N(AA397),N(AB397),N(AC397)))&gt;=0.15)),"Strong",IF(OR(AND(AU397="BULL",ABS(SUM(N(X397),N(Y397),N(Z397)))&gt;=0.05),AND(AU397="BEAR",ABS(SUM(N(AA397),N(AB397),N(AC397)))&gt;=0.05)),"Moderate","Low")))</f>
        <v>Low</v>
      </c>
      <c r="AW397" t="str">
        <f>IF(AQ397="WAIT","QQQ and SMH not aligned",IF(AU397="BULL",IF(AQ397="SOXL","Bull regime; semiconductors leading","Bull regime; tech leading"),IF(AQ397="SOXS","Bear regime; semiconductors weakest","Bear regime; tech weakest")))</f>
        <v>QQQ and SMH not aligned</v>
      </c>
      <c r="AX397" t="str">
        <f>IF(AR397="WAIT","QQQ and SMH not aligned",IF(AV397="BULL",IF(AR397="SOXL","Bull regime; semiconductors leading","Bull regime; tech leading"),IF(AR397="SOXS","Bear regime; semiconductors weakest","Bear regime; tech weakest")))</f>
        <v>Bear regime; tech weakest</v>
      </c>
    </row>
    <row r="398" spans="1:50" x14ac:dyDescent="0.2">
      <c r="A398" s="12"/>
      <c r="B398" s="13"/>
      <c r="C398" s="13"/>
      <c r="D398" s="13"/>
      <c r="E398" s="13"/>
      <c r="F398" s="11" t="str">
        <f>IF(OR(E398="",E397=""),"",IF(E397=0,"",(E398/E397)-1))</f>
        <v/>
      </c>
      <c r="G398" s="13"/>
      <c r="H398" s="11" t="str">
        <f>IF(OR(G398="",G397=""),"",IF(G397=0,"",(G398/G397)-1))</f>
        <v/>
      </c>
      <c r="I398" s="13"/>
      <c r="J398" s="13"/>
      <c r="K398" s="13"/>
      <c r="L398" s="13"/>
      <c r="M398" s="23" t="str">
        <f>IF(OR(L398="",L397=""),"",IF(L397=0,"",(L398/L397)-1))</f>
        <v/>
      </c>
      <c r="N398" s="26" t="str">
        <f>IFERROR((M398/M397)-1,"")</f>
        <v/>
      </c>
      <c r="O398" s="23" t="str">
        <f>IF(OR(N398="",N397=""),"",IF(N397=0,"",(N398/N397)-1))</f>
        <v/>
      </c>
      <c r="P398" s="11" t="str">
        <f>IF(ROW()&lt;7,"",IF(OR(E398="",E395=""),"",IF(E395=0,"",(E398/E395)-1)))</f>
        <v/>
      </c>
      <c r="Q398" s="23" t="str">
        <f>IF(ROW()&lt;9,"",IF(OR(E398="",E393=""),"",IF(E393=0,"",(E398/E393)-1)))</f>
        <v/>
      </c>
      <c r="R398" s="23" t="str">
        <f>IF(ROW()&lt;7,"",IF(OR(G398="",G395=""),"",IF(G395=0,"",(G398/G395)-1)))</f>
        <v/>
      </c>
      <c r="S398" s="23" t="str">
        <f>IF(ROW()&lt;9,"",IF(OR(G398="",G393=""),"",IF(G393=0,"",(G398/G393)-1)))</f>
        <v/>
      </c>
      <c r="T398" s="23" t="str">
        <f>IF(ROW()&lt;7,"",IF(OR(L398="",L395=""),"",IF(L395=0,"",(L398/L395)-1)))</f>
        <v/>
      </c>
      <c r="U398" s="23" t="str">
        <f>IF(ROW()&lt;9,"",IF(OR(L398="",L393=""),"",IF(L393=0,"",(L398/L393)-1)))</f>
        <v/>
      </c>
      <c r="V398" s="23" t="str">
        <f>IF(ROW()&lt;7,"",IF(OR(N398="",N395=""),"",IF(N395=0,"",(N398/N395)-1)))</f>
        <v/>
      </c>
      <c r="W398" s="23" t="str">
        <f>IF(ROW()&lt;9,"",IF(OR(N398="",N393=""),"",IF(N393=0,"",(N398/N393)-1)))</f>
        <v/>
      </c>
      <c r="X398" s="23" t="str">
        <f>IF(OR(F398="",M398=""),"",F398-M398)</f>
        <v/>
      </c>
      <c r="Y398" s="23" t="str">
        <f>IF(OR(P398="",T398=""),"",P398-T398)</f>
        <v/>
      </c>
      <c r="Z398" s="23" t="str">
        <f>IF(OR(Q398="",U398=""),"",Q398-U398)</f>
        <v/>
      </c>
      <c r="AA398" s="23" t="str">
        <f>IF(OR(H398="",O398=""),"",H398-O398)</f>
        <v/>
      </c>
      <c r="AB398" s="23" t="str">
        <f>IF(OR(R398="",V398=""),"",R398-V398)</f>
        <v/>
      </c>
      <c r="AC398" s="23" t="str">
        <f>IF(OR(S398="",W398=""),"",S398-W398)</f>
        <v/>
      </c>
      <c r="AD398" s="13"/>
      <c r="AE398" s="23" t="str">
        <f>IF(OR(AD398="",AD397=""),"",IF(AD397=0,"",(AD398/AD397)-1))</f>
        <v/>
      </c>
      <c r="AF398" s="23" t="str">
        <f>IF(ROW()&lt;7,"",IF(OR(AD398="",AD395=""),"",IF(AD395=0,"",(AD398/AD395)-1)))</f>
        <v/>
      </c>
      <c r="AG398" s="23" t="str">
        <f>IF(ROW()&lt;9,"",IF(OR(AD398="",AD393=""),"",IF(AD393=0,"",(AD398/AD393)-1)))</f>
        <v/>
      </c>
      <c r="AH398" s="23" t="str">
        <f>IF(OR(AF398="",AG398=""),"",IF(AND(AF398&gt;0,AG398&gt;0),"Bull",IF(AND(AF398&lt;0,AG398&lt;0),"Bear","Mixed")))</f>
        <v/>
      </c>
      <c r="AI398" s="13"/>
      <c r="AJ398" s="13" t="str">
        <f>IF(OR(AI398="",AI397=""),"",IF(AI397=0,"",(AI398/AI397)-1))</f>
        <v/>
      </c>
      <c r="AK398" s="23" t="str">
        <f>IF(OR(AJ398="",AJ397=""),"",IF(AJ397=0,"",(AJ398/AJ397)-1))</f>
        <v/>
      </c>
      <c r="AL398" s="23" t="str">
        <f>IF(ROW()&lt;7,"",IF(OR(AJ398="",AJ395=""),"",IF(AJ395=0,"",(AJ398/AJ395)-1)))</f>
        <v/>
      </c>
      <c r="AM398" s="23" t="str">
        <f>IF(ROW()&lt;9,"",IF(OR(AJ398="",AJ393=""),"",IF(AJ393=0,"",(AJ398/AJ393)-1)))</f>
        <v/>
      </c>
      <c r="AN398" t="str">
        <f>IF(OR(AL398="",AM398=""),"",IF(AND(AL398&gt;0,AM398&gt;0),"Bull",IF(AND(AL398&lt;0,AM398&lt;0),"Bear","Mixed")))</f>
        <v/>
      </c>
      <c r="AO398" t="str">
        <f>IF(OR(AH398="",AN398=""),"",IF(AND(AH398="Bull",AN398="Bull"),"YES","NO"))</f>
        <v/>
      </c>
      <c r="AP398" t="str">
        <f>IF(OR(AH398="",AN398=""),"",IF(AND(AH398="Bear",AN398="Bear"),"YES","NO"))</f>
        <v/>
      </c>
      <c r="AQ398" t="str">
        <f>IF(AO398="YES",IF(SUM(N(X398),N(Y398),N(Z398))&gt;0,"SOXL","TQQQ"),IF(AP398="YES",IF(SUM(N(AA398),N(AB398),N(AC398))&gt;0,"SOXS","SQQQ"),"WAIT"))</f>
        <v>WAIT</v>
      </c>
      <c r="AR398" s="23" t="str">
        <f>IF(AO398="YES",IF(SUM(N(X398),N(Y398),N(Z398))&gt;0,"TQQQ","SOXL"),IF(AP398="YES",IF(SUM(N(AA398),N(AB398),N(AC398))&gt;0,"SQQQ","SOXS"),""))</f>
        <v/>
      </c>
      <c r="AS398" s="23" t="str">
        <f>IF(AQ398="WAIT","",IF(AR398="",1,0.6))</f>
        <v/>
      </c>
      <c r="AT398" s="23">
        <f>IF(AR398="",0,0.4)</f>
        <v>0</v>
      </c>
      <c r="AU398" s="23" t="str">
        <f>IF(AQ398="WAIT","WAIT",IF(AO398="YES","BULL",IF(AP398="YES","BEAR","WAIT")))</f>
        <v>WAIT</v>
      </c>
      <c r="AV398" t="str">
        <f>IF(AQ398="WAIT","Low",IF(OR(AND(AU398="BULL",ABS(SUM(N(X398),N(Y398),N(Z398)))&gt;=0.15),AND(AU398="BEAR",ABS(SUM(N(AA398),N(AB398),N(AC398)))&gt;=0.15)),"Strong",IF(OR(AND(AU398="BULL",ABS(SUM(N(X398),N(Y398),N(Z398)))&gt;=0.05),AND(AU398="BEAR",ABS(SUM(N(AA398),N(AB398),N(AC398)))&gt;=0.05)),"Moderate","Low")))</f>
        <v>Low</v>
      </c>
      <c r="AW398" t="str">
        <f>IF(AQ398="WAIT","QQQ and SMH not aligned",IF(AU398="BULL",IF(AQ398="SOXL","Bull regime; semiconductors leading","Bull regime; tech leading"),IF(AQ398="SOXS","Bear regime; semiconductors weakest","Bear regime; tech weakest")))</f>
        <v>QQQ and SMH not aligned</v>
      </c>
      <c r="AX398" t="str">
        <f>IF(AR398="WAIT","QQQ and SMH not aligned",IF(AV398="BULL",IF(AR398="SOXL","Bull regime; semiconductors leading","Bull regime; tech leading"),IF(AR398="SOXS","Bear regime; semiconductors weakest","Bear regime; tech weakest")))</f>
        <v>Bear regime; tech weakest</v>
      </c>
    </row>
    <row r="399" spans="1:50" x14ac:dyDescent="0.2">
      <c r="A399" s="12"/>
      <c r="B399" s="13"/>
      <c r="C399" s="13"/>
      <c r="D399" s="13"/>
      <c r="E399" s="13"/>
      <c r="F399" s="11" t="str">
        <f>IF(OR(E399="",E398=""),"",IF(E398=0,"",(E399/E398)-1))</f>
        <v/>
      </c>
      <c r="G399" s="13"/>
      <c r="H399" s="11" t="str">
        <f>IF(OR(G399="",G398=""),"",IF(G398=0,"",(G399/G398)-1))</f>
        <v/>
      </c>
      <c r="I399" s="13"/>
      <c r="J399" s="13"/>
      <c r="K399" s="13"/>
      <c r="L399" s="13"/>
      <c r="M399" s="23" t="str">
        <f>IF(OR(L399="",L398=""),"",IF(L398=0,"",(L399/L398)-1))</f>
        <v/>
      </c>
      <c r="N399" s="26" t="str">
        <f>IFERROR((M399/M398)-1,"")</f>
        <v/>
      </c>
      <c r="O399" s="23" t="str">
        <f>IF(OR(N399="",N398=""),"",IF(N398=0,"",(N399/N398)-1))</f>
        <v/>
      </c>
      <c r="P399" s="11" t="str">
        <f>IF(ROW()&lt;7,"",IF(OR(E399="",E396=""),"",IF(E396=0,"",(E399/E396)-1)))</f>
        <v/>
      </c>
      <c r="Q399" s="23" t="str">
        <f>IF(ROW()&lt;9,"",IF(OR(E399="",E394=""),"",IF(E394=0,"",(E399/E394)-1)))</f>
        <v/>
      </c>
      <c r="R399" s="23" t="str">
        <f>IF(ROW()&lt;7,"",IF(OR(G399="",G396=""),"",IF(G396=0,"",(G399/G396)-1)))</f>
        <v/>
      </c>
      <c r="S399" s="23" t="str">
        <f>IF(ROW()&lt;9,"",IF(OR(G399="",G394=""),"",IF(G394=0,"",(G399/G394)-1)))</f>
        <v/>
      </c>
      <c r="T399" s="23" t="str">
        <f>IF(ROW()&lt;7,"",IF(OR(L399="",L396=""),"",IF(L396=0,"",(L399/L396)-1)))</f>
        <v/>
      </c>
      <c r="U399" s="23" t="str">
        <f>IF(ROW()&lt;9,"",IF(OR(L399="",L394=""),"",IF(L394=0,"",(L399/L394)-1)))</f>
        <v/>
      </c>
      <c r="V399" s="23" t="str">
        <f>IF(ROW()&lt;7,"",IF(OR(N399="",N396=""),"",IF(N396=0,"",(N399/N396)-1)))</f>
        <v/>
      </c>
      <c r="W399" s="23" t="str">
        <f>IF(ROW()&lt;9,"",IF(OR(N399="",N394=""),"",IF(N394=0,"",(N399/N394)-1)))</f>
        <v/>
      </c>
      <c r="X399" s="23" t="str">
        <f>IF(OR(F399="",M399=""),"",F399-M399)</f>
        <v/>
      </c>
      <c r="Y399" s="23" t="str">
        <f>IF(OR(P399="",T399=""),"",P399-T399)</f>
        <v/>
      </c>
      <c r="Z399" s="23" t="str">
        <f>IF(OR(Q399="",U399=""),"",Q399-U399)</f>
        <v/>
      </c>
      <c r="AA399" s="23" t="str">
        <f>IF(OR(H399="",O399=""),"",H399-O399)</f>
        <v/>
      </c>
      <c r="AB399" s="23" t="str">
        <f>IF(OR(R399="",V399=""),"",R399-V399)</f>
        <v/>
      </c>
      <c r="AC399" s="23" t="str">
        <f>IF(OR(S399="",W399=""),"",S399-W399)</f>
        <v/>
      </c>
      <c r="AD399" s="13"/>
      <c r="AE399" s="23" t="str">
        <f>IF(OR(AD399="",AD398=""),"",IF(AD398=0,"",(AD399/AD398)-1))</f>
        <v/>
      </c>
      <c r="AF399" s="23" t="str">
        <f>IF(ROW()&lt;7,"",IF(OR(AD399="",AD396=""),"",IF(AD396=0,"",(AD399/AD396)-1)))</f>
        <v/>
      </c>
      <c r="AG399" s="23" t="str">
        <f>IF(ROW()&lt;9,"",IF(OR(AD399="",AD394=""),"",IF(AD394=0,"",(AD399/AD394)-1)))</f>
        <v/>
      </c>
      <c r="AH399" s="23" t="str">
        <f>IF(OR(AF399="",AG399=""),"",IF(AND(AF399&gt;0,AG399&gt;0),"Bull",IF(AND(AF399&lt;0,AG399&lt;0),"Bear","Mixed")))</f>
        <v/>
      </c>
      <c r="AI399" s="13"/>
      <c r="AJ399" s="13" t="str">
        <f>IF(OR(AI399="",AI398=""),"",IF(AI398=0,"",(AI399/AI398)-1))</f>
        <v/>
      </c>
      <c r="AK399" s="23" t="str">
        <f>IF(OR(AJ399="",AJ398=""),"",IF(AJ398=0,"",(AJ399/AJ398)-1))</f>
        <v/>
      </c>
      <c r="AL399" s="23" t="str">
        <f>IF(ROW()&lt;7,"",IF(OR(AJ399="",AJ396=""),"",IF(AJ396=0,"",(AJ399/AJ396)-1)))</f>
        <v/>
      </c>
      <c r="AM399" s="23" t="str">
        <f>IF(ROW()&lt;9,"",IF(OR(AJ399="",AJ394=""),"",IF(AJ394=0,"",(AJ399/AJ394)-1)))</f>
        <v/>
      </c>
      <c r="AN399" t="str">
        <f>IF(OR(AL399="",AM399=""),"",IF(AND(AL399&gt;0,AM399&gt;0),"Bull",IF(AND(AL399&lt;0,AM399&lt;0),"Bear","Mixed")))</f>
        <v/>
      </c>
      <c r="AO399" t="str">
        <f>IF(OR(AH399="",AN399=""),"",IF(AND(AH399="Bull",AN399="Bull"),"YES","NO"))</f>
        <v/>
      </c>
      <c r="AP399" t="str">
        <f>IF(OR(AH399="",AN399=""),"",IF(AND(AH399="Bear",AN399="Bear"),"YES","NO"))</f>
        <v/>
      </c>
      <c r="AQ399" t="str">
        <f>IF(AO399="YES",IF(SUM(N(X399),N(Y399),N(Z399))&gt;0,"SOXL","TQQQ"),IF(AP399="YES",IF(SUM(N(AA399),N(AB399),N(AC399))&gt;0,"SOXS","SQQQ"),"WAIT"))</f>
        <v>WAIT</v>
      </c>
      <c r="AR399" s="23" t="str">
        <f>IF(AO399="YES",IF(SUM(N(X399),N(Y399),N(Z399))&gt;0,"TQQQ","SOXL"),IF(AP399="YES",IF(SUM(N(AA399),N(AB399),N(AC399))&gt;0,"SQQQ","SOXS"),""))</f>
        <v/>
      </c>
      <c r="AS399" s="23" t="str">
        <f>IF(AQ399="WAIT","",IF(AR399="",1,0.6))</f>
        <v/>
      </c>
      <c r="AT399" s="23">
        <f>IF(AR399="",0,0.4)</f>
        <v>0</v>
      </c>
      <c r="AU399" s="23" t="str">
        <f>IF(AQ399="WAIT","WAIT",IF(AO399="YES","BULL",IF(AP399="YES","BEAR","WAIT")))</f>
        <v>WAIT</v>
      </c>
      <c r="AV399" t="str">
        <f>IF(AQ399="WAIT","Low",IF(OR(AND(AU399="BULL",ABS(SUM(N(X399),N(Y399),N(Z399)))&gt;=0.15),AND(AU399="BEAR",ABS(SUM(N(AA399),N(AB399),N(AC399)))&gt;=0.15)),"Strong",IF(OR(AND(AU399="BULL",ABS(SUM(N(X399),N(Y399),N(Z399)))&gt;=0.05),AND(AU399="BEAR",ABS(SUM(N(AA399),N(AB399),N(AC399)))&gt;=0.05)),"Moderate","Low")))</f>
        <v>Low</v>
      </c>
      <c r="AW399" t="str">
        <f>IF(AQ399="WAIT","QQQ and SMH not aligned",IF(AU399="BULL",IF(AQ399="SOXL","Bull regime; semiconductors leading","Bull regime; tech leading"),IF(AQ399="SOXS","Bear regime; semiconductors weakest","Bear regime; tech weakest")))</f>
        <v>QQQ and SMH not aligned</v>
      </c>
      <c r="AX399" t="str">
        <f>IF(AR399="WAIT","QQQ and SMH not aligned",IF(AV399="BULL",IF(AR399="SOXL","Bull regime; semiconductors leading","Bull regime; tech leading"),IF(AR399="SOXS","Bear regime; semiconductors weakest","Bear regime; tech weakest")))</f>
        <v>Bear regime; tech weakest</v>
      </c>
    </row>
    <row r="400" spans="1:50" x14ac:dyDescent="0.2">
      <c r="A400" s="12"/>
      <c r="B400" s="13"/>
      <c r="C400" s="13"/>
      <c r="D400" s="13"/>
      <c r="E400" s="13"/>
      <c r="F400" s="11" t="str">
        <f>IF(OR(E400="",E399=""),"",IF(E399=0,"",(E400/E399)-1))</f>
        <v/>
      </c>
      <c r="G400" s="13"/>
      <c r="H400" s="11" t="str">
        <f>IF(OR(G400="",G399=""),"",IF(G399=0,"",(G400/G399)-1))</f>
        <v/>
      </c>
      <c r="I400" s="13"/>
      <c r="J400" s="13"/>
      <c r="K400" s="13"/>
      <c r="L400" s="13"/>
      <c r="M400" s="23" t="str">
        <f>IF(OR(L400="",L399=""),"",IF(L399=0,"",(L400/L399)-1))</f>
        <v/>
      </c>
      <c r="N400" s="26" t="str">
        <f>IFERROR((M400/M399)-1,"")</f>
        <v/>
      </c>
      <c r="O400" s="23" t="str">
        <f>IF(OR(N400="",N399=""),"",IF(N399=0,"",(N400/N399)-1))</f>
        <v/>
      </c>
      <c r="P400" s="11" t="str">
        <f>IF(ROW()&lt;7,"",IF(OR(E400="",E397=""),"",IF(E397=0,"",(E400/E397)-1)))</f>
        <v/>
      </c>
      <c r="Q400" s="23" t="str">
        <f>IF(ROW()&lt;9,"",IF(OR(E400="",E395=""),"",IF(E395=0,"",(E400/E395)-1)))</f>
        <v/>
      </c>
      <c r="R400" s="23" t="str">
        <f>IF(ROW()&lt;7,"",IF(OR(G400="",G397=""),"",IF(G397=0,"",(G400/G397)-1)))</f>
        <v/>
      </c>
      <c r="S400" s="23" t="str">
        <f>IF(ROW()&lt;9,"",IF(OR(G400="",G395=""),"",IF(G395=0,"",(G400/G395)-1)))</f>
        <v/>
      </c>
      <c r="T400" s="23" t="str">
        <f>IF(ROW()&lt;7,"",IF(OR(L400="",L397=""),"",IF(L397=0,"",(L400/L397)-1)))</f>
        <v/>
      </c>
      <c r="U400" s="23" t="str">
        <f>IF(ROW()&lt;9,"",IF(OR(L400="",L395=""),"",IF(L395=0,"",(L400/L395)-1)))</f>
        <v/>
      </c>
      <c r="V400" s="23" t="str">
        <f>IF(ROW()&lt;7,"",IF(OR(N400="",N397=""),"",IF(N397=0,"",(N400/N397)-1)))</f>
        <v/>
      </c>
      <c r="W400" s="23" t="str">
        <f>IF(ROW()&lt;9,"",IF(OR(N400="",N395=""),"",IF(N395=0,"",(N400/N395)-1)))</f>
        <v/>
      </c>
      <c r="X400" s="23" t="str">
        <f>IF(OR(F400="",M400=""),"",F400-M400)</f>
        <v/>
      </c>
      <c r="Y400" s="23" t="str">
        <f>IF(OR(P400="",T400=""),"",P400-T400)</f>
        <v/>
      </c>
      <c r="Z400" s="23" t="str">
        <f>IF(OR(Q400="",U400=""),"",Q400-U400)</f>
        <v/>
      </c>
      <c r="AA400" s="23" t="str">
        <f>IF(OR(H400="",O400=""),"",H400-O400)</f>
        <v/>
      </c>
      <c r="AB400" s="23" t="str">
        <f>IF(OR(R400="",V400=""),"",R400-V400)</f>
        <v/>
      </c>
      <c r="AC400" s="23" t="str">
        <f>IF(OR(S400="",W400=""),"",S400-W400)</f>
        <v/>
      </c>
      <c r="AD400" s="13"/>
      <c r="AE400" s="23" t="str">
        <f>IF(OR(AD400="",AD399=""),"",IF(AD399=0,"",(AD400/AD399)-1))</f>
        <v/>
      </c>
      <c r="AF400" s="23" t="str">
        <f>IF(ROW()&lt;7,"",IF(OR(AD400="",AD397=""),"",IF(AD397=0,"",(AD400/AD397)-1)))</f>
        <v/>
      </c>
      <c r="AG400" s="23" t="str">
        <f>IF(ROW()&lt;9,"",IF(OR(AD400="",AD395=""),"",IF(AD395=0,"",(AD400/AD395)-1)))</f>
        <v/>
      </c>
      <c r="AH400" s="23" t="str">
        <f>IF(OR(AF400="",AG400=""),"",IF(AND(AF400&gt;0,AG400&gt;0),"Bull",IF(AND(AF400&lt;0,AG400&lt;0),"Bear","Mixed")))</f>
        <v/>
      </c>
      <c r="AI400" s="13"/>
      <c r="AJ400" s="13" t="str">
        <f>IF(OR(AI400="",AI399=""),"",IF(AI399=0,"",(AI400/AI399)-1))</f>
        <v/>
      </c>
      <c r="AK400" s="23" t="str">
        <f>IF(OR(AJ400="",AJ399=""),"",IF(AJ399=0,"",(AJ400/AJ399)-1))</f>
        <v/>
      </c>
      <c r="AL400" s="23" t="str">
        <f>IF(ROW()&lt;7,"",IF(OR(AJ400="",AJ397=""),"",IF(AJ397=0,"",(AJ400/AJ397)-1)))</f>
        <v/>
      </c>
      <c r="AM400" s="23" t="str">
        <f>IF(ROW()&lt;9,"",IF(OR(AJ400="",AJ395=""),"",IF(AJ395=0,"",(AJ400/AJ395)-1)))</f>
        <v/>
      </c>
      <c r="AN400" t="str">
        <f>IF(OR(AL400="",AM400=""),"",IF(AND(AL400&gt;0,AM400&gt;0),"Bull",IF(AND(AL400&lt;0,AM400&lt;0),"Bear","Mixed")))</f>
        <v/>
      </c>
      <c r="AO400" t="str">
        <f>IF(OR(AH400="",AN400=""),"",IF(AND(AH400="Bull",AN400="Bull"),"YES","NO"))</f>
        <v/>
      </c>
      <c r="AP400" t="str">
        <f>IF(OR(AH400="",AN400=""),"",IF(AND(AH400="Bear",AN400="Bear"),"YES","NO"))</f>
        <v/>
      </c>
      <c r="AQ400" t="str">
        <f>IF(AO400="YES",IF(SUM(N(X400),N(Y400),N(Z400))&gt;0,"SOXL","TQQQ"),IF(AP400="YES",IF(SUM(N(AA400),N(AB400),N(AC400))&gt;0,"SOXS","SQQQ"),"WAIT"))</f>
        <v>WAIT</v>
      </c>
      <c r="AR400" s="23" t="str">
        <f>IF(AO400="YES",IF(SUM(N(X400),N(Y400),N(Z400))&gt;0,"TQQQ","SOXL"),IF(AP400="YES",IF(SUM(N(AA400),N(AB400),N(AC400))&gt;0,"SQQQ","SOXS"),""))</f>
        <v/>
      </c>
      <c r="AS400" s="23" t="str">
        <f>IF(AQ400="WAIT","",IF(AR400="",1,0.6))</f>
        <v/>
      </c>
      <c r="AT400" s="23">
        <f>IF(AR400="",0,0.4)</f>
        <v>0</v>
      </c>
      <c r="AU400" s="23" t="str">
        <f>IF(AQ400="WAIT","WAIT",IF(AO400="YES","BULL",IF(AP400="YES","BEAR","WAIT")))</f>
        <v>WAIT</v>
      </c>
      <c r="AV400" t="str">
        <f>IF(AQ400="WAIT","Low",IF(OR(AND(AU400="BULL",ABS(SUM(N(X400),N(Y400),N(Z400)))&gt;=0.15),AND(AU400="BEAR",ABS(SUM(N(AA400),N(AB400),N(AC400)))&gt;=0.15)),"Strong",IF(OR(AND(AU400="BULL",ABS(SUM(N(X400),N(Y400),N(Z400)))&gt;=0.05),AND(AU400="BEAR",ABS(SUM(N(AA400),N(AB400),N(AC400)))&gt;=0.05)),"Moderate","Low")))</f>
        <v>Low</v>
      </c>
      <c r="AW400" t="str">
        <f>IF(AQ400="WAIT","QQQ and SMH not aligned",IF(AU400="BULL",IF(AQ400="SOXL","Bull regime; semiconductors leading","Bull regime; tech leading"),IF(AQ400="SOXS","Bear regime; semiconductors weakest","Bear regime; tech weakest")))</f>
        <v>QQQ and SMH not aligned</v>
      </c>
      <c r="AX400" t="str">
        <f>IF(AR400="WAIT","QQQ and SMH not aligned",IF(AV400="BULL",IF(AR400="SOXL","Bull regime; semiconductors leading","Bull regime; tech leading"),IF(AR400="SOXS","Bear regime; semiconductors weakest","Bear regime; tech weakest")))</f>
        <v>Bear regime; tech weakest</v>
      </c>
    </row>
  </sheetData>
  <mergeCells count="4">
    <mergeCell ref="P2:W2"/>
    <mergeCell ref="B2:G2"/>
    <mergeCell ref="H2:M2"/>
    <mergeCell ref="X2:A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1"/>
  <sheetViews>
    <sheetView showGridLines="0" workbookViewId="0"/>
  </sheetViews>
  <sheetFormatPr defaultRowHeight="15" x14ac:dyDescent="0.2"/>
  <cols>
    <col min="1" max="1" width="25.9609375" customWidth="1"/>
    <col min="2" max="2" width="23.9453125" customWidth="1"/>
  </cols>
  <sheetData>
    <row r="1" spans="1:2" ht="21.95" customHeight="1" x14ac:dyDescent="0.2">
      <c r="A1" s="5" t="s">
        <v>75</v>
      </c>
    </row>
    <row r="2" spans="1:2" x14ac:dyDescent="0.2">
      <c r="A2" s="6" t="s">
        <v>76</v>
      </c>
      <c r="B2" s="6" t="s">
        <v>77</v>
      </c>
    </row>
    <row r="3" spans="1:2" x14ac:dyDescent="0.2">
      <c r="A3" s="14" t="s">
        <v>78</v>
      </c>
      <c r="B3" s="15" t="str">
        <f>LOOKUP(2,1/(Daily_Data!A:A&lt;&gt;""),Daily_Data!A:A)</f>
        <v>Date</v>
      </c>
    </row>
    <row r="4" spans="1:2" x14ac:dyDescent="0.2">
      <c r="A4" s="14" t="s">
        <v>60</v>
      </c>
      <c r="B4" s="10" t="str">
        <f>IFERROR(LOOKUP(2,1/(Daily_Data!AH:AH&lt;&gt;""),Daily_Data!AH:AH),"")</f>
        <v>QQQ Trend</v>
      </c>
    </row>
    <row r="5" spans="1:2" x14ac:dyDescent="0.2">
      <c r="A5" s="14" t="s">
        <v>65</v>
      </c>
      <c r="B5" s="10" t="str">
        <f>IFERROR(LOOKUP(2,1/(Daily_Data!AN:AN&lt;&gt;""),Daily_Data!AN:AN),"")</f>
        <v>SMH Trend</v>
      </c>
    </row>
    <row r="6" spans="1:2" x14ac:dyDescent="0.2">
      <c r="A6" s="14" t="s">
        <v>58</v>
      </c>
      <c r="B6" s="10" t="str">
        <f>IFERROR(LOOKUP(2,1/(Daily_Data!AF:AF&lt;&gt;""),Daily_Data!AF:AF),"")</f>
        <v>QQQ 3D %</v>
      </c>
    </row>
    <row r="7" spans="1:2" x14ac:dyDescent="0.2">
      <c r="A7" s="14" t="s">
        <v>63</v>
      </c>
      <c r="B7" s="10" t="str">
        <f>IFERROR(LOOKUP(2,1/(Daily_Data!AL:AL&lt;&gt;""),Daily_Data!AL:AL),"")</f>
        <v>SMH 3D %</v>
      </c>
    </row>
    <row r="8" spans="1:2" x14ac:dyDescent="0.2">
      <c r="A8" s="16" t="s">
        <v>59</v>
      </c>
      <c r="B8" s="17" t="str">
        <f>IFERROR(LOOKUP(2,1/(Daily_Data!AG:AG&lt;&gt;""),Daily_Data!AG:AG),"")</f>
        <v>QQQ 5D %</v>
      </c>
    </row>
    <row r="9" spans="1:2" x14ac:dyDescent="0.2">
      <c r="A9" s="14" t="s">
        <v>64</v>
      </c>
      <c r="B9" s="10" t="str">
        <f>IFERROR(LOOKUP(2,1/(Daily_Data!AM:AM&lt;&gt;""),Daily_Data!AM:AM),"")</f>
        <v>SMH 5D %</v>
      </c>
    </row>
    <row r="10" spans="1:2" x14ac:dyDescent="0.2">
      <c r="A10" s="14" t="s">
        <v>44</v>
      </c>
      <c r="B10" s="10" t="str">
        <f>IFERROR(LOOKUP(2,1/(Daily_Data!R:R&lt;&gt;""),Daily_Data!R:R),"")</f>
        <v>SOXS 3D %</v>
      </c>
    </row>
    <row r="11" spans="1:2" x14ac:dyDescent="0.2">
      <c r="A11" s="14" t="s">
        <v>79</v>
      </c>
      <c r="B11" s="10" t="str">
        <f>IFERROR(LOOKUP(2,1/(Daily_Data!AO:AO&lt;&gt;""),Daily_Data!AO:AO),"")</f>
        <v>Bull Allowed</v>
      </c>
    </row>
    <row r="12" spans="1:2" x14ac:dyDescent="0.2">
      <c r="A12" s="14" t="s">
        <v>80</v>
      </c>
      <c r="B12" s="10" t="str">
        <f>IFERROR(LOOKUP(2,1/(Daily_Data!AP:AP&lt;&gt;""),Daily_Data!AP:AP),"")</f>
        <v>Bear Allowed</v>
      </c>
    </row>
    <row r="14" spans="1:2" x14ac:dyDescent="0.2">
      <c r="A14" s="27" t="s">
        <v>43</v>
      </c>
      <c r="B14" s="28" t="str">
        <f>IFERROR(LOOKUP(2,1/(Daily_Data!Q:Q&lt;&gt;""),Daily_Data!Q:Q),"")</f>
        <v>SOXL 5D %</v>
      </c>
    </row>
    <row r="15" spans="1:2" x14ac:dyDescent="0.2">
      <c r="A15" s="27" t="s">
        <v>45</v>
      </c>
      <c r="B15" s="28" t="str">
        <f>IFERROR(LOOKUP(2,1/(Daily_Data!S:S&lt;&gt;""),Daily_Data!S:S),"")</f>
        <v>SOXS 5D %</v>
      </c>
    </row>
    <row r="16" spans="1:2" x14ac:dyDescent="0.2">
      <c r="A16" s="27" t="s">
        <v>47</v>
      </c>
      <c r="B16" s="28" t="str">
        <f>IFERROR(LOOKUP(2,1/(Daily_Data!U:U&lt;&gt;""),Daily_Data!U:U),"")</f>
        <v>TQQQ 5D %</v>
      </c>
    </row>
    <row r="17" spans="1:2" x14ac:dyDescent="0.2">
      <c r="A17" s="27" t="s">
        <v>49</v>
      </c>
      <c r="B17" s="28" t="str">
        <f>IFERROR(LOOKUP(2,1/(Daily_Data!W:W&lt;&gt;""),Daily_Data!W:W),"")</f>
        <v>SQQQ 5D %</v>
      </c>
    </row>
    <row r="18" spans="1:2" x14ac:dyDescent="0.2">
      <c r="A18" t="s">
        <v>68</v>
      </c>
      <c r="B18" t="str">
        <f>IFERROR(LOOKUP(2,1/(Daily_Data!AQ:AQ&lt;&gt;""),Daily_Data!AQ:AQ),"")</f>
        <v>WAIT</v>
      </c>
    </row>
    <row r="19" spans="1:2" x14ac:dyDescent="0.2">
      <c r="A19" s="27" t="s">
        <v>69</v>
      </c>
      <c r="B19" s="29" t="str">
        <f>IFERROR(LOOKUP(2,1/(Daily_Data!AR:AR&lt;&gt;""),Daily_Data!AR:AR),"")</f>
        <v>Trade 2</v>
      </c>
    </row>
    <row r="20" spans="1:2" x14ac:dyDescent="0.2">
      <c r="A20" s="27" t="s">
        <v>72</v>
      </c>
      <c r="B20" s="29" t="str">
        <f>IFERROR(LOOKUP(2,1/(Daily_Data!AU:AU&lt;&gt;""),Daily_Data!AU:AU),"")</f>
        <v>WAIT</v>
      </c>
    </row>
    <row r="21" spans="1:2" x14ac:dyDescent="0.2">
      <c r="A21" s="27" t="s">
        <v>73</v>
      </c>
      <c r="B21" s="29" t="str">
        <f>IFERROR(LOOKUP(2,1/(Daily_Data!AV:AV&lt;&gt;""),Daily_Data!AV:AV),"")</f>
        <v>Low</v>
      </c>
    </row>
    <row r="22" spans="1:2" x14ac:dyDescent="0.2">
      <c r="A22" s="27" t="s">
        <v>74</v>
      </c>
      <c r="B22" s="29" t="str">
        <f>IFERROR(LOOKUP(2,1/(Daily_Data!AW:AW&lt;&gt;""),Daily_Data!AW:AW),"")</f>
        <v>QQQ and SMH not aligned</v>
      </c>
    </row>
    <row r="23" spans="1:2" x14ac:dyDescent="0.2">
      <c r="A23" s="27" t="s">
        <v>81</v>
      </c>
      <c r="B23" s="30" t="str">
        <f>IF(COUNTA(B19:B21)=0,"Need More Data",IF(B22&gt;0,"Bull",IF(B22&lt;0,"Bear","Mixed")))</f>
        <v>Bull</v>
      </c>
    </row>
    <row r="24" spans="1:2" x14ac:dyDescent="0.2">
      <c r="A24" s="27" t="s">
        <v>82</v>
      </c>
      <c r="B24" s="31">
        <f>IF(B23="Need More Data","",IF(OR(B4="",B6=""),0,IF(B4&gt;B6,1,IF(B4&lt;B6,-1,0)))+IF(OR(B9="",B11=""),0,IF(B9&gt;B11,1,IF(B9&lt;B11,-1,0)))+IF(OR(B14="",B16=""),0,IF(B14&gt;B16,1,IF(B14&lt;B16,-1,0))))</f>
        <v>1</v>
      </c>
    </row>
    <row r="25" spans="1:2" x14ac:dyDescent="0.2">
      <c r="A25" s="27" t="s">
        <v>83</v>
      </c>
      <c r="B25" s="31">
        <f>IF(B23="Need More Data","",IF(OR(B5="",B7=""),0,IF(B5&gt;B7,1,IF(B5&lt;B7,-1,0)))+IF(OR(B10="",B12=""),0,IF(B10&gt;B12,1,IF(B10&lt;B12,-1,0)))+IF(OR(B15="",B17=""),0,IF(B15&gt;B17,1,IF(B15&lt;B17,-1,0))))</f>
        <v>1</v>
      </c>
    </row>
    <row r="26" spans="1:2" x14ac:dyDescent="0.2">
      <c r="A26" s="27" t="s">
        <v>84</v>
      </c>
      <c r="B26" s="30" t="str">
        <f>IF(B23="Need More Data","Need More Data",IF(B23="Bull",IF(B24&gt;0,"Semiconductors Leading",IF(B24&lt;0,"Tech Leading","Mixed")),IF(B23="Bear",IF(B25&gt;0,"Semiconductors Weakest",IF(B25&lt;0,"Tech Weakest","Mixed")),"Mixed")))</f>
        <v>Semiconductors Leading</v>
      </c>
    </row>
    <row r="27" spans="1:2" x14ac:dyDescent="0.2">
      <c r="A27" s="27" t="s">
        <v>85</v>
      </c>
      <c r="B27" s="30" t="str">
        <f>IF(B23="Need More Data","WAIT",IF(B23="Bull",IF(B26="Semiconductors Leading","SOXL",IF(B26="Tech Leading","TQQQ","NO TRADE")),IF(B23="Bear",IF(B26="Semiconductors Weakest","SOXS",IF(B26="Tech Weakest","SQQQ","NO TRADE")),"NO TRADE")))</f>
        <v>SOXL</v>
      </c>
    </row>
    <row r="28" spans="1:2" x14ac:dyDescent="0.2">
      <c r="A28" s="27" t="s">
        <v>73</v>
      </c>
      <c r="B28" s="30" t="e">
        <f>IF(B27="WAIT","Need More Data",IF(B27="NO TRADE","Weak",IF(AND(ABS(B22)&gt;=2,OR(AND(B23="Bull",ABS(B24)&gt;=2),AND(B23="Bear",ABS(B25)&gt;=2))),"Strong",IF(AND(ABS(B22)&gt;=1,OR(AND(B23="Bull",ABS(B24)&gt;=1),AND(B23="Bear",ABS(B25)&gt;=1))),"Moderate","Weak"))))</f>
        <v>#VALUE!</v>
      </c>
    </row>
    <row r="29" spans="1:2" x14ac:dyDescent="0.2">
      <c r="A29" s="27" t="s">
        <v>74</v>
      </c>
      <c r="B29" s="30" t="str">
        <f>IF(B27="WAIT","Need at least 3-5 trading days of history",IF(B27="NO TRADE","Direction or leadership is mixed",IF(B23="Bull",IF(B26="Semiconductors Leading","Bull trend with semiconductors leading","Bull trend with tech leading"),IF(B26="Semiconductors Weakest","Bear trend with semiconductors leading downside","Bear trend with tech leading downside"))))</f>
        <v>Bull trend with semiconductors leading</v>
      </c>
    </row>
    <row r="31" spans="1:2" x14ac:dyDescent="0.2">
      <c r="A31" s="36" t="s">
        <v>86</v>
      </c>
      <c r="B31" s="34"/>
    </row>
  </sheetData>
  <mergeCells count="1">
    <mergeCell ref="A31:B3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02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"/>
  <cols>
    <col min="1" max="1" width="11.02734375" customWidth="1"/>
    <col min="2" max="2" width="9.953125" customWidth="1"/>
    <col min="3" max="5" width="11.97265625" customWidth="1"/>
    <col min="6" max="6" width="16.0078125" customWidth="1"/>
    <col min="7" max="8" width="13.98828125" customWidth="1"/>
    <col min="9" max="9" width="9.953125" customWidth="1"/>
    <col min="10" max="10" width="37.93359375" customWidth="1"/>
  </cols>
  <sheetData>
    <row r="1" spans="1:10" ht="21.95" customHeight="1" x14ac:dyDescent="0.2">
      <c r="A1" s="5" t="s">
        <v>87</v>
      </c>
    </row>
    <row r="2" spans="1:10" x14ac:dyDescent="0.2">
      <c r="A2" s="18" t="s">
        <v>23</v>
      </c>
      <c r="B2" s="18" t="s">
        <v>88</v>
      </c>
      <c r="C2" s="18" t="s">
        <v>89</v>
      </c>
      <c r="D2" s="18" t="s">
        <v>90</v>
      </c>
      <c r="E2" s="18" t="s">
        <v>91</v>
      </c>
      <c r="F2" s="18" t="s">
        <v>92</v>
      </c>
      <c r="G2" s="18" t="s">
        <v>93</v>
      </c>
      <c r="H2" s="18" t="s">
        <v>94</v>
      </c>
      <c r="I2" s="18" t="s">
        <v>95</v>
      </c>
      <c r="J2" s="18" t="s">
        <v>96</v>
      </c>
    </row>
    <row r="3" spans="1:10" x14ac:dyDescent="0.2">
      <c r="A3" s="12"/>
      <c r="D3" s="19"/>
      <c r="E3" s="19"/>
      <c r="F3" s="19"/>
      <c r="G3" s="20" t="str">
        <f>IF(OR(D3="",E3="",F3=""),"",((E3-D3)/D3)*F3)</f>
        <v/>
      </c>
      <c r="H3" s="11" t="str">
        <f>IF(OR(D3="",E3=""),"",((E3-D3)/D3))</f>
        <v/>
      </c>
      <c r="I3" s="3" t="str">
        <f>IF(H3="","",IF(H3&gt;0,"Win","Loss"))</f>
        <v/>
      </c>
    </row>
    <row r="4" spans="1:10" x14ac:dyDescent="0.2">
      <c r="A4" s="12"/>
      <c r="D4" s="19"/>
      <c r="E4" s="19"/>
      <c r="F4" s="19"/>
      <c r="G4" s="20" t="str">
        <f>IF(OR(D4="",E4="",F4=""),"",((E4-D4)/D4)*F4)</f>
        <v/>
      </c>
      <c r="H4" s="11" t="str">
        <f>IF(OR(D4="",E4=""),"",((E4-D4)/D4))</f>
        <v/>
      </c>
      <c r="I4" s="3" t="str">
        <f>IF(H4="","",IF(H4&gt;0,"Win","Loss"))</f>
        <v/>
      </c>
    </row>
    <row r="5" spans="1:10" x14ac:dyDescent="0.2">
      <c r="A5" s="12"/>
      <c r="D5" s="19"/>
      <c r="E5" s="19"/>
      <c r="F5" s="19"/>
      <c r="G5" s="20" t="str">
        <f>IF(OR(D5="",E5="",F5=""),"",((E5-D5)/D5)*F5)</f>
        <v/>
      </c>
      <c r="H5" s="11" t="str">
        <f>IF(OR(D5="",E5=""),"",((E5-D5)/D5))</f>
        <v/>
      </c>
      <c r="I5" s="3" t="str">
        <f>IF(H5="","",IF(H5&gt;0,"Win","Loss"))</f>
        <v/>
      </c>
    </row>
    <row r="6" spans="1:10" x14ac:dyDescent="0.2">
      <c r="A6" s="12"/>
      <c r="D6" s="19"/>
      <c r="E6" s="19"/>
      <c r="F6" s="19"/>
      <c r="G6" s="20" t="str">
        <f>IF(OR(D6="",E6="",F6=""),"",((E6-D6)/D6)*F6)</f>
        <v/>
      </c>
      <c r="H6" s="11" t="str">
        <f>IF(OR(D6="",E6=""),"",((E6-D6)/D6))</f>
        <v/>
      </c>
      <c r="I6" s="3" t="str">
        <f>IF(H6="","",IF(H6&gt;0,"Win","Loss"))</f>
        <v/>
      </c>
    </row>
    <row r="7" spans="1:10" x14ac:dyDescent="0.2">
      <c r="A7" s="12"/>
      <c r="D7" s="19"/>
      <c r="E7" s="19"/>
      <c r="F7" s="19"/>
      <c r="G7" s="20" t="str">
        <f>IF(OR(D7="",E7="",F7=""),"",((E7-D7)/D7)*F7)</f>
        <v/>
      </c>
      <c r="H7" s="11" t="str">
        <f>IF(OR(D7="",E7=""),"",((E7-D7)/D7))</f>
        <v/>
      </c>
      <c r="I7" s="3" t="str">
        <f>IF(H7="","",IF(H7&gt;0,"Win","Loss"))</f>
        <v/>
      </c>
    </row>
    <row r="8" spans="1:10" x14ac:dyDescent="0.2">
      <c r="A8" s="12"/>
      <c r="D8" s="19"/>
      <c r="E8" s="19"/>
      <c r="F8" s="19"/>
      <c r="G8" s="20" t="str">
        <f>IF(OR(D8="",E8="",F8=""),"",((E8-D8)/D8)*F8)</f>
        <v/>
      </c>
      <c r="H8" s="11" t="str">
        <f>IF(OR(D8="",E8=""),"",((E8-D8)/D8))</f>
        <v/>
      </c>
      <c r="I8" s="3" t="str">
        <f>IF(H8="","",IF(H8&gt;0,"Win","Loss"))</f>
        <v/>
      </c>
    </row>
    <row r="9" spans="1:10" x14ac:dyDescent="0.2">
      <c r="A9" s="12"/>
      <c r="D9" s="19"/>
      <c r="E9" s="19"/>
      <c r="F9" s="19"/>
      <c r="G9" s="20" t="str">
        <f>IF(OR(D9="",E9="",F9=""),"",((E9-D9)/D9)*F9)</f>
        <v/>
      </c>
      <c r="H9" s="11" t="str">
        <f>IF(OR(D9="",E9=""),"",((E9-D9)/D9))</f>
        <v/>
      </c>
      <c r="I9" s="3" t="str">
        <f>IF(H9="","",IF(H9&gt;0,"Win","Loss"))</f>
        <v/>
      </c>
    </row>
    <row r="10" spans="1:10" x14ac:dyDescent="0.2">
      <c r="A10" s="12"/>
      <c r="D10" s="19"/>
      <c r="E10" s="19"/>
      <c r="F10" s="19"/>
      <c r="G10" s="20" t="str">
        <f>IF(OR(D10="",E10="",F10=""),"",((E10-D10)/D10)*F10)</f>
        <v/>
      </c>
      <c r="H10" s="11" t="str">
        <f>IF(OR(D10="",E10=""),"",((E10-D10)/D10))</f>
        <v/>
      </c>
      <c r="I10" s="3" t="str">
        <f>IF(H10="","",IF(H10&gt;0,"Win","Loss"))</f>
        <v/>
      </c>
    </row>
    <row r="11" spans="1:10" x14ac:dyDescent="0.2">
      <c r="A11" s="12"/>
      <c r="D11" s="19"/>
      <c r="E11" s="19"/>
      <c r="F11" s="19"/>
      <c r="G11" s="20" t="str">
        <f>IF(OR(D11="",E11="",F11=""),"",((E11-D11)/D11)*F11)</f>
        <v/>
      </c>
      <c r="H11" s="11" t="str">
        <f>IF(OR(D11="",E11=""),"",((E11-D11)/D11))</f>
        <v/>
      </c>
      <c r="I11" s="3" t="str">
        <f>IF(H11="","",IF(H11&gt;0,"Win","Loss"))</f>
        <v/>
      </c>
    </row>
    <row r="12" spans="1:10" x14ac:dyDescent="0.2">
      <c r="A12" s="12"/>
      <c r="D12" s="19"/>
      <c r="E12" s="19"/>
      <c r="F12" s="19"/>
      <c r="G12" s="20" t="str">
        <f>IF(OR(D12="",E12="",F12=""),"",((E12-D12)/D12)*F12)</f>
        <v/>
      </c>
      <c r="H12" s="11" t="str">
        <f>IF(OR(D12="",E12=""),"",((E12-D12)/D12))</f>
        <v/>
      </c>
      <c r="I12" s="3" t="str">
        <f>IF(H12="","",IF(H12&gt;0,"Win","Loss"))</f>
        <v/>
      </c>
    </row>
    <row r="13" spans="1:10" x14ac:dyDescent="0.2">
      <c r="A13" s="12"/>
      <c r="D13" s="19"/>
      <c r="E13" s="19"/>
      <c r="F13" s="19"/>
      <c r="G13" s="20" t="str">
        <f>IF(OR(D13="",E13="",F13=""),"",((E13-D13)/D13)*F13)</f>
        <v/>
      </c>
      <c r="H13" s="11" t="str">
        <f>IF(OR(D13="",E13=""),"",((E13-D13)/D13))</f>
        <v/>
      </c>
      <c r="I13" s="3" t="str">
        <f>IF(H13="","",IF(H13&gt;0,"Win","Loss"))</f>
        <v/>
      </c>
    </row>
    <row r="14" spans="1:10" x14ac:dyDescent="0.2">
      <c r="A14" s="12"/>
      <c r="D14" s="19"/>
      <c r="E14" s="19"/>
      <c r="F14" s="19"/>
      <c r="G14" s="20" t="str">
        <f>IF(OR(D14="",E14="",F14=""),"",((E14-D14)/D14)*F14)</f>
        <v/>
      </c>
      <c r="H14" s="11" t="str">
        <f>IF(OR(D14="",E14=""),"",((E14-D14)/D14))</f>
        <v/>
      </c>
      <c r="I14" s="3" t="str">
        <f>IF(H14="","",IF(H14&gt;0,"Win","Loss"))</f>
        <v/>
      </c>
    </row>
    <row r="15" spans="1:10" x14ac:dyDescent="0.2">
      <c r="A15" s="12"/>
      <c r="D15" s="19"/>
      <c r="E15" s="19"/>
      <c r="F15" s="19"/>
      <c r="G15" s="20" t="str">
        <f>IF(OR(D15="",E15="",F15=""),"",((E15-D15)/D15)*F15)</f>
        <v/>
      </c>
      <c r="H15" s="11" t="str">
        <f>IF(OR(D15="",E15=""),"",((E15-D15)/D15))</f>
        <v/>
      </c>
      <c r="I15" s="3" t="str">
        <f>IF(H15="","",IF(H15&gt;0,"Win","Loss"))</f>
        <v/>
      </c>
    </row>
    <row r="16" spans="1:10" x14ac:dyDescent="0.2">
      <c r="A16" s="12"/>
      <c r="D16" s="19"/>
      <c r="E16" s="19"/>
      <c r="F16" s="19"/>
      <c r="G16" s="20" t="str">
        <f>IF(OR(D16="",E16="",F16=""),"",((E16-D16)/D16)*F16)</f>
        <v/>
      </c>
      <c r="H16" s="11" t="str">
        <f>IF(OR(D16="",E16=""),"",((E16-D16)/D16))</f>
        <v/>
      </c>
      <c r="I16" s="3" t="str">
        <f>IF(H16="","",IF(H16&gt;0,"Win","Loss"))</f>
        <v/>
      </c>
    </row>
    <row r="17" spans="1:9" x14ac:dyDescent="0.2">
      <c r="A17" s="12"/>
      <c r="D17" s="19"/>
      <c r="E17" s="19"/>
      <c r="F17" s="19"/>
      <c r="G17" s="20" t="str">
        <f>IF(OR(D17="",E17="",F17=""),"",((E17-D17)/D17)*F17)</f>
        <v/>
      </c>
      <c r="H17" s="11" t="str">
        <f>IF(OR(D17="",E17=""),"",((E17-D17)/D17))</f>
        <v/>
      </c>
      <c r="I17" s="3" t="str">
        <f>IF(H17="","",IF(H17&gt;0,"Win","Loss"))</f>
        <v/>
      </c>
    </row>
    <row r="18" spans="1:9" x14ac:dyDescent="0.2">
      <c r="A18" s="12"/>
      <c r="D18" s="19"/>
      <c r="E18" s="19"/>
      <c r="F18" s="19"/>
      <c r="G18" s="20" t="str">
        <f>IF(OR(D18="",E18="",F18=""),"",((E18-D18)/D18)*F18)</f>
        <v/>
      </c>
      <c r="H18" s="11" t="str">
        <f>IF(OR(D18="",E18=""),"",((E18-D18)/D18))</f>
        <v/>
      </c>
      <c r="I18" s="3" t="str">
        <f>IF(H18="","",IF(H18&gt;0,"Win","Loss"))</f>
        <v/>
      </c>
    </row>
    <row r="19" spans="1:9" x14ac:dyDescent="0.2">
      <c r="A19" s="12"/>
      <c r="D19" s="19"/>
      <c r="E19" s="19"/>
      <c r="F19" s="19"/>
      <c r="G19" s="20" t="str">
        <f>IF(OR(D19="",E19="",F19=""),"",((E19-D19)/D19)*F19)</f>
        <v/>
      </c>
      <c r="H19" s="11" t="str">
        <f>IF(OR(D19="",E19=""),"",((E19-D19)/D19))</f>
        <v/>
      </c>
      <c r="I19" s="3" t="str">
        <f>IF(H19="","",IF(H19&gt;0,"Win","Loss"))</f>
        <v/>
      </c>
    </row>
    <row r="20" spans="1:9" x14ac:dyDescent="0.2">
      <c r="A20" s="12"/>
      <c r="D20" s="19"/>
      <c r="E20" s="19"/>
      <c r="F20" s="19"/>
      <c r="G20" s="20" t="str">
        <f>IF(OR(D20="",E20="",F20=""),"",((E20-D20)/D20)*F20)</f>
        <v/>
      </c>
      <c r="H20" s="11" t="str">
        <f>IF(OR(D20="",E20=""),"",((E20-D20)/D20))</f>
        <v/>
      </c>
      <c r="I20" s="3" t="str">
        <f>IF(H20="","",IF(H20&gt;0,"Win","Loss"))</f>
        <v/>
      </c>
    </row>
    <row r="21" spans="1:9" x14ac:dyDescent="0.2">
      <c r="A21" s="12"/>
      <c r="D21" s="19"/>
      <c r="E21" s="19"/>
      <c r="F21" s="19"/>
      <c r="G21" s="20" t="str">
        <f>IF(OR(D21="",E21="",F21=""),"",((E21-D21)/D21)*F21)</f>
        <v/>
      </c>
      <c r="H21" s="11" t="str">
        <f>IF(OR(D21="",E21=""),"",((E21-D21)/D21))</f>
        <v/>
      </c>
      <c r="I21" s="3" t="str">
        <f>IF(H21="","",IF(H21&gt;0,"Win","Loss"))</f>
        <v/>
      </c>
    </row>
    <row r="22" spans="1:9" x14ac:dyDescent="0.2">
      <c r="A22" s="12"/>
      <c r="D22" s="19"/>
      <c r="E22" s="19"/>
      <c r="F22" s="19"/>
      <c r="G22" s="20" t="str">
        <f>IF(OR(D22="",E22="",F22=""),"",((E22-D22)/D22)*F22)</f>
        <v/>
      </c>
      <c r="H22" s="11" t="str">
        <f>IF(OR(D22="",E22=""),"",((E22-D22)/D22))</f>
        <v/>
      </c>
      <c r="I22" s="3" t="str">
        <f>IF(H22="","",IF(H22&gt;0,"Win","Loss"))</f>
        <v/>
      </c>
    </row>
    <row r="23" spans="1:9" x14ac:dyDescent="0.2">
      <c r="A23" s="12"/>
      <c r="D23" s="19"/>
      <c r="E23" s="19"/>
      <c r="F23" s="19"/>
      <c r="G23" s="20" t="str">
        <f>IF(OR(D23="",E23="",F23=""),"",((E23-D23)/D23)*F23)</f>
        <v/>
      </c>
      <c r="H23" s="11" t="str">
        <f>IF(OR(D23="",E23=""),"",((E23-D23)/D23))</f>
        <v/>
      </c>
      <c r="I23" s="3" t="str">
        <f>IF(H23="","",IF(H23&gt;0,"Win","Loss"))</f>
        <v/>
      </c>
    </row>
    <row r="24" spans="1:9" x14ac:dyDescent="0.2">
      <c r="A24" s="12"/>
      <c r="D24" s="19"/>
      <c r="E24" s="19"/>
      <c r="F24" s="19"/>
      <c r="G24" s="20" t="str">
        <f>IF(OR(D24="",E24="",F24=""),"",((E24-D24)/D24)*F24)</f>
        <v/>
      </c>
      <c r="H24" s="11" t="str">
        <f>IF(OR(D24="",E24=""),"",((E24-D24)/D24))</f>
        <v/>
      </c>
      <c r="I24" s="3" t="str">
        <f>IF(H24="","",IF(H24&gt;0,"Win","Loss"))</f>
        <v/>
      </c>
    </row>
    <row r="25" spans="1:9" x14ac:dyDescent="0.2">
      <c r="A25" s="12"/>
      <c r="D25" s="19"/>
      <c r="E25" s="19"/>
      <c r="F25" s="19"/>
      <c r="G25" s="20" t="str">
        <f>IF(OR(D25="",E25="",F25=""),"",((E25-D25)/D25)*F25)</f>
        <v/>
      </c>
      <c r="H25" s="11" t="str">
        <f>IF(OR(D25="",E25=""),"",((E25-D25)/D25))</f>
        <v/>
      </c>
      <c r="I25" s="3" t="str">
        <f>IF(H25="","",IF(H25&gt;0,"Win","Loss"))</f>
        <v/>
      </c>
    </row>
    <row r="26" spans="1:9" x14ac:dyDescent="0.2">
      <c r="A26" s="12"/>
      <c r="D26" s="19"/>
      <c r="E26" s="19"/>
      <c r="F26" s="19"/>
      <c r="G26" s="20" t="str">
        <f>IF(OR(D26="",E26="",F26=""),"",((E26-D26)/D26)*F26)</f>
        <v/>
      </c>
      <c r="H26" s="11" t="str">
        <f>IF(OR(D26="",E26=""),"",((E26-D26)/D26))</f>
        <v/>
      </c>
      <c r="I26" s="3" t="str">
        <f>IF(H26="","",IF(H26&gt;0,"Win","Loss"))</f>
        <v/>
      </c>
    </row>
    <row r="27" spans="1:9" x14ac:dyDescent="0.2">
      <c r="A27" s="12"/>
      <c r="D27" s="19"/>
      <c r="E27" s="19"/>
      <c r="F27" s="19"/>
      <c r="G27" s="20" t="str">
        <f>IF(OR(D27="",E27="",F27=""),"",((E27-D27)/D27)*F27)</f>
        <v/>
      </c>
      <c r="H27" s="11" t="str">
        <f>IF(OR(D27="",E27=""),"",((E27-D27)/D27))</f>
        <v/>
      </c>
      <c r="I27" s="3" t="str">
        <f>IF(H27="","",IF(H27&gt;0,"Win","Loss"))</f>
        <v/>
      </c>
    </row>
    <row r="28" spans="1:9" x14ac:dyDescent="0.2">
      <c r="A28" s="12"/>
      <c r="D28" s="19"/>
      <c r="E28" s="19"/>
      <c r="F28" s="19"/>
      <c r="G28" s="20" t="str">
        <f>IF(OR(D28="",E28="",F28=""),"",((E28-D28)/D28)*F28)</f>
        <v/>
      </c>
      <c r="H28" s="11" t="str">
        <f>IF(OR(D28="",E28=""),"",((E28-D28)/D28))</f>
        <v/>
      </c>
      <c r="I28" s="3" t="str">
        <f>IF(H28="","",IF(H28&gt;0,"Win","Loss"))</f>
        <v/>
      </c>
    </row>
    <row r="29" spans="1:9" x14ac:dyDescent="0.2">
      <c r="A29" s="12"/>
      <c r="D29" s="19"/>
      <c r="E29" s="19"/>
      <c r="F29" s="19"/>
      <c r="G29" s="20" t="str">
        <f>IF(OR(D29="",E29="",F29=""),"",((E29-D29)/D29)*F29)</f>
        <v/>
      </c>
      <c r="H29" s="11" t="str">
        <f>IF(OR(D29="",E29=""),"",((E29-D29)/D29))</f>
        <v/>
      </c>
      <c r="I29" s="3" t="str">
        <f>IF(H29="","",IF(H29&gt;0,"Win","Loss"))</f>
        <v/>
      </c>
    </row>
    <row r="30" spans="1:9" x14ac:dyDescent="0.2">
      <c r="A30" s="12"/>
      <c r="D30" s="19"/>
      <c r="E30" s="19"/>
      <c r="F30" s="19"/>
      <c r="G30" s="20" t="str">
        <f>IF(OR(D30="",E30="",F30=""),"",((E30-D30)/D30)*F30)</f>
        <v/>
      </c>
      <c r="H30" s="11" t="str">
        <f>IF(OR(D30="",E30=""),"",((E30-D30)/D30))</f>
        <v/>
      </c>
      <c r="I30" s="3" t="str">
        <f>IF(H30="","",IF(H30&gt;0,"Win","Loss"))</f>
        <v/>
      </c>
    </row>
    <row r="31" spans="1:9" x14ac:dyDescent="0.2">
      <c r="A31" s="12"/>
      <c r="D31" s="19"/>
      <c r="E31" s="19"/>
      <c r="F31" s="19"/>
      <c r="G31" s="20" t="str">
        <f>IF(OR(D31="",E31="",F31=""),"",((E31-D31)/D31)*F31)</f>
        <v/>
      </c>
      <c r="H31" s="11" t="str">
        <f>IF(OR(D31="",E31=""),"",((E31-D31)/D31))</f>
        <v/>
      </c>
      <c r="I31" s="3" t="str">
        <f>IF(H31="","",IF(H31&gt;0,"Win","Loss"))</f>
        <v/>
      </c>
    </row>
    <row r="32" spans="1:9" x14ac:dyDescent="0.2">
      <c r="A32" s="12"/>
      <c r="D32" s="19"/>
      <c r="E32" s="19"/>
      <c r="F32" s="19"/>
      <c r="G32" s="20" t="str">
        <f>IF(OR(D32="",E32="",F32=""),"",((E32-D32)/D32)*F32)</f>
        <v/>
      </c>
      <c r="H32" s="11" t="str">
        <f>IF(OR(D32="",E32=""),"",((E32-D32)/D32))</f>
        <v/>
      </c>
      <c r="I32" s="3" t="str">
        <f>IF(H32="","",IF(H32&gt;0,"Win","Loss"))</f>
        <v/>
      </c>
    </row>
    <row r="33" spans="1:9" x14ac:dyDescent="0.2">
      <c r="A33" s="12"/>
      <c r="D33" s="19"/>
      <c r="E33" s="19"/>
      <c r="F33" s="19"/>
      <c r="G33" s="20" t="str">
        <f>IF(OR(D33="",E33="",F33=""),"",((E33-D33)/D33)*F33)</f>
        <v/>
      </c>
      <c r="H33" s="11" t="str">
        <f>IF(OR(D33="",E33=""),"",((E33-D33)/D33))</f>
        <v/>
      </c>
      <c r="I33" s="3" t="str">
        <f>IF(H33="","",IF(H33&gt;0,"Win","Loss"))</f>
        <v/>
      </c>
    </row>
    <row r="34" spans="1:9" x14ac:dyDescent="0.2">
      <c r="A34" s="12"/>
      <c r="D34" s="19"/>
      <c r="E34" s="19"/>
      <c r="F34" s="19"/>
      <c r="G34" s="20" t="str">
        <f>IF(OR(D34="",E34="",F34=""),"",((E34-D34)/D34)*F34)</f>
        <v/>
      </c>
      <c r="H34" s="11" t="str">
        <f>IF(OR(D34="",E34=""),"",((E34-D34)/D34))</f>
        <v/>
      </c>
      <c r="I34" s="3" t="str">
        <f>IF(H34="","",IF(H34&gt;0,"Win","Loss"))</f>
        <v/>
      </c>
    </row>
    <row r="35" spans="1:9" x14ac:dyDescent="0.2">
      <c r="A35" s="12"/>
      <c r="D35" s="19"/>
      <c r="E35" s="19"/>
      <c r="F35" s="19"/>
      <c r="G35" s="20" t="str">
        <f>IF(OR(D35="",E35="",F35=""),"",((E35-D35)/D35)*F35)</f>
        <v/>
      </c>
      <c r="H35" s="11" t="str">
        <f>IF(OR(D35="",E35=""),"",((E35-D35)/D35))</f>
        <v/>
      </c>
      <c r="I35" s="3" t="str">
        <f>IF(H35="","",IF(H35&gt;0,"Win","Loss"))</f>
        <v/>
      </c>
    </row>
    <row r="36" spans="1:9" x14ac:dyDescent="0.2">
      <c r="A36" s="12"/>
      <c r="D36" s="19"/>
      <c r="E36" s="19"/>
      <c r="F36" s="19"/>
      <c r="G36" s="20" t="str">
        <f>IF(OR(D36="",E36="",F36=""),"",((E36-D36)/D36)*F36)</f>
        <v/>
      </c>
      <c r="H36" s="11" t="str">
        <f>IF(OR(D36="",E36=""),"",((E36-D36)/D36))</f>
        <v/>
      </c>
      <c r="I36" s="3" t="str">
        <f>IF(H36="","",IF(H36&gt;0,"Win","Loss"))</f>
        <v/>
      </c>
    </row>
    <row r="37" spans="1:9" x14ac:dyDescent="0.2">
      <c r="A37" s="12"/>
      <c r="D37" s="19"/>
      <c r="E37" s="19"/>
      <c r="F37" s="19"/>
      <c r="G37" s="20" t="str">
        <f>IF(OR(D37="",E37="",F37=""),"",((E37-D37)/D37)*F37)</f>
        <v/>
      </c>
      <c r="H37" s="11" t="str">
        <f>IF(OR(D37="",E37=""),"",((E37-D37)/D37))</f>
        <v/>
      </c>
      <c r="I37" s="3" t="str">
        <f>IF(H37="","",IF(H37&gt;0,"Win","Loss"))</f>
        <v/>
      </c>
    </row>
    <row r="38" spans="1:9" x14ac:dyDescent="0.2">
      <c r="A38" s="12"/>
      <c r="D38" s="19"/>
      <c r="E38" s="19"/>
      <c r="F38" s="19"/>
      <c r="G38" s="20" t="str">
        <f>IF(OR(D38="",E38="",F38=""),"",((E38-D38)/D38)*F38)</f>
        <v/>
      </c>
      <c r="H38" s="11" t="str">
        <f>IF(OR(D38="",E38=""),"",((E38-D38)/D38))</f>
        <v/>
      </c>
      <c r="I38" s="3" t="str">
        <f>IF(H38="","",IF(H38&gt;0,"Win","Loss"))</f>
        <v/>
      </c>
    </row>
    <row r="39" spans="1:9" x14ac:dyDescent="0.2">
      <c r="A39" s="12"/>
      <c r="D39" s="19"/>
      <c r="E39" s="19"/>
      <c r="F39" s="19"/>
      <c r="G39" s="20" t="str">
        <f>IF(OR(D39="",E39="",F39=""),"",((E39-D39)/D39)*F39)</f>
        <v/>
      </c>
      <c r="H39" s="11" t="str">
        <f>IF(OR(D39="",E39=""),"",((E39-D39)/D39))</f>
        <v/>
      </c>
      <c r="I39" s="3" t="str">
        <f>IF(H39="","",IF(H39&gt;0,"Win","Loss"))</f>
        <v/>
      </c>
    </row>
    <row r="40" spans="1:9" x14ac:dyDescent="0.2">
      <c r="A40" s="12"/>
      <c r="D40" s="19"/>
      <c r="E40" s="19"/>
      <c r="F40" s="19"/>
      <c r="G40" s="20" t="str">
        <f>IF(OR(D40="",E40="",F40=""),"",((E40-D40)/D40)*F40)</f>
        <v/>
      </c>
      <c r="H40" s="11" t="str">
        <f>IF(OR(D40="",E40=""),"",((E40-D40)/D40))</f>
        <v/>
      </c>
      <c r="I40" s="3" t="str">
        <f>IF(H40="","",IF(H40&gt;0,"Win","Loss"))</f>
        <v/>
      </c>
    </row>
    <row r="41" spans="1:9" x14ac:dyDescent="0.2">
      <c r="A41" s="12"/>
      <c r="D41" s="19"/>
      <c r="E41" s="19"/>
      <c r="F41" s="19"/>
      <c r="G41" s="20" t="str">
        <f>IF(OR(D41="",E41="",F41=""),"",((E41-D41)/D41)*F41)</f>
        <v/>
      </c>
      <c r="H41" s="11" t="str">
        <f>IF(OR(D41="",E41=""),"",((E41-D41)/D41))</f>
        <v/>
      </c>
      <c r="I41" s="3" t="str">
        <f>IF(H41="","",IF(H41&gt;0,"Win","Loss"))</f>
        <v/>
      </c>
    </row>
    <row r="42" spans="1:9" x14ac:dyDescent="0.2">
      <c r="A42" s="12"/>
      <c r="D42" s="19"/>
      <c r="E42" s="19"/>
      <c r="F42" s="19"/>
      <c r="G42" s="20" t="str">
        <f>IF(OR(D42="",E42="",F42=""),"",((E42-D42)/D42)*F42)</f>
        <v/>
      </c>
      <c r="H42" s="11" t="str">
        <f>IF(OR(D42="",E42=""),"",((E42-D42)/D42))</f>
        <v/>
      </c>
      <c r="I42" s="3" t="str">
        <f>IF(H42="","",IF(H42&gt;0,"Win","Loss"))</f>
        <v/>
      </c>
    </row>
    <row r="43" spans="1:9" x14ac:dyDescent="0.2">
      <c r="A43" s="12"/>
      <c r="D43" s="19"/>
      <c r="E43" s="19"/>
      <c r="F43" s="19"/>
      <c r="G43" s="20" t="str">
        <f>IF(OR(D43="",E43="",F43=""),"",((E43-D43)/D43)*F43)</f>
        <v/>
      </c>
      <c r="H43" s="11" t="str">
        <f>IF(OR(D43="",E43=""),"",((E43-D43)/D43))</f>
        <v/>
      </c>
      <c r="I43" s="3" t="str">
        <f>IF(H43="","",IF(H43&gt;0,"Win","Loss"))</f>
        <v/>
      </c>
    </row>
    <row r="44" spans="1:9" x14ac:dyDescent="0.2">
      <c r="A44" s="12"/>
      <c r="D44" s="19"/>
      <c r="E44" s="19"/>
      <c r="F44" s="19"/>
      <c r="G44" s="20" t="str">
        <f>IF(OR(D44="",E44="",F44=""),"",((E44-D44)/D44)*F44)</f>
        <v/>
      </c>
      <c r="H44" s="11" t="str">
        <f>IF(OR(D44="",E44=""),"",((E44-D44)/D44))</f>
        <v/>
      </c>
      <c r="I44" s="3" t="str">
        <f>IF(H44="","",IF(H44&gt;0,"Win","Loss"))</f>
        <v/>
      </c>
    </row>
    <row r="45" spans="1:9" x14ac:dyDescent="0.2">
      <c r="A45" s="12"/>
      <c r="D45" s="19"/>
      <c r="E45" s="19"/>
      <c r="F45" s="19"/>
      <c r="G45" s="20" t="str">
        <f>IF(OR(D45="",E45="",F45=""),"",((E45-D45)/D45)*F45)</f>
        <v/>
      </c>
      <c r="H45" s="11" t="str">
        <f>IF(OR(D45="",E45=""),"",((E45-D45)/D45))</f>
        <v/>
      </c>
      <c r="I45" s="3" t="str">
        <f>IF(H45="","",IF(H45&gt;0,"Win","Loss"))</f>
        <v/>
      </c>
    </row>
    <row r="46" spans="1:9" x14ac:dyDescent="0.2">
      <c r="A46" s="12"/>
      <c r="D46" s="19"/>
      <c r="E46" s="19"/>
      <c r="F46" s="19"/>
      <c r="G46" s="20" t="str">
        <f>IF(OR(D46="",E46="",F46=""),"",((E46-D46)/D46)*F46)</f>
        <v/>
      </c>
      <c r="H46" s="11" t="str">
        <f>IF(OR(D46="",E46=""),"",((E46-D46)/D46))</f>
        <v/>
      </c>
      <c r="I46" s="3" t="str">
        <f>IF(H46="","",IF(H46&gt;0,"Win","Loss"))</f>
        <v/>
      </c>
    </row>
    <row r="47" spans="1:9" x14ac:dyDescent="0.2">
      <c r="A47" s="12"/>
      <c r="D47" s="19"/>
      <c r="E47" s="19"/>
      <c r="F47" s="19"/>
      <c r="G47" s="20" t="str">
        <f>IF(OR(D47="",E47="",F47=""),"",((E47-D47)/D47)*F47)</f>
        <v/>
      </c>
      <c r="H47" s="11" t="str">
        <f>IF(OR(D47="",E47=""),"",((E47-D47)/D47))</f>
        <v/>
      </c>
      <c r="I47" s="3" t="str">
        <f>IF(H47="","",IF(H47&gt;0,"Win","Loss"))</f>
        <v/>
      </c>
    </row>
    <row r="48" spans="1:9" x14ac:dyDescent="0.2">
      <c r="A48" s="12"/>
      <c r="D48" s="19"/>
      <c r="E48" s="19"/>
      <c r="F48" s="19"/>
      <c r="G48" s="20" t="str">
        <f>IF(OR(D48="",E48="",F48=""),"",((E48-D48)/D48)*F48)</f>
        <v/>
      </c>
      <c r="H48" s="11" t="str">
        <f>IF(OR(D48="",E48=""),"",((E48-D48)/D48))</f>
        <v/>
      </c>
      <c r="I48" s="3" t="str">
        <f>IF(H48="","",IF(H48&gt;0,"Win","Loss"))</f>
        <v/>
      </c>
    </row>
    <row r="49" spans="1:9" x14ac:dyDescent="0.2">
      <c r="A49" s="12"/>
      <c r="D49" s="19"/>
      <c r="E49" s="19"/>
      <c r="F49" s="19"/>
      <c r="G49" s="20" t="str">
        <f>IF(OR(D49="",E49="",F49=""),"",((E49-D49)/D49)*F49)</f>
        <v/>
      </c>
      <c r="H49" s="11" t="str">
        <f>IF(OR(D49="",E49=""),"",((E49-D49)/D49))</f>
        <v/>
      </c>
      <c r="I49" s="3" t="str">
        <f>IF(H49="","",IF(H49&gt;0,"Win","Loss"))</f>
        <v/>
      </c>
    </row>
    <row r="50" spans="1:9" x14ac:dyDescent="0.2">
      <c r="A50" s="12"/>
      <c r="D50" s="19"/>
      <c r="E50" s="19"/>
      <c r="F50" s="19"/>
      <c r="G50" s="20" t="str">
        <f>IF(OR(D50="",E50="",F50=""),"",((E50-D50)/D50)*F50)</f>
        <v/>
      </c>
      <c r="H50" s="11" t="str">
        <f>IF(OR(D50="",E50=""),"",((E50-D50)/D50))</f>
        <v/>
      </c>
      <c r="I50" s="3" t="str">
        <f>IF(H50="","",IF(H50&gt;0,"Win","Loss"))</f>
        <v/>
      </c>
    </row>
    <row r="51" spans="1:9" x14ac:dyDescent="0.2">
      <c r="A51" s="12"/>
      <c r="D51" s="19"/>
      <c r="E51" s="19"/>
      <c r="F51" s="19"/>
      <c r="G51" s="20" t="str">
        <f>IF(OR(D51="",E51="",F51=""),"",((E51-D51)/D51)*F51)</f>
        <v/>
      </c>
      <c r="H51" s="11" t="str">
        <f>IF(OR(D51="",E51=""),"",((E51-D51)/D51))</f>
        <v/>
      </c>
      <c r="I51" s="3" t="str">
        <f>IF(H51="","",IF(H51&gt;0,"Win","Loss"))</f>
        <v/>
      </c>
    </row>
    <row r="52" spans="1:9" x14ac:dyDescent="0.2">
      <c r="A52" s="12"/>
      <c r="D52" s="19"/>
      <c r="E52" s="19"/>
      <c r="F52" s="19"/>
      <c r="G52" s="20" t="str">
        <f>IF(OR(D52="",E52="",F52=""),"",((E52-D52)/D52)*F52)</f>
        <v/>
      </c>
      <c r="H52" s="11" t="str">
        <f>IF(OR(D52="",E52=""),"",((E52-D52)/D52))</f>
        <v/>
      </c>
      <c r="I52" s="3" t="str">
        <f>IF(H52="","",IF(H52&gt;0,"Win","Loss"))</f>
        <v/>
      </c>
    </row>
    <row r="53" spans="1:9" x14ac:dyDescent="0.2">
      <c r="A53" s="12"/>
      <c r="D53" s="19"/>
      <c r="E53" s="19"/>
      <c r="F53" s="19"/>
      <c r="G53" s="20" t="str">
        <f>IF(OR(D53="",E53="",F53=""),"",((E53-D53)/D53)*F53)</f>
        <v/>
      </c>
      <c r="H53" s="11" t="str">
        <f>IF(OR(D53="",E53=""),"",((E53-D53)/D53))</f>
        <v/>
      </c>
      <c r="I53" s="3" t="str">
        <f>IF(H53="","",IF(H53&gt;0,"Win","Loss"))</f>
        <v/>
      </c>
    </row>
    <row r="54" spans="1:9" x14ac:dyDescent="0.2">
      <c r="A54" s="12"/>
      <c r="D54" s="19"/>
      <c r="E54" s="19"/>
      <c r="F54" s="19"/>
      <c r="G54" s="20" t="str">
        <f>IF(OR(D54="",E54="",F54=""),"",((E54-D54)/D54)*F54)</f>
        <v/>
      </c>
      <c r="H54" s="11" t="str">
        <f>IF(OR(D54="",E54=""),"",((E54-D54)/D54))</f>
        <v/>
      </c>
      <c r="I54" s="3" t="str">
        <f>IF(H54="","",IF(H54&gt;0,"Win","Loss"))</f>
        <v/>
      </c>
    </row>
    <row r="55" spans="1:9" x14ac:dyDescent="0.2">
      <c r="A55" s="12"/>
      <c r="D55" s="19"/>
      <c r="E55" s="19"/>
      <c r="F55" s="19"/>
      <c r="G55" s="20" t="str">
        <f>IF(OR(D55="",E55="",F55=""),"",((E55-D55)/D55)*F55)</f>
        <v/>
      </c>
      <c r="H55" s="11" t="str">
        <f>IF(OR(D55="",E55=""),"",((E55-D55)/D55))</f>
        <v/>
      </c>
      <c r="I55" s="3" t="str">
        <f>IF(H55="","",IF(H55&gt;0,"Win","Loss"))</f>
        <v/>
      </c>
    </row>
    <row r="56" spans="1:9" x14ac:dyDescent="0.2">
      <c r="A56" s="12"/>
      <c r="D56" s="19"/>
      <c r="E56" s="19"/>
      <c r="F56" s="19"/>
      <c r="G56" s="20" t="str">
        <f>IF(OR(D56="",E56="",F56=""),"",((E56-D56)/D56)*F56)</f>
        <v/>
      </c>
      <c r="H56" s="11" t="str">
        <f>IF(OR(D56="",E56=""),"",((E56-D56)/D56))</f>
        <v/>
      </c>
      <c r="I56" s="3" t="str">
        <f>IF(H56="","",IF(H56&gt;0,"Win","Loss"))</f>
        <v/>
      </c>
    </row>
    <row r="57" spans="1:9" x14ac:dyDescent="0.2">
      <c r="A57" s="12"/>
      <c r="D57" s="19"/>
      <c r="E57" s="19"/>
      <c r="F57" s="19"/>
      <c r="G57" s="20" t="str">
        <f>IF(OR(D57="",E57="",F57=""),"",((E57-D57)/D57)*F57)</f>
        <v/>
      </c>
      <c r="H57" s="11" t="str">
        <f>IF(OR(D57="",E57=""),"",((E57-D57)/D57))</f>
        <v/>
      </c>
      <c r="I57" s="3" t="str">
        <f>IF(H57="","",IF(H57&gt;0,"Win","Loss"))</f>
        <v/>
      </c>
    </row>
    <row r="58" spans="1:9" x14ac:dyDescent="0.2">
      <c r="A58" s="12"/>
      <c r="D58" s="19"/>
      <c r="E58" s="19"/>
      <c r="F58" s="19"/>
      <c r="G58" s="20" t="str">
        <f>IF(OR(D58="",E58="",F58=""),"",((E58-D58)/D58)*F58)</f>
        <v/>
      </c>
      <c r="H58" s="11" t="str">
        <f>IF(OR(D58="",E58=""),"",((E58-D58)/D58))</f>
        <v/>
      </c>
      <c r="I58" s="3" t="str">
        <f>IF(H58="","",IF(H58&gt;0,"Win","Loss"))</f>
        <v/>
      </c>
    </row>
    <row r="59" spans="1:9" x14ac:dyDescent="0.2">
      <c r="A59" s="12"/>
      <c r="D59" s="19"/>
      <c r="E59" s="19"/>
      <c r="F59" s="19"/>
      <c r="G59" s="20" t="str">
        <f>IF(OR(D59="",E59="",F59=""),"",((E59-D59)/D59)*F59)</f>
        <v/>
      </c>
      <c r="H59" s="11" t="str">
        <f>IF(OR(D59="",E59=""),"",((E59-D59)/D59))</f>
        <v/>
      </c>
      <c r="I59" s="3" t="str">
        <f>IF(H59="","",IF(H59&gt;0,"Win","Loss"))</f>
        <v/>
      </c>
    </row>
    <row r="60" spans="1:9" x14ac:dyDescent="0.2">
      <c r="A60" s="12"/>
      <c r="D60" s="19"/>
      <c r="E60" s="19"/>
      <c r="F60" s="19"/>
      <c r="G60" s="20" t="str">
        <f>IF(OR(D60="",E60="",F60=""),"",((E60-D60)/D60)*F60)</f>
        <v/>
      </c>
      <c r="H60" s="11" t="str">
        <f>IF(OR(D60="",E60=""),"",((E60-D60)/D60))</f>
        <v/>
      </c>
      <c r="I60" s="3" t="str">
        <f>IF(H60="","",IF(H60&gt;0,"Win","Loss"))</f>
        <v/>
      </c>
    </row>
    <row r="61" spans="1:9" x14ac:dyDescent="0.2">
      <c r="A61" s="12"/>
      <c r="D61" s="19"/>
      <c r="E61" s="19"/>
      <c r="F61" s="19"/>
      <c r="G61" s="20" t="str">
        <f>IF(OR(D61="",E61="",F61=""),"",((E61-D61)/D61)*F61)</f>
        <v/>
      </c>
      <c r="H61" s="11" t="str">
        <f>IF(OR(D61="",E61=""),"",((E61-D61)/D61))</f>
        <v/>
      </c>
      <c r="I61" s="3" t="str">
        <f>IF(H61="","",IF(H61&gt;0,"Win","Loss"))</f>
        <v/>
      </c>
    </row>
    <row r="62" spans="1:9" x14ac:dyDescent="0.2">
      <c r="A62" s="12"/>
      <c r="D62" s="19"/>
      <c r="E62" s="19"/>
      <c r="F62" s="19"/>
      <c r="G62" s="20" t="str">
        <f>IF(OR(D62="",E62="",F62=""),"",((E62-D62)/D62)*F62)</f>
        <v/>
      </c>
      <c r="H62" s="11" t="str">
        <f>IF(OR(D62="",E62=""),"",((E62-D62)/D62))</f>
        <v/>
      </c>
      <c r="I62" s="3" t="str">
        <f>IF(H62="","",IF(H62&gt;0,"Win","Loss"))</f>
        <v/>
      </c>
    </row>
    <row r="63" spans="1:9" x14ac:dyDescent="0.2">
      <c r="A63" s="12"/>
      <c r="D63" s="19"/>
      <c r="E63" s="19"/>
      <c r="F63" s="19"/>
      <c r="G63" s="20" t="str">
        <f>IF(OR(D63="",E63="",F63=""),"",((E63-D63)/D63)*F63)</f>
        <v/>
      </c>
      <c r="H63" s="11" t="str">
        <f>IF(OR(D63="",E63=""),"",((E63-D63)/D63))</f>
        <v/>
      </c>
      <c r="I63" s="3" t="str">
        <f>IF(H63="","",IF(H63&gt;0,"Win","Loss"))</f>
        <v/>
      </c>
    </row>
    <row r="64" spans="1:9" x14ac:dyDescent="0.2">
      <c r="A64" s="12"/>
      <c r="D64" s="19"/>
      <c r="E64" s="19"/>
      <c r="F64" s="19"/>
      <c r="G64" s="20" t="str">
        <f>IF(OR(D64="",E64="",F64=""),"",((E64-D64)/D64)*F64)</f>
        <v/>
      </c>
      <c r="H64" s="11" t="str">
        <f>IF(OR(D64="",E64=""),"",((E64-D64)/D64))</f>
        <v/>
      </c>
      <c r="I64" s="3" t="str">
        <f>IF(H64="","",IF(H64&gt;0,"Win","Loss"))</f>
        <v/>
      </c>
    </row>
    <row r="65" spans="1:9" x14ac:dyDescent="0.2">
      <c r="A65" s="12"/>
      <c r="D65" s="19"/>
      <c r="E65" s="19"/>
      <c r="F65" s="19"/>
      <c r="G65" s="20" t="str">
        <f>IF(OR(D65="",E65="",F65=""),"",((E65-D65)/D65)*F65)</f>
        <v/>
      </c>
      <c r="H65" s="11" t="str">
        <f>IF(OR(D65="",E65=""),"",((E65-D65)/D65))</f>
        <v/>
      </c>
      <c r="I65" s="3" t="str">
        <f>IF(H65="","",IF(H65&gt;0,"Win","Loss"))</f>
        <v/>
      </c>
    </row>
    <row r="66" spans="1:9" x14ac:dyDescent="0.2">
      <c r="A66" s="12"/>
      <c r="D66" s="19"/>
      <c r="E66" s="19"/>
      <c r="F66" s="19"/>
      <c r="G66" s="20" t="str">
        <f>IF(OR(D66="",E66="",F66=""),"",((E66-D66)/D66)*F66)</f>
        <v/>
      </c>
      <c r="H66" s="11" t="str">
        <f>IF(OR(D66="",E66=""),"",((E66-D66)/D66))</f>
        <v/>
      </c>
      <c r="I66" s="3" t="str">
        <f>IF(H66="","",IF(H66&gt;0,"Win","Loss"))</f>
        <v/>
      </c>
    </row>
    <row r="67" spans="1:9" x14ac:dyDescent="0.2">
      <c r="A67" s="12"/>
      <c r="D67" s="19"/>
      <c r="E67" s="19"/>
      <c r="F67" s="19"/>
      <c r="G67" s="20" t="str">
        <f>IF(OR(D67="",E67="",F67=""),"",((E67-D67)/D67)*F67)</f>
        <v/>
      </c>
      <c r="H67" s="11" t="str">
        <f>IF(OR(D67="",E67=""),"",((E67-D67)/D67))</f>
        <v/>
      </c>
      <c r="I67" s="3" t="str">
        <f>IF(H67="","",IF(H67&gt;0,"Win","Loss"))</f>
        <v/>
      </c>
    </row>
    <row r="68" spans="1:9" x14ac:dyDescent="0.2">
      <c r="A68" s="12"/>
      <c r="D68" s="19"/>
      <c r="E68" s="19"/>
      <c r="F68" s="19"/>
      <c r="G68" s="20" t="str">
        <f>IF(OR(D68="",E68="",F68=""),"",((E68-D68)/D68)*F68)</f>
        <v/>
      </c>
      <c r="H68" s="11" t="str">
        <f>IF(OR(D68="",E68=""),"",((E68-D68)/D68))</f>
        <v/>
      </c>
      <c r="I68" s="3" t="str">
        <f>IF(H68="","",IF(H68&gt;0,"Win","Loss"))</f>
        <v/>
      </c>
    </row>
    <row r="69" spans="1:9" x14ac:dyDescent="0.2">
      <c r="A69" s="12"/>
      <c r="D69" s="19"/>
      <c r="E69" s="19"/>
      <c r="F69" s="19"/>
      <c r="G69" s="20" t="str">
        <f>IF(OR(D69="",E69="",F69=""),"",((E69-D69)/D69)*F69)</f>
        <v/>
      </c>
      <c r="H69" s="11" t="str">
        <f>IF(OR(D69="",E69=""),"",((E69-D69)/D69))</f>
        <v/>
      </c>
      <c r="I69" s="3" t="str">
        <f>IF(H69="","",IF(H69&gt;0,"Win","Loss"))</f>
        <v/>
      </c>
    </row>
    <row r="70" spans="1:9" x14ac:dyDescent="0.2">
      <c r="A70" s="12"/>
      <c r="D70" s="19"/>
      <c r="E70" s="19"/>
      <c r="F70" s="19"/>
      <c r="G70" s="20" t="str">
        <f>IF(OR(D70="",E70="",F70=""),"",((E70-D70)/D70)*F70)</f>
        <v/>
      </c>
      <c r="H70" s="11" t="str">
        <f>IF(OR(D70="",E70=""),"",((E70-D70)/D70))</f>
        <v/>
      </c>
      <c r="I70" s="3" t="str">
        <f>IF(H70="","",IF(H70&gt;0,"Win","Loss"))</f>
        <v/>
      </c>
    </row>
    <row r="71" spans="1:9" x14ac:dyDescent="0.2">
      <c r="A71" s="12"/>
      <c r="D71" s="19"/>
      <c r="E71" s="19"/>
      <c r="F71" s="19"/>
      <c r="G71" s="20" t="str">
        <f>IF(OR(D71="",E71="",F71=""),"",((E71-D71)/D71)*F71)</f>
        <v/>
      </c>
      <c r="H71" s="11" t="str">
        <f>IF(OR(D71="",E71=""),"",((E71-D71)/D71))</f>
        <v/>
      </c>
      <c r="I71" s="3" t="str">
        <f>IF(H71="","",IF(H71&gt;0,"Win","Loss"))</f>
        <v/>
      </c>
    </row>
    <row r="72" spans="1:9" x14ac:dyDescent="0.2">
      <c r="A72" s="12"/>
      <c r="D72" s="19"/>
      <c r="E72" s="19"/>
      <c r="F72" s="19"/>
      <c r="G72" s="20" t="str">
        <f>IF(OR(D72="",E72="",F72=""),"",((E72-D72)/D72)*F72)</f>
        <v/>
      </c>
      <c r="H72" s="11" t="str">
        <f>IF(OR(D72="",E72=""),"",((E72-D72)/D72))</f>
        <v/>
      </c>
      <c r="I72" s="3" t="str">
        <f>IF(H72="","",IF(H72&gt;0,"Win","Loss"))</f>
        <v/>
      </c>
    </row>
    <row r="73" spans="1:9" x14ac:dyDescent="0.2">
      <c r="A73" s="12"/>
      <c r="D73" s="19"/>
      <c r="E73" s="19"/>
      <c r="F73" s="19"/>
      <c r="G73" s="20" t="str">
        <f>IF(OR(D73="",E73="",F73=""),"",((E73-D73)/D73)*F73)</f>
        <v/>
      </c>
      <c r="H73" s="11" t="str">
        <f>IF(OR(D73="",E73=""),"",((E73-D73)/D73))</f>
        <v/>
      </c>
      <c r="I73" s="3" t="str">
        <f>IF(H73="","",IF(H73&gt;0,"Win","Loss"))</f>
        <v/>
      </c>
    </row>
    <row r="74" spans="1:9" x14ac:dyDescent="0.2">
      <c r="A74" s="12"/>
      <c r="D74" s="19"/>
      <c r="E74" s="19"/>
      <c r="F74" s="19"/>
      <c r="G74" s="20" t="str">
        <f>IF(OR(D74="",E74="",F74=""),"",((E74-D74)/D74)*F74)</f>
        <v/>
      </c>
      <c r="H74" s="11" t="str">
        <f>IF(OR(D74="",E74=""),"",((E74-D74)/D74))</f>
        <v/>
      </c>
      <c r="I74" s="3" t="str">
        <f>IF(H74="","",IF(H74&gt;0,"Win","Loss"))</f>
        <v/>
      </c>
    </row>
    <row r="75" spans="1:9" x14ac:dyDescent="0.2">
      <c r="A75" s="12"/>
      <c r="D75" s="19"/>
      <c r="E75" s="19"/>
      <c r="F75" s="19"/>
      <c r="G75" s="20" t="str">
        <f>IF(OR(D75="",E75="",F75=""),"",((E75-D75)/D75)*F75)</f>
        <v/>
      </c>
      <c r="H75" s="11" t="str">
        <f>IF(OR(D75="",E75=""),"",((E75-D75)/D75))</f>
        <v/>
      </c>
      <c r="I75" s="3" t="str">
        <f>IF(H75="","",IF(H75&gt;0,"Win","Loss"))</f>
        <v/>
      </c>
    </row>
    <row r="76" spans="1:9" x14ac:dyDescent="0.2">
      <c r="A76" s="12"/>
      <c r="D76" s="19"/>
      <c r="E76" s="19"/>
      <c r="F76" s="19"/>
      <c r="G76" s="20" t="str">
        <f>IF(OR(D76="",E76="",F76=""),"",((E76-D76)/D76)*F76)</f>
        <v/>
      </c>
      <c r="H76" s="11" t="str">
        <f>IF(OR(D76="",E76=""),"",((E76-D76)/D76))</f>
        <v/>
      </c>
      <c r="I76" s="3" t="str">
        <f>IF(H76="","",IF(H76&gt;0,"Win","Loss"))</f>
        <v/>
      </c>
    </row>
    <row r="77" spans="1:9" x14ac:dyDescent="0.2">
      <c r="A77" s="12"/>
      <c r="D77" s="19"/>
      <c r="E77" s="19"/>
      <c r="F77" s="19"/>
      <c r="G77" s="20" t="str">
        <f>IF(OR(D77="",E77="",F77=""),"",((E77-D77)/D77)*F77)</f>
        <v/>
      </c>
      <c r="H77" s="11" t="str">
        <f>IF(OR(D77="",E77=""),"",((E77-D77)/D77))</f>
        <v/>
      </c>
      <c r="I77" s="3" t="str">
        <f>IF(H77="","",IF(H77&gt;0,"Win","Loss"))</f>
        <v/>
      </c>
    </row>
    <row r="78" spans="1:9" x14ac:dyDescent="0.2">
      <c r="A78" s="12"/>
      <c r="D78" s="19"/>
      <c r="E78" s="19"/>
      <c r="F78" s="19"/>
      <c r="G78" s="20" t="str">
        <f>IF(OR(D78="",E78="",F78=""),"",((E78-D78)/D78)*F78)</f>
        <v/>
      </c>
      <c r="H78" s="11" t="str">
        <f>IF(OR(D78="",E78=""),"",((E78-D78)/D78))</f>
        <v/>
      </c>
      <c r="I78" s="3" t="str">
        <f>IF(H78="","",IF(H78&gt;0,"Win","Loss"))</f>
        <v/>
      </c>
    </row>
    <row r="79" spans="1:9" x14ac:dyDescent="0.2">
      <c r="A79" s="12"/>
      <c r="D79" s="19"/>
      <c r="E79" s="19"/>
      <c r="F79" s="19"/>
      <c r="G79" s="20" t="str">
        <f>IF(OR(D79="",E79="",F79=""),"",((E79-D79)/D79)*F79)</f>
        <v/>
      </c>
      <c r="H79" s="11" t="str">
        <f>IF(OR(D79="",E79=""),"",((E79-D79)/D79))</f>
        <v/>
      </c>
      <c r="I79" s="3" t="str">
        <f>IF(H79="","",IF(H79&gt;0,"Win","Loss"))</f>
        <v/>
      </c>
    </row>
    <row r="80" spans="1:9" x14ac:dyDescent="0.2">
      <c r="A80" s="12"/>
      <c r="D80" s="19"/>
      <c r="E80" s="19"/>
      <c r="F80" s="19"/>
      <c r="G80" s="20" t="str">
        <f>IF(OR(D80="",E80="",F80=""),"",((E80-D80)/D80)*F80)</f>
        <v/>
      </c>
      <c r="H80" s="11" t="str">
        <f>IF(OR(D80="",E80=""),"",((E80-D80)/D80))</f>
        <v/>
      </c>
      <c r="I80" s="3" t="str">
        <f>IF(H80="","",IF(H80&gt;0,"Win","Loss"))</f>
        <v/>
      </c>
    </row>
    <row r="81" spans="1:9" x14ac:dyDescent="0.2">
      <c r="A81" s="12"/>
      <c r="D81" s="19"/>
      <c r="E81" s="19"/>
      <c r="F81" s="19"/>
      <c r="G81" s="20" t="str">
        <f>IF(OR(D81="",E81="",F81=""),"",((E81-D81)/D81)*F81)</f>
        <v/>
      </c>
      <c r="H81" s="11" t="str">
        <f>IF(OR(D81="",E81=""),"",((E81-D81)/D81))</f>
        <v/>
      </c>
      <c r="I81" s="3" t="str">
        <f>IF(H81="","",IF(H81&gt;0,"Win","Loss"))</f>
        <v/>
      </c>
    </row>
    <row r="82" spans="1:9" x14ac:dyDescent="0.2">
      <c r="A82" s="12"/>
      <c r="D82" s="19"/>
      <c r="E82" s="19"/>
      <c r="F82" s="19"/>
      <c r="G82" s="20" t="str">
        <f>IF(OR(D82="",E82="",F82=""),"",((E82-D82)/D82)*F82)</f>
        <v/>
      </c>
      <c r="H82" s="11" t="str">
        <f>IF(OR(D82="",E82=""),"",((E82-D82)/D82))</f>
        <v/>
      </c>
      <c r="I82" s="3" t="str">
        <f>IF(H82="","",IF(H82&gt;0,"Win","Loss"))</f>
        <v/>
      </c>
    </row>
    <row r="83" spans="1:9" x14ac:dyDescent="0.2">
      <c r="A83" s="12"/>
      <c r="D83" s="19"/>
      <c r="E83" s="19"/>
      <c r="F83" s="19"/>
      <c r="G83" s="20" t="str">
        <f>IF(OR(D83="",E83="",F83=""),"",((E83-D83)/D83)*F83)</f>
        <v/>
      </c>
      <c r="H83" s="11" t="str">
        <f>IF(OR(D83="",E83=""),"",((E83-D83)/D83))</f>
        <v/>
      </c>
      <c r="I83" s="3" t="str">
        <f>IF(H83="","",IF(H83&gt;0,"Win","Loss"))</f>
        <v/>
      </c>
    </row>
    <row r="84" spans="1:9" x14ac:dyDescent="0.2">
      <c r="A84" s="12"/>
      <c r="D84" s="19"/>
      <c r="E84" s="19"/>
      <c r="F84" s="19"/>
      <c r="G84" s="20" t="str">
        <f>IF(OR(D84="",E84="",F84=""),"",((E84-D84)/D84)*F84)</f>
        <v/>
      </c>
      <c r="H84" s="11" t="str">
        <f>IF(OR(D84="",E84=""),"",((E84-D84)/D84))</f>
        <v/>
      </c>
      <c r="I84" s="3" t="str">
        <f>IF(H84="","",IF(H84&gt;0,"Win","Loss"))</f>
        <v/>
      </c>
    </row>
    <row r="85" spans="1:9" x14ac:dyDescent="0.2">
      <c r="A85" s="12"/>
      <c r="D85" s="19"/>
      <c r="E85" s="19"/>
      <c r="F85" s="19"/>
      <c r="G85" s="20" t="str">
        <f>IF(OR(D85="",E85="",F85=""),"",((E85-D85)/D85)*F85)</f>
        <v/>
      </c>
      <c r="H85" s="11" t="str">
        <f>IF(OR(D85="",E85=""),"",((E85-D85)/D85))</f>
        <v/>
      </c>
      <c r="I85" s="3" t="str">
        <f>IF(H85="","",IF(H85&gt;0,"Win","Loss"))</f>
        <v/>
      </c>
    </row>
    <row r="86" spans="1:9" x14ac:dyDescent="0.2">
      <c r="A86" s="12"/>
      <c r="D86" s="19"/>
      <c r="E86" s="19"/>
      <c r="F86" s="19"/>
      <c r="G86" s="20" t="str">
        <f>IF(OR(D86="",E86="",F86=""),"",((E86-D86)/D86)*F86)</f>
        <v/>
      </c>
      <c r="H86" s="11" t="str">
        <f>IF(OR(D86="",E86=""),"",((E86-D86)/D86))</f>
        <v/>
      </c>
      <c r="I86" s="3" t="str">
        <f>IF(H86="","",IF(H86&gt;0,"Win","Loss"))</f>
        <v/>
      </c>
    </row>
    <row r="87" spans="1:9" x14ac:dyDescent="0.2">
      <c r="A87" s="12"/>
      <c r="D87" s="19"/>
      <c r="E87" s="19"/>
      <c r="F87" s="19"/>
      <c r="G87" s="20" t="str">
        <f>IF(OR(D87="",E87="",F87=""),"",((E87-D87)/D87)*F87)</f>
        <v/>
      </c>
      <c r="H87" s="11" t="str">
        <f>IF(OR(D87="",E87=""),"",((E87-D87)/D87))</f>
        <v/>
      </c>
      <c r="I87" s="3" t="str">
        <f>IF(H87="","",IF(H87&gt;0,"Win","Loss"))</f>
        <v/>
      </c>
    </row>
    <row r="88" spans="1:9" x14ac:dyDescent="0.2">
      <c r="A88" s="12"/>
      <c r="D88" s="19"/>
      <c r="E88" s="19"/>
      <c r="F88" s="19"/>
      <c r="G88" s="20" t="str">
        <f>IF(OR(D88="",E88="",F88=""),"",((E88-D88)/D88)*F88)</f>
        <v/>
      </c>
      <c r="H88" s="11" t="str">
        <f>IF(OR(D88="",E88=""),"",((E88-D88)/D88))</f>
        <v/>
      </c>
      <c r="I88" s="3" t="str">
        <f>IF(H88="","",IF(H88&gt;0,"Win","Loss"))</f>
        <v/>
      </c>
    </row>
    <row r="89" spans="1:9" x14ac:dyDescent="0.2">
      <c r="A89" s="12"/>
      <c r="D89" s="19"/>
      <c r="E89" s="19"/>
      <c r="F89" s="19"/>
      <c r="G89" s="20" t="str">
        <f>IF(OR(D89="",E89="",F89=""),"",((E89-D89)/D89)*F89)</f>
        <v/>
      </c>
      <c r="H89" s="11" t="str">
        <f>IF(OR(D89="",E89=""),"",((E89-D89)/D89))</f>
        <v/>
      </c>
      <c r="I89" s="3" t="str">
        <f>IF(H89="","",IF(H89&gt;0,"Win","Loss"))</f>
        <v/>
      </c>
    </row>
    <row r="90" spans="1:9" x14ac:dyDescent="0.2">
      <c r="A90" s="12"/>
      <c r="D90" s="19"/>
      <c r="E90" s="19"/>
      <c r="F90" s="19"/>
      <c r="G90" s="20" t="str">
        <f>IF(OR(D90="",E90="",F90=""),"",((E90-D90)/D90)*F90)</f>
        <v/>
      </c>
      <c r="H90" s="11" t="str">
        <f>IF(OR(D90="",E90=""),"",((E90-D90)/D90))</f>
        <v/>
      </c>
      <c r="I90" s="3" t="str">
        <f>IF(H90="","",IF(H90&gt;0,"Win","Loss"))</f>
        <v/>
      </c>
    </row>
    <row r="91" spans="1:9" x14ac:dyDescent="0.2">
      <c r="A91" s="12"/>
      <c r="D91" s="19"/>
      <c r="E91" s="19"/>
      <c r="F91" s="19"/>
      <c r="G91" s="20" t="str">
        <f>IF(OR(D91="",E91="",F91=""),"",((E91-D91)/D91)*F91)</f>
        <v/>
      </c>
      <c r="H91" s="11" t="str">
        <f>IF(OR(D91="",E91=""),"",((E91-D91)/D91))</f>
        <v/>
      </c>
      <c r="I91" s="3" t="str">
        <f>IF(H91="","",IF(H91&gt;0,"Win","Loss"))</f>
        <v/>
      </c>
    </row>
    <row r="92" spans="1:9" x14ac:dyDescent="0.2">
      <c r="A92" s="12"/>
      <c r="D92" s="19"/>
      <c r="E92" s="19"/>
      <c r="F92" s="19"/>
      <c r="G92" s="20" t="str">
        <f>IF(OR(D92="",E92="",F92=""),"",((E92-D92)/D92)*F92)</f>
        <v/>
      </c>
      <c r="H92" s="11" t="str">
        <f>IF(OR(D92="",E92=""),"",((E92-D92)/D92))</f>
        <v/>
      </c>
      <c r="I92" s="3" t="str">
        <f>IF(H92="","",IF(H92&gt;0,"Win","Loss"))</f>
        <v/>
      </c>
    </row>
    <row r="93" spans="1:9" x14ac:dyDescent="0.2">
      <c r="A93" s="12"/>
      <c r="D93" s="19"/>
      <c r="E93" s="19"/>
      <c r="F93" s="19"/>
      <c r="G93" s="20" t="str">
        <f>IF(OR(D93="",E93="",F93=""),"",((E93-D93)/D93)*F93)</f>
        <v/>
      </c>
      <c r="H93" s="11" t="str">
        <f>IF(OR(D93="",E93=""),"",((E93-D93)/D93))</f>
        <v/>
      </c>
      <c r="I93" s="3" t="str">
        <f>IF(H93="","",IF(H93&gt;0,"Win","Loss"))</f>
        <v/>
      </c>
    </row>
    <row r="94" spans="1:9" x14ac:dyDescent="0.2">
      <c r="A94" s="12"/>
      <c r="D94" s="19"/>
      <c r="E94" s="19"/>
      <c r="F94" s="19"/>
      <c r="G94" s="20" t="str">
        <f>IF(OR(D94="",E94="",F94=""),"",((E94-D94)/D94)*F94)</f>
        <v/>
      </c>
      <c r="H94" s="11" t="str">
        <f>IF(OR(D94="",E94=""),"",((E94-D94)/D94))</f>
        <v/>
      </c>
      <c r="I94" s="3" t="str">
        <f>IF(H94="","",IF(H94&gt;0,"Win","Loss"))</f>
        <v/>
      </c>
    </row>
    <row r="95" spans="1:9" x14ac:dyDescent="0.2">
      <c r="A95" s="12"/>
      <c r="D95" s="19"/>
      <c r="E95" s="19"/>
      <c r="F95" s="19"/>
      <c r="G95" s="20" t="str">
        <f>IF(OR(D95="",E95="",F95=""),"",((E95-D95)/D95)*F95)</f>
        <v/>
      </c>
      <c r="H95" s="11" t="str">
        <f>IF(OR(D95="",E95=""),"",((E95-D95)/D95))</f>
        <v/>
      </c>
      <c r="I95" s="3" t="str">
        <f>IF(H95="","",IF(H95&gt;0,"Win","Loss"))</f>
        <v/>
      </c>
    </row>
    <row r="96" spans="1:9" x14ac:dyDescent="0.2">
      <c r="A96" s="12"/>
      <c r="D96" s="19"/>
      <c r="E96" s="19"/>
      <c r="F96" s="19"/>
      <c r="G96" s="20" t="str">
        <f>IF(OR(D96="",E96="",F96=""),"",((E96-D96)/D96)*F96)</f>
        <v/>
      </c>
      <c r="H96" s="11" t="str">
        <f>IF(OR(D96="",E96=""),"",((E96-D96)/D96))</f>
        <v/>
      </c>
      <c r="I96" s="3" t="str">
        <f>IF(H96="","",IF(H96&gt;0,"Win","Loss"))</f>
        <v/>
      </c>
    </row>
    <row r="97" spans="1:9" x14ac:dyDescent="0.2">
      <c r="A97" s="12"/>
      <c r="D97" s="19"/>
      <c r="E97" s="19"/>
      <c r="F97" s="19"/>
      <c r="G97" s="20" t="str">
        <f>IF(OR(D97="",E97="",F97=""),"",((E97-D97)/D97)*F97)</f>
        <v/>
      </c>
      <c r="H97" s="11" t="str">
        <f>IF(OR(D97="",E97=""),"",((E97-D97)/D97))</f>
        <v/>
      </c>
      <c r="I97" s="3" t="str">
        <f>IF(H97="","",IF(H97&gt;0,"Win","Loss"))</f>
        <v/>
      </c>
    </row>
    <row r="98" spans="1:9" x14ac:dyDescent="0.2">
      <c r="A98" s="12"/>
      <c r="D98" s="19"/>
      <c r="E98" s="19"/>
      <c r="F98" s="19"/>
      <c r="G98" s="20" t="str">
        <f>IF(OR(D98="",E98="",F98=""),"",((E98-D98)/D98)*F98)</f>
        <v/>
      </c>
      <c r="H98" s="11" t="str">
        <f>IF(OR(D98="",E98=""),"",((E98-D98)/D98))</f>
        <v/>
      </c>
      <c r="I98" s="3" t="str">
        <f>IF(H98="","",IF(H98&gt;0,"Win","Loss"))</f>
        <v/>
      </c>
    </row>
    <row r="99" spans="1:9" x14ac:dyDescent="0.2">
      <c r="A99" s="12"/>
      <c r="D99" s="19"/>
      <c r="E99" s="19"/>
      <c r="F99" s="19"/>
      <c r="G99" s="20" t="str">
        <f>IF(OR(D99="",E99="",F99=""),"",((E99-D99)/D99)*F99)</f>
        <v/>
      </c>
      <c r="H99" s="11" t="str">
        <f>IF(OR(D99="",E99=""),"",((E99-D99)/D99))</f>
        <v/>
      </c>
      <c r="I99" s="3" t="str">
        <f>IF(H99="","",IF(H99&gt;0,"Win","Loss"))</f>
        <v/>
      </c>
    </row>
    <row r="100" spans="1:9" x14ac:dyDescent="0.2">
      <c r="A100" s="12"/>
      <c r="D100" s="19"/>
      <c r="E100" s="19"/>
      <c r="F100" s="19"/>
      <c r="G100" s="20" t="str">
        <f>IF(OR(D100="",E100="",F100=""),"",((E100-D100)/D100)*F100)</f>
        <v/>
      </c>
      <c r="H100" s="11" t="str">
        <f>IF(OR(D100="",E100=""),"",((E100-D100)/D100))</f>
        <v/>
      </c>
      <c r="I100" s="3" t="str">
        <f>IF(H100="","",IF(H100&gt;0,"Win","Loss"))</f>
        <v/>
      </c>
    </row>
    <row r="101" spans="1:9" x14ac:dyDescent="0.2">
      <c r="A101" s="12"/>
      <c r="D101" s="19"/>
      <c r="E101" s="19"/>
      <c r="F101" s="19"/>
      <c r="G101" s="20" t="str">
        <f>IF(OR(D101="",E101="",F101=""),"",((E101-D101)/D101)*F101)</f>
        <v/>
      </c>
      <c r="H101" s="11" t="str">
        <f>IF(OR(D101="",E101=""),"",((E101-D101)/D101))</f>
        <v/>
      </c>
      <c r="I101" s="3" t="str">
        <f>IF(H101="","",IF(H101&gt;0,"Win","Loss"))</f>
        <v/>
      </c>
    </row>
    <row r="102" spans="1:9" x14ac:dyDescent="0.2">
      <c r="A102" s="12"/>
      <c r="D102" s="19"/>
      <c r="E102" s="19"/>
      <c r="F102" s="19"/>
      <c r="G102" s="20" t="str">
        <f>IF(OR(D102="",E102="",F102=""),"",((E102-D102)/D102)*F102)</f>
        <v/>
      </c>
      <c r="H102" s="11" t="str">
        <f>IF(OR(D102="",E102=""),"",((E102-D102)/D102))</f>
        <v/>
      </c>
      <c r="I102" s="3" t="str">
        <f>IF(H102="","",IF(H102&gt;0,"Win","Loss"))</f>
        <v/>
      </c>
    </row>
    <row r="103" spans="1:9" x14ac:dyDescent="0.2">
      <c r="A103" s="12"/>
      <c r="D103" s="19"/>
      <c r="E103" s="19"/>
      <c r="F103" s="19"/>
      <c r="G103" s="20" t="str">
        <f>IF(OR(D103="",E103="",F103=""),"",((E103-D103)/D103)*F103)</f>
        <v/>
      </c>
      <c r="H103" s="11" t="str">
        <f>IF(OR(D103="",E103=""),"",((E103-D103)/D103))</f>
        <v/>
      </c>
      <c r="I103" s="3" t="str">
        <f>IF(H103="","",IF(H103&gt;0,"Win","Loss"))</f>
        <v/>
      </c>
    </row>
    <row r="104" spans="1:9" x14ac:dyDescent="0.2">
      <c r="A104" s="12"/>
      <c r="D104" s="19"/>
      <c r="E104" s="19"/>
      <c r="F104" s="19"/>
      <c r="G104" s="20" t="str">
        <f>IF(OR(D104="",E104="",F104=""),"",((E104-D104)/D104)*F104)</f>
        <v/>
      </c>
      <c r="H104" s="11" t="str">
        <f>IF(OR(D104="",E104=""),"",((E104-D104)/D104))</f>
        <v/>
      </c>
      <c r="I104" s="3" t="str">
        <f>IF(H104="","",IF(H104&gt;0,"Win","Loss"))</f>
        <v/>
      </c>
    </row>
    <row r="105" spans="1:9" x14ac:dyDescent="0.2">
      <c r="A105" s="12"/>
      <c r="D105" s="19"/>
      <c r="E105" s="19"/>
      <c r="F105" s="19"/>
      <c r="G105" s="20" t="str">
        <f>IF(OR(D105="",E105="",F105=""),"",((E105-D105)/D105)*F105)</f>
        <v/>
      </c>
      <c r="H105" s="11" t="str">
        <f>IF(OR(D105="",E105=""),"",((E105-D105)/D105))</f>
        <v/>
      </c>
      <c r="I105" s="3" t="str">
        <f>IF(H105="","",IF(H105&gt;0,"Win","Loss"))</f>
        <v/>
      </c>
    </row>
    <row r="106" spans="1:9" x14ac:dyDescent="0.2">
      <c r="A106" s="12"/>
      <c r="D106" s="19"/>
      <c r="E106" s="19"/>
      <c r="F106" s="19"/>
      <c r="G106" s="20" t="str">
        <f>IF(OR(D106="",E106="",F106=""),"",((E106-D106)/D106)*F106)</f>
        <v/>
      </c>
      <c r="H106" s="11" t="str">
        <f>IF(OR(D106="",E106=""),"",((E106-D106)/D106))</f>
        <v/>
      </c>
      <c r="I106" s="3" t="str">
        <f>IF(H106="","",IF(H106&gt;0,"Win","Loss"))</f>
        <v/>
      </c>
    </row>
    <row r="107" spans="1:9" x14ac:dyDescent="0.2">
      <c r="A107" s="12"/>
      <c r="D107" s="19"/>
      <c r="E107" s="19"/>
      <c r="F107" s="19"/>
      <c r="G107" s="20" t="str">
        <f>IF(OR(D107="",E107="",F107=""),"",((E107-D107)/D107)*F107)</f>
        <v/>
      </c>
      <c r="H107" s="11" t="str">
        <f>IF(OR(D107="",E107=""),"",((E107-D107)/D107))</f>
        <v/>
      </c>
      <c r="I107" s="3" t="str">
        <f>IF(H107="","",IF(H107&gt;0,"Win","Loss"))</f>
        <v/>
      </c>
    </row>
    <row r="108" spans="1:9" x14ac:dyDescent="0.2">
      <c r="A108" s="12"/>
      <c r="D108" s="19"/>
      <c r="E108" s="19"/>
      <c r="F108" s="19"/>
      <c r="G108" s="20" t="str">
        <f>IF(OR(D108="",E108="",F108=""),"",((E108-D108)/D108)*F108)</f>
        <v/>
      </c>
      <c r="H108" s="11" t="str">
        <f>IF(OR(D108="",E108=""),"",((E108-D108)/D108))</f>
        <v/>
      </c>
      <c r="I108" s="3" t="str">
        <f>IF(H108="","",IF(H108&gt;0,"Win","Loss"))</f>
        <v/>
      </c>
    </row>
    <row r="109" spans="1:9" x14ac:dyDescent="0.2">
      <c r="A109" s="12"/>
      <c r="D109" s="19"/>
      <c r="E109" s="19"/>
      <c r="F109" s="19"/>
      <c r="G109" s="20" t="str">
        <f>IF(OR(D109="",E109="",F109=""),"",((E109-D109)/D109)*F109)</f>
        <v/>
      </c>
      <c r="H109" s="11" t="str">
        <f>IF(OR(D109="",E109=""),"",((E109-D109)/D109))</f>
        <v/>
      </c>
      <c r="I109" s="3" t="str">
        <f>IF(H109="","",IF(H109&gt;0,"Win","Loss"))</f>
        <v/>
      </c>
    </row>
    <row r="110" spans="1:9" x14ac:dyDescent="0.2">
      <c r="A110" s="12"/>
      <c r="D110" s="19"/>
      <c r="E110" s="19"/>
      <c r="F110" s="19"/>
      <c r="G110" s="20" t="str">
        <f>IF(OR(D110="",E110="",F110=""),"",((E110-D110)/D110)*F110)</f>
        <v/>
      </c>
      <c r="H110" s="11" t="str">
        <f>IF(OR(D110="",E110=""),"",((E110-D110)/D110))</f>
        <v/>
      </c>
      <c r="I110" s="3" t="str">
        <f>IF(H110="","",IF(H110&gt;0,"Win","Loss"))</f>
        <v/>
      </c>
    </row>
    <row r="111" spans="1:9" x14ac:dyDescent="0.2">
      <c r="A111" s="12"/>
      <c r="D111" s="19"/>
      <c r="E111" s="19"/>
      <c r="F111" s="19"/>
      <c r="G111" s="20" t="str">
        <f>IF(OR(D111="",E111="",F111=""),"",((E111-D111)/D111)*F111)</f>
        <v/>
      </c>
      <c r="H111" s="11" t="str">
        <f>IF(OR(D111="",E111=""),"",((E111-D111)/D111))</f>
        <v/>
      </c>
      <c r="I111" s="3" t="str">
        <f>IF(H111="","",IF(H111&gt;0,"Win","Loss"))</f>
        <v/>
      </c>
    </row>
    <row r="112" spans="1:9" x14ac:dyDescent="0.2">
      <c r="A112" s="12"/>
      <c r="D112" s="19"/>
      <c r="E112" s="19"/>
      <c r="F112" s="19"/>
      <c r="G112" s="20" t="str">
        <f>IF(OR(D112="",E112="",F112=""),"",((E112-D112)/D112)*F112)</f>
        <v/>
      </c>
      <c r="H112" s="11" t="str">
        <f>IF(OR(D112="",E112=""),"",((E112-D112)/D112))</f>
        <v/>
      </c>
      <c r="I112" s="3" t="str">
        <f>IF(H112="","",IF(H112&gt;0,"Win","Loss"))</f>
        <v/>
      </c>
    </row>
    <row r="113" spans="1:9" x14ac:dyDescent="0.2">
      <c r="A113" s="12"/>
      <c r="D113" s="19"/>
      <c r="E113" s="19"/>
      <c r="F113" s="19"/>
      <c r="G113" s="20" t="str">
        <f>IF(OR(D113="",E113="",F113=""),"",((E113-D113)/D113)*F113)</f>
        <v/>
      </c>
      <c r="H113" s="11" t="str">
        <f>IF(OR(D113="",E113=""),"",((E113-D113)/D113))</f>
        <v/>
      </c>
      <c r="I113" s="3" t="str">
        <f>IF(H113="","",IF(H113&gt;0,"Win","Loss"))</f>
        <v/>
      </c>
    </row>
    <row r="114" spans="1:9" x14ac:dyDescent="0.2">
      <c r="A114" s="12"/>
      <c r="D114" s="19"/>
      <c r="E114" s="19"/>
      <c r="F114" s="19"/>
      <c r="G114" s="20" t="str">
        <f>IF(OR(D114="",E114="",F114=""),"",((E114-D114)/D114)*F114)</f>
        <v/>
      </c>
      <c r="H114" s="11" t="str">
        <f>IF(OR(D114="",E114=""),"",((E114-D114)/D114))</f>
        <v/>
      </c>
      <c r="I114" s="3" t="str">
        <f>IF(H114="","",IF(H114&gt;0,"Win","Loss"))</f>
        <v/>
      </c>
    </row>
    <row r="115" spans="1:9" x14ac:dyDescent="0.2">
      <c r="A115" s="12"/>
      <c r="D115" s="19"/>
      <c r="E115" s="19"/>
      <c r="F115" s="19"/>
      <c r="G115" s="20" t="str">
        <f>IF(OR(D115="",E115="",F115=""),"",((E115-D115)/D115)*F115)</f>
        <v/>
      </c>
      <c r="H115" s="11" t="str">
        <f>IF(OR(D115="",E115=""),"",((E115-D115)/D115))</f>
        <v/>
      </c>
      <c r="I115" s="3" t="str">
        <f>IF(H115="","",IF(H115&gt;0,"Win","Loss"))</f>
        <v/>
      </c>
    </row>
    <row r="116" spans="1:9" x14ac:dyDescent="0.2">
      <c r="A116" s="12"/>
      <c r="D116" s="19"/>
      <c r="E116" s="19"/>
      <c r="F116" s="19"/>
      <c r="G116" s="20" t="str">
        <f>IF(OR(D116="",E116="",F116=""),"",((E116-D116)/D116)*F116)</f>
        <v/>
      </c>
      <c r="H116" s="11" t="str">
        <f>IF(OR(D116="",E116=""),"",((E116-D116)/D116))</f>
        <v/>
      </c>
      <c r="I116" s="3" t="str">
        <f>IF(H116="","",IF(H116&gt;0,"Win","Loss"))</f>
        <v/>
      </c>
    </row>
    <row r="117" spans="1:9" x14ac:dyDescent="0.2">
      <c r="A117" s="12"/>
      <c r="D117" s="19"/>
      <c r="E117" s="19"/>
      <c r="F117" s="19"/>
      <c r="G117" s="20" t="str">
        <f>IF(OR(D117="",E117="",F117=""),"",((E117-D117)/D117)*F117)</f>
        <v/>
      </c>
      <c r="H117" s="11" t="str">
        <f>IF(OR(D117="",E117=""),"",((E117-D117)/D117))</f>
        <v/>
      </c>
      <c r="I117" s="3" t="str">
        <f>IF(H117="","",IF(H117&gt;0,"Win","Loss"))</f>
        <v/>
      </c>
    </row>
    <row r="118" spans="1:9" x14ac:dyDescent="0.2">
      <c r="A118" s="12"/>
      <c r="D118" s="19"/>
      <c r="E118" s="19"/>
      <c r="F118" s="19"/>
      <c r="G118" s="20" t="str">
        <f>IF(OR(D118="",E118="",F118=""),"",((E118-D118)/D118)*F118)</f>
        <v/>
      </c>
      <c r="H118" s="11" t="str">
        <f>IF(OR(D118="",E118=""),"",((E118-D118)/D118))</f>
        <v/>
      </c>
      <c r="I118" s="3" t="str">
        <f>IF(H118="","",IF(H118&gt;0,"Win","Loss"))</f>
        <v/>
      </c>
    </row>
    <row r="119" spans="1:9" x14ac:dyDescent="0.2">
      <c r="A119" s="12"/>
      <c r="D119" s="19"/>
      <c r="E119" s="19"/>
      <c r="F119" s="19"/>
      <c r="G119" s="20" t="str">
        <f>IF(OR(D119="",E119="",F119=""),"",((E119-D119)/D119)*F119)</f>
        <v/>
      </c>
      <c r="H119" s="11" t="str">
        <f>IF(OR(D119="",E119=""),"",((E119-D119)/D119))</f>
        <v/>
      </c>
      <c r="I119" s="3" t="str">
        <f>IF(H119="","",IF(H119&gt;0,"Win","Loss"))</f>
        <v/>
      </c>
    </row>
    <row r="120" spans="1:9" x14ac:dyDescent="0.2">
      <c r="A120" s="12"/>
      <c r="D120" s="19"/>
      <c r="E120" s="19"/>
      <c r="F120" s="19"/>
      <c r="G120" s="20" t="str">
        <f>IF(OR(D120="",E120="",F120=""),"",((E120-D120)/D120)*F120)</f>
        <v/>
      </c>
      <c r="H120" s="11" t="str">
        <f>IF(OR(D120="",E120=""),"",((E120-D120)/D120))</f>
        <v/>
      </c>
      <c r="I120" s="3" t="str">
        <f>IF(H120="","",IF(H120&gt;0,"Win","Loss"))</f>
        <v/>
      </c>
    </row>
    <row r="121" spans="1:9" x14ac:dyDescent="0.2">
      <c r="A121" s="12"/>
      <c r="D121" s="19"/>
      <c r="E121" s="19"/>
      <c r="F121" s="19"/>
      <c r="G121" s="20" t="str">
        <f>IF(OR(D121="",E121="",F121=""),"",((E121-D121)/D121)*F121)</f>
        <v/>
      </c>
      <c r="H121" s="11" t="str">
        <f>IF(OR(D121="",E121=""),"",((E121-D121)/D121))</f>
        <v/>
      </c>
      <c r="I121" s="3" t="str">
        <f>IF(H121="","",IF(H121&gt;0,"Win","Loss"))</f>
        <v/>
      </c>
    </row>
    <row r="122" spans="1:9" x14ac:dyDescent="0.2">
      <c r="A122" s="12"/>
      <c r="D122" s="19"/>
      <c r="E122" s="19"/>
      <c r="F122" s="19"/>
      <c r="G122" s="20" t="str">
        <f>IF(OR(D122="",E122="",F122=""),"",((E122-D122)/D122)*F122)</f>
        <v/>
      </c>
      <c r="H122" s="11" t="str">
        <f>IF(OR(D122="",E122=""),"",((E122-D122)/D122))</f>
        <v/>
      </c>
      <c r="I122" s="3" t="str">
        <f>IF(H122="","",IF(H122&gt;0,"Win","Loss"))</f>
        <v/>
      </c>
    </row>
    <row r="123" spans="1:9" x14ac:dyDescent="0.2">
      <c r="A123" s="12"/>
      <c r="D123" s="19"/>
      <c r="E123" s="19"/>
      <c r="F123" s="19"/>
      <c r="G123" s="20" t="str">
        <f>IF(OR(D123="",E123="",F123=""),"",((E123-D123)/D123)*F123)</f>
        <v/>
      </c>
      <c r="H123" s="11" t="str">
        <f>IF(OR(D123="",E123=""),"",((E123-D123)/D123))</f>
        <v/>
      </c>
      <c r="I123" s="3" t="str">
        <f>IF(H123="","",IF(H123&gt;0,"Win","Loss"))</f>
        <v/>
      </c>
    </row>
    <row r="124" spans="1:9" x14ac:dyDescent="0.2">
      <c r="A124" s="12"/>
      <c r="D124" s="19"/>
      <c r="E124" s="19"/>
      <c r="F124" s="19"/>
      <c r="G124" s="20" t="str">
        <f>IF(OR(D124="",E124="",F124=""),"",((E124-D124)/D124)*F124)</f>
        <v/>
      </c>
      <c r="H124" s="11" t="str">
        <f>IF(OR(D124="",E124=""),"",((E124-D124)/D124))</f>
        <v/>
      </c>
      <c r="I124" s="3" t="str">
        <f>IF(H124="","",IF(H124&gt;0,"Win","Loss"))</f>
        <v/>
      </c>
    </row>
    <row r="125" spans="1:9" x14ac:dyDescent="0.2">
      <c r="A125" s="12"/>
      <c r="D125" s="19"/>
      <c r="E125" s="19"/>
      <c r="F125" s="19"/>
      <c r="G125" s="20" t="str">
        <f>IF(OR(D125="",E125="",F125=""),"",((E125-D125)/D125)*F125)</f>
        <v/>
      </c>
      <c r="H125" s="11" t="str">
        <f>IF(OR(D125="",E125=""),"",((E125-D125)/D125))</f>
        <v/>
      </c>
      <c r="I125" s="3" t="str">
        <f>IF(H125="","",IF(H125&gt;0,"Win","Loss"))</f>
        <v/>
      </c>
    </row>
    <row r="126" spans="1:9" x14ac:dyDescent="0.2">
      <c r="A126" s="12"/>
      <c r="D126" s="19"/>
      <c r="E126" s="19"/>
      <c r="F126" s="19"/>
      <c r="G126" s="20" t="str">
        <f>IF(OR(D126="",E126="",F126=""),"",((E126-D126)/D126)*F126)</f>
        <v/>
      </c>
      <c r="H126" s="11" t="str">
        <f>IF(OR(D126="",E126=""),"",((E126-D126)/D126))</f>
        <v/>
      </c>
      <c r="I126" s="3" t="str">
        <f>IF(H126="","",IF(H126&gt;0,"Win","Loss"))</f>
        <v/>
      </c>
    </row>
    <row r="127" spans="1:9" x14ac:dyDescent="0.2">
      <c r="A127" s="12"/>
      <c r="D127" s="19"/>
      <c r="E127" s="19"/>
      <c r="F127" s="19"/>
      <c r="G127" s="20" t="str">
        <f>IF(OR(D127="",E127="",F127=""),"",((E127-D127)/D127)*F127)</f>
        <v/>
      </c>
      <c r="H127" s="11" t="str">
        <f>IF(OR(D127="",E127=""),"",((E127-D127)/D127))</f>
        <v/>
      </c>
      <c r="I127" s="3" t="str">
        <f>IF(H127="","",IF(H127&gt;0,"Win","Loss"))</f>
        <v/>
      </c>
    </row>
    <row r="128" spans="1:9" x14ac:dyDescent="0.2">
      <c r="A128" s="12"/>
      <c r="D128" s="19"/>
      <c r="E128" s="19"/>
      <c r="F128" s="19"/>
      <c r="G128" s="20" t="str">
        <f>IF(OR(D128="",E128="",F128=""),"",((E128-D128)/D128)*F128)</f>
        <v/>
      </c>
      <c r="H128" s="11" t="str">
        <f>IF(OR(D128="",E128=""),"",((E128-D128)/D128))</f>
        <v/>
      </c>
      <c r="I128" s="3" t="str">
        <f>IF(H128="","",IF(H128&gt;0,"Win","Loss"))</f>
        <v/>
      </c>
    </row>
    <row r="129" spans="1:9" x14ac:dyDescent="0.2">
      <c r="A129" s="12"/>
      <c r="D129" s="19"/>
      <c r="E129" s="19"/>
      <c r="F129" s="19"/>
      <c r="G129" s="20" t="str">
        <f>IF(OR(D129="",E129="",F129=""),"",((E129-D129)/D129)*F129)</f>
        <v/>
      </c>
      <c r="H129" s="11" t="str">
        <f>IF(OR(D129="",E129=""),"",((E129-D129)/D129))</f>
        <v/>
      </c>
      <c r="I129" s="3" t="str">
        <f>IF(H129="","",IF(H129&gt;0,"Win","Loss"))</f>
        <v/>
      </c>
    </row>
    <row r="130" spans="1:9" x14ac:dyDescent="0.2">
      <c r="A130" s="12"/>
      <c r="D130" s="19"/>
      <c r="E130" s="19"/>
      <c r="F130" s="19"/>
      <c r="G130" s="20" t="str">
        <f>IF(OR(D130="",E130="",F130=""),"",((E130-D130)/D130)*F130)</f>
        <v/>
      </c>
      <c r="H130" s="11" t="str">
        <f>IF(OR(D130="",E130=""),"",((E130-D130)/D130))</f>
        <v/>
      </c>
      <c r="I130" s="3" t="str">
        <f>IF(H130="","",IF(H130&gt;0,"Win","Loss"))</f>
        <v/>
      </c>
    </row>
    <row r="131" spans="1:9" x14ac:dyDescent="0.2">
      <c r="A131" s="12"/>
      <c r="D131" s="19"/>
      <c r="E131" s="19"/>
      <c r="F131" s="19"/>
      <c r="G131" s="20" t="str">
        <f>IF(OR(D131="",E131="",F131=""),"",((E131-D131)/D131)*F131)</f>
        <v/>
      </c>
      <c r="H131" s="11" t="str">
        <f>IF(OR(D131="",E131=""),"",((E131-D131)/D131))</f>
        <v/>
      </c>
      <c r="I131" s="3" t="str">
        <f>IF(H131="","",IF(H131&gt;0,"Win","Loss"))</f>
        <v/>
      </c>
    </row>
    <row r="132" spans="1:9" x14ac:dyDescent="0.2">
      <c r="A132" s="12"/>
      <c r="D132" s="19"/>
      <c r="E132" s="19"/>
      <c r="F132" s="19"/>
      <c r="G132" s="20" t="str">
        <f>IF(OR(D132="",E132="",F132=""),"",((E132-D132)/D132)*F132)</f>
        <v/>
      </c>
      <c r="H132" s="11" t="str">
        <f>IF(OR(D132="",E132=""),"",((E132-D132)/D132))</f>
        <v/>
      </c>
      <c r="I132" s="3" t="str">
        <f>IF(H132="","",IF(H132&gt;0,"Win","Loss"))</f>
        <v/>
      </c>
    </row>
    <row r="133" spans="1:9" x14ac:dyDescent="0.2">
      <c r="A133" s="12"/>
      <c r="D133" s="19"/>
      <c r="E133" s="19"/>
      <c r="F133" s="19"/>
      <c r="G133" s="20" t="str">
        <f>IF(OR(D133="",E133="",F133=""),"",((E133-D133)/D133)*F133)</f>
        <v/>
      </c>
      <c r="H133" s="11" t="str">
        <f>IF(OR(D133="",E133=""),"",((E133-D133)/D133))</f>
        <v/>
      </c>
      <c r="I133" s="3" t="str">
        <f>IF(H133="","",IF(H133&gt;0,"Win","Loss"))</f>
        <v/>
      </c>
    </row>
    <row r="134" spans="1:9" x14ac:dyDescent="0.2">
      <c r="A134" s="12"/>
      <c r="D134" s="19"/>
      <c r="E134" s="19"/>
      <c r="F134" s="19"/>
      <c r="G134" s="20" t="str">
        <f>IF(OR(D134="",E134="",F134=""),"",((E134-D134)/D134)*F134)</f>
        <v/>
      </c>
      <c r="H134" s="11" t="str">
        <f>IF(OR(D134="",E134=""),"",((E134-D134)/D134))</f>
        <v/>
      </c>
      <c r="I134" s="3" t="str">
        <f>IF(H134="","",IF(H134&gt;0,"Win","Loss"))</f>
        <v/>
      </c>
    </row>
    <row r="135" spans="1:9" x14ac:dyDescent="0.2">
      <c r="A135" s="12"/>
      <c r="D135" s="19"/>
      <c r="E135" s="19"/>
      <c r="F135" s="19"/>
      <c r="G135" s="20" t="str">
        <f>IF(OR(D135="",E135="",F135=""),"",((E135-D135)/D135)*F135)</f>
        <v/>
      </c>
      <c r="H135" s="11" t="str">
        <f>IF(OR(D135="",E135=""),"",((E135-D135)/D135))</f>
        <v/>
      </c>
      <c r="I135" s="3" t="str">
        <f>IF(H135="","",IF(H135&gt;0,"Win","Loss"))</f>
        <v/>
      </c>
    </row>
    <row r="136" spans="1:9" x14ac:dyDescent="0.2">
      <c r="A136" s="12"/>
      <c r="D136" s="19"/>
      <c r="E136" s="19"/>
      <c r="F136" s="19"/>
      <c r="G136" s="20" t="str">
        <f>IF(OR(D136="",E136="",F136=""),"",((E136-D136)/D136)*F136)</f>
        <v/>
      </c>
      <c r="H136" s="11" t="str">
        <f>IF(OR(D136="",E136=""),"",((E136-D136)/D136))</f>
        <v/>
      </c>
      <c r="I136" s="3" t="str">
        <f>IF(H136="","",IF(H136&gt;0,"Win","Loss"))</f>
        <v/>
      </c>
    </row>
    <row r="137" spans="1:9" x14ac:dyDescent="0.2">
      <c r="A137" s="12"/>
      <c r="D137" s="19"/>
      <c r="E137" s="19"/>
      <c r="F137" s="19"/>
      <c r="G137" s="20" t="str">
        <f>IF(OR(D137="",E137="",F137=""),"",((E137-D137)/D137)*F137)</f>
        <v/>
      </c>
      <c r="H137" s="11" t="str">
        <f>IF(OR(D137="",E137=""),"",((E137-D137)/D137))</f>
        <v/>
      </c>
      <c r="I137" s="3" t="str">
        <f>IF(H137="","",IF(H137&gt;0,"Win","Loss"))</f>
        <v/>
      </c>
    </row>
    <row r="138" spans="1:9" x14ac:dyDescent="0.2">
      <c r="A138" s="12"/>
      <c r="D138" s="19"/>
      <c r="E138" s="19"/>
      <c r="F138" s="19"/>
      <c r="G138" s="20" t="str">
        <f>IF(OR(D138="",E138="",F138=""),"",((E138-D138)/D138)*F138)</f>
        <v/>
      </c>
      <c r="H138" s="11" t="str">
        <f>IF(OR(D138="",E138=""),"",((E138-D138)/D138))</f>
        <v/>
      </c>
      <c r="I138" s="3" t="str">
        <f>IF(H138="","",IF(H138&gt;0,"Win","Loss"))</f>
        <v/>
      </c>
    </row>
    <row r="139" spans="1:9" x14ac:dyDescent="0.2">
      <c r="A139" s="12"/>
      <c r="D139" s="19"/>
      <c r="E139" s="19"/>
      <c r="F139" s="19"/>
      <c r="G139" s="20" t="str">
        <f>IF(OR(D139="",E139="",F139=""),"",((E139-D139)/D139)*F139)</f>
        <v/>
      </c>
      <c r="H139" s="11" t="str">
        <f>IF(OR(D139="",E139=""),"",((E139-D139)/D139))</f>
        <v/>
      </c>
      <c r="I139" s="3" t="str">
        <f>IF(H139="","",IF(H139&gt;0,"Win","Loss"))</f>
        <v/>
      </c>
    </row>
    <row r="140" spans="1:9" x14ac:dyDescent="0.2">
      <c r="A140" s="12"/>
      <c r="D140" s="19"/>
      <c r="E140" s="19"/>
      <c r="F140" s="19"/>
      <c r="G140" s="20" t="str">
        <f>IF(OR(D140="",E140="",F140=""),"",((E140-D140)/D140)*F140)</f>
        <v/>
      </c>
      <c r="H140" s="11" t="str">
        <f>IF(OR(D140="",E140=""),"",((E140-D140)/D140))</f>
        <v/>
      </c>
      <c r="I140" s="3" t="str">
        <f>IF(H140="","",IF(H140&gt;0,"Win","Loss"))</f>
        <v/>
      </c>
    </row>
    <row r="141" spans="1:9" x14ac:dyDescent="0.2">
      <c r="A141" s="12"/>
      <c r="D141" s="19"/>
      <c r="E141" s="19"/>
      <c r="F141" s="19"/>
      <c r="G141" s="20" t="str">
        <f>IF(OR(D141="",E141="",F141=""),"",((E141-D141)/D141)*F141)</f>
        <v/>
      </c>
      <c r="H141" s="11" t="str">
        <f>IF(OR(D141="",E141=""),"",((E141-D141)/D141))</f>
        <v/>
      </c>
      <c r="I141" s="3" t="str">
        <f>IF(H141="","",IF(H141&gt;0,"Win","Loss"))</f>
        <v/>
      </c>
    </row>
    <row r="142" spans="1:9" x14ac:dyDescent="0.2">
      <c r="A142" s="12"/>
      <c r="D142" s="19"/>
      <c r="E142" s="19"/>
      <c r="F142" s="19"/>
      <c r="G142" s="20" t="str">
        <f>IF(OR(D142="",E142="",F142=""),"",((E142-D142)/D142)*F142)</f>
        <v/>
      </c>
      <c r="H142" s="11" t="str">
        <f>IF(OR(D142="",E142=""),"",((E142-D142)/D142))</f>
        <v/>
      </c>
      <c r="I142" s="3" t="str">
        <f>IF(H142="","",IF(H142&gt;0,"Win","Loss"))</f>
        <v/>
      </c>
    </row>
    <row r="143" spans="1:9" x14ac:dyDescent="0.2">
      <c r="A143" s="12"/>
      <c r="D143" s="19"/>
      <c r="E143" s="19"/>
      <c r="F143" s="19"/>
      <c r="G143" s="20" t="str">
        <f>IF(OR(D143="",E143="",F143=""),"",((E143-D143)/D143)*F143)</f>
        <v/>
      </c>
      <c r="H143" s="11" t="str">
        <f>IF(OR(D143="",E143=""),"",((E143-D143)/D143))</f>
        <v/>
      </c>
      <c r="I143" s="3" t="str">
        <f>IF(H143="","",IF(H143&gt;0,"Win","Loss"))</f>
        <v/>
      </c>
    </row>
    <row r="144" spans="1:9" x14ac:dyDescent="0.2">
      <c r="A144" s="12"/>
      <c r="D144" s="19"/>
      <c r="E144" s="19"/>
      <c r="F144" s="19"/>
      <c r="G144" s="20" t="str">
        <f>IF(OR(D144="",E144="",F144=""),"",((E144-D144)/D144)*F144)</f>
        <v/>
      </c>
      <c r="H144" s="11" t="str">
        <f>IF(OR(D144="",E144=""),"",((E144-D144)/D144))</f>
        <v/>
      </c>
      <c r="I144" s="3" t="str">
        <f>IF(H144="","",IF(H144&gt;0,"Win","Loss"))</f>
        <v/>
      </c>
    </row>
    <row r="145" spans="1:9" x14ac:dyDescent="0.2">
      <c r="A145" s="12"/>
      <c r="D145" s="19"/>
      <c r="E145" s="19"/>
      <c r="F145" s="19"/>
      <c r="G145" s="20" t="str">
        <f>IF(OR(D145="",E145="",F145=""),"",((E145-D145)/D145)*F145)</f>
        <v/>
      </c>
      <c r="H145" s="11" t="str">
        <f>IF(OR(D145="",E145=""),"",((E145-D145)/D145))</f>
        <v/>
      </c>
      <c r="I145" s="3" t="str">
        <f>IF(H145="","",IF(H145&gt;0,"Win","Loss"))</f>
        <v/>
      </c>
    </row>
    <row r="146" spans="1:9" x14ac:dyDescent="0.2">
      <c r="A146" s="12"/>
      <c r="D146" s="19"/>
      <c r="E146" s="19"/>
      <c r="F146" s="19"/>
      <c r="G146" s="20" t="str">
        <f>IF(OR(D146="",E146="",F146=""),"",((E146-D146)/D146)*F146)</f>
        <v/>
      </c>
      <c r="H146" s="11" t="str">
        <f>IF(OR(D146="",E146=""),"",((E146-D146)/D146))</f>
        <v/>
      </c>
      <c r="I146" s="3" t="str">
        <f>IF(H146="","",IF(H146&gt;0,"Win","Loss"))</f>
        <v/>
      </c>
    </row>
    <row r="147" spans="1:9" x14ac:dyDescent="0.2">
      <c r="A147" s="12"/>
      <c r="D147" s="19"/>
      <c r="E147" s="19"/>
      <c r="F147" s="19"/>
      <c r="G147" s="20" t="str">
        <f>IF(OR(D147="",E147="",F147=""),"",((E147-D147)/D147)*F147)</f>
        <v/>
      </c>
      <c r="H147" s="11" t="str">
        <f>IF(OR(D147="",E147=""),"",((E147-D147)/D147))</f>
        <v/>
      </c>
      <c r="I147" s="3" t="str">
        <f>IF(H147="","",IF(H147&gt;0,"Win","Loss"))</f>
        <v/>
      </c>
    </row>
    <row r="148" spans="1:9" x14ac:dyDescent="0.2">
      <c r="A148" s="12"/>
      <c r="D148" s="19"/>
      <c r="E148" s="19"/>
      <c r="F148" s="19"/>
      <c r="G148" s="20" t="str">
        <f>IF(OR(D148="",E148="",F148=""),"",((E148-D148)/D148)*F148)</f>
        <v/>
      </c>
      <c r="H148" s="11" t="str">
        <f>IF(OR(D148="",E148=""),"",((E148-D148)/D148))</f>
        <v/>
      </c>
      <c r="I148" s="3" t="str">
        <f>IF(H148="","",IF(H148&gt;0,"Win","Loss"))</f>
        <v/>
      </c>
    </row>
    <row r="149" spans="1:9" x14ac:dyDescent="0.2">
      <c r="A149" s="12"/>
      <c r="D149" s="19"/>
      <c r="E149" s="19"/>
      <c r="F149" s="19"/>
      <c r="G149" s="20" t="str">
        <f>IF(OR(D149="",E149="",F149=""),"",((E149-D149)/D149)*F149)</f>
        <v/>
      </c>
      <c r="H149" s="11" t="str">
        <f>IF(OR(D149="",E149=""),"",((E149-D149)/D149))</f>
        <v/>
      </c>
      <c r="I149" s="3" t="str">
        <f>IF(H149="","",IF(H149&gt;0,"Win","Loss"))</f>
        <v/>
      </c>
    </row>
    <row r="150" spans="1:9" x14ac:dyDescent="0.2">
      <c r="A150" s="12"/>
      <c r="D150" s="19"/>
      <c r="E150" s="19"/>
      <c r="F150" s="19"/>
      <c r="G150" s="20" t="str">
        <f>IF(OR(D150="",E150="",F150=""),"",((E150-D150)/D150)*F150)</f>
        <v/>
      </c>
      <c r="H150" s="11" t="str">
        <f>IF(OR(D150="",E150=""),"",((E150-D150)/D150))</f>
        <v/>
      </c>
      <c r="I150" s="3" t="str">
        <f>IF(H150="","",IF(H150&gt;0,"Win","Loss"))</f>
        <v/>
      </c>
    </row>
    <row r="151" spans="1:9" x14ac:dyDescent="0.2">
      <c r="A151" s="12"/>
      <c r="D151" s="19"/>
      <c r="E151" s="19"/>
      <c r="F151" s="19"/>
      <c r="G151" s="20" t="str">
        <f>IF(OR(D151="",E151="",F151=""),"",((E151-D151)/D151)*F151)</f>
        <v/>
      </c>
      <c r="H151" s="11" t="str">
        <f>IF(OR(D151="",E151=""),"",((E151-D151)/D151))</f>
        <v/>
      </c>
      <c r="I151" s="3" t="str">
        <f>IF(H151="","",IF(H151&gt;0,"Win","Loss"))</f>
        <v/>
      </c>
    </row>
    <row r="152" spans="1:9" x14ac:dyDescent="0.2">
      <c r="A152" s="12"/>
      <c r="D152" s="19"/>
      <c r="E152" s="19"/>
      <c r="F152" s="19"/>
      <c r="G152" s="20" t="str">
        <f>IF(OR(D152="",E152="",F152=""),"",((E152-D152)/D152)*F152)</f>
        <v/>
      </c>
      <c r="H152" s="11" t="str">
        <f>IF(OR(D152="",E152=""),"",((E152-D152)/D152))</f>
        <v/>
      </c>
      <c r="I152" s="3" t="str">
        <f>IF(H152="","",IF(H152&gt;0,"Win","Loss"))</f>
        <v/>
      </c>
    </row>
    <row r="153" spans="1:9" x14ac:dyDescent="0.2">
      <c r="A153" s="12"/>
      <c r="D153" s="19"/>
      <c r="E153" s="19"/>
      <c r="F153" s="19"/>
      <c r="G153" s="20" t="str">
        <f>IF(OR(D153="",E153="",F153=""),"",((E153-D153)/D153)*F153)</f>
        <v/>
      </c>
      <c r="H153" s="11" t="str">
        <f>IF(OR(D153="",E153=""),"",((E153-D153)/D153))</f>
        <v/>
      </c>
      <c r="I153" s="3" t="str">
        <f>IF(H153="","",IF(H153&gt;0,"Win","Loss"))</f>
        <v/>
      </c>
    </row>
    <row r="154" spans="1:9" x14ac:dyDescent="0.2">
      <c r="A154" s="12"/>
      <c r="D154" s="19"/>
      <c r="E154" s="19"/>
      <c r="F154" s="19"/>
      <c r="G154" s="20" t="str">
        <f>IF(OR(D154="",E154="",F154=""),"",((E154-D154)/D154)*F154)</f>
        <v/>
      </c>
      <c r="H154" s="11" t="str">
        <f>IF(OR(D154="",E154=""),"",((E154-D154)/D154))</f>
        <v/>
      </c>
      <c r="I154" s="3" t="str">
        <f>IF(H154="","",IF(H154&gt;0,"Win","Loss"))</f>
        <v/>
      </c>
    </row>
    <row r="155" spans="1:9" x14ac:dyDescent="0.2">
      <c r="A155" s="12"/>
      <c r="D155" s="19"/>
      <c r="E155" s="19"/>
      <c r="F155" s="19"/>
      <c r="G155" s="20" t="str">
        <f>IF(OR(D155="",E155="",F155=""),"",((E155-D155)/D155)*F155)</f>
        <v/>
      </c>
      <c r="H155" s="11" t="str">
        <f>IF(OR(D155="",E155=""),"",((E155-D155)/D155))</f>
        <v/>
      </c>
      <c r="I155" s="3" t="str">
        <f>IF(H155="","",IF(H155&gt;0,"Win","Loss"))</f>
        <v/>
      </c>
    </row>
    <row r="156" spans="1:9" x14ac:dyDescent="0.2">
      <c r="A156" s="12"/>
      <c r="D156" s="19"/>
      <c r="E156" s="19"/>
      <c r="F156" s="19"/>
      <c r="G156" s="20" t="str">
        <f>IF(OR(D156="",E156="",F156=""),"",((E156-D156)/D156)*F156)</f>
        <v/>
      </c>
      <c r="H156" s="11" t="str">
        <f>IF(OR(D156="",E156=""),"",((E156-D156)/D156))</f>
        <v/>
      </c>
      <c r="I156" s="3" t="str">
        <f>IF(H156="","",IF(H156&gt;0,"Win","Loss"))</f>
        <v/>
      </c>
    </row>
    <row r="157" spans="1:9" x14ac:dyDescent="0.2">
      <c r="A157" s="12"/>
      <c r="D157" s="19"/>
      <c r="E157" s="19"/>
      <c r="F157" s="19"/>
      <c r="G157" s="20" t="str">
        <f>IF(OR(D157="",E157="",F157=""),"",((E157-D157)/D157)*F157)</f>
        <v/>
      </c>
      <c r="H157" s="11" t="str">
        <f>IF(OR(D157="",E157=""),"",((E157-D157)/D157))</f>
        <v/>
      </c>
      <c r="I157" s="3" t="str">
        <f>IF(H157="","",IF(H157&gt;0,"Win","Loss"))</f>
        <v/>
      </c>
    </row>
    <row r="158" spans="1:9" x14ac:dyDescent="0.2">
      <c r="A158" s="12"/>
      <c r="D158" s="19"/>
      <c r="E158" s="19"/>
      <c r="F158" s="19"/>
      <c r="G158" s="20" t="str">
        <f>IF(OR(D158="",E158="",F158=""),"",((E158-D158)/D158)*F158)</f>
        <v/>
      </c>
      <c r="H158" s="11" t="str">
        <f>IF(OR(D158="",E158=""),"",((E158-D158)/D158))</f>
        <v/>
      </c>
      <c r="I158" s="3" t="str">
        <f>IF(H158="","",IF(H158&gt;0,"Win","Loss"))</f>
        <v/>
      </c>
    </row>
    <row r="159" spans="1:9" x14ac:dyDescent="0.2">
      <c r="A159" s="12"/>
      <c r="D159" s="19"/>
      <c r="E159" s="19"/>
      <c r="F159" s="19"/>
      <c r="G159" s="20" t="str">
        <f>IF(OR(D159="",E159="",F159=""),"",((E159-D159)/D159)*F159)</f>
        <v/>
      </c>
      <c r="H159" s="11" t="str">
        <f>IF(OR(D159="",E159=""),"",((E159-D159)/D159))</f>
        <v/>
      </c>
      <c r="I159" s="3" t="str">
        <f>IF(H159="","",IF(H159&gt;0,"Win","Loss"))</f>
        <v/>
      </c>
    </row>
    <row r="160" spans="1:9" x14ac:dyDescent="0.2">
      <c r="A160" s="12"/>
      <c r="D160" s="19"/>
      <c r="E160" s="19"/>
      <c r="F160" s="19"/>
      <c r="G160" s="20" t="str">
        <f>IF(OR(D160="",E160="",F160=""),"",((E160-D160)/D160)*F160)</f>
        <v/>
      </c>
      <c r="H160" s="11" t="str">
        <f>IF(OR(D160="",E160=""),"",((E160-D160)/D160))</f>
        <v/>
      </c>
      <c r="I160" s="3" t="str">
        <f>IF(H160="","",IF(H160&gt;0,"Win","Loss"))</f>
        <v/>
      </c>
    </row>
    <row r="161" spans="1:9" x14ac:dyDescent="0.2">
      <c r="A161" s="12"/>
      <c r="D161" s="19"/>
      <c r="E161" s="19"/>
      <c r="F161" s="19"/>
      <c r="G161" s="20" t="str">
        <f>IF(OR(D161="",E161="",F161=""),"",((E161-D161)/D161)*F161)</f>
        <v/>
      </c>
      <c r="H161" s="11" t="str">
        <f>IF(OR(D161="",E161=""),"",((E161-D161)/D161))</f>
        <v/>
      </c>
      <c r="I161" s="3" t="str">
        <f>IF(H161="","",IF(H161&gt;0,"Win","Loss"))</f>
        <v/>
      </c>
    </row>
    <row r="162" spans="1:9" x14ac:dyDescent="0.2">
      <c r="A162" s="12"/>
      <c r="D162" s="19"/>
      <c r="E162" s="19"/>
      <c r="F162" s="19"/>
      <c r="G162" s="20" t="str">
        <f>IF(OR(D162="",E162="",F162=""),"",((E162-D162)/D162)*F162)</f>
        <v/>
      </c>
      <c r="H162" s="11" t="str">
        <f>IF(OR(D162="",E162=""),"",((E162-D162)/D162))</f>
        <v/>
      </c>
      <c r="I162" s="3" t="str">
        <f>IF(H162="","",IF(H162&gt;0,"Win","Loss"))</f>
        <v/>
      </c>
    </row>
    <row r="163" spans="1:9" x14ac:dyDescent="0.2">
      <c r="A163" s="12"/>
      <c r="D163" s="19"/>
      <c r="E163" s="19"/>
      <c r="F163" s="19"/>
      <c r="G163" s="20" t="str">
        <f>IF(OR(D163="",E163="",F163=""),"",((E163-D163)/D163)*F163)</f>
        <v/>
      </c>
      <c r="H163" s="11" t="str">
        <f>IF(OR(D163="",E163=""),"",((E163-D163)/D163))</f>
        <v/>
      </c>
      <c r="I163" s="3" t="str">
        <f>IF(H163="","",IF(H163&gt;0,"Win","Loss"))</f>
        <v/>
      </c>
    </row>
    <row r="164" spans="1:9" x14ac:dyDescent="0.2">
      <c r="A164" s="12"/>
      <c r="D164" s="19"/>
      <c r="E164" s="19"/>
      <c r="F164" s="19"/>
      <c r="G164" s="20" t="str">
        <f>IF(OR(D164="",E164="",F164=""),"",((E164-D164)/D164)*F164)</f>
        <v/>
      </c>
      <c r="H164" s="11" t="str">
        <f>IF(OR(D164="",E164=""),"",((E164-D164)/D164))</f>
        <v/>
      </c>
      <c r="I164" s="3" t="str">
        <f>IF(H164="","",IF(H164&gt;0,"Win","Loss"))</f>
        <v/>
      </c>
    </row>
    <row r="165" spans="1:9" x14ac:dyDescent="0.2">
      <c r="A165" s="12"/>
      <c r="D165" s="19"/>
      <c r="E165" s="19"/>
      <c r="F165" s="19"/>
      <c r="G165" s="20" t="str">
        <f>IF(OR(D165="",E165="",F165=""),"",((E165-D165)/D165)*F165)</f>
        <v/>
      </c>
      <c r="H165" s="11" t="str">
        <f>IF(OR(D165="",E165=""),"",((E165-D165)/D165))</f>
        <v/>
      </c>
      <c r="I165" s="3" t="str">
        <f>IF(H165="","",IF(H165&gt;0,"Win","Loss"))</f>
        <v/>
      </c>
    </row>
    <row r="166" spans="1:9" x14ac:dyDescent="0.2">
      <c r="A166" s="12"/>
      <c r="D166" s="19"/>
      <c r="E166" s="19"/>
      <c r="F166" s="19"/>
      <c r="G166" s="20" t="str">
        <f>IF(OR(D166="",E166="",F166=""),"",((E166-D166)/D166)*F166)</f>
        <v/>
      </c>
      <c r="H166" s="11" t="str">
        <f>IF(OR(D166="",E166=""),"",((E166-D166)/D166))</f>
        <v/>
      </c>
      <c r="I166" s="3" t="str">
        <f>IF(H166="","",IF(H166&gt;0,"Win","Loss"))</f>
        <v/>
      </c>
    </row>
    <row r="167" spans="1:9" x14ac:dyDescent="0.2">
      <c r="A167" s="12"/>
      <c r="D167" s="19"/>
      <c r="E167" s="19"/>
      <c r="F167" s="19"/>
      <c r="G167" s="20" t="str">
        <f>IF(OR(D167="",E167="",F167=""),"",((E167-D167)/D167)*F167)</f>
        <v/>
      </c>
      <c r="H167" s="11" t="str">
        <f>IF(OR(D167="",E167=""),"",((E167-D167)/D167))</f>
        <v/>
      </c>
      <c r="I167" s="3" t="str">
        <f>IF(H167="","",IF(H167&gt;0,"Win","Loss"))</f>
        <v/>
      </c>
    </row>
    <row r="168" spans="1:9" x14ac:dyDescent="0.2">
      <c r="A168" s="12"/>
      <c r="D168" s="19"/>
      <c r="E168" s="19"/>
      <c r="F168" s="19"/>
      <c r="G168" s="20" t="str">
        <f>IF(OR(D168="",E168="",F168=""),"",((E168-D168)/D168)*F168)</f>
        <v/>
      </c>
      <c r="H168" s="11" t="str">
        <f>IF(OR(D168="",E168=""),"",((E168-D168)/D168))</f>
        <v/>
      </c>
      <c r="I168" s="3" t="str">
        <f>IF(H168="","",IF(H168&gt;0,"Win","Loss"))</f>
        <v/>
      </c>
    </row>
    <row r="169" spans="1:9" x14ac:dyDescent="0.2">
      <c r="A169" s="12"/>
      <c r="D169" s="19"/>
      <c r="E169" s="19"/>
      <c r="F169" s="19"/>
      <c r="G169" s="20" t="str">
        <f>IF(OR(D169="",E169="",F169=""),"",((E169-D169)/D169)*F169)</f>
        <v/>
      </c>
      <c r="H169" s="11" t="str">
        <f>IF(OR(D169="",E169=""),"",((E169-D169)/D169))</f>
        <v/>
      </c>
      <c r="I169" s="3" t="str">
        <f>IF(H169="","",IF(H169&gt;0,"Win","Loss"))</f>
        <v/>
      </c>
    </row>
    <row r="170" spans="1:9" x14ac:dyDescent="0.2">
      <c r="A170" s="12"/>
      <c r="D170" s="19"/>
      <c r="E170" s="19"/>
      <c r="F170" s="19"/>
      <c r="G170" s="20" t="str">
        <f>IF(OR(D170="",E170="",F170=""),"",((E170-D170)/D170)*F170)</f>
        <v/>
      </c>
      <c r="H170" s="11" t="str">
        <f>IF(OR(D170="",E170=""),"",((E170-D170)/D170))</f>
        <v/>
      </c>
      <c r="I170" s="3" t="str">
        <f>IF(H170="","",IF(H170&gt;0,"Win","Loss"))</f>
        <v/>
      </c>
    </row>
    <row r="171" spans="1:9" x14ac:dyDescent="0.2">
      <c r="A171" s="12"/>
      <c r="D171" s="19"/>
      <c r="E171" s="19"/>
      <c r="F171" s="19"/>
      <c r="G171" s="20" t="str">
        <f>IF(OR(D171="",E171="",F171=""),"",((E171-D171)/D171)*F171)</f>
        <v/>
      </c>
      <c r="H171" s="11" t="str">
        <f>IF(OR(D171="",E171=""),"",((E171-D171)/D171))</f>
        <v/>
      </c>
      <c r="I171" s="3" t="str">
        <f>IF(H171="","",IF(H171&gt;0,"Win","Loss"))</f>
        <v/>
      </c>
    </row>
    <row r="172" spans="1:9" x14ac:dyDescent="0.2">
      <c r="A172" s="12"/>
      <c r="D172" s="19"/>
      <c r="E172" s="19"/>
      <c r="F172" s="19"/>
      <c r="G172" s="20" t="str">
        <f>IF(OR(D172="",E172="",F172=""),"",((E172-D172)/D172)*F172)</f>
        <v/>
      </c>
      <c r="H172" s="11" t="str">
        <f>IF(OR(D172="",E172=""),"",((E172-D172)/D172))</f>
        <v/>
      </c>
      <c r="I172" s="3" t="str">
        <f>IF(H172="","",IF(H172&gt;0,"Win","Loss"))</f>
        <v/>
      </c>
    </row>
    <row r="173" spans="1:9" x14ac:dyDescent="0.2">
      <c r="A173" s="12"/>
      <c r="D173" s="19"/>
      <c r="E173" s="19"/>
      <c r="F173" s="19"/>
      <c r="G173" s="20" t="str">
        <f>IF(OR(D173="",E173="",F173=""),"",((E173-D173)/D173)*F173)</f>
        <v/>
      </c>
      <c r="H173" s="11" t="str">
        <f>IF(OR(D173="",E173=""),"",((E173-D173)/D173))</f>
        <v/>
      </c>
      <c r="I173" s="3" t="str">
        <f>IF(H173="","",IF(H173&gt;0,"Win","Loss"))</f>
        <v/>
      </c>
    </row>
    <row r="174" spans="1:9" x14ac:dyDescent="0.2">
      <c r="A174" s="12"/>
      <c r="D174" s="19"/>
      <c r="E174" s="19"/>
      <c r="F174" s="19"/>
      <c r="G174" s="20" t="str">
        <f>IF(OR(D174="",E174="",F174=""),"",((E174-D174)/D174)*F174)</f>
        <v/>
      </c>
      <c r="H174" s="11" t="str">
        <f>IF(OR(D174="",E174=""),"",((E174-D174)/D174))</f>
        <v/>
      </c>
      <c r="I174" s="3" t="str">
        <f>IF(H174="","",IF(H174&gt;0,"Win","Loss"))</f>
        <v/>
      </c>
    </row>
    <row r="175" spans="1:9" x14ac:dyDescent="0.2">
      <c r="A175" s="12"/>
      <c r="D175" s="19"/>
      <c r="E175" s="19"/>
      <c r="F175" s="19"/>
      <c r="G175" s="20" t="str">
        <f>IF(OR(D175="",E175="",F175=""),"",((E175-D175)/D175)*F175)</f>
        <v/>
      </c>
      <c r="H175" s="11" t="str">
        <f>IF(OR(D175="",E175=""),"",((E175-D175)/D175))</f>
        <v/>
      </c>
      <c r="I175" s="3" t="str">
        <f>IF(H175="","",IF(H175&gt;0,"Win","Loss"))</f>
        <v/>
      </c>
    </row>
    <row r="176" spans="1:9" x14ac:dyDescent="0.2">
      <c r="A176" s="12"/>
      <c r="D176" s="19"/>
      <c r="E176" s="19"/>
      <c r="F176" s="19"/>
      <c r="G176" s="20" t="str">
        <f>IF(OR(D176="",E176="",F176=""),"",((E176-D176)/D176)*F176)</f>
        <v/>
      </c>
      <c r="H176" s="11" t="str">
        <f>IF(OR(D176="",E176=""),"",((E176-D176)/D176))</f>
        <v/>
      </c>
      <c r="I176" s="3" t="str">
        <f>IF(H176="","",IF(H176&gt;0,"Win","Loss"))</f>
        <v/>
      </c>
    </row>
    <row r="177" spans="1:9" x14ac:dyDescent="0.2">
      <c r="A177" s="12"/>
      <c r="D177" s="19"/>
      <c r="E177" s="19"/>
      <c r="F177" s="19"/>
      <c r="G177" s="20" t="str">
        <f>IF(OR(D177="",E177="",F177=""),"",((E177-D177)/D177)*F177)</f>
        <v/>
      </c>
      <c r="H177" s="11" t="str">
        <f>IF(OR(D177="",E177=""),"",((E177-D177)/D177))</f>
        <v/>
      </c>
      <c r="I177" s="3" t="str">
        <f>IF(H177="","",IF(H177&gt;0,"Win","Loss"))</f>
        <v/>
      </c>
    </row>
    <row r="178" spans="1:9" x14ac:dyDescent="0.2">
      <c r="A178" s="12"/>
      <c r="D178" s="19"/>
      <c r="E178" s="19"/>
      <c r="F178" s="19"/>
      <c r="G178" s="20" t="str">
        <f>IF(OR(D178="",E178="",F178=""),"",((E178-D178)/D178)*F178)</f>
        <v/>
      </c>
      <c r="H178" s="11" t="str">
        <f>IF(OR(D178="",E178=""),"",((E178-D178)/D178))</f>
        <v/>
      </c>
      <c r="I178" s="3" t="str">
        <f>IF(H178="","",IF(H178&gt;0,"Win","Loss"))</f>
        <v/>
      </c>
    </row>
    <row r="179" spans="1:9" x14ac:dyDescent="0.2">
      <c r="A179" s="12"/>
      <c r="D179" s="19"/>
      <c r="E179" s="19"/>
      <c r="F179" s="19"/>
      <c r="G179" s="20" t="str">
        <f>IF(OR(D179="",E179="",F179=""),"",((E179-D179)/D179)*F179)</f>
        <v/>
      </c>
      <c r="H179" s="11" t="str">
        <f>IF(OR(D179="",E179=""),"",((E179-D179)/D179))</f>
        <v/>
      </c>
      <c r="I179" s="3" t="str">
        <f>IF(H179="","",IF(H179&gt;0,"Win","Loss"))</f>
        <v/>
      </c>
    </row>
    <row r="180" spans="1:9" x14ac:dyDescent="0.2">
      <c r="A180" s="12"/>
      <c r="D180" s="19"/>
      <c r="E180" s="19"/>
      <c r="F180" s="19"/>
      <c r="G180" s="20" t="str">
        <f>IF(OR(D180="",E180="",F180=""),"",((E180-D180)/D180)*F180)</f>
        <v/>
      </c>
      <c r="H180" s="11" t="str">
        <f>IF(OR(D180="",E180=""),"",((E180-D180)/D180))</f>
        <v/>
      </c>
      <c r="I180" s="3" t="str">
        <f>IF(H180="","",IF(H180&gt;0,"Win","Loss"))</f>
        <v/>
      </c>
    </row>
    <row r="181" spans="1:9" x14ac:dyDescent="0.2">
      <c r="A181" s="12"/>
      <c r="D181" s="19"/>
      <c r="E181" s="19"/>
      <c r="F181" s="19"/>
      <c r="G181" s="20" t="str">
        <f>IF(OR(D181="",E181="",F181=""),"",((E181-D181)/D181)*F181)</f>
        <v/>
      </c>
      <c r="H181" s="11" t="str">
        <f>IF(OR(D181="",E181=""),"",((E181-D181)/D181))</f>
        <v/>
      </c>
      <c r="I181" s="3" t="str">
        <f>IF(H181="","",IF(H181&gt;0,"Win","Loss"))</f>
        <v/>
      </c>
    </row>
    <row r="182" spans="1:9" x14ac:dyDescent="0.2">
      <c r="A182" s="12"/>
      <c r="D182" s="19"/>
      <c r="E182" s="19"/>
      <c r="F182" s="19"/>
      <c r="G182" s="20" t="str">
        <f>IF(OR(D182="",E182="",F182=""),"",((E182-D182)/D182)*F182)</f>
        <v/>
      </c>
      <c r="H182" s="11" t="str">
        <f>IF(OR(D182="",E182=""),"",((E182-D182)/D182))</f>
        <v/>
      </c>
      <c r="I182" s="3" t="str">
        <f>IF(H182="","",IF(H182&gt;0,"Win","Loss"))</f>
        <v/>
      </c>
    </row>
    <row r="183" spans="1:9" x14ac:dyDescent="0.2">
      <c r="A183" s="12"/>
      <c r="D183" s="19"/>
      <c r="E183" s="19"/>
      <c r="F183" s="19"/>
      <c r="G183" s="20" t="str">
        <f>IF(OR(D183="",E183="",F183=""),"",((E183-D183)/D183)*F183)</f>
        <v/>
      </c>
      <c r="H183" s="11" t="str">
        <f>IF(OR(D183="",E183=""),"",((E183-D183)/D183))</f>
        <v/>
      </c>
      <c r="I183" s="3" t="str">
        <f>IF(H183="","",IF(H183&gt;0,"Win","Loss"))</f>
        <v/>
      </c>
    </row>
    <row r="184" spans="1:9" x14ac:dyDescent="0.2">
      <c r="A184" s="12"/>
      <c r="D184" s="19"/>
      <c r="E184" s="19"/>
      <c r="F184" s="19"/>
      <c r="G184" s="20" t="str">
        <f>IF(OR(D184="",E184="",F184=""),"",((E184-D184)/D184)*F184)</f>
        <v/>
      </c>
      <c r="H184" s="11" t="str">
        <f>IF(OR(D184="",E184=""),"",((E184-D184)/D184))</f>
        <v/>
      </c>
      <c r="I184" s="3" t="str">
        <f>IF(H184="","",IF(H184&gt;0,"Win","Loss"))</f>
        <v/>
      </c>
    </row>
    <row r="185" spans="1:9" x14ac:dyDescent="0.2">
      <c r="A185" s="12"/>
      <c r="D185" s="19"/>
      <c r="E185" s="19"/>
      <c r="F185" s="19"/>
      <c r="G185" s="20" t="str">
        <f>IF(OR(D185="",E185="",F185=""),"",((E185-D185)/D185)*F185)</f>
        <v/>
      </c>
      <c r="H185" s="11" t="str">
        <f>IF(OR(D185="",E185=""),"",((E185-D185)/D185))</f>
        <v/>
      </c>
      <c r="I185" s="3" t="str">
        <f>IF(H185="","",IF(H185&gt;0,"Win","Loss"))</f>
        <v/>
      </c>
    </row>
    <row r="186" spans="1:9" x14ac:dyDescent="0.2">
      <c r="A186" s="12"/>
      <c r="D186" s="19"/>
      <c r="E186" s="19"/>
      <c r="F186" s="19"/>
      <c r="G186" s="20" t="str">
        <f>IF(OR(D186="",E186="",F186=""),"",((E186-D186)/D186)*F186)</f>
        <v/>
      </c>
      <c r="H186" s="11" t="str">
        <f>IF(OR(D186="",E186=""),"",((E186-D186)/D186))</f>
        <v/>
      </c>
      <c r="I186" s="3" t="str">
        <f>IF(H186="","",IF(H186&gt;0,"Win","Loss"))</f>
        <v/>
      </c>
    </row>
    <row r="187" spans="1:9" x14ac:dyDescent="0.2">
      <c r="A187" s="12"/>
      <c r="D187" s="19"/>
      <c r="E187" s="19"/>
      <c r="F187" s="19"/>
      <c r="G187" s="20" t="str">
        <f>IF(OR(D187="",E187="",F187=""),"",((E187-D187)/D187)*F187)</f>
        <v/>
      </c>
      <c r="H187" s="11" t="str">
        <f>IF(OR(D187="",E187=""),"",((E187-D187)/D187))</f>
        <v/>
      </c>
      <c r="I187" s="3" t="str">
        <f>IF(H187="","",IF(H187&gt;0,"Win","Loss"))</f>
        <v/>
      </c>
    </row>
    <row r="188" spans="1:9" x14ac:dyDescent="0.2">
      <c r="A188" s="12"/>
      <c r="D188" s="19"/>
      <c r="E188" s="19"/>
      <c r="F188" s="19"/>
      <c r="G188" s="20" t="str">
        <f>IF(OR(D188="",E188="",F188=""),"",((E188-D188)/D188)*F188)</f>
        <v/>
      </c>
      <c r="H188" s="11" t="str">
        <f>IF(OR(D188="",E188=""),"",((E188-D188)/D188))</f>
        <v/>
      </c>
      <c r="I188" s="3" t="str">
        <f>IF(H188="","",IF(H188&gt;0,"Win","Loss"))</f>
        <v/>
      </c>
    </row>
    <row r="189" spans="1:9" x14ac:dyDescent="0.2">
      <c r="A189" s="12"/>
      <c r="D189" s="19"/>
      <c r="E189" s="19"/>
      <c r="F189" s="19"/>
      <c r="G189" s="20" t="str">
        <f>IF(OR(D189="",E189="",F189=""),"",((E189-D189)/D189)*F189)</f>
        <v/>
      </c>
      <c r="H189" s="11" t="str">
        <f>IF(OR(D189="",E189=""),"",((E189-D189)/D189))</f>
        <v/>
      </c>
      <c r="I189" s="3" t="str">
        <f>IF(H189="","",IF(H189&gt;0,"Win","Loss"))</f>
        <v/>
      </c>
    </row>
    <row r="190" spans="1:9" x14ac:dyDescent="0.2">
      <c r="A190" s="12"/>
      <c r="D190" s="19"/>
      <c r="E190" s="19"/>
      <c r="F190" s="19"/>
      <c r="G190" s="20" t="str">
        <f>IF(OR(D190="",E190="",F190=""),"",((E190-D190)/D190)*F190)</f>
        <v/>
      </c>
      <c r="H190" s="11" t="str">
        <f>IF(OR(D190="",E190=""),"",((E190-D190)/D190))</f>
        <v/>
      </c>
      <c r="I190" s="3" t="str">
        <f>IF(H190="","",IF(H190&gt;0,"Win","Loss"))</f>
        <v/>
      </c>
    </row>
    <row r="191" spans="1:9" x14ac:dyDescent="0.2">
      <c r="A191" s="12"/>
      <c r="D191" s="19"/>
      <c r="E191" s="19"/>
      <c r="F191" s="19"/>
      <c r="G191" s="20" t="str">
        <f>IF(OR(D191="",E191="",F191=""),"",((E191-D191)/D191)*F191)</f>
        <v/>
      </c>
      <c r="H191" s="11" t="str">
        <f>IF(OR(D191="",E191=""),"",((E191-D191)/D191))</f>
        <v/>
      </c>
      <c r="I191" s="3" t="str">
        <f>IF(H191="","",IF(H191&gt;0,"Win","Loss"))</f>
        <v/>
      </c>
    </row>
    <row r="192" spans="1:9" x14ac:dyDescent="0.2">
      <c r="A192" s="12"/>
      <c r="D192" s="19"/>
      <c r="E192" s="19"/>
      <c r="F192" s="19"/>
      <c r="G192" s="20" t="str">
        <f>IF(OR(D192="",E192="",F192=""),"",((E192-D192)/D192)*F192)</f>
        <v/>
      </c>
      <c r="H192" s="11" t="str">
        <f>IF(OR(D192="",E192=""),"",((E192-D192)/D192))</f>
        <v/>
      </c>
      <c r="I192" s="3" t="str">
        <f>IF(H192="","",IF(H192&gt;0,"Win","Loss"))</f>
        <v/>
      </c>
    </row>
    <row r="193" spans="1:9" x14ac:dyDescent="0.2">
      <c r="A193" s="12"/>
      <c r="D193" s="19"/>
      <c r="E193" s="19"/>
      <c r="F193" s="19"/>
      <c r="G193" s="20" t="str">
        <f>IF(OR(D193="",E193="",F193=""),"",((E193-D193)/D193)*F193)</f>
        <v/>
      </c>
      <c r="H193" s="11" t="str">
        <f>IF(OR(D193="",E193=""),"",((E193-D193)/D193))</f>
        <v/>
      </c>
      <c r="I193" s="3" t="str">
        <f>IF(H193="","",IF(H193&gt;0,"Win","Loss"))</f>
        <v/>
      </c>
    </row>
    <row r="194" spans="1:9" x14ac:dyDescent="0.2">
      <c r="A194" s="12"/>
      <c r="D194" s="19"/>
      <c r="E194" s="19"/>
      <c r="F194" s="19"/>
      <c r="G194" s="20" t="str">
        <f>IF(OR(D194="",E194="",F194=""),"",((E194-D194)/D194)*F194)</f>
        <v/>
      </c>
      <c r="H194" s="11" t="str">
        <f>IF(OR(D194="",E194=""),"",((E194-D194)/D194))</f>
        <v/>
      </c>
      <c r="I194" s="3" t="str">
        <f>IF(H194="","",IF(H194&gt;0,"Win","Loss"))</f>
        <v/>
      </c>
    </row>
    <row r="195" spans="1:9" x14ac:dyDescent="0.2">
      <c r="A195" s="12"/>
      <c r="D195" s="19"/>
      <c r="E195" s="19"/>
      <c r="F195" s="19"/>
      <c r="G195" s="20" t="str">
        <f>IF(OR(D195="",E195="",F195=""),"",((E195-D195)/D195)*F195)</f>
        <v/>
      </c>
      <c r="H195" s="11" t="str">
        <f>IF(OR(D195="",E195=""),"",((E195-D195)/D195))</f>
        <v/>
      </c>
      <c r="I195" s="3" t="str">
        <f>IF(H195="","",IF(H195&gt;0,"Win","Loss"))</f>
        <v/>
      </c>
    </row>
    <row r="196" spans="1:9" x14ac:dyDescent="0.2">
      <c r="A196" s="12"/>
      <c r="D196" s="19"/>
      <c r="E196" s="19"/>
      <c r="F196" s="19"/>
      <c r="G196" s="20" t="str">
        <f>IF(OR(D196="",E196="",F196=""),"",((E196-D196)/D196)*F196)</f>
        <v/>
      </c>
      <c r="H196" s="11" t="str">
        <f>IF(OR(D196="",E196=""),"",((E196-D196)/D196))</f>
        <v/>
      </c>
      <c r="I196" s="3" t="str">
        <f>IF(H196="","",IF(H196&gt;0,"Win","Loss"))</f>
        <v/>
      </c>
    </row>
    <row r="197" spans="1:9" x14ac:dyDescent="0.2">
      <c r="A197" s="12"/>
      <c r="D197" s="19"/>
      <c r="E197" s="19"/>
      <c r="F197" s="19"/>
      <c r="G197" s="20" t="str">
        <f>IF(OR(D197="",E197="",F197=""),"",((E197-D197)/D197)*F197)</f>
        <v/>
      </c>
      <c r="H197" s="11" t="str">
        <f>IF(OR(D197="",E197=""),"",((E197-D197)/D197))</f>
        <v/>
      </c>
      <c r="I197" s="3" t="str">
        <f>IF(H197="","",IF(H197&gt;0,"Win","Loss"))</f>
        <v/>
      </c>
    </row>
    <row r="198" spans="1:9" x14ac:dyDescent="0.2">
      <c r="A198" s="12"/>
      <c r="D198" s="19"/>
      <c r="E198" s="19"/>
      <c r="F198" s="19"/>
      <c r="G198" s="20" t="str">
        <f>IF(OR(D198="",E198="",F198=""),"",((E198-D198)/D198)*F198)</f>
        <v/>
      </c>
      <c r="H198" s="11" t="str">
        <f>IF(OR(D198="",E198=""),"",((E198-D198)/D198))</f>
        <v/>
      </c>
      <c r="I198" s="3" t="str">
        <f>IF(H198="","",IF(H198&gt;0,"Win","Loss"))</f>
        <v/>
      </c>
    </row>
    <row r="199" spans="1:9" x14ac:dyDescent="0.2">
      <c r="A199" s="12"/>
      <c r="D199" s="19"/>
      <c r="E199" s="19"/>
      <c r="F199" s="19"/>
      <c r="G199" s="20" t="str">
        <f>IF(OR(D199="",E199="",F199=""),"",((E199-D199)/D199)*F199)</f>
        <v/>
      </c>
      <c r="H199" s="11" t="str">
        <f>IF(OR(D199="",E199=""),"",((E199-D199)/D199))</f>
        <v/>
      </c>
      <c r="I199" s="3" t="str">
        <f>IF(H199="","",IF(H199&gt;0,"Win","Loss"))</f>
        <v/>
      </c>
    </row>
    <row r="200" spans="1:9" x14ac:dyDescent="0.2">
      <c r="A200" s="12"/>
      <c r="D200" s="19"/>
      <c r="E200" s="19"/>
      <c r="F200" s="19"/>
      <c r="G200" s="20" t="str">
        <f>IF(OR(D200="",E200="",F200=""),"",((E200-D200)/D200)*F200)</f>
        <v/>
      </c>
      <c r="H200" s="11" t="str">
        <f>IF(OR(D200="",E200=""),"",((E200-D200)/D200))</f>
        <v/>
      </c>
      <c r="I200" s="3" t="str">
        <f>IF(H200="","",IF(H200&gt;0,"Win","Loss"))</f>
        <v/>
      </c>
    </row>
    <row r="201" spans="1:9" x14ac:dyDescent="0.2">
      <c r="A201" s="12"/>
      <c r="D201" s="19"/>
      <c r="E201" s="19"/>
      <c r="F201" s="19"/>
      <c r="G201" s="20" t="str">
        <f>IF(OR(D201="",E201="",F201=""),"",((E201-D201)/D201)*F201)</f>
        <v/>
      </c>
      <c r="H201" s="11" t="str">
        <f>IF(OR(D201="",E201=""),"",((E201-D201)/D201))</f>
        <v/>
      </c>
      <c r="I201" s="3" t="str">
        <f>IF(H201="","",IF(H201&gt;0,"Win","Loss"))</f>
        <v/>
      </c>
    </row>
    <row r="202" spans="1:9" x14ac:dyDescent="0.2">
      <c r="A202" s="12"/>
      <c r="D202" s="19"/>
      <c r="E202" s="19"/>
      <c r="F202" s="19"/>
      <c r="G202" s="20" t="str">
        <f>IF(OR(D202="",E202="",F202=""),"",((E202-D202)/D202)*F202)</f>
        <v/>
      </c>
      <c r="H202" s="11" t="str">
        <f>IF(OR(D202="",E202=""),"",((E202-D202)/D202))</f>
        <v/>
      </c>
      <c r="I202" s="3" t="str">
        <f>IF(H202="","",IF(H202&gt;0,"Win","Loss"))</f>
        <v/>
      </c>
    </row>
    <row r="203" spans="1:9" x14ac:dyDescent="0.2">
      <c r="A203" s="12"/>
      <c r="D203" s="19"/>
      <c r="E203" s="19"/>
      <c r="F203" s="19"/>
      <c r="G203" s="20" t="str">
        <f>IF(OR(D203="",E203="",F203=""),"",((E203-D203)/D203)*F203)</f>
        <v/>
      </c>
      <c r="H203" s="11" t="str">
        <f>IF(OR(D203="",E203=""),"",((E203-D203)/D203))</f>
        <v/>
      </c>
      <c r="I203" s="3" t="str">
        <f>IF(H203="","",IF(H203&gt;0,"Win","Loss"))</f>
        <v/>
      </c>
    </row>
    <row r="204" spans="1:9" x14ac:dyDescent="0.2">
      <c r="A204" s="12"/>
      <c r="D204" s="19"/>
      <c r="E204" s="19"/>
      <c r="F204" s="19"/>
      <c r="G204" s="20" t="str">
        <f>IF(OR(D204="",E204="",F204=""),"",((E204-D204)/D204)*F204)</f>
        <v/>
      </c>
      <c r="H204" s="11" t="str">
        <f>IF(OR(D204="",E204=""),"",((E204-D204)/D204))</f>
        <v/>
      </c>
      <c r="I204" s="3" t="str">
        <f>IF(H204="","",IF(H204&gt;0,"Win","Loss"))</f>
        <v/>
      </c>
    </row>
    <row r="205" spans="1:9" x14ac:dyDescent="0.2">
      <c r="A205" s="12"/>
      <c r="D205" s="19"/>
      <c r="E205" s="19"/>
      <c r="F205" s="19"/>
      <c r="G205" s="20" t="str">
        <f>IF(OR(D205="",E205="",F205=""),"",((E205-D205)/D205)*F205)</f>
        <v/>
      </c>
      <c r="H205" s="11" t="str">
        <f>IF(OR(D205="",E205=""),"",((E205-D205)/D205))</f>
        <v/>
      </c>
      <c r="I205" s="3" t="str">
        <f>IF(H205="","",IF(H205&gt;0,"Win","Loss"))</f>
        <v/>
      </c>
    </row>
    <row r="206" spans="1:9" x14ac:dyDescent="0.2">
      <c r="A206" s="12"/>
      <c r="D206" s="19"/>
      <c r="E206" s="19"/>
      <c r="F206" s="19"/>
      <c r="G206" s="20" t="str">
        <f>IF(OR(D206="",E206="",F206=""),"",((E206-D206)/D206)*F206)</f>
        <v/>
      </c>
      <c r="H206" s="11" t="str">
        <f>IF(OR(D206="",E206=""),"",((E206-D206)/D206))</f>
        <v/>
      </c>
      <c r="I206" s="3" t="str">
        <f>IF(H206="","",IF(H206&gt;0,"Win","Loss"))</f>
        <v/>
      </c>
    </row>
    <row r="207" spans="1:9" x14ac:dyDescent="0.2">
      <c r="A207" s="12"/>
      <c r="D207" s="19"/>
      <c r="E207" s="19"/>
      <c r="F207" s="19"/>
      <c r="G207" s="20" t="str">
        <f>IF(OR(D207="",E207="",F207=""),"",((E207-D207)/D207)*F207)</f>
        <v/>
      </c>
      <c r="H207" s="11" t="str">
        <f>IF(OR(D207="",E207=""),"",((E207-D207)/D207))</f>
        <v/>
      </c>
      <c r="I207" s="3" t="str">
        <f>IF(H207="","",IF(H207&gt;0,"Win","Loss"))</f>
        <v/>
      </c>
    </row>
    <row r="208" spans="1:9" x14ac:dyDescent="0.2">
      <c r="A208" s="12"/>
      <c r="D208" s="19"/>
      <c r="E208" s="19"/>
      <c r="F208" s="19"/>
      <c r="G208" s="20" t="str">
        <f>IF(OR(D208="",E208="",F208=""),"",((E208-D208)/D208)*F208)</f>
        <v/>
      </c>
      <c r="H208" s="11" t="str">
        <f>IF(OR(D208="",E208=""),"",((E208-D208)/D208))</f>
        <v/>
      </c>
      <c r="I208" s="3" t="str">
        <f>IF(H208="","",IF(H208&gt;0,"Win","Loss"))</f>
        <v/>
      </c>
    </row>
    <row r="209" spans="1:9" x14ac:dyDescent="0.2">
      <c r="A209" s="12"/>
      <c r="D209" s="19"/>
      <c r="E209" s="19"/>
      <c r="F209" s="19"/>
      <c r="G209" s="20" t="str">
        <f>IF(OR(D209="",E209="",F209=""),"",((E209-D209)/D209)*F209)</f>
        <v/>
      </c>
      <c r="H209" s="11" t="str">
        <f>IF(OR(D209="",E209=""),"",((E209-D209)/D209))</f>
        <v/>
      </c>
      <c r="I209" s="3" t="str">
        <f>IF(H209="","",IF(H209&gt;0,"Win","Loss"))</f>
        <v/>
      </c>
    </row>
    <row r="210" spans="1:9" x14ac:dyDescent="0.2">
      <c r="A210" s="12"/>
      <c r="D210" s="19"/>
      <c r="E210" s="19"/>
      <c r="F210" s="19"/>
      <c r="G210" s="20" t="str">
        <f>IF(OR(D210="",E210="",F210=""),"",((E210-D210)/D210)*F210)</f>
        <v/>
      </c>
      <c r="H210" s="11" t="str">
        <f>IF(OR(D210="",E210=""),"",((E210-D210)/D210))</f>
        <v/>
      </c>
      <c r="I210" s="3" t="str">
        <f>IF(H210="","",IF(H210&gt;0,"Win","Loss"))</f>
        <v/>
      </c>
    </row>
    <row r="211" spans="1:9" x14ac:dyDescent="0.2">
      <c r="A211" s="12"/>
      <c r="D211" s="19"/>
      <c r="E211" s="19"/>
      <c r="F211" s="19"/>
      <c r="G211" s="20" t="str">
        <f>IF(OR(D211="",E211="",F211=""),"",((E211-D211)/D211)*F211)</f>
        <v/>
      </c>
      <c r="H211" s="11" t="str">
        <f>IF(OR(D211="",E211=""),"",((E211-D211)/D211))</f>
        <v/>
      </c>
      <c r="I211" s="3" t="str">
        <f>IF(H211="","",IF(H211&gt;0,"Win","Loss"))</f>
        <v/>
      </c>
    </row>
    <row r="212" spans="1:9" x14ac:dyDescent="0.2">
      <c r="A212" s="12"/>
      <c r="D212" s="19"/>
      <c r="E212" s="19"/>
      <c r="F212" s="19"/>
      <c r="G212" s="20" t="str">
        <f>IF(OR(D212="",E212="",F212=""),"",((E212-D212)/D212)*F212)</f>
        <v/>
      </c>
      <c r="H212" s="11" t="str">
        <f>IF(OR(D212="",E212=""),"",((E212-D212)/D212))</f>
        <v/>
      </c>
      <c r="I212" s="3" t="str">
        <f>IF(H212="","",IF(H212&gt;0,"Win","Loss"))</f>
        <v/>
      </c>
    </row>
    <row r="213" spans="1:9" x14ac:dyDescent="0.2">
      <c r="A213" s="12"/>
      <c r="D213" s="19"/>
      <c r="E213" s="19"/>
      <c r="F213" s="19"/>
      <c r="G213" s="20" t="str">
        <f>IF(OR(D213="",E213="",F213=""),"",((E213-D213)/D213)*F213)</f>
        <v/>
      </c>
      <c r="H213" s="11" t="str">
        <f>IF(OR(D213="",E213=""),"",((E213-D213)/D213))</f>
        <v/>
      </c>
      <c r="I213" s="3" t="str">
        <f>IF(H213="","",IF(H213&gt;0,"Win","Loss"))</f>
        <v/>
      </c>
    </row>
    <row r="214" spans="1:9" x14ac:dyDescent="0.2">
      <c r="A214" s="12"/>
      <c r="D214" s="19"/>
      <c r="E214" s="19"/>
      <c r="F214" s="19"/>
      <c r="G214" s="20" t="str">
        <f>IF(OR(D214="",E214="",F214=""),"",((E214-D214)/D214)*F214)</f>
        <v/>
      </c>
      <c r="H214" s="11" t="str">
        <f>IF(OR(D214="",E214=""),"",((E214-D214)/D214))</f>
        <v/>
      </c>
      <c r="I214" s="3" t="str">
        <f>IF(H214="","",IF(H214&gt;0,"Win","Loss"))</f>
        <v/>
      </c>
    </row>
    <row r="215" spans="1:9" x14ac:dyDescent="0.2">
      <c r="A215" s="12"/>
      <c r="D215" s="19"/>
      <c r="E215" s="19"/>
      <c r="F215" s="19"/>
      <c r="G215" s="20" t="str">
        <f>IF(OR(D215="",E215="",F215=""),"",((E215-D215)/D215)*F215)</f>
        <v/>
      </c>
      <c r="H215" s="11" t="str">
        <f>IF(OR(D215="",E215=""),"",((E215-D215)/D215))</f>
        <v/>
      </c>
      <c r="I215" s="3" t="str">
        <f>IF(H215="","",IF(H215&gt;0,"Win","Loss"))</f>
        <v/>
      </c>
    </row>
    <row r="216" spans="1:9" x14ac:dyDescent="0.2">
      <c r="A216" s="12"/>
      <c r="D216" s="19"/>
      <c r="E216" s="19"/>
      <c r="F216" s="19"/>
      <c r="G216" s="20" t="str">
        <f>IF(OR(D216="",E216="",F216=""),"",((E216-D216)/D216)*F216)</f>
        <v/>
      </c>
      <c r="H216" s="11" t="str">
        <f>IF(OR(D216="",E216=""),"",((E216-D216)/D216))</f>
        <v/>
      </c>
      <c r="I216" s="3" t="str">
        <f>IF(H216="","",IF(H216&gt;0,"Win","Loss"))</f>
        <v/>
      </c>
    </row>
    <row r="217" spans="1:9" x14ac:dyDescent="0.2">
      <c r="A217" s="12"/>
      <c r="D217" s="19"/>
      <c r="E217" s="19"/>
      <c r="F217" s="19"/>
      <c r="G217" s="20" t="str">
        <f>IF(OR(D217="",E217="",F217=""),"",((E217-D217)/D217)*F217)</f>
        <v/>
      </c>
      <c r="H217" s="11" t="str">
        <f>IF(OR(D217="",E217=""),"",((E217-D217)/D217))</f>
        <v/>
      </c>
      <c r="I217" s="3" t="str">
        <f>IF(H217="","",IF(H217&gt;0,"Win","Loss"))</f>
        <v/>
      </c>
    </row>
    <row r="218" spans="1:9" x14ac:dyDescent="0.2">
      <c r="A218" s="12"/>
      <c r="D218" s="19"/>
      <c r="E218" s="19"/>
      <c r="F218" s="19"/>
      <c r="G218" s="20" t="str">
        <f>IF(OR(D218="",E218="",F218=""),"",((E218-D218)/D218)*F218)</f>
        <v/>
      </c>
      <c r="H218" s="11" t="str">
        <f>IF(OR(D218="",E218=""),"",((E218-D218)/D218))</f>
        <v/>
      </c>
      <c r="I218" s="3" t="str">
        <f>IF(H218="","",IF(H218&gt;0,"Win","Loss"))</f>
        <v/>
      </c>
    </row>
    <row r="219" spans="1:9" x14ac:dyDescent="0.2">
      <c r="A219" s="12"/>
      <c r="D219" s="19"/>
      <c r="E219" s="19"/>
      <c r="F219" s="19"/>
      <c r="G219" s="20" t="str">
        <f>IF(OR(D219="",E219="",F219=""),"",((E219-D219)/D219)*F219)</f>
        <v/>
      </c>
      <c r="H219" s="11" t="str">
        <f>IF(OR(D219="",E219=""),"",((E219-D219)/D219))</f>
        <v/>
      </c>
      <c r="I219" s="3" t="str">
        <f>IF(H219="","",IF(H219&gt;0,"Win","Loss"))</f>
        <v/>
      </c>
    </row>
    <row r="220" spans="1:9" x14ac:dyDescent="0.2">
      <c r="A220" s="12"/>
      <c r="D220" s="19"/>
      <c r="E220" s="19"/>
      <c r="F220" s="19"/>
      <c r="G220" s="20" t="str">
        <f>IF(OR(D220="",E220="",F220=""),"",((E220-D220)/D220)*F220)</f>
        <v/>
      </c>
      <c r="H220" s="11" t="str">
        <f>IF(OR(D220="",E220=""),"",((E220-D220)/D220))</f>
        <v/>
      </c>
      <c r="I220" s="3" t="str">
        <f>IF(H220="","",IF(H220&gt;0,"Win","Loss"))</f>
        <v/>
      </c>
    </row>
    <row r="221" spans="1:9" x14ac:dyDescent="0.2">
      <c r="A221" s="12"/>
      <c r="D221" s="19"/>
      <c r="E221" s="19"/>
      <c r="F221" s="19"/>
      <c r="G221" s="20" t="str">
        <f>IF(OR(D221="",E221="",F221=""),"",((E221-D221)/D221)*F221)</f>
        <v/>
      </c>
      <c r="H221" s="11" t="str">
        <f>IF(OR(D221="",E221=""),"",((E221-D221)/D221))</f>
        <v/>
      </c>
      <c r="I221" s="3" t="str">
        <f>IF(H221="","",IF(H221&gt;0,"Win","Loss"))</f>
        <v/>
      </c>
    </row>
    <row r="222" spans="1:9" x14ac:dyDescent="0.2">
      <c r="A222" s="12"/>
      <c r="D222" s="19"/>
      <c r="E222" s="19"/>
      <c r="F222" s="19"/>
      <c r="G222" s="20" t="str">
        <f>IF(OR(D222="",E222="",F222=""),"",((E222-D222)/D222)*F222)</f>
        <v/>
      </c>
      <c r="H222" s="11" t="str">
        <f>IF(OR(D222="",E222=""),"",((E222-D222)/D222))</f>
        <v/>
      </c>
      <c r="I222" s="3" t="str">
        <f>IF(H222="","",IF(H222&gt;0,"Win","Loss"))</f>
        <v/>
      </c>
    </row>
    <row r="223" spans="1:9" x14ac:dyDescent="0.2">
      <c r="A223" s="12"/>
      <c r="D223" s="19"/>
      <c r="E223" s="19"/>
      <c r="F223" s="19"/>
      <c r="G223" s="20" t="str">
        <f>IF(OR(D223="",E223="",F223=""),"",((E223-D223)/D223)*F223)</f>
        <v/>
      </c>
      <c r="H223" s="11" t="str">
        <f>IF(OR(D223="",E223=""),"",((E223-D223)/D223))</f>
        <v/>
      </c>
      <c r="I223" s="3" t="str">
        <f>IF(H223="","",IF(H223&gt;0,"Win","Loss"))</f>
        <v/>
      </c>
    </row>
    <row r="224" spans="1:9" x14ac:dyDescent="0.2">
      <c r="A224" s="12"/>
      <c r="D224" s="19"/>
      <c r="E224" s="19"/>
      <c r="F224" s="19"/>
      <c r="G224" s="20" t="str">
        <f>IF(OR(D224="",E224="",F224=""),"",((E224-D224)/D224)*F224)</f>
        <v/>
      </c>
      <c r="H224" s="11" t="str">
        <f>IF(OR(D224="",E224=""),"",((E224-D224)/D224))</f>
        <v/>
      </c>
      <c r="I224" s="3" t="str">
        <f>IF(H224="","",IF(H224&gt;0,"Win","Loss"))</f>
        <v/>
      </c>
    </row>
    <row r="225" spans="1:9" x14ac:dyDescent="0.2">
      <c r="A225" s="12"/>
      <c r="D225" s="19"/>
      <c r="E225" s="19"/>
      <c r="F225" s="19"/>
      <c r="G225" s="20" t="str">
        <f>IF(OR(D225="",E225="",F225=""),"",((E225-D225)/D225)*F225)</f>
        <v/>
      </c>
      <c r="H225" s="11" t="str">
        <f>IF(OR(D225="",E225=""),"",((E225-D225)/D225))</f>
        <v/>
      </c>
      <c r="I225" s="3" t="str">
        <f>IF(H225="","",IF(H225&gt;0,"Win","Loss"))</f>
        <v/>
      </c>
    </row>
    <row r="226" spans="1:9" x14ac:dyDescent="0.2">
      <c r="A226" s="12"/>
      <c r="D226" s="19"/>
      <c r="E226" s="19"/>
      <c r="F226" s="19"/>
      <c r="G226" s="20" t="str">
        <f>IF(OR(D226="",E226="",F226=""),"",((E226-D226)/D226)*F226)</f>
        <v/>
      </c>
      <c r="H226" s="11" t="str">
        <f>IF(OR(D226="",E226=""),"",((E226-D226)/D226))</f>
        <v/>
      </c>
      <c r="I226" s="3" t="str">
        <f>IF(H226="","",IF(H226&gt;0,"Win","Loss"))</f>
        <v/>
      </c>
    </row>
    <row r="227" spans="1:9" x14ac:dyDescent="0.2">
      <c r="A227" s="12"/>
      <c r="D227" s="19"/>
      <c r="E227" s="19"/>
      <c r="F227" s="19"/>
      <c r="G227" s="20" t="str">
        <f>IF(OR(D227="",E227="",F227=""),"",((E227-D227)/D227)*F227)</f>
        <v/>
      </c>
      <c r="H227" s="11" t="str">
        <f>IF(OR(D227="",E227=""),"",((E227-D227)/D227))</f>
        <v/>
      </c>
      <c r="I227" s="3" t="str">
        <f>IF(H227="","",IF(H227&gt;0,"Win","Loss"))</f>
        <v/>
      </c>
    </row>
    <row r="228" spans="1:9" x14ac:dyDescent="0.2">
      <c r="A228" s="12"/>
      <c r="D228" s="19"/>
      <c r="E228" s="19"/>
      <c r="F228" s="19"/>
      <c r="G228" s="20" t="str">
        <f>IF(OR(D228="",E228="",F228=""),"",((E228-D228)/D228)*F228)</f>
        <v/>
      </c>
      <c r="H228" s="11" t="str">
        <f>IF(OR(D228="",E228=""),"",((E228-D228)/D228))</f>
        <v/>
      </c>
      <c r="I228" s="3" t="str">
        <f>IF(H228="","",IF(H228&gt;0,"Win","Loss"))</f>
        <v/>
      </c>
    </row>
    <row r="229" spans="1:9" x14ac:dyDescent="0.2">
      <c r="A229" s="12"/>
      <c r="D229" s="19"/>
      <c r="E229" s="19"/>
      <c r="F229" s="19"/>
      <c r="G229" s="20" t="str">
        <f>IF(OR(D229="",E229="",F229=""),"",((E229-D229)/D229)*F229)</f>
        <v/>
      </c>
      <c r="H229" s="11" t="str">
        <f>IF(OR(D229="",E229=""),"",((E229-D229)/D229))</f>
        <v/>
      </c>
      <c r="I229" s="3" t="str">
        <f>IF(H229="","",IF(H229&gt;0,"Win","Loss"))</f>
        <v/>
      </c>
    </row>
    <row r="230" spans="1:9" x14ac:dyDescent="0.2">
      <c r="A230" s="12"/>
      <c r="D230" s="19"/>
      <c r="E230" s="19"/>
      <c r="F230" s="19"/>
      <c r="G230" s="20" t="str">
        <f>IF(OR(D230="",E230="",F230=""),"",((E230-D230)/D230)*F230)</f>
        <v/>
      </c>
      <c r="H230" s="11" t="str">
        <f>IF(OR(D230="",E230=""),"",((E230-D230)/D230))</f>
        <v/>
      </c>
      <c r="I230" s="3" t="str">
        <f>IF(H230="","",IF(H230&gt;0,"Win","Loss"))</f>
        <v/>
      </c>
    </row>
    <row r="231" spans="1:9" x14ac:dyDescent="0.2">
      <c r="A231" s="12"/>
      <c r="D231" s="19"/>
      <c r="E231" s="19"/>
      <c r="F231" s="19"/>
      <c r="G231" s="20" t="str">
        <f>IF(OR(D231="",E231="",F231=""),"",((E231-D231)/D231)*F231)</f>
        <v/>
      </c>
      <c r="H231" s="11" t="str">
        <f>IF(OR(D231="",E231=""),"",((E231-D231)/D231))</f>
        <v/>
      </c>
      <c r="I231" s="3" t="str">
        <f>IF(H231="","",IF(H231&gt;0,"Win","Loss"))</f>
        <v/>
      </c>
    </row>
    <row r="232" spans="1:9" x14ac:dyDescent="0.2">
      <c r="A232" s="12"/>
      <c r="D232" s="19"/>
      <c r="E232" s="19"/>
      <c r="F232" s="19"/>
      <c r="G232" s="20" t="str">
        <f>IF(OR(D232="",E232="",F232=""),"",((E232-D232)/D232)*F232)</f>
        <v/>
      </c>
      <c r="H232" s="11" t="str">
        <f>IF(OR(D232="",E232=""),"",((E232-D232)/D232))</f>
        <v/>
      </c>
      <c r="I232" s="3" t="str">
        <f>IF(H232="","",IF(H232&gt;0,"Win","Loss"))</f>
        <v/>
      </c>
    </row>
    <row r="233" spans="1:9" x14ac:dyDescent="0.2">
      <c r="A233" s="12"/>
      <c r="D233" s="19"/>
      <c r="E233" s="19"/>
      <c r="F233" s="19"/>
      <c r="G233" s="20" t="str">
        <f>IF(OR(D233="",E233="",F233=""),"",((E233-D233)/D233)*F233)</f>
        <v/>
      </c>
      <c r="H233" s="11" t="str">
        <f>IF(OR(D233="",E233=""),"",((E233-D233)/D233))</f>
        <v/>
      </c>
      <c r="I233" s="3" t="str">
        <f>IF(H233="","",IF(H233&gt;0,"Win","Loss"))</f>
        <v/>
      </c>
    </row>
    <row r="234" spans="1:9" x14ac:dyDescent="0.2">
      <c r="A234" s="12"/>
      <c r="D234" s="19"/>
      <c r="E234" s="19"/>
      <c r="F234" s="19"/>
      <c r="G234" s="20" t="str">
        <f>IF(OR(D234="",E234="",F234=""),"",((E234-D234)/D234)*F234)</f>
        <v/>
      </c>
      <c r="H234" s="11" t="str">
        <f>IF(OR(D234="",E234=""),"",((E234-D234)/D234))</f>
        <v/>
      </c>
      <c r="I234" s="3" t="str">
        <f>IF(H234="","",IF(H234&gt;0,"Win","Loss"))</f>
        <v/>
      </c>
    </row>
    <row r="235" spans="1:9" x14ac:dyDescent="0.2">
      <c r="A235" s="12"/>
      <c r="D235" s="19"/>
      <c r="E235" s="19"/>
      <c r="F235" s="19"/>
      <c r="G235" s="20" t="str">
        <f>IF(OR(D235="",E235="",F235=""),"",((E235-D235)/D235)*F235)</f>
        <v/>
      </c>
      <c r="H235" s="11" t="str">
        <f>IF(OR(D235="",E235=""),"",((E235-D235)/D235))</f>
        <v/>
      </c>
      <c r="I235" s="3" t="str">
        <f>IF(H235="","",IF(H235&gt;0,"Win","Loss"))</f>
        <v/>
      </c>
    </row>
    <row r="236" spans="1:9" x14ac:dyDescent="0.2">
      <c r="A236" s="12"/>
      <c r="D236" s="19"/>
      <c r="E236" s="19"/>
      <c r="F236" s="19"/>
      <c r="G236" s="20" t="str">
        <f>IF(OR(D236="",E236="",F236=""),"",((E236-D236)/D236)*F236)</f>
        <v/>
      </c>
      <c r="H236" s="11" t="str">
        <f>IF(OR(D236="",E236=""),"",((E236-D236)/D236))</f>
        <v/>
      </c>
      <c r="I236" s="3" t="str">
        <f>IF(H236="","",IF(H236&gt;0,"Win","Loss"))</f>
        <v/>
      </c>
    </row>
    <row r="237" spans="1:9" x14ac:dyDescent="0.2">
      <c r="A237" s="12"/>
      <c r="D237" s="19"/>
      <c r="E237" s="19"/>
      <c r="F237" s="19"/>
      <c r="G237" s="20" t="str">
        <f>IF(OR(D237="",E237="",F237=""),"",((E237-D237)/D237)*F237)</f>
        <v/>
      </c>
      <c r="H237" s="11" t="str">
        <f>IF(OR(D237="",E237=""),"",((E237-D237)/D237))</f>
        <v/>
      </c>
      <c r="I237" s="3" t="str">
        <f>IF(H237="","",IF(H237&gt;0,"Win","Loss"))</f>
        <v/>
      </c>
    </row>
    <row r="238" spans="1:9" x14ac:dyDescent="0.2">
      <c r="A238" s="12"/>
      <c r="D238" s="19"/>
      <c r="E238" s="19"/>
      <c r="F238" s="19"/>
      <c r="G238" s="20" t="str">
        <f>IF(OR(D238="",E238="",F238=""),"",((E238-D238)/D238)*F238)</f>
        <v/>
      </c>
      <c r="H238" s="11" t="str">
        <f>IF(OR(D238="",E238=""),"",((E238-D238)/D238))</f>
        <v/>
      </c>
      <c r="I238" s="3" t="str">
        <f>IF(H238="","",IF(H238&gt;0,"Win","Loss"))</f>
        <v/>
      </c>
    </row>
    <row r="239" spans="1:9" x14ac:dyDescent="0.2">
      <c r="A239" s="12"/>
      <c r="D239" s="19"/>
      <c r="E239" s="19"/>
      <c r="F239" s="19"/>
      <c r="G239" s="20" t="str">
        <f>IF(OR(D239="",E239="",F239=""),"",((E239-D239)/D239)*F239)</f>
        <v/>
      </c>
      <c r="H239" s="11" t="str">
        <f>IF(OR(D239="",E239=""),"",((E239-D239)/D239))</f>
        <v/>
      </c>
      <c r="I239" s="3" t="str">
        <f>IF(H239="","",IF(H239&gt;0,"Win","Loss"))</f>
        <v/>
      </c>
    </row>
    <row r="240" spans="1:9" x14ac:dyDescent="0.2">
      <c r="A240" s="12"/>
      <c r="D240" s="19"/>
      <c r="E240" s="19"/>
      <c r="F240" s="19"/>
      <c r="G240" s="20" t="str">
        <f>IF(OR(D240="",E240="",F240=""),"",((E240-D240)/D240)*F240)</f>
        <v/>
      </c>
      <c r="H240" s="11" t="str">
        <f>IF(OR(D240="",E240=""),"",((E240-D240)/D240))</f>
        <v/>
      </c>
      <c r="I240" s="3" t="str">
        <f>IF(H240="","",IF(H240&gt;0,"Win","Loss"))</f>
        <v/>
      </c>
    </row>
    <row r="241" spans="1:9" x14ac:dyDescent="0.2">
      <c r="A241" s="12"/>
      <c r="D241" s="19"/>
      <c r="E241" s="19"/>
      <c r="F241" s="19"/>
      <c r="G241" s="20" t="str">
        <f>IF(OR(D241="",E241="",F241=""),"",((E241-D241)/D241)*F241)</f>
        <v/>
      </c>
      <c r="H241" s="11" t="str">
        <f>IF(OR(D241="",E241=""),"",((E241-D241)/D241))</f>
        <v/>
      </c>
      <c r="I241" s="3" t="str">
        <f>IF(H241="","",IF(H241&gt;0,"Win","Loss"))</f>
        <v/>
      </c>
    </row>
    <row r="242" spans="1:9" x14ac:dyDescent="0.2">
      <c r="A242" s="12"/>
      <c r="D242" s="19"/>
      <c r="E242" s="19"/>
      <c r="F242" s="19"/>
      <c r="G242" s="20" t="str">
        <f>IF(OR(D242="",E242="",F242=""),"",((E242-D242)/D242)*F242)</f>
        <v/>
      </c>
      <c r="H242" s="11" t="str">
        <f>IF(OR(D242="",E242=""),"",((E242-D242)/D242))</f>
        <v/>
      </c>
      <c r="I242" s="3" t="str">
        <f>IF(H242="","",IF(H242&gt;0,"Win","Loss"))</f>
        <v/>
      </c>
    </row>
    <row r="243" spans="1:9" x14ac:dyDescent="0.2">
      <c r="A243" s="12"/>
      <c r="D243" s="19"/>
      <c r="E243" s="19"/>
      <c r="F243" s="19"/>
      <c r="G243" s="20" t="str">
        <f>IF(OR(D243="",E243="",F243=""),"",((E243-D243)/D243)*F243)</f>
        <v/>
      </c>
      <c r="H243" s="11" t="str">
        <f>IF(OR(D243="",E243=""),"",((E243-D243)/D243))</f>
        <v/>
      </c>
      <c r="I243" s="3" t="str">
        <f>IF(H243="","",IF(H243&gt;0,"Win","Loss"))</f>
        <v/>
      </c>
    </row>
    <row r="244" spans="1:9" x14ac:dyDescent="0.2">
      <c r="A244" s="12"/>
      <c r="D244" s="19"/>
      <c r="E244" s="19"/>
      <c r="F244" s="19"/>
      <c r="G244" s="20" t="str">
        <f>IF(OR(D244="",E244="",F244=""),"",((E244-D244)/D244)*F244)</f>
        <v/>
      </c>
      <c r="H244" s="11" t="str">
        <f>IF(OR(D244="",E244=""),"",((E244-D244)/D244))</f>
        <v/>
      </c>
      <c r="I244" s="3" t="str">
        <f>IF(H244="","",IF(H244&gt;0,"Win","Loss"))</f>
        <v/>
      </c>
    </row>
    <row r="245" spans="1:9" x14ac:dyDescent="0.2">
      <c r="A245" s="12"/>
      <c r="D245" s="19"/>
      <c r="E245" s="19"/>
      <c r="F245" s="19"/>
      <c r="G245" s="20" t="str">
        <f>IF(OR(D245="",E245="",F245=""),"",((E245-D245)/D245)*F245)</f>
        <v/>
      </c>
      <c r="H245" s="11" t="str">
        <f>IF(OR(D245="",E245=""),"",((E245-D245)/D245))</f>
        <v/>
      </c>
      <c r="I245" s="3" t="str">
        <f>IF(H245="","",IF(H245&gt;0,"Win","Loss"))</f>
        <v/>
      </c>
    </row>
    <row r="246" spans="1:9" x14ac:dyDescent="0.2">
      <c r="A246" s="12"/>
      <c r="D246" s="19"/>
      <c r="E246" s="19"/>
      <c r="F246" s="19"/>
      <c r="G246" s="20" t="str">
        <f>IF(OR(D246="",E246="",F246=""),"",((E246-D246)/D246)*F246)</f>
        <v/>
      </c>
      <c r="H246" s="11" t="str">
        <f>IF(OR(D246="",E246=""),"",((E246-D246)/D246))</f>
        <v/>
      </c>
      <c r="I246" s="3" t="str">
        <f>IF(H246="","",IF(H246&gt;0,"Win","Loss"))</f>
        <v/>
      </c>
    </row>
    <row r="247" spans="1:9" x14ac:dyDescent="0.2">
      <c r="A247" s="12"/>
      <c r="D247" s="19"/>
      <c r="E247" s="19"/>
      <c r="F247" s="19"/>
      <c r="G247" s="20" t="str">
        <f>IF(OR(D247="",E247="",F247=""),"",((E247-D247)/D247)*F247)</f>
        <v/>
      </c>
      <c r="H247" s="11" t="str">
        <f>IF(OR(D247="",E247=""),"",((E247-D247)/D247))</f>
        <v/>
      </c>
      <c r="I247" s="3" t="str">
        <f>IF(H247="","",IF(H247&gt;0,"Win","Loss"))</f>
        <v/>
      </c>
    </row>
    <row r="248" spans="1:9" x14ac:dyDescent="0.2">
      <c r="A248" s="12"/>
      <c r="D248" s="19"/>
      <c r="E248" s="19"/>
      <c r="F248" s="19"/>
      <c r="G248" s="20" t="str">
        <f>IF(OR(D248="",E248="",F248=""),"",((E248-D248)/D248)*F248)</f>
        <v/>
      </c>
      <c r="H248" s="11" t="str">
        <f>IF(OR(D248="",E248=""),"",((E248-D248)/D248))</f>
        <v/>
      </c>
      <c r="I248" s="3" t="str">
        <f>IF(H248="","",IF(H248&gt;0,"Win","Loss"))</f>
        <v/>
      </c>
    </row>
    <row r="249" spans="1:9" x14ac:dyDescent="0.2">
      <c r="A249" s="12"/>
      <c r="D249" s="19"/>
      <c r="E249" s="19"/>
      <c r="F249" s="19"/>
      <c r="G249" s="20" t="str">
        <f>IF(OR(D249="",E249="",F249=""),"",((E249-D249)/D249)*F249)</f>
        <v/>
      </c>
      <c r="H249" s="11" t="str">
        <f>IF(OR(D249="",E249=""),"",((E249-D249)/D249))</f>
        <v/>
      </c>
      <c r="I249" s="3" t="str">
        <f>IF(H249="","",IF(H249&gt;0,"Win","Loss"))</f>
        <v/>
      </c>
    </row>
    <row r="250" spans="1:9" x14ac:dyDescent="0.2">
      <c r="A250" s="12"/>
      <c r="D250" s="19"/>
      <c r="E250" s="19"/>
      <c r="F250" s="19"/>
      <c r="G250" s="20" t="str">
        <f>IF(OR(D250="",E250="",F250=""),"",((E250-D250)/D250)*F250)</f>
        <v/>
      </c>
      <c r="H250" s="11" t="str">
        <f>IF(OR(D250="",E250=""),"",((E250-D250)/D250))</f>
        <v/>
      </c>
      <c r="I250" s="3" t="str">
        <f>IF(H250="","",IF(H250&gt;0,"Win","Loss"))</f>
        <v/>
      </c>
    </row>
    <row r="251" spans="1:9" x14ac:dyDescent="0.2">
      <c r="A251" s="12"/>
      <c r="D251" s="19"/>
      <c r="E251" s="19"/>
      <c r="F251" s="19"/>
      <c r="G251" s="20" t="str">
        <f>IF(OR(D251="",E251="",F251=""),"",((E251-D251)/D251)*F251)</f>
        <v/>
      </c>
      <c r="H251" s="11" t="str">
        <f>IF(OR(D251="",E251=""),"",((E251-D251)/D251))</f>
        <v/>
      </c>
      <c r="I251" s="3" t="str">
        <f>IF(H251="","",IF(H251&gt;0,"Win","Loss"))</f>
        <v/>
      </c>
    </row>
    <row r="252" spans="1:9" x14ac:dyDescent="0.2">
      <c r="A252" s="12"/>
      <c r="D252" s="19"/>
      <c r="E252" s="19"/>
      <c r="F252" s="19"/>
      <c r="G252" s="20" t="str">
        <f>IF(OR(D252="",E252="",F252=""),"",((E252-D252)/D252)*F252)</f>
        <v/>
      </c>
      <c r="H252" s="11" t="str">
        <f>IF(OR(D252="",E252=""),"",((E252-D252)/D252))</f>
        <v/>
      </c>
      <c r="I252" s="3" t="str">
        <f>IF(H252="","",IF(H252&gt;0,"Win","Loss"))</f>
        <v/>
      </c>
    </row>
    <row r="253" spans="1:9" x14ac:dyDescent="0.2">
      <c r="A253" s="12"/>
      <c r="D253" s="19"/>
      <c r="E253" s="19"/>
      <c r="F253" s="19"/>
      <c r="G253" s="20" t="str">
        <f>IF(OR(D253="",E253="",F253=""),"",((E253-D253)/D253)*F253)</f>
        <v/>
      </c>
      <c r="H253" s="11" t="str">
        <f>IF(OR(D253="",E253=""),"",((E253-D253)/D253))</f>
        <v/>
      </c>
      <c r="I253" s="3" t="str">
        <f>IF(H253="","",IF(H253&gt;0,"Win","Loss"))</f>
        <v/>
      </c>
    </row>
    <row r="254" spans="1:9" x14ac:dyDescent="0.2">
      <c r="A254" s="12"/>
      <c r="D254" s="19"/>
      <c r="E254" s="19"/>
      <c r="F254" s="19"/>
      <c r="G254" s="20" t="str">
        <f>IF(OR(D254="",E254="",F254=""),"",((E254-D254)/D254)*F254)</f>
        <v/>
      </c>
      <c r="H254" s="11" t="str">
        <f>IF(OR(D254="",E254=""),"",((E254-D254)/D254))</f>
        <v/>
      </c>
      <c r="I254" s="3" t="str">
        <f>IF(H254="","",IF(H254&gt;0,"Win","Loss"))</f>
        <v/>
      </c>
    </row>
    <row r="255" spans="1:9" x14ac:dyDescent="0.2">
      <c r="A255" s="12"/>
      <c r="D255" s="19"/>
      <c r="E255" s="19"/>
      <c r="F255" s="19"/>
      <c r="G255" s="20" t="str">
        <f>IF(OR(D255="",E255="",F255=""),"",((E255-D255)/D255)*F255)</f>
        <v/>
      </c>
      <c r="H255" s="11" t="str">
        <f>IF(OR(D255="",E255=""),"",((E255-D255)/D255))</f>
        <v/>
      </c>
      <c r="I255" s="3" t="str">
        <f>IF(H255="","",IF(H255&gt;0,"Win","Loss"))</f>
        <v/>
      </c>
    </row>
    <row r="256" spans="1:9" x14ac:dyDescent="0.2">
      <c r="A256" s="12"/>
      <c r="D256" s="19"/>
      <c r="E256" s="19"/>
      <c r="F256" s="19"/>
      <c r="G256" s="20" t="str">
        <f>IF(OR(D256="",E256="",F256=""),"",((E256-D256)/D256)*F256)</f>
        <v/>
      </c>
      <c r="H256" s="11" t="str">
        <f>IF(OR(D256="",E256=""),"",((E256-D256)/D256))</f>
        <v/>
      </c>
      <c r="I256" s="3" t="str">
        <f>IF(H256="","",IF(H256&gt;0,"Win","Loss"))</f>
        <v/>
      </c>
    </row>
    <row r="257" spans="1:9" x14ac:dyDescent="0.2">
      <c r="A257" s="12"/>
      <c r="D257" s="19"/>
      <c r="E257" s="19"/>
      <c r="F257" s="19"/>
      <c r="G257" s="20" t="str">
        <f>IF(OR(D257="",E257="",F257=""),"",((E257-D257)/D257)*F257)</f>
        <v/>
      </c>
      <c r="H257" s="11" t="str">
        <f>IF(OR(D257="",E257=""),"",((E257-D257)/D257))</f>
        <v/>
      </c>
      <c r="I257" s="3" t="str">
        <f>IF(H257="","",IF(H257&gt;0,"Win","Loss"))</f>
        <v/>
      </c>
    </row>
    <row r="258" spans="1:9" x14ac:dyDescent="0.2">
      <c r="A258" s="12"/>
      <c r="D258" s="19"/>
      <c r="E258" s="19"/>
      <c r="F258" s="19"/>
      <c r="G258" s="20" t="str">
        <f>IF(OR(D258="",E258="",F258=""),"",((E258-D258)/D258)*F258)</f>
        <v/>
      </c>
      <c r="H258" s="11" t="str">
        <f>IF(OR(D258="",E258=""),"",((E258-D258)/D258))</f>
        <v/>
      </c>
      <c r="I258" s="3" t="str">
        <f>IF(H258="","",IF(H258&gt;0,"Win","Loss"))</f>
        <v/>
      </c>
    </row>
    <row r="259" spans="1:9" x14ac:dyDescent="0.2">
      <c r="A259" s="12"/>
      <c r="D259" s="19"/>
      <c r="E259" s="19"/>
      <c r="F259" s="19"/>
      <c r="G259" s="20" t="str">
        <f>IF(OR(D259="",E259="",F259=""),"",((E259-D259)/D259)*F259)</f>
        <v/>
      </c>
      <c r="H259" s="11" t="str">
        <f>IF(OR(D259="",E259=""),"",((E259-D259)/D259))</f>
        <v/>
      </c>
      <c r="I259" s="3" t="str">
        <f>IF(H259="","",IF(H259&gt;0,"Win","Loss"))</f>
        <v/>
      </c>
    </row>
    <row r="260" spans="1:9" x14ac:dyDescent="0.2">
      <c r="A260" s="12"/>
      <c r="D260" s="19"/>
      <c r="E260" s="19"/>
      <c r="F260" s="19"/>
      <c r="G260" s="20" t="str">
        <f>IF(OR(D260="",E260="",F260=""),"",((E260-D260)/D260)*F260)</f>
        <v/>
      </c>
      <c r="H260" s="11" t="str">
        <f>IF(OR(D260="",E260=""),"",((E260-D260)/D260))</f>
        <v/>
      </c>
      <c r="I260" s="3" t="str">
        <f>IF(H260="","",IF(H260&gt;0,"Win","Loss"))</f>
        <v/>
      </c>
    </row>
    <row r="261" spans="1:9" x14ac:dyDescent="0.2">
      <c r="A261" s="12"/>
      <c r="D261" s="19"/>
      <c r="E261" s="19"/>
      <c r="F261" s="19"/>
      <c r="G261" s="20" t="str">
        <f>IF(OR(D261="",E261="",F261=""),"",((E261-D261)/D261)*F261)</f>
        <v/>
      </c>
      <c r="H261" s="11" t="str">
        <f>IF(OR(D261="",E261=""),"",((E261-D261)/D261))</f>
        <v/>
      </c>
      <c r="I261" s="3" t="str">
        <f>IF(H261="","",IF(H261&gt;0,"Win","Loss"))</f>
        <v/>
      </c>
    </row>
    <row r="262" spans="1:9" x14ac:dyDescent="0.2">
      <c r="A262" s="12"/>
      <c r="D262" s="19"/>
      <c r="E262" s="19"/>
      <c r="F262" s="19"/>
      <c r="G262" s="20" t="str">
        <f>IF(OR(D262="",E262="",F262=""),"",((E262-D262)/D262)*F262)</f>
        <v/>
      </c>
      <c r="H262" s="11" t="str">
        <f>IF(OR(D262="",E262=""),"",((E262-D262)/D262))</f>
        <v/>
      </c>
      <c r="I262" s="3" t="str">
        <f>IF(H262="","",IF(H262&gt;0,"Win","Loss"))</f>
        <v/>
      </c>
    </row>
    <row r="263" spans="1:9" x14ac:dyDescent="0.2">
      <c r="A263" s="12"/>
      <c r="D263" s="19"/>
      <c r="E263" s="19"/>
      <c r="F263" s="19"/>
      <c r="G263" s="20" t="str">
        <f>IF(OR(D263="",E263="",F263=""),"",((E263-D263)/D263)*F263)</f>
        <v/>
      </c>
      <c r="H263" s="11" t="str">
        <f>IF(OR(D263="",E263=""),"",((E263-D263)/D263))</f>
        <v/>
      </c>
      <c r="I263" s="3" t="str">
        <f>IF(H263="","",IF(H263&gt;0,"Win","Loss"))</f>
        <v/>
      </c>
    </row>
    <row r="264" spans="1:9" x14ac:dyDescent="0.2">
      <c r="A264" s="12"/>
      <c r="D264" s="19"/>
      <c r="E264" s="19"/>
      <c r="F264" s="19"/>
      <c r="G264" s="20" t="str">
        <f>IF(OR(D264="",E264="",F264=""),"",((E264-D264)/D264)*F264)</f>
        <v/>
      </c>
      <c r="H264" s="11" t="str">
        <f>IF(OR(D264="",E264=""),"",((E264-D264)/D264))</f>
        <v/>
      </c>
      <c r="I264" s="3" t="str">
        <f>IF(H264="","",IF(H264&gt;0,"Win","Loss"))</f>
        <v/>
      </c>
    </row>
    <row r="265" spans="1:9" x14ac:dyDescent="0.2">
      <c r="A265" s="12"/>
      <c r="D265" s="19"/>
      <c r="E265" s="19"/>
      <c r="F265" s="19"/>
      <c r="G265" s="20" t="str">
        <f>IF(OR(D265="",E265="",F265=""),"",((E265-D265)/D265)*F265)</f>
        <v/>
      </c>
      <c r="H265" s="11" t="str">
        <f>IF(OR(D265="",E265=""),"",((E265-D265)/D265))</f>
        <v/>
      </c>
      <c r="I265" s="3" t="str">
        <f>IF(H265="","",IF(H265&gt;0,"Win","Loss"))</f>
        <v/>
      </c>
    </row>
    <row r="266" spans="1:9" x14ac:dyDescent="0.2">
      <c r="A266" s="12"/>
      <c r="D266" s="19"/>
      <c r="E266" s="19"/>
      <c r="F266" s="19"/>
      <c r="G266" s="20" t="str">
        <f>IF(OR(D266="",E266="",F266=""),"",((E266-D266)/D266)*F266)</f>
        <v/>
      </c>
      <c r="H266" s="11" t="str">
        <f>IF(OR(D266="",E266=""),"",((E266-D266)/D266))</f>
        <v/>
      </c>
      <c r="I266" s="3" t="str">
        <f>IF(H266="","",IF(H266&gt;0,"Win","Loss"))</f>
        <v/>
      </c>
    </row>
    <row r="267" spans="1:9" x14ac:dyDescent="0.2">
      <c r="A267" s="12"/>
      <c r="D267" s="19"/>
      <c r="E267" s="19"/>
      <c r="F267" s="19"/>
      <c r="G267" s="20" t="str">
        <f>IF(OR(D267="",E267="",F267=""),"",((E267-D267)/D267)*F267)</f>
        <v/>
      </c>
      <c r="H267" s="11" t="str">
        <f>IF(OR(D267="",E267=""),"",((E267-D267)/D267))</f>
        <v/>
      </c>
      <c r="I267" s="3" t="str">
        <f>IF(H267="","",IF(H267&gt;0,"Win","Loss"))</f>
        <v/>
      </c>
    </row>
    <row r="268" spans="1:9" x14ac:dyDescent="0.2">
      <c r="A268" s="12"/>
      <c r="D268" s="19"/>
      <c r="E268" s="19"/>
      <c r="F268" s="19"/>
      <c r="G268" s="20" t="str">
        <f>IF(OR(D268="",E268="",F268=""),"",((E268-D268)/D268)*F268)</f>
        <v/>
      </c>
      <c r="H268" s="11" t="str">
        <f>IF(OR(D268="",E268=""),"",((E268-D268)/D268))</f>
        <v/>
      </c>
      <c r="I268" s="3" t="str">
        <f>IF(H268="","",IF(H268&gt;0,"Win","Loss"))</f>
        <v/>
      </c>
    </row>
    <row r="269" spans="1:9" x14ac:dyDescent="0.2">
      <c r="A269" s="12"/>
      <c r="D269" s="19"/>
      <c r="E269" s="19"/>
      <c r="F269" s="19"/>
      <c r="G269" s="20" t="str">
        <f>IF(OR(D269="",E269="",F269=""),"",((E269-D269)/D269)*F269)</f>
        <v/>
      </c>
      <c r="H269" s="11" t="str">
        <f>IF(OR(D269="",E269=""),"",((E269-D269)/D269))</f>
        <v/>
      </c>
      <c r="I269" s="3" t="str">
        <f>IF(H269="","",IF(H269&gt;0,"Win","Loss"))</f>
        <v/>
      </c>
    </row>
    <row r="270" spans="1:9" x14ac:dyDescent="0.2">
      <c r="A270" s="12"/>
      <c r="D270" s="19"/>
      <c r="E270" s="19"/>
      <c r="F270" s="19"/>
      <c r="G270" s="20" t="str">
        <f>IF(OR(D270="",E270="",F270=""),"",((E270-D270)/D270)*F270)</f>
        <v/>
      </c>
      <c r="H270" s="11" t="str">
        <f>IF(OR(D270="",E270=""),"",((E270-D270)/D270))</f>
        <v/>
      </c>
      <c r="I270" s="3" t="str">
        <f>IF(H270="","",IF(H270&gt;0,"Win","Loss"))</f>
        <v/>
      </c>
    </row>
    <row r="271" spans="1:9" x14ac:dyDescent="0.2">
      <c r="A271" s="12"/>
      <c r="D271" s="19"/>
      <c r="E271" s="19"/>
      <c r="F271" s="19"/>
      <c r="G271" s="20" t="str">
        <f>IF(OR(D271="",E271="",F271=""),"",((E271-D271)/D271)*F271)</f>
        <v/>
      </c>
      <c r="H271" s="11" t="str">
        <f>IF(OR(D271="",E271=""),"",((E271-D271)/D271))</f>
        <v/>
      </c>
      <c r="I271" s="3" t="str">
        <f>IF(H271="","",IF(H271&gt;0,"Win","Loss"))</f>
        <v/>
      </c>
    </row>
    <row r="272" spans="1:9" x14ac:dyDescent="0.2">
      <c r="A272" s="12"/>
      <c r="D272" s="19"/>
      <c r="E272" s="19"/>
      <c r="F272" s="19"/>
      <c r="G272" s="20" t="str">
        <f>IF(OR(D272="",E272="",F272=""),"",((E272-D272)/D272)*F272)</f>
        <v/>
      </c>
      <c r="H272" s="11" t="str">
        <f>IF(OR(D272="",E272=""),"",((E272-D272)/D272))</f>
        <v/>
      </c>
      <c r="I272" s="3" t="str">
        <f>IF(H272="","",IF(H272&gt;0,"Win","Loss"))</f>
        <v/>
      </c>
    </row>
    <row r="273" spans="1:9" x14ac:dyDescent="0.2">
      <c r="A273" s="12"/>
      <c r="D273" s="19"/>
      <c r="E273" s="19"/>
      <c r="F273" s="19"/>
      <c r="G273" s="20" t="str">
        <f>IF(OR(D273="",E273="",F273=""),"",((E273-D273)/D273)*F273)</f>
        <v/>
      </c>
      <c r="H273" s="11" t="str">
        <f>IF(OR(D273="",E273=""),"",((E273-D273)/D273))</f>
        <v/>
      </c>
      <c r="I273" s="3" t="str">
        <f>IF(H273="","",IF(H273&gt;0,"Win","Loss"))</f>
        <v/>
      </c>
    </row>
    <row r="274" spans="1:9" x14ac:dyDescent="0.2">
      <c r="A274" s="12"/>
      <c r="D274" s="19"/>
      <c r="E274" s="19"/>
      <c r="F274" s="19"/>
      <c r="G274" s="20" t="str">
        <f>IF(OR(D274="",E274="",F274=""),"",((E274-D274)/D274)*F274)</f>
        <v/>
      </c>
      <c r="H274" s="11" t="str">
        <f>IF(OR(D274="",E274=""),"",((E274-D274)/D274))</f>
        <v/>
      </c>
      <c r="I274" s="3" t="str">
        <f>IF(H274="","",IF(H274&gt;0,"Win","Loss"))</f>
        <v/>
      </c>
    </row>
    <row r="275" spans="1:9" x14ac:dyDescent="0.2">
      <c r="A275" s="12"/>
      <c r="D275" s="19"/>
      <c r="E275" s="19"/>
      <c r="F275" s="19"/>
      <c r="G275" s="20" t="str">
        <f>IF(OR(D275="",E275="",F275=""),"",((E275-D275)/D275)*F275)</f>
        <v/>
      </c>
      <c r="H275" s="11" t="str">
        <f>IF(OR(D275="",E275=""),"",((E275-D275)/D275))</f>
        <v/>
      </c>
      <c r="I275" s="3" t="str">
        <f>IF(H275="","",IF(H275&gt;0,"Win","Loss"))</f>
        <v/>
      </c>
    </row>
    <row r="276" spans="1:9" x14ac:dyDescent="0.2">
      <c r="A276" s="12"/>
      <c r="D276" s="19"/>
      <c r="E276" s="19"/>
      <c r="F276" s="19"/>
      <c r="G276" s="20" t="str">
        <f>IF(OR(D276="",E276="",F276=""),"",((E276-D276)/D276)*F276)</f>
        <v/>
      </c>
      <c r="H276" s="11" t="str">
        <f>IF(OR(D276="",E276=""),"",((E276-D276)/D276))</f>
        <v/>
      </c>
      <c r="I276" s="3" t="str">
        <f>IF(H276="","",IF(H276&gt;0,"Win","Loss"))</f>
        <v/>
      </c>
    </row>
    <row r="277" spans="1:9" x14ac:dyDescent="0.2">
      <c r="A277" s="12"/>
      <c r="D277" s="19"/>
      <c r="E277" s="19"/>
      <c r="F277" s="19"/>
      <c r="G277" s="20" t="str">
        <f>IF(OR(D277="",E277="",F277=""),"",((E277-D277)/D277)*F277)</f>
        <v/>
      </c>
      <c r="H277" s="11" t="str">
        <f>IF(OR(D277="",E277=""),"",((E277-D277)/D277))</f>
        <v/>
      </c>
      <c r="I277" s="3" t="str">
        <f>IF(H277="","",IF(H277&gt;0,"Win","Loss"))</f>
        <v/>
      </c>
    </row>
    <row r="278" spans="1:9" x14ac:dyDescent="0.2">
      <c r="A278" s="12"/>
      <c r="D278" s="19"/>
      <c r="E278" s="19"/>
      <c r="F278" s="19"/>
      <c r="G278" s="20" t="str">
        <f>IF(OR(D278="",E278="",F278=""),"",((E278-D278)/D278)*F278)</f>
        <v/>
      </c>
      <c r="H278" s="11" t="str">
        <f>IF(OR(D278="",E278=""),"",((E278-D278)/D278))</f>
        <v/>
      </c>
      <c r="I278" s="3" t="str">
        <f>IF(H278="","",IF(H278&gt;0,"Win","Loss"))</f>
        <v/>
      </c>
    </row>
    <row r="279" spans="1:9" x14ac:dyDescent="0.2">
      <c r="A279" s="12"/>
      <c r="D279" s="19"/>
      <c r="E279" s="19"/>
      <c r="F279" s="19"/>
      <c r="G279" s="20" t="str">
        <f>IF(OR(D279="",E279="",F279=""),"",((E279-D279)/D279)*F279)</f>
        <v/>
      </c>
      <c r="H279" s="11" t="str">
        <f>IF(OR(D279="",E279=""),"",((E279-D279)/D279))</f>
        <v/>
      </c>
      <c r="I279" s="3" t="str">
        <f>IF(H279="","",IF(H279&gt;0,"Win","Loss"))</f>
        <v/>
      </c>
    </row>
    <row r="280" spans="1:9" x14ac:dyDescent="0.2">
      <c r="A280" s="12"/>
      <c r="D280" s="19"/>
      <c r="E280" s="19"/>
      <c r="F280" s="19"/>
      <c r="G280" s="20" t="str">
        <f>IF(OR(D280="",E280="",F280=""),"",((E280-D280)/D280)*F280)</f>
        <v/>
      </c>
      <c r="H280" s="11" t="str">
        <f>IF(OR(D280="",E280=""),"",((E280-D280)/D280))</f>
        <v/>
      </c>
      <c r="I280" s="3" t="str">
        <f>IF(H280="","",IF(H280&gt;0,"Win","Loss"))</f>
        <v/>
      </c>
    </row>
    <row r="281" spans="1:9" x14ac:dyDescent="0.2">
      <c r="A281" s="12"/>
      <c r="D281" s="19"/>
      <c r="E281" s="19"/>
      <c r="F281" s="19"/>
      <c r="G281" s="20" t="str">
        <f>IF(OR(D281="",E281="",F281=""),"",((E281-D281)/D281)*F281)</f>
        <v/>
      </c>
      <c r="H281" s="11" t="str">
        <f>IF(OR(D281="",E281=""),"",((E281-D281)/D281))</f>
        <v/>
      </c>
      <c r="I281" s="3" t="str">
        <f>IF(H281="","",IF(H281&gt;0,"Win","Loss"))</f>
        <v/>
      </c>
    </row>
    <row r="282" spans="1:9" x14ac:dyDescent="0.2">
      <c r="A282" s="12"/>
      <c r="D282" s="19"/>
      <c r="E282" s="19"/>
      <c r="F282" s="19"/>
      <c r="G282" s="20" t="str">
        <f>IF(OR(D282="",E282="",F282=""),"",((E282-D282)/D282)*F282)</f>
        <v/>
      </c>
      <c r="H282" s="11" t="str">
        <f>IF(OR(D282="",E282=""),"",((E282-D282)/D282))</f>
        <v/>
      </c>
      <c r="I282" s="3" t="str">
        <f>IF(H282="","",IF(H282&gt;0,"Win","Loss"))</f>
        <v/>
      </c>
    </row>
    <row r="283" spans="1:9" x14ac:dyDescent="0.2">
      <c r="A283" s="12"/>
      <c r="D283" s="19"/>
      <c r="E283" s="19"/>
      <c r="F283" s="19"/>
      <c r="G283" s="20" t="str">
        <f>IF(OR(D283="",E283="",F283=""),"",((E283-D283)/D283)*F283)</f>
        <v/>
      </c>
      <c r="H283" s="11" t="str">
        <f>IF(OR(D283="",E283=""),"",((E283-D283)/D283))</f>
        <v/>
      </c>
      <c r="I283" s="3" t="str">
        <f>IF(H283="","",IF(H283&gt;0,"Win","Loss"))</f>
        <v/>
      </c>
    </row>
    <row r="284" spans="1:9" x14ac:dyDescent="0.2">
      <c r="A284" s="12"/>
      <c r="D284" s="19"/>
      <c r="E284" s="19"/>
      <c r="F284" s="19"/>
      <c r="G284" s="20" t="str">
        <f>IF(OR(D284="",E284="",F284=""),"",((E284-D284)/D284)*F284)</f>
        <v/>
      </c>
      <c r="H284" s="11" t="str">
        <f>IF(OR(D284="",E284=""),"",((E284-D284)/D284))</f>
        <v/>
      </c>
      <c r="I284" s="3" t="str">
        <f>IF(H284="","",IF(H284&gt;0,"Win","Loss"))</f>
        <v/>
      </c>
    </row>
    <row r="285" spans="1:9" x14ac:dyDescent="0.2">
      <c r="A285" s="12"/>
      <c r="D285" s="19"/>
      <c r="E285" s="19"/>
      <c r="F285" s="19"/>
      <c r="G285" s="20" t="str">
        <f>IF(OR(D285="",E285="",F285=""),"",((E285-D285)/D285)*F285)</f>
        <v/>
      </c>
      <c r="H285" s="11" t="str">
        <f>IF(OR(D285="",E285=""),"",((E285-D285)/D285))</f>
        <v/>
      </c>
      <c r="I285" s="3" t="str">
        <f>IF(H285="","",IF(H285&gt;0,"Win","Loss"))</f>
        <v/>
      </c>
    </row>
    <row r="286" spans="1:9" x14ac:dyDescent="0.2">
      <c r="A286" s="12"/>
      <c r="D286" s="19"/>
      <c r="E286" s="19"/>
      <c r="F286" s="19"/>
      <c r="G286" s="20" t="str">
        <f>IF(OR(D286="",E286="",F286=""),"",((E286-D286)/D286)*F286)</f>
        <v/>
      </c>
      <c r="H286" s="11" t="str">
        <f>IF(OR(D286="",E286=""),"",((E286-D286)/D286))</f>
        <v/>
      </c>
      <c r="I286" s="3" t="str">
        <f>IF(H286="","",IF(H286&gt;0,"Win","Loss"))</f>
        <v/>
      </c>
    </row>
    <row r="287" spans="1:9" x14ac:dyDescent="0.2">
      <c r="A287" s="12"/>
      <c r="D287" s="19"/>
      <c r="E287" s="19"/>
      <c r="F287" s="19"/>
      <c r="G287" s="20" t="str">
        <f>IF(OR(D287="",E287="",F287=""),"",((E287-D287)/D287)*F287)</f>
        <v/>
      </c>
      <c r="H287" s="11" t="str">
        <f>IF(OR(D287="",E287=""),"",((E287-D287)/D287))</f>
        <v/>
      </c>
      <c r="I287" s="3" t="str">
        <f>IF(H287="","",IF(H287&gt;0,"Win","Loss"))</f>
        <v/>
      </c>
    </row>
    <row r="288" spans="1:9" x14ac:dyDescent="0.2">
      <c r="A288" s="12"/>
      <c r="D288" s="19"/>
      <c r="E288" s="19"/>
      <c r="F288" s="19"/>
      <c r="G288" s="20" t="str">
        <f>IF(OR(D288="",E288="",F288=""),"",((E288-D288)/D288)*F288)</f>
        <v/>
      </c>
      <c r="H288" s="11" t="str">
        <f>IF(OR(D288="",E288=""),"",((E288-D288)/D288))</f>
        <v/>
      </c>
      <c r="I288" s="3" t="str">
        <f>IF(H288="","",IF(H288&gt;0,"Win","Loss"))</f>
        <v/>
      </c>
    </row>
    <row r="289" spans="1:9" x14ac:dyDescent="0.2">
      <c r="A289" s="12"/>
      <c r="D289" s="19"/>
      <c r="E289" s="19"/>
      <c r="F289" s="19"/>
      <c r="G289" s="20" t="str">
        <f>IF(OR(D289="",E289="",F289=""),"",((E289-D289)/D289)*F289)</f>
        <v/>
      </c>
      <c r="H289" s="11" t="str">
        <f>IF(OR(D289="",E289=""),"",((E289-D289)/D289))</f>
        <v/>
      </c>
      <c r="I289" s="3" t="str">
        <f>IF(H289="","",IF(H289&gt;0,"Win","Loss"))</f>
        <v/>
      </c>
    </row>
    <row r="290" spans="1:9" x14ac:dyDescent="0.2">
      <c r="A290" s="12"/>
      <c r="D290" s="19"/>
      <c r="E290" s="19"/>
      <c r="F290" s="19"/>
      <c r="G290" s="20" t="str">
        <f>IF(OR(D290="",E290="",F290=""),"",((E290-D290)/D290)*F290)</f>
        <v/>
      </c>
      <c r="H290" s="11" t="str">
        <f>IF(OR(D290="",E290=""),"",((E290-D290)/D290))</f>
        <v/>
      </c>
      <c r="I290" s="3" t="str">
        <f>IF(H290="","",IF(H290&gt;0,"Win","Loss"))</f>
        <v/>
      </c>
    </row>
    <row r="291" spans="1:9" x14ac:dyDescent="0.2">
      <c r="A291" s="12"/>
      <c r="D291" s="19"/>
      <c r="E291" s="19"/>
      <c r="F291" s="19"/>
      <c r="G291" s="20" t="str">
        <f>IF(OR(D291="",E291="",F291=""),"",((E291-D291)/D291)*F291)</f>
        <v/>
      </c>
      <c r="H291" s="11" t="str">
        <f>IF(OR(D291="",E291=""),"",((E291-D291)/D291))</f>
        <v/>
      </c>
      <c r="I291" s="3" t="str">
        <f>IF(H291="","",IF(H291&gt;0,"Win","Loss"))</f>
        <v/>
      </c>
    </row>
    <row r="292" spans="1:9" x14ac:dyDescent="0.2">
      <c r="A292" s="12"/>
      <c r="D292" s="19"/>
      <c r="E292" s="19"/>
      <c r="F292" s="19"/>
      <c r="G292" s="20" t="str">
        <f>IF(OR(D292="",E292="",F292=""),"",((E292-D292)/D292)*F292)</f>
        <v/>
      </c>
      <c r="H292" s="11" t="str">
        <f>IF(OR(D292="",E292=""),"",((E292-D292)/D292))</f>
        <v/>
      </c>
      <c r="I292" s="3" t="str">
        <f>IF(H292="","",IF(H292&gt;0,"Win","Loss"))</f>
        <v/>
      </c>
    </row>
    <row r="293" spans="1:9" x14ac:dyDescent="0.2">
      <c r="A293" s="12"/>
      <c r="D293" s="19"/>
      <c r="E293" s="19"/>
      <c r="F293" s="19"/>
      <c r="G293" s="20" t="str">
        <f>IF(OR(D293="",E293="",F293=""),"",((E293-D293)/D293)*F293)</f>
        <v/>
      </c>
      <c r="H293" s="11" t="str">
        <f>IF(OR(D293="",E293=""),"",((E293-D293)/D293))</f>
        <v/>
      </c>
      <c r="I293" s="3" t="str">
        <f>IF(H293="","",IF(H293&gt;0,"Win","Loss"))</f>
        <v/>
      </c>
    </row>
    <row r="294" spans="1:9" x14ac:dyDescent="0.2">
      <c r="A294" s="12"/>
      <c r="D294" s="19"/>
      <c r="E294" s="19"/>
      <c r="F294" s="19"/>
      <c r="G294" s="20" t="str">
        <f>IF(OR(D294="",E294="",F294=""),"",((E294-D294)/D294)*F294)</f>
        <v/>
      </c>
      <c r="H294" s="11" t="str">
        <f>IF(OR(D294="",E294=""),"",((E294-D294)/D294))</f>
        <v/>
      </c>
      <c r="I294" s="3" t="str">
        <f>IF(H294="","",IF(H294&gt;0,"Win","Loss"))</f>
        <v/>
      </c>
    </row>
    <row r="295" spans="1:9" x14ac:dyDescent="0.2">
      <c r="A295" s="12"/>
      <c r="D295" s="19"/>
      <c r="E295" s="19"/>
      <c r="F295" s="19"/>
      <c r="G295" s="20" t="str">
        <f>IF(OR(D295="",E295="",F295=""),"",((E295-D295)/D295)*F295)</f>
        <v/>
      </c>
      <c r="H295" s="11" t="str">
        <f>IF(OR(D295="",E295=""),"",((E295-D295)/D295))</f>
        <v/>
      </c>
      <c r="I295" s="3" t="str">
        <f>IF(H295="","",IF(H295&gt;0,"Win","Loss"))</f>
        <v/>
      </c>
    </row>
    <row r="296" spans="1:9" x14ac:dyDescent="0.2">
      <c r="A296" s="12"/>
      <c r="D296" s="19"/>
      <c r="E296" s="19"/>
      <c r="F296" s="19"/>
      <c r="G296" s="20" t="str">
        <f>IF(OR(D296="",E296="",F296=""),"",((E296-D296)/D296)*F296)</f>
        <v/>
      </c>
      <c r="H296" s="11" t="str">
        <f>IF(OR(D296="",E296=""),"",((E296-D296)/D296))</f>
        <v/>
      </c>
      <c r="I296" s="3" t="str">
        <f>IF(H296="","",IF(H296&gt;0,"Win","Loss"))</f>
        <v/>
      </c>
    </row>
    <row r="297" spans="1:9" x14ac:dyDescent="0.2">
      <c r="A297" s="12"/>
      <c r="D297" s="19"/>
      <c r="E297" s="19"/>
      <c r="F297" s="19"/>
      <c r="G297" s="20" t="str">
        <f>IF(OR(D297="",E297="",F297=""),"",((E297-D297)/D297)*F297)</f>
        <v/>
      </c>
      <c r="H297" s="11" t="str">
        <f>IF(OR(D297="",E297=""),"",((E297-D297)/D297))</f>
        <v/>
      </c>
      <c r="I297" s="3" t="str">
        <f>IF(H297="","",IF(H297&gt;0,"Win","Loss"))</f>
        <v/>
      </c>
    </row>
    <row r="298" spans="1:9" x14ac:dyDescent="0.2">
      <c r="A298" s="12"/>
      <c r="D298" s="19"/>
      <c r="E298" s="19"/>
      <c r="F298" s="19"/>
      <c r="G298" s="20" t="str">
        <f>IF(OR(D298="",E298="",F298=""),"",((E298-D298)/D298)*F298)</f>
        <v/>
      </c>
      <c r="H298" s="11" t="str">
        <f>IF(OR(D298="",E298=""),"",((E298-D298)/D298))</f>
        <v/>
      </c>
      <c r="I298" s="3" t="str">
        <f>IF(H298="","",IF(H298&gt;0,"Win","Loss"))</f>
        <v/>
      </c>
    </row>
    <row r="299" spans="1:9" x14ac:dyDescent="0.2">
      <c r="A299" s="12"/>
      <c r="D299" s="19"/>
      <c r="E299" s="19"/>
      <c r="F299" s="19"/>
      <c r="G299" s="20" t="str">
        <f>IF(OR(D299="",E299="",F299=""),"",((E299-D299)/D299)*F299)</f>
        <v/>
      </c>
      <c r="H299" s="11" t="str">
        <f>IF(OR(D299="",E299=""),"",((E299-D299)/D299))</f>
        <v/>
      </c>
      <c r="I299" s="3" t="str">
        <f>IF(H299="","",IF(H299&gt;0,"Win","Loss"))</f>
        <v/>
      </c>
    </row>
    <row r="300" spans="1:9" x14ac:dyDescent="0.2">
      <c r="A300" s="12"/>
      <c r="D300" s="19"/>
      <c r="E300" s="19"/>
      <c r="F300" s="19"/>
      <c r="G300" s="20" t="str">
        <f>IF(OR(D300="",E300="",F300=""),"",((E300-D300)/D300)*F300)</f>
        <v/>
      </c>
      <c r="H300" s="11" t="str">
        <f>IF(OR(D300="",E300=""),"",((E300-D300)/D300))</f>
        <v/>
      </c>
      <c r="I300" s="3" t="str">
        <f>IF(H300="","",IF(H300&gt;0,"Win","Loss"))</f>
        <v/>
      </c>
    </row>
    <row r="301" spans="1:9" x14ac:dyDescent="0.2">
      <c r="A301" s="12"/>
      <c r="D301" s="19"/>
      <c r="E301" s="19"/>
      <c r="F301" s="19"/>
      <c r="G301" s="20" t="str">
        <f>IF(OR(D301="",E301="",F301=""),"",((E301-D301)/D301)*F301)</f>
        <v/>
      </c>
      <c r="H301" s="11" t="str">
        <f>IF(OR(D301="",E301=""),"",((E301-D301)/D301))</f>
        <v/>
      </c>
      <c r="I301" s="3" t="str">
        <f>IF(H301="","",IF(H301&gt;0,"Win","Loss"))</f>
        <v/>
      </c>
    </row>
    <row r="302" spans="1:9" x14ac:dyDescent="0.2">
      <c r="A302" s="12"/>
      <c r="D302" s="19"/>
      <c r="E302" s="19"/>
      <c r="F302" s="19"/>
      <c r="G302" s="20" t="str">
        <f>IF(OR(D302="",E302="",F302=""),"",((E302-D302)/D302)*F302)</f>
        <v/>
      </c>
      <c r="H302" s="11" t="str">
        <f>IF(OR(D302="",E302=""),"",((E302-D302)/D302))</f>
        <v/>
      </c>
      <c r="I302" s="3" t="str">
        <f>IF(H302="","",IF(H302&gt;0,"Win","Loss"))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0"/>
  <sheetViews>
    <sheetView showGridLines="0" workbookViewId="0"/>
  </sheetViews>
  <sheetFormatPr defaultRowHeight="15" x14ac:dyDescent="0.2"/>
  <cols>
    <col min="1" max="1" width="27.98046875" customWidth="1"/>
    <col min="2" max="2" width="16.0078125" customWidth="1"/>
  </cols>
  <sheetData>
    <row r="1" spans="1:2" ht="21.95" customHeight="1" x14ac:dyDescent="0.2">
      <c r="A1" s="5" t="s">
        <v>97</v>
      </c>
    </row>
    <row r="3" spans="1:2" x14ac:dyDescent="0.2">
      <c r="A3" s="14" t="s">
        <v>98</v>
      </c>
      <c r="B3" s="3">
        <f>COUNTA(Trades!B3:B302)</f>
        <v>0</v>
      </c>
    </row>
    <row r="4" spans="1:2" x14ac:dyDescent="0.2">
      <c r="A4" s="14" t="s">
        <v>99</v>
      </c>
      <c r="B4" s="3">
        <f>COUNTIF(Trades!I3:I302,"Win")</f>
        <v>0</v>
      </c>
    </row>
    <row r="5" spans="1:2" x14ac:dyDescent="0.2">
      <c r="A5" s="14" t="s">
        <v>100</v>
      </c>
      <c r="B5" s="3">
        <f>COUNTIF(Trades!I3:I302,"Loss")</f>
        <v>0</v>
      </c>
    </row>
    <row r="6" spans="1:2" x14ac:dyDescent="0.2">
      <c r="A6" s="14" t="s">
        <v>101</v>
      </c>
      <c r="B6" s="11" t="str">
        <f>IFERROR(B4/B3,"")</f>
        <v/>
      </c>
    </row>
    <row r="7" spans="1:2" x14ac:dyDescent="0.2">
      <c r="A7" s="14" t="s">
        <v>102</v>
      </c>
      <c r="B7" s="11" t="str">
        <f>IFERROR(AVERAGEIF(Trades!H3:H302,"&gt;0",Trades!H3:H302),"")</f>
        <v/>
      </c>
    </row>
    <row r="8" spans="1:2" x14ac:dyDescent="0.2">
      <c r="A8" s="14" t="s">
        <v>103</v>
      </c>
      <c r="B8" s="11" t="str">
        <f>IFERROR(AVERAGEIF(Trades!H3:H302,"&lt;0",Trades!H3:H302),"")</f>
        <v/>
      </c>
    </row>
    <row r="9" spans="1:2" x14ac:dyDescent="0.2">
      <c r="A9" s="14" t="s">
        <v>104</v>
      </c>
      <c r="B9" s="20">
        <f>SUM(Trades!G3:G302)</f>
        <v>0</v>
      </c>
    </row>
    <row r="10" spans="1:2" x14ac:dyDescent="0.2">
      <c r="A10" s="14" t="s">
        <v>105</v>
      </c>
      <c r="B10" s="20" t="str">
        <f>IFERROR(B9/B3,"")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01"/>
  <sheetViews>
    <sheetView workbookViewId="0"/>
  </sheetViews>
  <sheetFormatPr defaultRowHeight="15" x14ac:dyDescent="0.2"/>
  <cols>
    <col min="1" max="3" width="11.97265625" customWidth="1"/>
    <col min="4" max="5" width="13.98828125" customWidth="1"/>
    <col min="6" max="6" width="11.97265625" customWidth="1"/>
    <col min="7" max="7" width="16.0078125" customWidth="1"/>
    <col min="8" max="8" width="9.953125" customWidth="1"/>
  </cols>
  <sheetData>
    <row r="1" spans="1:10" x14ac:dyDescent="0.2">
      <c r="A1" s="32" t="s">
        <v>23</v>
      </c>
      <c r="B1" s="32" t="s">
        <v>106</v>
      </c>
      <c r="C1" s="32" t="s">
        <v>107</v>
      </c>
      <c r="D1" s="32" t="s">
        <v>108</v>
      </c>
      <c r="E1" s="32" t="s">
        <v>109</v>
      </c>
      <c r="F1" s="32" t="s">
        <v>110</v>
      </c>
      <c r="G1" s="32" t="s">
        <v>111</v>
      </c>
      <c r="H1" s="32" t="s">
        <v>95</v>
      </c>
      <c r="J1" s="21" t="s">
        <v>112</v>
      </c>
    </row>
    <row r="2" spans="1:10" x14ac:dyDescent="0.2">
      <c r="F2" t="str">
        <f>IF(OR(D2="",E2=""),"",E2-D2)</f>
        <v/>
      </c>
      <c r="G2" t="str">
        <f>IF(F2="", "", 10000+F2)</f>
        <v/>
      </c>
      <c r="H2" t="str">
        <f>IF(F2="","",IF(F2&gt;0,"Win","Loss"))</f>
        <v/>
      </c>
    </row>
    <row r="3" spans="1:10" x14ac:dyDescent="0.2">
      <c r="F3" t="str">
        <f>IF(OR(D3="",E3=""),"",E3-D3)</f>
        <v/>
      </c>
      <c r="G3" t="str">
        <f>IF(F3="", "", G2+F3)</f>
        <v/>
      </c>
      <c r="H3" t="str">
        <f>IF(F3="","",IF(F3&gt;0,"Win","Loss"))</f>
        <v/>
      </c>
    </row>
    <row r="4" spans="1:10" x14ac:dyDescent="0.2">
      <c r="F4" t="str">
        <f>IF(OR(D4="",E4=""),"",E4-D4)</f>
        <v/>
      </c>
      <c r="G4" t="str">
        <f>IF(F4="", "", G3+F4)</f>
        <v/>
      </c>
      <c r="H4" t="str">
        <f>IF(F4="","",IF(F4&gt;0,"Win","Loss"))</f>
        <v/>
      </c>
    </row>
    <row r="5" spans="1:10" x14ac:dyDescent="0.2">
      <c r="F5" t="str">
        <f>IF(OR(D5="",E5=""),"",E5-D5)</f>
        <v/>
      </c>
      <c r="G5" t="str">
        <f>IF(F5="", "", G4+F5)</f>
        <v/>
      </c>
      <c r="H5" t="str">
        <f>IF(F5="","",IF(F5&gt;0,"Win","Loss"))</f>
        <v/>
      </c>
    </row>
    <row r="6" spans="1:10" x14ac:dyDescent="0.2">
      <c r="F6" t="str">
        <f>IF(OR(D6="",E6=""),"",E6-D6)</f>
        <v/>
      </c>
      <c r="G6" t="str">
        <f>IF(F6="", "", G5+F6)</f>
        <v/>
      </c>
      <c r="H6" t="str">
        <f>IF(F6="","",IF(F6&gt;0,"Win","Loss"))</f>
        <v/>
      </c>
    </row>
    <row r="7" spans="1:10" x14ac:dyDescent="0.2">
      <c r="F7" t="str">
        <f>IF(OR(D7="",E7=""),"",E7-D7)</f>
        <v/>
      </c>
      <c r="G7" t="str">
        <f>IF(F7="", "", G6+F7)</f>
        <v/>
      </c>
      <c r="H7" t="str">
        <f>IF(F7="","",IF(F7&gt;0,"Win","Loss"))</f>
        <v/>
      </c>
    </row>
    <row r="8" spans="1:10" x14ac:dyDescent="0.2">
      <c r="F8" t="str">
        <f>IF(OR(D8="",E8=""),"",E8-D8)</f>
        <v/>
      </c>
      <c r="G8" t="str">
        <f>IF(F8="", "", G7+F8)</f>
        <v/>
      </c>
      <c r="H8" t="str">
        <f>IF(F8="","",IF(F8&gt;0,"Win","Loss"))</f>
        <v/>
      </c>
    </row>
    <row r="9" spans="1:10" x14ac:dyDescent="0.2">
      <c r="F9" t="str">
        <f>IF(OR(D9="",E9=""),"",E9-D9)</f>
        <v/>
      </c>
      <c r="G9" t="str">
        <f>IF(F9="", "", G8+F9)</f>
        <v/>
      </c>
      <c r="H9" t="str">
        <f>IF(F9="","",IF(F9&gt;0,"Win","Loss"))</f>
        <v/>
      </c>
    </row>
    <row r="10" spans="1:10" x14ac:dyDescent="0.2">
      <c r="F10" t="str">
        <f>IF(OR(D10="",E10=""),"",E10-D10)</f>
        <v/>
      </c>
      <c r="G10" t="str">
        <f>IF(F10="", "", G9+F10)</f>
        <v/>
      </c>
      <c r="H10" t="str">
        <f>IF(F10="","",IF(F10&gt;0,"Win","Loss"))</f>
        <v/>
      </c>
    </row>
    <row r="11" spans="1:10" x14ac:dyDescent="0.2">
      <c r="F11" t="str">
        <f>IF(OR(D11="",E11=""),"",E11-D11)</f>
        <v/>
      </c>
      <c r="G11" t="str">
        <f>IF(F11="", "", G10+F11)</f>
        <v/>
      </c>
      <c r="H11" t="str">
        <f>IF(F11="","",IF(F11&gt;0,"Win","Loss"))</f>
        <v/>
      </c>
    </row>
    <row r="12" spans="1:10" x14ac:dyDescent="0.2">
      <c r="F12" t="str">
        <f>IF(OR(D12="",E12=""),"",E12-D12)</f>
        <v/>
      </c>
      <c r="G12" t="str">
        <f>IF(F12="", "", G11+F12)</f>
        <v/>
      </c>
      <c r="H12" t="str">
        <f>IF(F12="","",IF(F12&gt;0,"Win","Loss"))</f>
        <v/>
      </c>
    </row>
    <row r="13" spans="1:10" x14ac:dyDescent="0.2">
      <c r="F13" t="str">
        <f>IF(OR(D13="",E13=""),"",E13-D13)</f>
        <v/>
      </c>
      <c r="G13" t="str">
        <f>IF(F13="", "", G12+F13)</f>
        <v/>
      </c>
      <c r="H13" t="str">
        <f>IF(F13="","",IF(F13&gt;0,"Win","Loss"))</f>
        <v/>
      </c>
    </row>
    <row r="14" spans="1:10" x14ac:dyDescent="0.2">
      <c r="F14" t="str">
        <f>IF(OR(D14="",E14=""),"",E14-D14)</f>
        <v/>
      </c>
      <c r="G14" t="str">
        <f>IF(F14="", "", G13+F14)</f>
        <v/>
      </c>
      <c r="H14" t="str">
        <f>IF(F14="","",IF(F14&gt;0,"Win","Loss"))</f>
        <v/>
      </c>
    </row>
    <row r="15" spans="1:10" x14ac:dyDescent="0.2">
      <c r="F15" t="str">
        <f>IF(OR(D15="",E15=""),"",E15-D15)</f>
        <v/>
      </c>
      <c r="G15" t="str">
        <f>IF(F15="", "", G14+F15)</f>
        <v/>
      </c>
      <c r="H15" t="str">
        <f>IF(F15="","",IF(F15&gt;0,"Win","Loss"))</f>
        <v/>
      </c>
    </row>
    <row r="16" spans="1:10" x14ac:dyDescent="0.2">
      <c r="F16" t="str">
        <f>IF(OR(D16="",E16=""),"",E16-D16)</f>
        <v/>
      </c>
      <c r="G16" t="str">
        <f>IF(F16="", "", G15+F16)</f>
        <v/>
      </c>
      <c r="H16" t="str">
        <f>IF(F16="","",IF(F16&gt;0,"Win","Loss"))</f>
        <v/>
      </c>
    </row>
    <row r="17" spans="6:8" x14ac:dyDescent="0.2">
      <c r="F17" t="str">
        <f>IF(OR(D17="",E17=""),"",E17-D17)</f>
        <v/>
      </c>
      <c r="G17" t="str">
        <f>IF(F17="", "", G16+F17)</f>
        <v/>
      </c>
      <c r="H17" t="str">
        <f>IF(F17="","",IF(F17&gt;0,"Win","Loss"))</f>
        <v/>
      </c>
    </row>
    <row r="18" spans="6:8" x14ac:dyDescent="0.2">
      <c r="F18" t="str">
        <f>IF(OR(D18="",E18=""),"",E18-D18)</f>
        <v/>
      </c>
      <c r="G18" t="str">
        <f>IF(F18="", "", G17+F18)</f>
        <v/>
      </c>
      <c r="H18" t="str">
        <f>IF(F18="","",IF(F18&gt;0,"Win","Loss"))</f>
        <v/>
      </c>
    </row>
    <row r="19" spans="6:8" x14ac:dyDescent="0.2">
      <c r="F19" t="str">
        <f>IF(OR(D19="",E19=""),"",E19-D19)</f>
        <v/>
      </c>
      <c r="G19" t="str">
        <f>IF(F19="", "", G18+F19)</f>
        <v/>
      </c>
      <c r="H19" t="str">
        <f>IF(F19="","",IF(F19&gt;0,"Win","Loss"))</f>
        <v/>
      </c>
    </row>
    <row r="20" spans="6:8" x14ac:dyDescent="0.2">
      <c r="F20" t="str">
        <f>IF(OR(D20="",E20=""),"",E20-D20)</f>
        <v/>
      </c>
      <c r="G20" t="str">
        <f>IF(F20="", "", G19+F20)</f>
        <v/>
      </c>
      <c r="H20" t="str">
        <f>IF(F20="","",IF(F20&gt;0,"Win","Loss"))</f>
        <v/>
      </c>
    </row>
    <row r="21" spans="6:8" x14ac:dyDescent="0.2">
      <c r="F21" t="str">
        <f>IF(OR(D21="",E21=""),"",E21-D21)</f>
        <v/>
      </c>
      <c r="G21" t="str">
        <f>IF(F21="", "", G20+F21)</f>
        <v/>
      </c>
      <c r="H21" t="str">
        <f>IF(F21="","",IF(F21&gt;0,"Win","Loss"))</f>
        <v/>
      </c>
    </row>
    <row r="22" spans="6:8" x14ac:dyDescent="0.2">
      <c r="F22" t="str">
        <f>IF(OR(D22="",E22=""),"",E22-D22)</f>
        <v/>
      </c>
      <c r="G22" t="str">
        <f>IF(F22="", "", G21+F22)</f>
        <v/>
      </c>
      <c r="H22" t="str">
        <f>IF(F22="","",IF(F22&gt;0,"Win","Loss"))</f>
        <v/>
      </c>
    </row>
    <row r="23" spans="6:8" x14ac:dyDescent="0.2">
      <c r="F23" t="str">
        <f>IF(OR(D23="",E23=""),"",E23-D23)</f>
        <v/>
      </c>
      <c r="G23" t="str">
        <f>IF(F23="", "", G22+F23)</f>
        <v/>
      </c>
      <c r="H23" t="str">
        <f>IF(F23="","",IF(F23&gt;0,"Win","Loss"))</f>
        <v/>
      </c>
    </row>
    <row r="24" spans="6:8" x14ac:dyDescent="0.2">
      <c r="F24" t="str">
        <f>IF(OR(D24="",E24=""),"",E24-D24)</f>
        <v/>
      </c>
      <c r="G24" t="str">
        <f>IF(F24="", "", G23+F24)</f>
        <v/>
      </c>
      <c r="H24" t="str">
        <f>IF(F24="","",IF(F24&gt;0,"Win","Loss"))</f>
        <v/>
      </c>
    </row>
    <row r="25" spans="6:8" x14ac:dyDescent="0.2">
      <c r="F25" t="str">
        <f>IF(OR(D25="",E25=""),"",E25-D25)</f>
        <v/>
      </c>
      <c r="G25" t="str">
        <f>IF(F25="", "", G24+F25)</f>
        <v/>
      </c>
      <c r="H25" t="str">
        <f>IF(F25="","",IF(F25&gt;0,"Win","Loss"))</f>
        <v/>
      </c>
    </row>
    <row r="26" spans="6:8" x14ac:dyDescent="0.2">
      <c r="F26" t="str">
        <f>IF(OR(D26="",E26=""),"",E26-D26)</f>
        <v/>
      </c>
      <c r="G26" t="str">
        <f>IF(F26="", "", G25+F26)</f>
        <v/>
      </c>
      <c r="H26" t="str">
        <f>IF(F26="","",IF(F26&gt;0,"Win","Loss"))</f>
        <v/>
      </c>
    </row>
    <row r="27" spans="6:8" x14ac:dyDescent="0.2">
      <c r="F27" t="str">
        <f>IF(OR(D27="",E27=""),"",E27-D27)</f>
        <v/>
      </c>
      <c r="G27" t="str">
        <f>IF(F27="", "", G26+F27)</f>
        <v/>
      </c>
      <c r="H27" t="str">
        <f>IF(F27="","",IF(F27&gt;0,"Win","Loss"))</f>
        <v/>
      </c>
    </row>
    <row r="28" spans="6:8" x14ac:dyDescent="0.2">
      <c r="F28" t="str">
        <f>IF(OR(D28="",E28=""),"",E28-D28)</f>
        <v/>
      </c>
      <c r="G28" t="str">
        <f>IF(F28="", "", G27+F28)</f>
        <v/>
      </c>
      <c r="H28" t="str">
        <f>IF(F28="","",IF(F28&gt;0,"Win","Loss"))</f>
        <v/>
      </c>
    </row>
    <row r="29" spans="6:8" x14ac:dyDescent="0.2">
      <c r="F29" t="str">
        <f>IF(OR(D29="",E29=""),"",E29-D29)</f>
        <v/>
      </c>
      <c r="G29" t="str">
        <f>IF(F29="", "", G28+F29)</f>
        <v/>
      </c>
      <c r="H29" t="str">
        <f>IF(F29="","",IF(F29&gt;0,"Win","Loss"))</f>
        <v/>
      </c>
    </row>
    <row r="30" spans="6:8" x14ac:dyDescent="0.2">
      <c r="F30" t="str">
        <f>IF(OR(D30="",E30=""),"",E30-D30)</f>
        <v/>
      </c>
      <c r="G30" t="str">
        <f>IF(F30="", "", G29+F30)</f>
        <v/>
      </c>
      <c r="H30" t="str">
        <f>IF(F30="","",IF(F30&gt;0,"Win","Loss"))</f>
        <v/>
      </c>
    </row>
    <row r="31" spans="6:8" x14ac:dyDescent="0.2">
      <c r="F31" t="str">
        <f>IF(OR(D31="",E31=""),"",E31-D31)</f>
        <v/>
      </c>
      <c r="G31" t="str">
        <f>IF(F31="", "", G30+F31)</f>
        <v/>
      </c>
      <c r="H31" t="str">
        <f>IF(F31="","",IF(F31&gt;0,"Win","Loss"))</f>
        <v/>
      </c>
    </row>
    <row r="32" spans="6:8" x14ac:dyDescent="0.2">
      <c r="F32" t="str">
        <f>IF(OR(D32="",E32=""),"",E32-D32)</f>
        <v/>
      </c>
      <c r="G32" t="str">
        <f>IF(F32="", "", G31+F32)</f>
        <v/>
      </c>
      <c r="H32" t="str">
        <f>IF(F32="","",IF(F32&gt;0,"Win","Loss"))</f>
        <v/>
      </c>
    </row>
    <row r="33" spans="6:8" x14ac:dyDescent="0.2">
      <c r="F33" t="str">
        <f>IF(OR(D33="",E33=""),"",E33-D33)</f>
        <v/>
      </c>
      <c r="G33" t="str">
        <f>IF(F33="", "", G32+F33)</f>
        <v/>
      </c>
      <c r="H33" t="str">
        <f>IF(F33="","",IF(F33&gt;0,"Win","Loss"))</f>
        <v/>
      </c>
    </row>
    <row r="34" spans="6:8" x14ac:dyDescent="0.2">
      <c r="F34" t="str">
        <f>IF(OR(D34="",E34=""),"",E34-D34)</f>
        <v/>
      </c>
      <c r="G34" t="str">
        <f>IF(F34="", "", G33+F34)</f>
        <v/>
      </c>
      <c r="H34" t="str">
        <f>IF(F34="","",IF(F34&gt;0,"Win","Loss"))</f>
        <v/>
      </c>
    </row>
    <row r="35" spans="6:8" x14ac:dyDescent="0.2">
      <c r="F35" t="str">
        <f>IF(OR(D35="",E35=""),"",E35-D35)</f>
        <v/>
      </c>
      <c r="G35" t="str">
        <f>IF(F35="", "", G34+F35)</f>
        <v/>
      </c>
      <c r="H35" t="str">
        <f>IF(F35="","",IF(F35&gt;0,"Win","Loss"))</f>
        <v/>
      </c>
    </row>
    <row r="36" spans="6:8" x14ac:dyDescent="0.2">
      <c r="F36" t="str">
        <f>IF(OR(D36="",E36=""),"",E36-D36)</f>
        <v/>
      </c>
      <c r="G36" t="str">
        <f>IF(F36="", "", G35+F36)</f>
        <v/>
      </c>
      <c r="H36" t="str">
        <f>IF(F36="","",IF(F36&gt;0,"Win","Loss"))</f>
        <v/>
      </c>
    </row>
    <row r="37" spans="6:8" x14ac:dyDescent="0.2">
      <c r="F37" t="str">
        <f>IF(OR(D37="",E37=""),"",E37-D37)</f>
        <v/>
      </c>
      <c r="G37" t="str">
        <f>IF(F37="", "", G36+F37)</f>
        <v/>
      </c>
      <c r="H37" t="str">
        <f>IF(F37="","",IF(F37&gt;0,"Win","Loss"))</f>
        <v/>
      </c>
    </row>
    <row r="38" spans="6:8" x14ac:dyDescent="0.2">
      <c r="F38" t="str">
        <f>IF(OR(D38="",E38=""),"",E38-D38)</f>
        <v/>
      </c>
      <c r="G38" t="str">
        <f>IF(F38="", "", G37+F38)</f>
        <v/>
      </c>
      <c r="H38" t="str">
        <f>IF(F38="","",IF(F38&gt;0,"Win","Loss"))</f>
        <v/>
      </c>
    </row>
    <row r="39" spans="6:8" x14ac:dyDescent="0.2">
      <c r="F39" t="str">
        <f>IF(OR(D39="",E39=""),"",E39-D39)</f>
        <v/>
      </c>
      <c r="G39" t="str">
        <f>IF(F39="", "", G38+F39)</f>
        <v/>
      </c>
      <c r="H39" t="str">
        <f>IF(F39="","",IF(F39&gt;0,"Win","Loss"))</f>
        <v/>
      </c>
    </row>
    <row r="40" spans="6:8" x14ac:dyDescent="0.2">
      <c r="F40" t="str">
        <f>IF(OR(D40="",E40=""),"",E40-D40)</f>
        <v/>
      </c>
      <c r="G40" t="str">
        <f>IF(F40="", "", G39+F40)</f>
        <v/>
      </c>
      <c r="H40" t="str">
        <f>IF(F40="","",IF(F40&gt;0,"Win","Loss"))</f>
        <v/>
      </c>
    </row>
    <row r="41" spans="6:8" x14ac:dyDescent="0.2">
      <c r="F41" t="str">
        <f>IF(OR(D41="",E41=""),"",E41-D41)</f>
        <v/>
      </c>
      <c r="G41" t="str">
        <f>IF(F41="", "", G40+F41)</f>
        <v/>
      </c>
      <c r="H41" t="str">
        <f>IF(F41="","",IF(F41&gt;0,"Win","Loss"))</f>
        <v/>
      </c>
    </row>
    <row r="42" spans="6:8" x14ac:dyDescent="0.2">
      <c r="F42" t="str">
        <f>IF(OR(D42="",E42=""),"",E42-D42)</f>
        <v/>
      </c>
      <c r="G42" t="str">
        <f>IF(F42="", "", G41+F42)</f>
        <v/>
      </c>
      <c r="H42" t="str">
        <f>IF(F42="","",IF(F42&gt;0,"Win","Loss"))</f>
        <v/>
      </c>
    </row>
    <row r="43" spans="6:8" x14ac:dyDescent="0.2">
      <c r="F43" t="str">
        <f>IF(OR(D43="",E43=""),"",E43-D43)</f>
        <v/>
      </c>
      <c r="G43" t="str">
        <f>IF(F43="", "", G42+F43)</f>
        <v/>
      </c>
      <c r="H43" t="str">
        <f>IF(F43="","",IF(F43&gt;0,"Win","Loss"))</f>
        <v/>
      </c>
    </row>
    <row r="44" spans="6:8" x14ac:dyDescent="0.2">
      <c r="F44" t="str">
        <f>IF(OR(D44="",E44=""),"",E44-D44)</f>
        <v/>
      </c>
      <c r="G44" t="str">
        <f>IF(F44="", "", G43+F44)</f>
        <v/>
      </c>
      <c r="H44" t="str">
        <f>IF(F44="","",IF(F44&gt;0,"Win","Loss"))</f>
        <v/>
      </c>
    </row>
    <row r="45" spans="6:8" x14ac:dyDescent="0.2">
      <c r="F45" t="str">
        <f>IF(OR(D45="",E45=""),"",E45-D45)</f>
        <v/>
      </c>
      <c r="G45" t="str">
        <f>IF(F45="", "", G44+F45)</f>
        <v/>
      </c>
      <c r="H45" t="str">
        <f>IF(F45="","",IF(F45&gt;0,"Win","Loss"))</f>
        <v/>
      </c>
    </row>
    <row r="46" spans="6:8" x14ac:dyDescent="0.2">
      <c r="F46" t="str">
        <f>IF(OR(D46="",E46=""),"",E46-D46)</f>
        <v/>
      </c>
      <c r="G46" t="str">
        <f>IF(F46="", "", G45+F46)</f>
        <v/>
      </c>
      <c r="H46" t="str">
        <f>IF(F46="","",IF(F46&gt;0,"Win","Loss"))</f>
        <v/>
      </c>
    </row>
    <row r="47" spans="6:8" x14ac:dyDescent="0.2">
      <c r="F47" t="str">
        <f>IF(OR(D47="",E47=""),"",E47-D47)</f>
        <v/>
      </c>
      <c r="G47" t="str">
        <f>IF(F47="", "", G46+F47)</f>
        <v/>
      </c>
      <c r="H47" t="str">
        <f>IF(F47="","",IF(F47&gt;0,"Win","Loss"))</f>
        <v/>
      </c>
    </row>
    <row r="48" spans="6:8" x14ac:dyDescent="0.2">
      <c r="F48" t="str">
        <f>IF(OR(D48="",E48=""),"",E48-D48)</f>
        <v/>
      </c>
      <c r="G48" t="str">
        <f>IF(F48="", "", G47+F48)</f>
        <v/>
      </c>
      <c r="H48" t="str">
        <f>IF(F48="","",IF(F48&gt;0,"Win","Loss"))</f>
        <v/>
      </c>
    </row>
    <row r="49" spans="6:8" x14ac:dyDescent="0.2">
      <c r="F49" t="str">
        <f>IF(OR(D49="",E49=""),"",E49-D49)</f>
        <v/>
      </c>
      <c r="G49" t="str">
        <f>IF(F49="", "", G48+F49)</f>
        <v/>
      </c>
      <c r="H49" t="str">
        <f>IF(F49="","",IF(F49&gt;0,"Win","Loss"))</f>
        <v/>
      </c>
    </row>
    <row r="50" spans="6:8" x14ac:dyDescent="0.2">
      <c r="F50" t="str">
        <f>IF(OR(D50="",E50=""),"",E50-D50)</f>
        <v/>
      </c>
      <c r="G50" t="str">
        <f>IF(F50="", "", G49+F50)</f>
        <v/>
      </c>
      <c r="H50" t="str">
        <f>IF(F50="","",IF(F50&gt;0,"Win","Loss"))</f>
        <v/>
      </c>
    </row>
    <row r="51" spans="6:8" x14ac:dyDescent="0.2">
      <c r="F51" t="str">
        <f>IF(OR(D51="",E51=""),"",E51-D51)</f>
        <v/>
      </c>
      <c r="G51" t="str">
        <f>IF(F51="", "", G50+F51)</f>
        <v/>
      </c>
      <c r="H51" t="str">
        <f>IF(F51="","",IF(F51&gt;0,"Win","Loss"))</f>
        <v/>
      </c>
    </row>
    <row r="52" spans="6:8" x14ac:dyDescent="0.2">
      <c r="F52" t="str">
        <f>IF(OR(D52="",E52=""),"",E52-D52)</f>
        <v/>
      </c>
      <c r="G52" t="str">
        <f>IF(F52="", "", G51+F52)</f>
        <v/>
      </c>
      <c r="H52" t="str">
        <f>IF(F52="","",IF(F52&gt;0,"Win","Loss"))</f>
        <v/>
      </c>
    </row>
    <row r="53" spans="6:8" x14ac:dyDescent="0.2">
      <c r="F53" t="str">
        <f>IF(OR(D53="",E53=""),"",E53-D53)</f>
        <v/>
      </c>
      <c r="G53" t="str">
        <f>IF(F53="", "", G52+F53)</f>
        <v/>
      </c>
      <c r="H53" t="str">
        <f>IF(F53="","",IF(F53&gt;0,"Win","Loss"))</f>
        <v/>
      </c>
    </row>
    <row r="54" spans="6:8" x14ac:dyDescent="0.2">
      <c r="F54" t="str">
        <f>IF(OR(D54="",E54=""),"",E54-D54)</f>
        <v/>
      </c>
      <c r="G54" t="str">
        <f>IF(F54="", "", G53+F54)</f>
        <v/>
      </c>
      <c r="H54" t="str">
        <f>IF(F54="","",IF(F54&gt;0,"Win","Loss"))</f>
        <v/>
      </c>
    </row>
    <row r="55" spans="6:8" x14ac:dyDescent="0.2">
      <c r="F55" t="str">
        <f>IF(OR(D55="",E55=""),"",E55-D55)</f>
        <v/>
      </c>
      <c r="G55" t="str">
        <f>IF(F55="", "", G54+F55)</f>
        <v/>
      </c>
      <c r="H55" t="str">
        <f>IF(F55="","",IF(F55&gt;0,"Win","Loss"))</f>
        <v/>
      </c>
    </row>
    <row r="56" spans="6:8" x14ac:dyDescent="0.2">
      <c r="F56" t="str">
        <f>IF(OR(D56="",E56=""),"",E56-D56)</f>
        <v/>
      </c>
      <c r="G56" t="str">
        <f>IF(F56="", "", G55+F56)</f>
        <v/>
      </c>
      <c r="H56" t="str">
        <f>IF(F56="","",IF(F56&gt;0,"Win","Loss"))</f>
        <v/>
      </c>
    </row>
    <row r="57" spans="6:8" x14ac:dyDescent="0.2">
      <c r="F57" t="str">
        <f>IF(OR(D57="",E57=""),"",E57-D57)</f>
        <v/>
      </c>
      <c r="G57" t="str">
        <f>IF(F57="", "", G56+F57)</f>
        <v/>
      </c>
      <c r="H57" t="str">
        <f>IF(F57="","",IF(F57&gt;0,"Win","Loss"))</f>
        <v/>
      </c>
    </row>
    <row r="58" spans="6:8" x14ac:dyDescent="0.2">
      <c r="F58" t="str">
        <f>IF(OR(D58="",E58=""),"",E58-D58)</f>
        <v/>
      </c>
      <c r="G58" t="str">
        <f>IF(F58="", "", G57+F58)</f>
        <v/>
      </c>
      <c r="H58" t="str">
        <f>IF(F58="","",IF(F58&gt;0,"Win","Loss"))</f>
        <v/>
      </c>
    </row>
    <row r="59" spans="6:8" x14ac:dyDescent="0.2">
      <c r="F59" t="str">
        <f>IF(OR(D59="",E59=""),"",E59-D59)</f>
        <v/>
      </c>
      <c r="G59" t="str">
        <f>IF(F59="", "", G58+F59)</f>
        <v/>
      </c>
      <c r="H59" t="str">
        <f>IF(F59="","",IF(F59&gt;0,"Win","Loss"))</f>
        <v/>
      </c>
    </row>
    <row r="60" spans="6:8" x14ac:dyDescent="0.2">
      <c r="F60" t="str">
        <f>IF(OR(D60="",E60=""),"",E60-D60)</f>
        <v/>
      </c>
      <c r="G60" t="str">
        <f>IF(F60="", "", G59+F60)</f>
        <v/>
      </c>
      <c r="H60" t="str">
        <f>IF(F60="","",IF(F60&gt;0,"Win","Loss"))</f>
        <v/>
      </c>
    </row>
    <row r="61" spans="6:8" x14ac:dyDescent="0.2">
      <c r="F61" t="str">
        <f>IF(OR(D61="",E61=""),"",E61-D61)</f>
        <v/>
      </c>
      <c r="G61" t="str">
        <f>IF(F61="", "", G60+F61)</f>
        <v/>
      </c>
      <c r="H61" t="str">
        <f>IF(F61="","",IF(F61&gt;0,"Win","Loss"))</f>
        <v/>
      </c>
    </row>
    <row r="62" spans="6:8" x14ac:dyDescent="0.2">
      <c r="F62" t="str">
        <f>IF(OR(D62="",E62=""),"",E62-D62)</f>
        <v/>
      </c>
      <c r="G62" t="str">
        <f>IF(F62="", "", G61+F62)</f>
        <v/>
      </c>
      <c r="H62" t="str">
        <f>IF(F62="","",IF(F62&gt;0,"Win","Loss"))</f>
        <v/>
      </c>
    </row>
    <row r="63" spans="6:8" x14ac:dyDescent="0.2">
      <c r="F63" t="str">
        <f>IF(OR(D63="",E63=""),"",E63-D63)</f>
        <v/>
      </c>
      <c r="G63" t="str">
        <f>IF(F63="", "", G62+F63)</f>
        <v/>
      </c>
      <c r="H63" t="str">
        <f>IF(F63="","",IF(F63&gt;0,"Win","Loss"))</f>
        <v/>
      </c>
    </row>
    <row r="64" spans="6:8" x14ac:dyDescent="0.2">
      <c r="F64" t="str">
        <f>IF(OR(D64="",E64=""),"",E64-D64)</f>
        <v/>
      </c>
      <c r="G64" t="str">
        <f>IF(F64="", "", G63+F64)</f>
        <v/>
      </c>
      <c r="H64" t="str">
        <f>IF(F64="","",IF(F64&gt;0,"Win","Loss"))</f>
        <v/>
      </c>
    </row>
    <row r="65" spans="6:8" x14ac:dyDescent="0.2">
      <c r="F65" t="str">
        <f>IF(OR(D65="",E65=""),"",E65-D65)</f>
        <v/>
      </c>
      <c r="G65" t="str">
        <f>IF(F65="", "", G64+F65)</f>
        <v/>
      </c>
      <c r="H65" t="str">
        <f>IF(F65="","",IF(F65&gt;0,"Win","Loss"))</f>
        <v/>
      </c>
    </row>
    <row r="66" spans="6:8" x14ac:dyDescent="0.2">
      <c r="F66" t="str">
        <f>IF(OR(D66="",E66=""),"",E66-D66)</f>
        <v/>
      </c>
      <c r="G66" t="str">
        <f>IF(F66="", "", G65+F66)</f>
        <v/>
      </c>
      <c r="H66" t="str">
        <f>IF(F66="","",IF(F66&gt;0,"Win","Loss"))</f>
        <v/>
      </c>
    </row>
    <row r="67" spans="6:8" x14ac:dyDescent="0.2">
      <c r="F67" t="str">
        <f>IF(OR(D67="",E67=""),"",E67-D67)</f>
        <v/>
      </c>
      <c r="G67" t="str">
        <f>IF(F67="", "", G66+F67)</f>
        <v/>
      </c>
      <c r="H67" t="str">
        <f>IF(F67="","",IF(F67&gt;0,"Win","Loss"))</f>
        <v/>
      </c>
    </row>
    <row r="68" spans="6:8" x14ac:dyDescent="0.2">
      <c r="F68" t="str">
        <f>IF(OR(D68="",E68=""),"",E68-D68)</f>
        <v/>
      </c>
      <c r="G68" t="str">
        <f>IF(F68="", "", G67+F68)</f>
        <v/>
      </c>
      <c r="H68" t="str">
        <f>IF(F68="","",IF(F68&gt;0,"Win","Loss"))</f>
        <v/>
      </c>
    </row>
    <row r="69" spans="6:8" x14ac:dyDescent="0.2">
      <c r="F69" t="str">
        <f>IF(OR(D69="",E69=""),"",E69-D69)</f>
        <v/>
      </c>
      <c r="G69" t="str">
        <f>IF(F69="", "", G68+F69)</f>
        <v/>
      </c>
      <c r="H69" t="str">
        <f>IF(F69="","",IF(F69&gt;0,"Win","Loss"))</f>
        <v/>
      </c>
    </row>
    <row r="70" spans="6:8" x14ac:dyDescent="0.2">
      <c r="F70" t="str">
        <f>IF(OR(D70="",E70=""),"",E70-D70)</f>
        <v/>
      </c>
      <c r="G70" t="str">
        <f>IF(F70="", "", G69+F70)</f>
        <v/>
      </c>
      <c r="H70" t="str">
        <f>IF(F70="","",IF(F70&gt;0,"Win","Loss"))</f>
        <v/>
      </c>
    </row>
    <row r="71" spans="6:8" x14ac:dyDescent="0.2">
      <c r="F71" t="str">
        <f>IF(OR(D71="",E71=""),"",E71-D71)</f>
        <v/>
      </c>
      <c r="G71" t="str">
        <f>IF(F71="", "", G70+F71)</f>
        <v/>
      </c>
      <c r="H71" t="str">
        <f>IF(F71="","",IF(F71&gt;0,"Win","Loss"))</f>
        <v/>
      </c>
    </row>
    <row r="72" spans="6:8" x14ac:dyDescent="0.2">
      <c r="F72" t="str">
        <f>IF(OR(D72="",E72=""),"",E72-D72)</f>
        <v/>
      </c>
      <c r="G72" t="str">
        <f>IF(F72="", "", G71+F72)</f>
        <v/>
      </c>
      <c r="H72" t="str">
        <f>IF(F72="","",IF(F72&gt;0,"Win","Loss"))</f>
        <v/>
      </c>
    </row>
    <row r="73" spans="6:8" x14ac:dyDescent="0.2">
      <c r="F73" t="str">
        <f>IF(OR(D73="",E73=""),"",E73-D73)</f>
        <v/>
      </c>
      <c r="G73" t="str">
        <f>IF(F73="", "", G72+F73)</f>
        <v/>
      </c>
      <c r="H73" t="str">
        <f>IF(F73="","",IF(F73&gt;0,"Win","Loss"))</f>
        <v/>
      </c>
    </row>
    <row r="74" spans="6:8" x14ac:dyDescent="0.2">
      <c r="F74" t="str">
        <f>IF(OR(D74="",E74=""),"",E74-D74)</f>
        <v/>
      </c>
      <c r="G74" t="str">
        <f>IF(F74="", "", G73+F74)</f>
        <v/>
      </c>
      <c r="H74" t="str">
        <f>IF(F74="","",IF(F74&gt;0,"Win","Loss"))</f>
        <v/>
      </c>
    </row>
    <row r="75" spans="6:8" x14ac:dyDescent="0.2">
      <c r="F75" t="str">
        <f>IF(OR(D75="",E75=""),"",E75-D75)</f>
        <v/>
      </c>
      <c r="G75" t="str">
        <f>IF(F75="", "", G74+F75)</f>
        <v/>
      </c>
      <c r="H75" t="str">
        <f>IF(F75="","",IF(F75&gt;0,"Win","Loss"))</f>
        <v/>
      </c>
    </row>
    <row r="76" spans="6:8" x14ac:dyDescent="0.2">
      <c r="F76" t="str">
        <f>IF(OR(D76="",E76=""),"",E76-D76)</f>
        <v/>
      </c>
      <c r="G76" t="str">
        <f>IF(F76="", "", G75+F76)</f>
        <v/>
      </c>
      <c r="H76" t="str">
        <f>IF(F76="","",IF(F76&gt;0,"Win","Loss"))</f>
        <v/>
      </c>
    </row>
    <row r="77" spans="6:8" x14ac:dyDescent="0.2">
      <c r="F77" t="str">
        <f>IF(OR(D77="",E77=""),"",E77-D77)</f>
        <v/>
      </c>
      <c r="G77" t="str">
        <f>IF(F77="", "", G76+F77)</f>
        <v/>
      </c>
      <c r="H77" t="str">
        <f>IF(F77="","",IF(F77&gt;0,"Win","Loss"))</f>
        <v/>
      </c>
    </row>
    <row r="78" spans="6:8" x14ac:dyDescent="0.2">
      <c r="F78" t="str">
        <f>IF(OR(D78="",E78=""),"",E78-D78)</f>
        <v/>
      </c>
      <c r="G78" t="str">
        <f>IF(F78="", "", G77+F78)</f>
        <v/>
      </c>
      <c r="H78" t="str">
        <f>IF(F78="","",IF(F78&gt;0,"Win","Loss"))</f>
        <v/>
      </c>
    </row>
    <row r="79" spans="6:8" x14ac:dyDescent="0.2">
      <c r="F79" t="str">
        <f>IF(OR(D79="",E79=""),"",E79-D79)</f>
        <v/>
      </c>
      <c r="G79" t="str">
        <f>IF(F79="", "", G78+F79)</f>
        <v/>
      </c>
      <c r="H79" t="str">
        <f>IF(F79="","",IF(F79&gt;0,"Win","Loss"))</f>
        <v/>
      </c>
    </row>
    <row r="80" spans="6:8" x14ac:dyDescent="0.2">
      <c r="F80" t="str">
        <f>IF(OR(D80="",E80=""),"",E80-D80)</f>
        <v/>
      </c>
      <c r="G80" t="str">
        <f>IF(F80="", "", G79+F80)</f>
        <v/>
      </c>
      <c r="H80" t="str">
        <f>IF(F80="","",IF(F80&gt;0,"Win","Loss"))</f>
        <v/>
      </c>
    </row>
    <row r="81" spans="6:8" x14ac:dyDescent="0.2">
      <c r="F81" t="str">
        <f>IF(OR(D81="",E81=""),"",E81-D81)</f>
        <v/>
      </c>
      <c r="G81" t="str">
        <f>IF(F81="", "", G80+F81)</f>
        <v/>
      </c>
      <c r="H81" t="str">
        <f>IF(F81="","",IF(F81&gt;0,"Win","Loss"))</f>
        <v/>
      </c>
    </row>
    <row r="82" spans="6:8" x14ac:dyDescent="0.2">
      <c r="F82" t="str">
        <f>IF(OR(D82="",E82=""),"",E82-D82)</f>
        <v/>
      </c>
      <c r="G82" t="str">
        <f>IF(F82="", "", G81+F82)</f>
        <v/>
      </c>
      <c r="H82" t="str">
        <f>IF(F82="","",IF(F82&gt;0,"Win","Loss"))</f>
        <v/>
      </c>
    </row>
    <row r="83" spans="6:8" x14ac:dyDescent="0.2">
      <c r="F83" t="str">
        <f>IF(OR(D83="",E83=""),"",E83-D83)</f>
        <v/>
      </c>
      <c r="G83" t="str">
        <f>IF(F83="", "", G82+F83)</f>
        <v/>
      </c>
      <c r="H83" t="str">
        <f>IF(F83="","",IF(F83&gt;0,"Win","Loss"))</f>
        <v/>
      </c>
    </row>
    <row r="84" spans="6:8" x14ac:dyDescent="0.2">
      <c r="F84" t="str">
        <f>IF(OR(D84="",E84=""),"",E84-D84)</f>
        <v/>
      </c>
      <c r="G84" t="str">
        <f>IF(F84="", "", G83+F84)</f>
        <v/>
      </c>
      <c r="H84" t="str">
        <f>IF(F84="","",IF(F84&gt;0,"Win","Loss"))</f>
        <v/>
      </c>
    </row>
    <row r="85" spans="6:8" x14ac:dyDescent="0.2">
      <c r="F85" t="str">
        <f>IF(OR(D85="",E85=""),"",E85-D85)</f>
        <v/>
      </c>
      <c r="G85" t="str">
        <f>IF(F85="", "", G84+F85)</f>
        <v/>
      </c>
      <c r="H85" t="str">
        <f>IF(F85="","",IF(F85&gt;0,"Win","Loss"))</f>
        <v/>
      </c>
    </row>
    <row r="86" spans="6:8" x14ac:dyDescent="0.2">
      <c r="F86" t="str">
        <f>IF(OR(D86="",E86=""),"",E86-D86)</f>
        <v/>
      </c>
      <c r="G86" t="str">
        <f>IF(F86="", "", G85+F86)</f>
        <v/>
      </c>
      <c r="H86" t="str">
        <f>IF(F86="","",IF(F86&gt;0,"Win","Loss"))</f>
        <v/>
      </c>
    </row>
    <row r="87" spans="6:8" x14ac:dyDescent="0.2">
      <c r="F87" t="str">
        <f>IF(OR(D87="",E87=""),"",E87-D87)</f>
        <v/>
      </c>
      <c r="G87" t="str">
        <f>IF(F87="", "", G86+F87)</f>
        <v/>
      </c>
      <c r="H87" t="str">
        <f>IF(F87="","",IF(F87&gt;0,"Win","Loss"))</f>
        <v/>
      </c>
    </row>
    <row r="88" spans="6:8" x14ac:dyDescent="0.2">
      <c r="F88" t="str">
        <f>IF(OR(D88="",E88=""),"",E88-D88)</f>
        <v/>
      </c>
      <c r="G88" t="str">
        <f>IF(F88="", "", G87+F88)</f>
        <v/>
      </c>
      <c r="H88" t="str">
        <f>IF(F88="","",IF(F88&gt;0,"Win","Loss"))</f>
        <v/>
      </c>
    </row>
    <row r="89" spans="6:8" x14ac:dyDescent="0.2">
      <c r="F89" t="str">
        <f>IF(OR(D89="",E89=""),"",E89-D89)</f>
        <v/>
      </c>
      <c r="G89" t="str">
        <f>IF(F89="", "", G88+F89)</f>
        <v/>
      </c>
      <c r="H89" t="str">
        <f>IF(F89="","",IF(F89&gt;0,"Win","Loss"))</f>
        <v/>
      </c>
    </row>
    <row r="90" spans="6:8" x14ac:dyDescent="0.2">
      <c r="F90" t="str">
        <f>IF(OR(D90="",E90=""),"",E90-D90)</f>
        <v/>
      </c>
      <c r="G90" t="str">
        <f>IF(F90="", "", G89+F90)</f>
        <v/>
      </c>
      <c r="H90" t="str">
        <f>IF(F90="","",IF(F90&gt;0,"Win","Loss"))</f>
        <v/>
      </c>
    </row>
    <row r="91" spans="6:8" x14ac:dyDescent="0.2">
      <c r="F91" t="str">
        <f>IF(OR(D91="",E91=""),"",E91-D91)</f>
        <v/>
      </c>
      <c r="G91" t="str">
        <f>IF(F91="", "", G90+F91)</f>
        <v/>
      </c>
      <c r="H91" t="str">
        <f>IF(F91="","",IF(F91&gt;0,"Win","Loss"))</f>
        <v/>
      </c>
    </row>
    <row r="92" spans="6:8" x14ac:dyDescent="0.2">
      <c r="F92" t="str">
        <f>IF(OR(D92="",E92=""),"",E92-D92)</f>
        <v/>
      </c>
      <c r="G92" t="str">
        <f>IF(F92="", "", G91+F92)</f>
        <v/>
      </c>
      <c r="H92" t="str">
        <f>IF(F92="","",IF(F92&gt;0,"Win","Loss"))</f>
        <v/>
      </c>
    </row>
    <row r="93" spans="6:8" x14ac:dyDescent="0.2">
      <c r="F93" t="str">
        <f>IF(OR(D93="",E93=""),"",E93-D93)</f>
        <v/>
      </c>
      <c r="G93" t="str">
        <f>IF(F93="", "", G92+F93)</f>
        <v/>
      </c>
      <c r="H93" t="str">
        <f>IF(F93="","",IF(F93&gt;0,"Win","Loss"))</f>
        <v/>
      </c>
    </row>
    <row r="94" spans="6:8" x14ac:dyDescent="0.2">
      <c r="F94" t="str">
        <f>IF(OR(D94="",E94=""),"",E94-D94)</f>
        <v/>
      </c>
      <c r="G94" t="str">
        <f>IF(F94="", "", G93+F94)</f>
        <v/>
      </c>
      <c r="H94" t="str">
        <f>IF(F94="","",IF(F94&gt;0,"Win","Loss"))</f>
        <v/>
      </c>
    </row>
    <row r="95" spans="6:8" x14ac:dyDescent="0.2">
      <c r="F95" t="str">
        <f>IF(OR(D95="",E95=""),"",E95-D95)</f>
        <v/>
      </c>
      <c r="G95" t="str">
        <f>IF(F95="", "", G94+F95)</f>
        <v/>
      </c>
      <c r="H95" t="str">
        <f>IF(F95="","",IF(F95&gt;0,"Win","Loss"))</f>
        <v/>
      </c>
    </row>
    <row r="96" spans="6:8" x14ac:dyDescent="0.2">
      <c r="F96" t="str">
        <f>IF(OR(D96="",E96=""),"",E96-D96)</f>
        <v/>
      </c>
      <c r="G96" t="str">
        <f>IF(F96="", "", G95+F96)</f>
        <v/>
      </c>
      <c r="H96" t="str">
        <f>IF(F96="","",IF(F96&gt;0,"Win","Loss"))</f>
        <v/>
      </c>
    </row>
    <row r="97" spans="6:8" x14ac:dyDescent="0.2">
      <c r="F97" t="str">
        <f>IF(OR(D97="",E97=""),"",E97-D97)</f>
        <v/>
      </c>
      <c r="G97" t="str">
        <f>IF(F97="", "", G96+F97)</f>
        <v/>
      </c>
      <c r="H97" t="str">
        <f>IF(F97="","",IF(F97&gt;0,"Win","Loss"))</f>
        <v/>
      </c>
    </row>
    <row r="98" spans="6:8" x14ac:dyDescent="0.2">
      <c r="F98" t="str">
        <f>IF(OR(D98="",E98=""),"",E98-D98)</f>
        <v/>
      </c>
      <c r="G98" t="str">
        <f>IF(F98="", "", G97+F98)</f>
        <v/>
      </c>
      <c r="H98" t="str">
        <f>IF(F98="","",IF(F98&gt;0,"Win","Loss"))</f>
        <v/>
      </c>
    </row>
    <row r="99" spans="6:8" x14ac:dyDescent="0.2">
      <c r="F99" t="str">
        <f>IF(OR(D99="",E99=""),"",E99-D99)</f>
        <v/>
      </c>
      <c r="G99" t="str">
        <f>IF(F99="", "", G98+F99)</f>
        <v/>
      </c>
      <c r="H99" t="str">
        <f>IF(F99="","",IF(F99&gt;0,"Win","Loss"))</f>
        <v/>
      </c>
    </row>
    <row r="100" spans="6:8" x14ac:dyDescent="0.2">
      <c r="F100" t="str">
        <f>IF(OR(D100="",E100=""),"",E100-D100)</f>
        <v/>
      </c>
      <c r="G100" t="str">
        <f>IF(F100="", "", G99+F100)</f>
        <v/>
      </c>
      <c r="H100" t="str">
        <f>IF(F100="","",IF(F100&gt;0,"Win","Loss"))</f>
        <v/>
      </c>
    </row>
    <row r="101" spans="6:8" x14ac:dyDescent="0.2">
      <c r="F101" t="str">
        <f>IF(OR(D101="",E101=""),"",E101-D101)</f>
        <v/>
      </c>
      <c r="G101" t="str">
        <f>IF(F101="", "", G100+F101)</f>
        <v/>
      </c>
      <c r="H101" t="str">
        <f>IF(F101="","",IF(F101&gt;0,"Win","Loss"))</f>
        <v/>
      </c>
    </row>
    <row r="102" spans="6:8" x14ac:dyDescent="0.2">
      <c r="F102" t="str">
        <f>IF(OR(D102="",E102=""),"",E102-D102)</f>
        <v/>
      </c>
      <c r="G102" t="str">
        <f>IF(F102="", "", G101+F102)</f>
        <v/>
      </c>
      <c r="H102" t="str">
        <f>IF(F102="","",IF(F102&gt;0,"Win","Loss"))</f>
        <v/>
      </c>
    </row>
    <row r="103" spans="6:8" x14ac:dyDescent="0.2">
      <c r="F103" t="str">
        <f>IF(OR(D103="",E103=""),"",E103-D103)</f>
        <v/>
      </c>
      <c r="G103" t="str">
        <f>IF(F103="", "", G102+F103)</f>
        <v/>
      </c>
      <c r="H103" t="str">
        <f>IF(F103="","",IF(F103&gt;0,"Win","Loss"))</f>
        <v/>
      </c>
    </row>
    <row r="104" spans="6:8" x14ac:dyDescent="0.2">
      <c r="F104" t="str">
        <f>IF(OR(D104="",E104=""),"",E104-D104)</f>
        <v/>
      </c>
      <c r="G104" t="str">
        <f>IF(F104="", "", G103+F104)</f>
        <v/>
      </c>
      <c r="H104" t="str">
        <f>IF(F104="","",IF(F104&gt;0,"Win","Loss"))</f>
        <v/>
      </c>
    </row>
    <row r="105" spans="6:8" x14ac:dyDescent="0.2">
      <c r="F105" t="str">
        <f>IF(OR(D105="",E105=""),"",E105-D105)</f>
        <v/>
      </c>
      <c r="G105" t="str">
        <f>IF(F105="", "", G104+F105)</f>
        <v/>
      </c>
      <c r="H105" t="str">
        <f>IF(F105="","",IF(F105&gt;0,"Win","Loss"))</f>
        <v/>
      </c>
    </row>
    <row r="106" spans="6:8" x14ac:dyDescent="0.2">
      <c r="F106" t="str">
        <f>IF(OR(D106="",E106=""),"",E106-D106)</f>
        <v/>
      </c>
      <c r="G106" t="str">
        <f>IF(F106="", "", G105+F106)</f>
        <v/>
      </c>
      <c r="H106" t="str">
        <f>IF(F106="","",IF(F106&gt;0,"Win","Loss"))</f>
        <v/>
      </c>
    </row>
    <row r="107" spans="6:8" x14ac:dyDescent="0.2">
      <c r="F107" t="str">
        <f>IF(OR(D107="",E107=""),"",E107-D107)</f>
        <v/>
      </c>
      <c r="G107" t="str">
        <f>IF(F107="", "", G106+F107)</f>
        <v/>
      </c>
      <c r="H107" t="str">
        <f>IF(F107="","",IF(F107&gt;0,"Win","Loss"))</f>
        <v/>
      </c>
    </row>
    <row r="108" spans="6:8" x14ac:dyDescent="0.2">
      <c r="F108" t="str">
        <f>IF(OR(D108="",E108=""),"",E108-D108)</f>
        <v/>
      </c>
      <c r="G108" t="str">
        <f>IF(F108="", "", G107+F108)</f>
        <v/>
      </c>
      <c r="H108" t="str">
        <f>IF(F108="","",IF(F108&gt;0,"Win","Loss"))</f>
        <v/>
      </c>
    </row>
    <row r="109" spans="6:8" x14ac:dyDescent="0.2">
      <c r="F109" t="str">
        <f>IF(OR(D109="",E109=""),"",E109-D109)</f>
        <v/>
      </c>
      <c r="G109" t="str">
        <f>IF(F109="", "", G108+F109)</f>
        <v/>
      </c>
      <c r="H109" t="str">
        <f>IF(F109="","",IF(F109&gt;0,"Win","Loss"))</f>
        <v/>
      </c>
    </row>
    <row r="110" spans="6:8" x14ac:dyDescent="0.2">
      <c r="F110" t="str">
        <f>IF(OR(D110="",E110=""),"",E110-D110)</f>
        <v/>
      </c>
      <c r="G110" t="str">
        <f>IF(F110="", "", G109+F110)</f>
        <v/>
      </c>
      <c r="H110" t="str">
        <f>IF(F110="","",IF(F110&gt;0,"Win","Loss"))</f>
        <v/>
      </c>
    </row>
    <row r="111" spans="6:8" x14ac:dyDescent="0.2">
      <c r="F111" t="str">
        <f>IF(OR(D111="",E111=""),"",E111-D111)</f>
        <v/>
      </c>
      <c r="G111" t="str">
        <f>IF(F111="", "", G110+F111)</f>
        <v/>
      </c>
      <c r="H111" t="str">
        <f>IF(F111="","",IF(F111&gt;0,"Win","Loss"))</f>
        <v/>
      </c>
    </row>
    <row r="112" spans="6:8" x14ac:dyDescent="0.2">
      <c r="F112" t="str">
        <f>IF(OR(D112="",E112=""),"",E112-D112)</f>
        <v/>
      </c>
      <c r="G112" t="str">
        <f>IF(F112="", "", G111+F112)</f>
        <v/>
      </c>
      <c r="H112" t="str">
        <f>IF(F112="","",IF(F112&gt;0,"Win","Loss"))</f>
        <v/>
      </c>
    </row>
    <row r="113" spans="6:8" x14ac:dyDescent="0.2">
      <c r="F113" t="str">
        <f>IF(OR(D113="",E113=""),"",E113-D113)</f>
        <v/>
      </c>
      <c r="G113" t="str">
        <f>IF(F113="", "", G112+F113)</f>
        <v/>
      </c>
      <c r="H113" t="str">
        <f>IF(F113="","",IF(F113&gt;0,"Win","Loss"))</f>
        <v/>
      </c>
    </row>
    <row r="114" spans="6:8" x14ac:dyDescent="0.2">
      <c r="F114" t="str">
        <f>IF(OR(D114="",E114=""),"",E114-D114)</f>
        <v/>
      </c>
      <c r="G114" t="str">
        <f>IF(F114="", "", G113+F114)</f>
        <v/>
      </c>
      <c r="H114" t="str">
        <f>IF(F114="","",IF(F114&gt;0,"Win","Loss"))</f>
        <v/>
      </c>
    </row>
    <row r="115" spans="6:8" x14ac:dyDescent="0.2">
      <c r="F115" t="str">
        <f>IF(OR(D115="",E115=""),"",E115-D115)</f>
        <v/>
      </c>
      <c r="G115" t="str">
        <f>IF(F115="", "", G114+F115)</f>
        <v/>
      </c>
      <c r="H115" t="str">
        <f>IF(F115="","",IF(F115&gt;0,"Win","Loss"))</f>
        <v/>
      </c>
    </row>
    <row r="116" spans="6:8" x14ac:dyDescent="0.2">
      <c r="F116" t="str">
        <f>IF(OR(D116="",E116=""),"",E116-D116)</f>
        <v/>
      </c>
      <c r="G116" t="str">
        <f>IF(F116="", "", G115+F116)</f>
        <v/>
      </c>
      <c r="H116" t="str">
        <f>IF(F116="","",IF(F116&gt;0,"Win","Loss"))</f>
        <v/>
      </c>
    </row>
    <row r="117" spans="6:8" x14ac:dyDescent="0.2">
      <c r="F117" t="str">
        <f>IF(OR(D117="",E117=""),"",E117-D117)</f>
        <v/>
      </c>
      <c r="G117" t="str">
        <f>IF(F117="", "", G116+F117)</f>
        <v/>
      </c>
      <c r="H117" t="str">
        <f>IF(F117="","",IF(F117&gt;0,"Win","Loss"))</f>
        <v/>
      </c>
    </row>
    <row r="118" spans="6:8" x14ac:dyDescent="0.2">
      <c r="F118" t="str">
        <f>IF(OR(D118="",E118=""),"",E118-D118)</f>
        <v/>
      </c>
      <c r="G118" t="str">
        <f>IF(F118="", "", G117+F118)</f>
        <v/>
      </c>
      <c r="H118" t="str">
        <f>IF(F118="","",IF(F118&gt;0,"Win","Loss"))</f>
        <v/>
      </c>
    </row>
    <row r="119" spans="6:8" x14ac:dyDescent="0.2">
      <c r="F119" t="str">
        <f>IF(OR(D119="",E119=""),"",E119-D119)</f>
        <v/>
      </c>
      <c r="G119" t="str">
        <f>IF(F119="", "", G118+F119)</f>
        <v/>
      </c>
      <c r="H119" t="str">
        <f>IF(F119="","",IF(F119&gt;0,"Win","Loss"))</f>
        <v/>
      </c>
    </row>
    <row r="120" spans="6:8" x14ac:dyDescent="0.2">
      <c r="F120" t="str">
        <f>IF(OR(D120="",E120=""),"",E120-D120)</f>
        <v/>
      </c>
      <c r="G120" t="str">
        <f>IF(F120="", "", G119+F120)</f>
        <v/>
      </c>
      <c r="H120" t="str">
        <f>IF(F120="","",IF(F120&gt;0,"Win","Loss"))</f>
        <v/>
      </c>
    </row>
    <row r="121" spans="6:8" x14ac:dyDescent="0.2">
      <c r="F121" t="str">
        <f>IF(OR(D121="",E121=""),"",E121-D121)</f>
        <v/>
      </c>
      <c r="G121" t="str">
        <f>IF(F121="", "", G120+F121)</f>
        <v/>
      </c>
      <c r="H121" t="str">
        <f>IF(F121="","",IF(F121&gt;0,"Win","Loss"))</f>
        <v/>
      </c>
    </row>
    <row r="122" spans="6:8" x14ac:dyDescent="0.2">
      <c r="F122" t="str">
        <f>IF(OR(D122="",E122=""),"",E122-D122)</f>
        <v/>
      </c>
      <c r="G122" t="str">
        <f>IF(F122="", "", G121+F122)</f>
        <v/>
      </c>
      <c r="H122" t="str">
        <f>IF(F122="","",IF(F122&gt;0,"Win","Loss"))</f>
        <v/>
      </c>
    </row>
    <row r="123" spans="6:8" x14ac:dyDescent="0.2">
      <c r="F123" t="str">
        <f>IF(OR(D123="",E123=""),"",E123-D123)</f>
        <v/>
      </c>
      <c r="G123" t="str">
        <f>IF(F123="", "", G122+F123)</f>
        <v/>
      </c>
      <c r="H123" t="str">
        <f>IF(F123="","",IF(F123&gt;0,"Win","Loss"))</f>
        <v/>
      </c>
    </row>
    <row r="124" spans="6:8" x14ac:dyDescent="0.2">
      <c r="F124" t="str">
        <f>IF(OR(D124="",E124=""),"",E124-D124)</f>
        <v/>
      </c>
      <c r="G124" t="str">
        <f>IF(F124="", "", G123+F124)</f>
        <v/>
      </c>
      <c r="H124" t="str">
        <f>IF(F124="","",IF(F124&gt;0,"Win","Loss"))</f>
        <v/>
      </c>
    </row>
    <row r="125" spans="6:8" x14ac:dyDescent="0.2">
      <c r="F125" t="str">
        <f>IF(OR(D125="",E125=""),"",E125-D125)</f>
        <v/>
      </c>
      <c r="G125" t="str">
        <f>IF(F125="", "", G124+F125)</f>
        <v/>
      </c>
      <c r="H125" t="str">
        <f>IF(F125="","",IF(F125&gt;0,"Win","Loss"))</f>
        <v/>
      </c>
    </row>
    <row r="126" spans="6:8" x14ac:dyDescent="0.2">
      <c r="F126" t="str">
        <f>IF(OR(D126="",E126=""),"",E126-D126)</f>
        <v/>
      </c>
      <c r="G126" t="str">
        <f>IF(F126="", "", G125+F126)</f>
        <v/>
      </c>
      <c r="H126" t="str">
        <f>IF(F126="","",IF(F126&gt;0,"Win","Loss"))</f>
        <v/>
      </c>
    </row>
    <row r="127" spans="6:8" x14ac:dyDescent="0.2">
      <c r="F127" t="str">
        <f>IF(OR(D127="",E127=""),"",E127-D127)</f>
        <v/>
      </c>
      <c r="G127" t="str">
        <f>IF(F127="", "", G126+F127)</f>
        <v/>
      </c>
      <c r="H127" t="str">
        <f>IF(F127="","",IF(F127&gt;0,"Win","Loss"))</f>
        <v/>
      </c>
    </row>
    <row r="128" spans="6:8" x14ac:dyDescent="0.2">
      <c r="F128" t="str">
        <f>IF(OR(D128="",E128=""),"",E128-D128)</f>
        <v/>
      </c>
      <c r="G128" t="str">
        <f>IF(F128="", "", G127+F128)</f>
        <v/>
      </c>
      <c r="H128" t="str">
        <f>IF(F128="","",IF(F128&gt;0,"Win","Loss"))</f>
        <v/>
      </c>
    </row>
    <row r="129" spans="6:8" x14ac:dyDescent="0.2">
      <c r="F129" t="str">
        <f>IF(OR(D129="",E129=""),"",E129-D129)</f>
        <v/>
      </c>
      <c r="G129" t="str">
        <f>IF(F129="", "", G128+F129)</f>
        <v/>
      </c>
      <c r="H129" t="str">
        <f>IF(F129="","",IF(F129&gt;0,"Win","Loss"))</f>
        <v/>
      </c>
    </row>
    <row r="130" spans="6:8" x14ac:dyDescent="0.2">
      <c r="F130" t="str">
        <f>IF(OR(D130="",E130=""),"",E130-D130)</f>
        <v/>
      </c>
      <c r="G130" t="str">
        <f>IF(F130="", "", G129+F130)</f>
        <v/>
      </c>
      <c r="H130" t="str">
        <f>IF(F130="","",IF(F130&gt;0,"Win","Loss"))</f>
        <v/>
      </c>
    </row>
    <row r="131" spans="6:8" x14ac:dyDescent="0.2">
      <c r="F131" t="str">
        <f>IF(OR(D131="",E131=""),"",E131-D131)</f>
        <v/>
      </c>
      <c r="G131" t="str">
        <f>IF(F131="", "", G130+F131)</f>
        <v/>
      </c>
      <c r="H131" t="str">
        <f>IF(F131="","",IF(F131&gt;0,"Win","Loss"))</f>
        <v/>
      </c>
    </row>
    <row r="132" spans="6:8" x14ac:dyDescent="0.2">
      <c r="F132" t="str">
        <f>IF(OR(D132="",E132=""),"",E132-D132)</f>
        <v/>
      </c>
      <c r="G132" t="str">
        <f>IF(F132="", "", G131+F132)</f>
        <v/>
      </c>
      <c r="H132" t="str">
        <f>IF(F132="","",IF(F132&gt;0,"Win","Loss"))</f>
        <v/>
      </c>
    </row>
    <row r="133" spans="6:8" x14ac:dyDescent="0.2">
      <c r="F133" t="str">
        <f>IF(OR(D133="",E133=""),"",E133-D133)</f>
        <v/>
      </c>
      <c r="G133" t="str">
        <f>IF(F133="", "", G132+F133)</f>
        <v/>
      </c>
      <c r="H133" t="str">
        <f>IF(F133="","",IF(F133&gt;0,"Win","Loss"))</f>
        <v/>
      </c>
    </row>
    <row r="134" spans="6:8" x14ac:dyDescent="0.2">
      <c r="F134" t="str">
        <f>IF(OR(D134="",E134=""),"",E134-D134)</f>
        <v/>
      </c>
      <c r="G134" t="str">
        <f>IF(F134="", "", G133+F134)</f>
        <v/>
      </c>
      <c r="H134" t="str">
        <f>IF(F134="","",IF(F134&gt;0,"Win","Loss"))</f>
        <v/>
      </c>
    </row>
    <row r="135" spans="6:8" x14ac:dyDescent="0.2">
      <c r="F135" t="str">
        <f>IF(OR(D135="",E135=""),"",E135-D135)</f>
        <v/>
      </c>
      <c r="G135" t="str">
        <f>IF(F135="", "", G134+F135)</f>
        <v/>
      </c>
      <c r="H135" t="str">
        <f>IF(F135="","",IF(F135&gt;0,"Win","Loss"))</f>
        <v/>
      </c>
    </row>
    <row r="136" spans="6:8" x14ac:dyDescent="0.2">
      <c r="F136" t="str">
        <f>IF(OR(D136="",E136=""),"",E136-D136)</f>
        <v/>
      </c>
      <c r="G136" t="str">
        <f>IF(F136="", "", G135+F136)</f>
        <v/>
      </c>
      <c r="H136" t="str">
        <f>IF(F136="","",IF(F136&gt;0,"Win","Loss"))</f>
        <v/>
      </c>
    </row>
    <row r="137" spans="6:8" x14ac:dyDescent="0.2">
      <c r="F137" t="str">
        <f>IF(OR(D137="",E137=""),"",E137-D137)</f>
        <v/>
      </c>
      <c r="G137" t="str">
        <f>IF(F137="", "", G136+F137)</f>
        <v/>
      </c>
      <c r="H137" t="str">
        <f>IF(F137="","",IF(F137&gt;0,"Win","Loss"))</f>
        <v/>
      </c>
    </row>
    <row r="138" spans="6:8" x14ac:dyDescent="0.2">
      <c r="F138" t="str">
        <f>IF(OR(D138="",E138=""),"",E138-D138)</f>
        <v/>
      </c>
      <c r="G138" t="str">
        <f>IF(F138="", "", G137+F138)</f>
        <v/>
      </c>
      <c r="H138" t="str">
        <f>IF(F138="","",IF(F138&gt;0,"Win","Loss"))</f>
        <v/>
      </c>
    </row>
    <row r="139" spans="6:8" x14ac:dyDescent="0.2">
      <c r="F139" t="str">
        <f>IF(OR(D139="",E139=""),"",E139-D139)</f>
        <v/>
      </c>
      <c r="G139" t="str">
        <f>IF(F139="", "", G138+F139)</f>
        <v/>
      </c>
      <c r="H139" t="str">
        <f>IF(F139="","",IF(F139&gt;0,"Win","Loss"))</f>
        <v/>
      </c>
    </row>
    <row r="140" spans="6:8" x14ac:dyDescent="0.2">
      <c r="F140" t="str">
        <f>IF(OR(D140="",E140=""),"",E140-D140)</f>
        <v/>
      </c>
      <c r="G140" t="str">
        <f>IF(F140="", "", G139+F140)</f>
        <v/>
      </c>
      <c r="H140" t="str">
        <f>IF(F140="","",IF(F140&gt;0,"Win","Loss"))</f>
        <v/>
      </c>
    </row>
    <row r="141" spans="6:8" x14ac:dyDescent="0.2">
      <c r="F141" t="str">
        <f>IF(OR(D141="",E141=""),"",E141-D141)</f>
        <v/>
      </c>
      <c r="G141" t="str">
        <f>IF(F141="", "", G140+F141)</f>
        <v/>
      </c>
      <c r="H141" t="str">
        <f>IF(F141="","",IF(F141&gt;0,"Win","Loss"))</f>
        <v/>
      </c>
    </row>
    <row r="142" spans="6:8" x14ac:dyDescent="0.2">
      <c r="F142" t="str">
        <f>IF(OR(D142="",E142=""),"",E142-D142)</f>
        <v/>
      </c>
      <c r="G142" t="str">
        <f>IF(F142="", "", G141+F142)</f>
        <v/>
      </c>
      <c r="H142" t="str">
        <f>IF(F142="","",IF(F142&gt;0,"Win","Loss"))</f>
        <v/>
      </c>
    </row>
    <row r="143" spans="6:8" x14ac:dyDescent="0.2">
      <c r="F143" t="str">
        <f>IF(OR(D143="",E143=""),"",E143-D143)</f>
        <v/>
      </c>
      <c r="G143" t="str">
        <f>IF(F143="", "", G142+F143)</f>
        <v/>
      </c>
      <c r="H143" t="str">
        <f>IF(F143="","",IF(F143&gt;0,"Win","Loss"))</f>
        <v/>
      </c>
    </row>
    <row r="144" spans="6:8" x14ac:dyDescent="0.2">
      <c r="F144" t="str">
        <f>IF(OR(D144="",E144=""),"",E144-D144)</f>
        <v/>
      </c>
      <c r="G144" t="str">
        <f>IF(F144="", "", G143+F144)</f>
        <v/>
      </c>
      <c r="H144" t="str">
        <f>IF(F144="","",IF(F144&gt;0,"Win","Loss"))</f>
        <v/>
      </c>
    </row>
    <row r="145" spans="6:8" x14ac:dyDescent="0.2">
      <c r="F145" t="str">
        <f>IF(OR(D145="",E145=""),"",E145-D145)</f>
        <v/>
      </c>
      <c r="G145" t="str">
        <f>IF(F145="", "", G144+F145)</f>
        <v/>
      </c>
      <c r="H145" t="str">
        <f>IF(F145="","",IF(F145&gt;0,"Win","Loss"))</f>
        <v/>
      </c>
    </row>
    <row r="146" spans="6:8" x14ac:dyDescent="0.2">
      <c r="F146" t="str">
        <f>IF(OR(D146="",E146=""),"",E146-D146)</f>
        <v/>
      </c>
      <c r="G146" t="str">
        <f>IF(F146="", "", G145+F146)</f>
        <v/>
      </c>
      <c r="H146" t="str">
        <f>IF(F146="","",IF(F146&gt;0,"Win","Loss"))</f>
        <v/>
      </c>
    </row>
    <row r="147" spans="6:8" x14ac:dyDescent="0.2">
      <c r="F147" t="str">
        <f>IF(OR(D147="",E147=""),"",E147-D147)</f>
        <v/>
      </c>
      <c r="G147" t="str">
        <f>IF(F147="", "", G146+F147)</f>
        <v/>
      </c>
      <c r="H147" t="str">
        <f>IF(F147="","",IF(F147&gt;0,"Win","Loss"))</f>
        <v/>
      </c>
    </row>
    <row r="148" spans="6:8" x14ac:dyDescent="0.2">
      <c r="F148" t="str">
        <f>IF(OR(D148="",E148=""),"",E148-D148)</f>
        <v/>
      </c>
      <c r="G148" t="str">
        <f>IF(F148="", "", G147+F148)</f>
        <v/>
      </c>
      <c r="H148" t="str">
        <f>IF(F148="","",IF(F148&gt;0,"Win","Loss"))</f>
        <v/>
      </c>
    </row>
    <row r="149" spans="6:8" x14ac:dyDescent="0.2">
      <c r="F149" t="str">
        <f>IF(OR(D149="",E149=""),"",E149-D149)</f>
        <v/>
      </c>
      <c r="G149" t="str">
        <f>IF(F149="", "", G148+F149)</f>
        <v/>
      </c>
      <c r="H149" t="str">
        <f>IF(F149="","",IF(F149&gt;0,"Win","Loss"))</f>
        <v/>
      </c>
    </row>
    <row r="150" spans="6:8" x14ac:dyDescent="0.2">
      <c r="F150" t="str">
        <f>IF(OR(D150="",E150=""),"",E150-D150)</f>
        <v/>
      </c>
      <c r="G150" t="str">
        <f>IF(F150="", "", G149+F150)</f>
        <v/>
      </c>
      <c r="H150" t="str">
        <f>IF(F150="","",IF(F150&gt;0,"Win","Loss"))</f>
        <v/>
      </c>
    </row>
    <row r="151" spans="6:8" x14ac:dyDescent="0.2">
      <c r="F151" t="str">
        <f>IF(OR(D151="",E151=""),"",E151-D151)</f>
        <v/>
      </c>
      <c r="G151" t="str">
        <f>IF(F151="", "", G150+F151)</f>
        <v/>
      </c>
      <c r="H151" t="str">
        <f>IF(F151="","",IF(F151&gt;0,"Win","Loss"))</f>
        <v/>
      </c>
    </row>
    <row r="152" spans="6:8" x14ac:dyDescent="0.2">
      <c r="F152" t="str">
        <f>IF(OR(D152="",E152=""),"",E152-D152)</f>
        <v/>
      </c>
      <c r="G152" t="str">
        <f>IF(F152="", "", G151+F152)</f>
        <v/>
      </c>
      <c r="H152" t="str">
        <f>IF(F152="","",IF(F152&gt;0,"Win","Loss"))</f>
        <v/>
      </c>
    </row>
    <row r="153" spans="6:8" x14ac:dyDescent="0.2">
      <c r="F153" t="str">
        <f>IF(OR(D153="",E153=""),"",E153-D153)</f>
        <v/>
      </c>
      <c r="G153" t="str">
        <f>IF(F153="", "", G152+F153)</f>
        <v/>
      </c>
      <c r="H153" t="str">
        <f>IF(F153="","",IF(F153&gt;0,"Win","Loss"))</f>
        <v/>
      </c>
    </row>
    <row r="154" spans="6:8" x14ac:dyDescent="0.2">
      <c r="F154" t="str">
        <f>IF(OR(D154="",E154=""),"",E154-D154)</f>
        <v/>
      </c>
      <c r="G154" t="str">
        <f>IF(F154="", "", G153+F154)</f>
        <v/>
      </c>
      <c r="H154" t="str">
        <f>IF(F154="","",IF(F154&gt;0,"Win","Loss"))</f>
        <v/>
      </c>
    </row>
    <row r="155" spans="6:8" x14ac:dyDescent="0.2">
      <c r="F155" t="str">
        <f>IF(OR(D155="",E155=""),"",E155-D155)</f>
        <v/>
      </c>
      <c r="G155" t="str">
        <f>IF(F155="", "", G154+F155)</f>
        <v/>
      </c>
      <c r="H155" t="str">
        <f>IF(F155="","",IF(F155&gt;0,"Win","Loss"))</f>
        <v/>
      </c>
    </row>
    <row r="156" spans="6:8" x14ac:dyDescent="0.2">
      <c r="F156" t="str">
        <f>IF(OR(D156="",E156=""),"",E156-D156)</f>
        <v/>
      </c>
      <c r="G156" t="str">
        <f>IF(F156="", "", G155+F156)</f>
        <v/>
      </c>
      <c r="H156" t="str">
        <f>IF(F156="","",IF(F156&gt;0,"Win","Loss"))</f>
        <v/>
      </c>
    </row>
    <row r="157" spans="6:8" x14ac:dyDescent="0.2">
      <c r="F157" t="str">
        <f>IF(OR(D157="",E157=""),"",E157-D157)</f>
        <v/>
      </c>
      <c r="G157" t="str">
        <f>IF(F157="", "", G156+F157)</f>
        <v/>
      </c>
      <c r="H157" t="str">
        <f>IF(F157="","",IF(F157&gt;0,"Win","Loss"))</f>
        <v/>
      </c>
    </row>
    <row r="158" spans="6:8" x14ac:dyDescent="0.2">
      <c r="F158" t="str">
        <f>IF(OR(D158="",E158=""),"",E158-D158)</f>
        <v/>
      </c>
      <c r="G158" t="str">
        <f>IF(F158="", "", G157+F158)</f>
        <v/>
      </c>
      <c r="H158" t="str">
        <f>IF(F158="","",IF(F158&gt;0,"Win","Loss"))</f>
        <v/>
      </c>
    </row>
    <row r="159" spans="6:8" x14ac:dyDescent="0.2">
      <c r="F159" t="str">
        <f>IF(OR(D159="",E159=""),"",E159-D159)</f>
        <v/>
      </c>
      <c r="G159" t="str">
        <f>IF(F159="", "", G158+F159)</f>
        <v/>
      </c>
      <c r="H159" t="str">
        <f>IF(F159="","",IF(F159&gt;0,"Win","Loss"))</f>
        <v/>
      </c>
    </row>
    <row r="160" spans="6:8" x14ac:dyDescent="0.2">
      <c r="F160" t="str">
        <f>IF(OR(D160="",E160=""),"",E160-D160)</f>
        <v/>
      </c>
      <c r="G160" t="str">
        <f>IF(F160="", "", G159+F160)</f>
        <v/>
      </c>
      <c r="H160" t="str">
        <f>IF(F160="","",IF(F160&gt;0,"Win","Loss"))</f>
        <v/>
      </c>
    </row>
    <row r="161" spans="6:8" x14ac:dyDescent="0.2">
      <c r="F161" t="str">
        <f>IF(OR(D161="",E161=""),"",E161-D161)</f>
        <v/>
      </c>
      <c r="G161" t="str">
        <f>IF(F161="", "", G160+F161)</f>
        <v/>
      </c>
      <c r="H161" t="str">
        <f>IF(F161="","",IF(F161&gt;0,"Win","Loss"))</f>
        <v/>
      </c>
    </row>
    <row r="162" spans="6:8" x14ac:dyDescent="0.2">
      <c r="F162" t="str">
        <f>IF(OR(D162="",E162=""),"",E162-D162)</f>
        <v/>
      </c>
      <c r="G162" t="str">
        <f>IF(F162="", "", G161+F162)</f>
        <v/>
      </c>
      <c r="H162" t="str">
        <f>IF(F162="","",IF(F162&gt;0,"Win","Loss"))</f>
        <v/>
      </c>
    </row>
    <row r="163" spans="6:8" x14ac:dyDescent="0.2">
      <c r="F163" t="str">
        <f>IF(OR(D163="",E163=""),"",E163-D163)</f>
        <v/>
      </c>
      <c r="G163" t="str">
        <f>IF(F163="", "", G162+F163)</f>
        <v/>
      </c>
      <c r="H163" t="str">
        <f>IF(F163="","",IF(F163&gt;0,"Win","Loss"))</f>
        <v/>
      </c>
    </row>
    <row r="164" spans="6:8" x14ac:dyDescent="0.2">
      <c r="F164" t="str">
        <f>IF(OR(D164="",E164=""),"",E164-D164)</f>
        <v/>
      </c>
      <c r="G164" t="str">
        <f>IF(F164="", "", G163+F164)</f>
        <v/>
      </c>
      <c r="H164" t="str">
        <f>IF(F164="","",IF(F164&gt;0,"Win","Loss"))</f>
        <v/>
      </c>
    </row>
    <row r="165" spans="6:8" x14ac:dyDescent="0.2">
      <c r="F165" t="str">
        <f>IF(OR(D165="",E165=""),"",E165-D165)</f>
        <v/>
      </c>
      <c r="G165" t="str">
        <f>IF(F165="", "", G164+F165)</f>
        <v/>
      </c>
      <c r="H165" t="str">
        <f>IF(F165="","",IF(F165&gt;0,"Win","Loss"))</f>
        <v/>
      </c>
    </row>
    <row r="166" spans="6:8" x14ac:dyDescent="0.2">
      <c r="F166" t="str">
        <f>IF(OR(D166="",E166=""),"",E166-D166)</f>
        <v/>
      </c>
      <c r="G166" t="str">
        <f>IF(F166="", "", G165+F166)</f>
        <v/>
      </c>
      <c r="H166" t="str">
        <f>IF(F166="","",IF(F166&gt;0,"Win","Loss"))</f>
        <v/>
      </c>
    </row>
    <row r="167" spans="6:8" x14ac:dyDescent="0.2">
      <c r="F167" t="str">
        <f>IF(OR(D167="",E167=""),"",E167-D167)</f>
        <v/>
      </c>
      <c r="G167" t="str">
        <f>IF(F167="", "", G166+F167)</f>
        <v/>
      </c>
      <c r="H167" t="str">
        <f>IF(F167="","",IF(F167&gt;0,"Win","Loss"))</f>
        <v/>
      </c>
    </row>
    <row r="168" spans="6:8" x14ac:dyDescent="0.2">
      <c r="F168" t="str">
        <f>IF(OR(D168="",E168=""),"",E168-D168)</f>
        <v/>
      </c>
      <c r="G168" t="str">
        <f>IF(F168="", "", G167+F168)</f>
        <v/>
      </c>
      <c r="H168" t="str">
        <f>IF(F168="","",IF(F168&gt;0,"Win","Loss"))</f>
        <v/>
      </c>
    </row>
    <row r="169" spans="6:8" x14ac:dyDescent="0.2">
      <c r="F169" t="str">
        <f>IF(OR(D169="",E169=""),"",E169-D169)</f>
        <v/>
      </c>
      <c r="G169" t="str">
        <f>IF(F169="", "", G168+F169)</f>
        <v/>
      </c>
      <c r="H169" t="str">
        <f>IF(F169="","",IF(F169&gt;0,"Win","Loss"))</f>
        <v/>
      </c>
    </row>
    <row r="170" spans="6:8" x14ac:dyDescent="0.2">
      <c r="F170" t="str">
        <f>IF(OR(D170="",E170=""),"",E170-D170)</f>
        <v/>
      </c>
      <c r="G170" t="str">
        <f>IF(F170="", "", G169+F170)</f>
        <v/>
      </c>
      <c r="H170" t="str">
        <f>IF(F170="","",IF(F170&gt;0,"Win","Loss"))</f>
        <v/>
      </c>
    </row>
    <row r="171" spans="6:8" x14ac:dyDescent="0.2">
      <c r="F171" t="str">
        <f>IF(OR(D171="",E171=""),"",E171-D171)</f>
        <v/>
      </c>
      <c r="G171" t="str">
        <f>IF(F171="", "", G170+F171)</f>
        <v/>
      </c>
      <c r="H171" t="str">
        <f>IF(F171="","",IF(F171&gt;0,"Win","Loss"))</f>
        <v/>
      </c>
    </row>
    <row r="172" spans="6:8" x14ac:dyDescent="0.2">
      <c r="F172" t="str">
        <f>IF(OR(D172="",E172=""),"",E172-D172)</f>
        <v/>
      </c>
      <c r="G172" t="str">
        <f>IF(F172="", "", G171+F172)</f>
        <v/>
      </c>
      <c r="H172" t="str">
        <f>IF(F172="","",IF(F172&gt;0,"Win","Loss"))</f>
        <v/>
      </c>
    </row>
    <row r="173" spans="6:8" x14ac:dyDescent="0.2">
      <c r="F173" t="str">
        <f>IF(OR(D173="",E173=""),"",E173-D173)</f>
        <v/>
      </c>
      <c r="G173" t="str">
        <f>IF(F173="", "", G172+F173)</f>
        <v/>
      </c>
      <c r="H173" t="str">
        <f>IF(F173="","",IF(F173&gt;0,"Win","Loss"))</f>
        <v/>
      </c>
    </row>
    <row r="174" spans="6:8" x14ac:dyDescent="0.2">
      <c r="F174" t="str">
        <f>IF(OR(D174="",E174=""),"",E174-D174)</f>
        <v/>
      </c>
      <c r="G174" t="str">
        <f>IF(F174="", "", G173+F174)</f>
        <v/>
      </c>
      <c r="H174" t="str">
        <f>IF(F174="","",IF(F174&gt;0,"Win","Loss"))</f>
        <v/>
      </c>
    </row>
    <row r="175" spans="6:8" x14ac:dyDescent="0.2">
      <c r="F175" t="str">
        <f>IF(OR(D175="",E175=""),"",E175-D175)</f>
        <v/>
      </c>
      <c r="G175" t="str">
        <f>IF(F175="", "", G174+F175)</f>
        <v/>
      </c>
      <c r="H175" t="str">
        <f>IF(F175="","",IF(F175&gt;0,"Win","Loss"))</f>
        <v/>
      </c>
    </row>
    <row r="176" spans="6:8" x14ac:dyDescent="0.2">
      <c r="F176" t="str">
        <f>IF(OR(D176="",E176=""),"",E176-D176)</f>
        <v/>
      </c>
      <c r="G176" t="str">
        <f>IF(F176="", "", G175+F176)</f>
        <v/>
      </c>
      <c r="H176" t="str">
        <f>IF(F176="","",IF(F176&gt;0,"Win","Loss"))</f>
        <v/>
      </c>
    </row>
    <row r="177" spans="6:8" x14ac:dyDescent="0.2">
      <c r="F177" t="str">
        <f>IF(OR(D177="",E177=""),"",E177-D177)</f>
        <v/>
      </c>
      <c r="G177" t="str">
        <f>IF(F177="", "", G176+F177)</f>
        <v/>
      </c>
      <c r="H177" t="str">
        <f>IF(F177="","",IF(F177&gt;0,"Win","Loss"))</f>
        <v/>
      </c>
    </row>
    <row r="178" spans="6:8" x14ac:dyDescent="0.2">
      <c r="F178" t="str">
        <f>IF(OR(D178="",E178=""),"",E178-D178)</f>
        <v/>
      </c>
      <c r="G178" t="str">
        <f>IF(F178="", "", G177+F178)</f>
        <v/>
      </c>
      <c r="H178" t="str">
        <f>IF(F178="","",IF(F178&gt;0,"Win","Loss"))</f>
        <v/>
      </c>
    </row>
    <row r="179" spans="6:8" x14ac:dyDescent="0.2">
      <c r="F179" t="str">
        <f>IF(OR(D179="",E179=""),"",E179-D179)</f>
        <v/>
      </c>
      <c r="G179" t="str">
        <f>IF(F179="", "", G178+F179)</f>
        <v/>
      </c>
      <c r="H179" t="str">
        <f>IF(F179="","",IF(F179&gt;0,"Win","Loss"))</f>
        <v/>
      </c>
    </row>
    <row r="180" spans="6:8" x14ac:dyDescent="0.2">
      <c r="F180" t="str">
        <f>IF(OR(D180="",E180=""),"",E180-D180)</f>
        <v/>
      </c>
      <c r="G180" t="str">
        <f>IF(F180="", "", G179+F180)</f>
        <v/>
      </c>
      <c r="H180" t="str">
        <f>IF(F180="","",IF(F180&gt;0,"Win","Loss"))</f>
        <v/>
      </c>
    </row>
    <row r="181" spans="6:8" x14ac:dyDescent="0.2">
      <c r="F181" t="str">
        <f>IF(OR(D181="",E181=""),"",E181-D181)</f>
        <v/>
      </c>
      <c r="G181" t="str">
        <f>IF(F181="", "", G180+F181)</f>
        <v/>
      </c>
      <c r="H181" t="str">
        <f>IF(F181="","",IF(F181&gt;0,"Win","Loss"))</f>
        <v/>
      </c>
    </row>
    <row r="182" spans="6:8" x14ac:dyDescent="0.2">
      <c r="F182" t="str">
        <f>IF(OR(D182="",E182=""),"",E182-D182)</f>
        <v/>
      </c>
      <c r="G182" t="str">
        <f>IF(F182="", "", G181+F182)</f>
        <v/>
      </c>
      <c r="H182" t="str">
        <f>IF(F182="","",IF(F182&gt;0,"Win","Loss"))</f>
        <v/>
      </c>
    </row>
    <row r="183" spans="6:8" x14ac:dyDescent="0.2">
      <c r="F183" t="str">
        <f>IF(OR(D183="",E183=""),"",E183-D183)</f>
        <v/>
      </c>
      <c r="G183" t="str">
        <f>IF(F183="", "", G182+F183)</f>
        <v/>
      </c>
      <c r="H183" t="str">
        <f>IF(F183="","",IF(F183&gt;0,"Win","Loss"))</f>
        <v/>
      </c>
    </row>
    <row r="184" spans="6:8" x14ac:dyDescent="0.2">
      <c r="F184" t="str">
        <f>IF(OR(D184="",E184=""),"",E184-D184)</f>
        <v/>
      </c>
      <c r="G184" t="str">
        <f>IF(F184="", "", G183+F184)</f>
        <v/>
      </c>
      <c r="H184" t="str">
        <f>IF(F184="","",IF(F184&gt;0,"Win","Loss"))</f>
        <v/>
      </c>
    </row>
    <row r="185" spans="6:8" x14ac:dyDescent="0.2">
      <c r="F185" t="str">
        <f>IF(OR(D185="",E185=""),"",E185-D185)</f>
        <v/>
      </c>
      <c r="G185" t="str">
        <f>IF(F185="", "", G184+F185)</f>
        <v/>
      </c>
      <c r="H185" t="str">
        <f>IF(F185="","",IF(F185&gt;0,"Win","Loss"))</f>
        <v/>
      </c>
    </row>
    <row r="186" spans="6:8" x14ac:dyDescent="0.2">
      <c r="F186" t="str">
        <f>IF(OR(D186="",E186=""),"",E186-D186)</f>
        <v/>
      </c>
      <c r="G186" t="str">
        <f>IF(F186="", "", G185+F186)</f>
        <v/>
      </c>
      <c r="H186" t="str">
        <f>IF(F186="","",IF(F186&gt;0,"Win","Loss"))</f>
        <v/>
      </c>
    </row>
    <row r="187" spans="6:8" x14ac:dyDescent="0.2">
      <c r="F187" t="str">
        <f>IF(OR(D187="",E187=""),"",E187-D187)</f>
        <v/>
      </c>
      <c r="G187" t="str">
        <f>IF(F187="", "", G186+F187)</f>
        <v/>
      </c>
      <c r="H187" t="str">
        <f>IF(F187="","",IF(F187&gt;0,"Win","Loss"))</f>
        <v/>
      </c>
    </row>
    <row r="188" spans="6:8" x14ac:dyDescent="0.2">
      <c r="F188" t="str">
        <f>IF(OR(D188="",E188=""),"",E188-D188)</f>
        <v/>
      </c>
      <c r="G188" t="str">
        <f>IF(F188="", "", G187+F188)</f>
        <v/>
      </c>
      <c r="H188" t="str">
        <f>IF(F188="","",IF(F188&gt;0,"Win","Loss"))</f>
        <v/>
      </c>
    </row>
    <row r="189" spans="6:8" x14ac:dyDescent="0.2">
      <c r="F189" t="str">
        <f>IF(OR(D189="",E189=""),"",E189-D189)</f>
        <v/>
      </c>
      <c r="G189" t="str">
        <f>IF(F189="", "", G188+F189)</f>
        <v/>
      </c>
      <c r="H189" t="str">
        <f>IF(F189="","",IF(F189&gt;0,"Win","Loss"))</f>
        <v/>
      </c>
    </row>
    <row r="190" spans="6:8" x14ac:dyDescent="0.2">
      <c r="F190" t="str">
        <f>IF(OR(D190="",E190=""),"",E190-D190)</f>
        <v/>
      </c>
      <c r="G190" t="str">
        <f>IF(F190="", "", G189+F190)</f>
        <v/>
      </c>
      <c r="H190" t="str">
        <f>IF(F190="","",IF(F190&gt;0,"Win","Loss"))</f>
        <v/>
      </c>
    </row>
    <row r="191" spans="6:8" x14ac:dyDescent="0.2">
      <c r="F191" t="str">
        <f>IF(OR(D191="",E191=""),"",E191-D191)</f>
        <v/>
      </c>
      <c r="G191" t="str">
        <f>IF(F191="", "", G190+F191)</f>
        <v/>
      </c>
      <c r="H191" t="str">
        <f>IF(F191="","",IF(F191&gt;0,"Win","Loss"))</f>
        <v/>
      </c>
    </row>
    <row r="192" spans="6:8" x14ac:dyDescent="0.2">
      <c r="F192" t="str">
        <f>IF(OR(D192="",E192=""),"",E192-D192)</f>
        <v/>
      </c>
      <c r="G192" t="str">
        <f>IF(F192="", "", G191+F192)</f>
        <v/>
      </c>
      <c r="H192" t="str">
        <f>IF(F192="","",IF(F192&gt;0,"Win","Loss"))</f>
        <v/>
      </c>
    </row>
    <row r="193" spans="6:8" x14ac:dyDescent="0.2">
      <c r="F193" t="str">
        <f>IF(OR(D193="",E193=""),"",E193-D193)</f>
        <v/>
      </c>
      <c r="G193" t="str">
        <f>IF(F193="", "", G192+F193)</f>
        <v/>
      </c>
      <c r="H193" t="str">
        <f>IF(F193="","",IF(F193&gt;0,"Win","Loss"))</f>
        <v/>
      </c>
    </row>
    <row r="194" spans="6:8" x14ac:dyDescent="0.2">
      <c r="F194" t="str">
        <f>IF(OR(D194="",E194=""),"",E194-D194)</f>
        <v/>
      </c>
      <c r="G194" t="str">
        <f>IF(F194="", "", G193+F194)</f>
        <v/>
      </c>
      <c r="H194" t="str">
        <f>IF(F194="","",IF(F194&gt;0,"Win","Loss"))</f>
        <v/>
      </c>
    </row>
    <row r="195" spans="6:8" x14ac:dyDescent="0.2">
      <c r="F195" t="str">
        <f>IF(OR(D195="",E195=""),"",E195-D195)</f>
        <v/>
      </c>
      <c r="G195" t="str">
        <f>IF(F195="", "", G194+F195)</f>
        <v/>
      </c>
      <c r="H195" t="str">
        <f>IF(F195="","",IF(F195&gt;0,"Win","Loss"))</f>
        <v/>
      </c>
    </row>
    <row r="196" spans="6:8" x14ac:dyDescent="0.2">
      <c r="F196" t="str">
        <f>IF(OR(D196="",E196=""),"",E196-D196)</f>
        <v/>
      </c>
      <c r="G196" t="str">
        <f>IF(F196="", "", G195+F196)</f>
        <v/>
      </c>
      <c r="H196" t="str">
        <f>IF(F196="","",IF(F196&gt;0,"Win","Loss"))</f>
        <v/>
      </c>
    </row>
    <row r="197" spans="6:8" x14ac:dyDescent="0.2">
      <c r="F197" t="str">
        <f>IF(OR(D197="",E197=""),"",E197-D197)</f>
        <v/>
      </c>
      <c r="G197" t="str">
        <f>IF(F197="", "", G196+F197)</f>
        <v/>
      </c>
      <c r="H197" t="str">
        <f>IF(F197="","",IF(F197&gt;0,"Win","Loss"))</f>
        <v/>
      </c>
    </row>
    <row r="198" spans="6:8" x14ac:dyDescent="0.2">
      <c r="F198" t="str">
        <f>IF(OR(D198="",E198=""),"",E198-D198)</f>
        <v/>
      </c>
      <c r="G198" t="str">
        <f>IF(F198="", "", G197+F198)</f>
        <v/>
      </c>
      <c r="H198" t="str">
        <f>IF(F198="","",IF(F198&gt;0,"Win","Loss"))</f>
        <v/>
      </c>
    </row>
    <row r="199" spans="6:8" x14ac:dyDescent="0.2">
      <c r="F199" t="str">
        <f>IF(OR(D199="",E199=""),"",E199-D199)</f>
        <v/>
      </c>
      <c r="G199" t="str">
        <f>IF(F199="", "", G198+F199)</f>
        <v/>
      </c>
      <c r="H199" t="str">
        <f>IF(F199="","",IF(F199&gt;0,"Win","Loss"))</f>
        <v/>
      </c>
    </row>
    <row r="200" spans="6:8" x14ac:dyDescent="0.2">
      <c r="F200" t="str">
        <f>IF(OR(D200="",E200=""),"",E200-D200)</f>
        <v/>
      </c>
      <c r="G200" t="str">
        <f>IF(F200="", "", G199+F200)</f>
        <v/>
      </c>
      <c r="H200" t="str">
        <f>IF(F200="","",IF(F200&gt;0,"Win","Loss"))</f>
        <v/>
      </c>
    </row>
    <row r="201" spans="6:8" x14ac:dyDescent="0.2">
      <c r="F201" t="str">
        <f>IF(OR(D201="",E201=""),"",E201-D201)</f>
        <v/>
      </c>
      <c r="G201" t="str">
        <f>IF(F201="", "", G200+F201)</f>
        <v/>
      </c>
      <c r="H201" t="str">
        <f>IF(F201="","",IF(F201&gt;0,"Win","Loss"))</f>
        <v/>
      </c>
    </row>
    <row r="202" spans="6:8" x14ac:dyDescent="0.2">
      <c r="F202" t="str">
        <f>IF(OR(D202="",E202=""),"",E202-D202)</f>
        <v/>
      </c>
      <c r="G202" t="str">
        <f>IF(F202="", "", G201+F202)</f>
        <v/>
      </c>
      <c r="H202" t="str">
        <f>IF(F202="","",IF(F202&gt;0,"Win","Loss"))</f>
        <v/>
      </c>
    </row>
    <row r="203" spans="6:8" x14ac:dyDescent="0.2">
      <c r="F203" t="str">
        <f>IF(OR(D203="",E203=""),"",E203-D203)</f>
        <v/>
      </c>
      <c r="G203" t="str">
        <f>IF(F203="", "", G202+F203)</f>
        <v/>
      </c>
      <c r="H203" t="str">
        <f>IF(F203="","",IF(F203&gt;0,"Win","Loss"))</f>
        <v/>
      </c>
    </row>
    <row r="204" spans="6:8" x14ac:dyDescent="0.2">
      <c r="F204" t="str">
        <f>IF(OR(D204="",E204=""),"",E204-D204)</f>
        <v/>
      </c>
      <c r="G204" t="str">
        <f>IF(F204="", "", G203+F204)</f>
        <v/>
      </c>
      <c r="H204" t="str">
        <f>IF(F204="","",IF(F204&gt;0,"Win","Loss"))</f>
        <v/>
      </c>
    </row>
    <row r="205" spans="6:8" x14ac:dyDescent="0.2">
      <c r="F205" t="str">
        <f>IF(OR(D205="",E205=""),"",E205-D205)</f>
        <v/>
      </c>
      <c r="G205" t="str">
        <f>IF(F205="", "", G204+F205)</f>
        <v/>
      </c>
      <c r="H205" t="str">
        <f>IF(F205="","",IF(F205&gt;0,"Win","Loss"))</f>
        <v/>
      </c>
    </row>
    <row r="206" spans="6:8" x14ac:dyDescent="0.2">
      <c r="F206" t="str">
        <f>IF(OR(D206="",E206=""),"",E206-D206)</f>
        <v/>
      </c>
      <c r="G206" t="str">
        <f>IF(F206="", "", G205+F206)</f>
        <v/>
      </c>
      <c r="H206" t="str">
        <f>IF(F206="","",IF(F206&gt;0,"Win","Loss"))</f>
        <v/>
      </c>
    </row>
    <row r="207" spans="6:8" x14ac:dyDescent="0.2">
      <c r="F207" t="str">
        <f>IF(OR(D207="",E207=""),"",E207-D207)</f>
        <v/>
      </c>
      <c r="G207" t="str">
        <f>IF(F207="", "", G206+F207)</f>
        <v/>
      </c>
      <c r="H207" t="str">
        <f>IF(F207="","",IF(F207&gt;0,"Win","Loss"))</f>
        <v/>
      </c>
    </row>
    <row r="208" spans="6:8" x14ac:dyDescent="0.2">
      <c r="F208" t="str">
        <f>IF(OR(D208="",E208=""),"",E208-D208)</f>
        <v/>
      </c>
      <c r="G208" t="str">
        <f>IF(F208="", "", G207+F208)</f>
        <v/>
      </c>
      <c r="H208" t="str">
        <f>IF(F208="","",IF(F208&gt;0,"Win","Loss"))</f>
        <v/>
      </c>
    </row>
    <row r="209" spans="6:8" x14ac:dyDescent="0.2">
      <c r="F209" t="str">
        <f>IF(OR(D209="",E209=""),"",E209-D209)</f>
        <v/>
      </c>
      <c r="G209" t="str">
        <f>IF(F209="", "", G208+F209)</f>
        <v/>
      </c>
      <c r="H209" t="str">
        <f>IF(F209="","",IF(F209&gt;0,"Win","Loss"))</f>
        <v/>
      </c>
    </row>
    <row r="210" spans="6:8" x14ac:dyDescent="0.2">
      <c r="F210" t="str">
        <f>IF(OR(D210="",E210=""),"",E210-D210)</f>
        <v/>
      </c>
      <c r="G210" t="str">
        <f>IF(F210="", "", G209+F210)</f>
        <v/>
      </c>
      <c r="H210" t="str">
        <f>IF(F210="","",IF(F210&gt;0,"Win","Loss"))</f>
        <v/>
      </c>
    </row>
    <row r="211" spans="6:8" x14ac:dyDescent="0.2">
      <c r="F211" t="str">
        <f>IF(OR(D211="",E211=""),"",E211-D211)</f>
        <v/>
      </c>
      <c r="G211" t="str">
        <f>IF(F211="", "", G210+F211)</f>
        <v/>
      </c>
      <c r="H211" t="str">
        <f>IF(F211="","",IF(F211&gt;0,"Win","Loss"))</f>
        <v/>
      </c>
    </row>
    <row r="212" spans="6:8" x14ac:dyDescent="0.2">
      <c r="F212" t="str">
        <f>IF(OR(D212="",E212=""),"",E212-D212)</f>
        <v/>
      </c>
      <c r="G212" t="str">
        <f>IF(F212="", "", G211+F212)</f>
        <v/>
      </c>
      <c r="H212" t="str">
        <f>IF(F212="","",IF(F212&gt;0,"Win","Loss"))</f>
        <v/>
      </c>
    </row>
    <row r="213" spans="6:8" x14ac:dyDescent="0.2">
      <c r="F213" t="str">
        <f>IF(OR(D213="",E213=""),"",E213-D213)</f>
        <v/>
      </c>
      <c r="G213" t="str">
        <f>IF(F213="", "", G212+F213)</f>
        <v/>
      </c>
      <c r="H213" t="str">
        <f>IF(F213="","",IF(F213&gt;0,"Win","Loss"))</f>
        <v/>
      </c>
    </row>
    <row r="214" spans="6:8" x14ac:dyDescent="0.2">
      <c r="F214" t="str">
        <f>IF(OR(D214="",E214=""),"",E214-D214)</f>
        <v/>
      </c>
      <c r="G214" t="str">
        <f>IF(F214="", "", G213+F214)</f>
        <v/>
      </c>
      <c r="H214" t="str">
        <f>IF(F214="","",IF(F214&gt;0,"Win","Loss"))</f>
        <v/>
      </c>
    </row>
    <row r="215" spans="6:8" x14ac:dyDescent="0.2">
      <c r="F215" t="str">
        <f>IF(OR(D215="",E215=""),"",E215-D215)</f>
        <v/>
      </c>
      <c r="G215" t="str">
        <f>IF(F215="", "", G214+F215)</f>
        <v/>
      </c>
      <c r="H215" t="str">
        <f>IF(F215="","",IF(F215&gt;0,"Win","Loss"))</f>
        <v/>
      </c>
    </row>
    <row r="216" spans="6:8" x14ac:dyDescent="0.2">
      <c r="F216" t="str">
        <f>IF(OR(D216="",E216=""),"",E216-D216)</f>
        <v/>
      </c>
      <c r="G216" t="str">
        <f>IF(F216="", "", G215+F216)</f>
        <v/>
      </c>
      <c r="H216" t="str">
        <f>IF(F216="","",IF(F216&gt;0,"Win","Loss"))</f>
        <v/>
      </c>
    </row>
    <row r="217" spans="6:8" x14ac:dyDescent="0.2">
      <c r="F217" t="str">
        <f>IF(OR(D217="",E217=""),"",E217-D217)</f>
        <v/>
      </c>
      <c r="G217" t="str">
        <f>IF(F217="", "", G216+F217)</f>
        <v/>
      </c>
      <c r="H217" t="str">
        <f>IF(F217="","",IF(F217&gt;0,"Win","Loss"))</f>
        <v/>
      </c>
    </row>
    <row r="218" spans="6:8" x14ac:dyDescent="0.2">
      <c r="F218" t="str">
        <f>IF(OR(D218="",E218=""),"",E218-D218)</f>
        <v/>
      </c>
      <c r="G218" t="str">
        <f>IF(F218="", "", G217+F218)</f>
        <v/>
      </c>
      <c r="H218" t="str">
        <f>IF(F218="","",IF(F218&gt;0,"Win","Loss"))</f>
        <v/>
      </c>
    </row>
    <row r="219" spans="6:8" x14ac:dyDescent="0.2">
      <c r="F219" t="str">
        <f>IF(OR(D219="",E219=""),"",E219-D219)</f>
        <v/>
      </c>
      <c r="G219" t="str">
        <f>IF(F219="", "", G218+F219)</f>
        <v/>
      </c>
      <c r="H219" t="str">
        <f>IF(F219="","",IF(F219&gt;0,"Win","Loss"))</f>
        <v/>
      </c>
    </row>
    <row r="220" spans="6:8" x14ac:dyDescent="0.2">
      <c r="F220" t="str">
        <f>IF(OR(D220="",E220=""),"",E220-D220)</f>
        <v/>
      </c>
      <c r="G220" t="str">
        <f>IF(F220="", "", G219+F220)</f>
        <v/>
      </c>
      <c r="H220" t="str">
        <f>IF(F220="","",IF(F220&gt;0,"Win","Loss"))</f>
        <v/>
      </c>
    </row>
    <row r="221" spans="6:8" x14ac:dyDescent="0.2">
      <c r="F221" t="str">
        <f>IF(OR(D221="",E221=""),"",E221-D221)</f>
        <v/>
      </c>
      <c r="G221" t="str">
        <f>IF(F221="", "", G220+F221)</f>
        <v/>
      </c>
      <c r="H221" t="str">
        <f>IF(F221="","",IF(F221&gt;0,"Win","Loss"))</f>
        <v/>
      </c>
    </row>
    <row r="222" spans="6:8" x14ac:dyDescent="0.2">
      <c r="F222" t="str">
        <f>IF(OR(D222="",E222=""),"",E222-D222)</f>
        <v/>
      </c>
      <c r="G222" t="str">
        <f>IF(F222="", "", G221+F222)</f>
        <v/>
      </c>
      <c r="H222" t="str">
        <f>IF(F222="","",IF(F222&gt;0,"Win","Loss"))</f>
        <v/>
      </c>
    </row>
    <row r="223" spans="6:8" x14ac:dyDescent="0.2">
      <c r="F223" t="str">
        <f>IF(OR(D223="",E223=""),"",E223-D223)</f>
        <v/>
      </c>
      <c r="G223" t="str">
        <f>IF(F223="", "", G222+F223)</f>
        <v/>
      </c>
      <c r="H223" t="str">
        <f>IF(F223="","",IF(F223&gt;0,"Win","Loss"))</f>
        <v/>
      </c>
    </row>
    <row r="224" spans="6:8" x14ac:dyDescent="0.2">
      <c r="F224" t="str">
        <f>IF(OR(D224="",E224=""),"",E224-D224)</f>
        <v/>
      </c>
      <c r="G224" t="str">
        <f>IF(F224="", "", G223+F224)</f>
        <v/>
      </c>
      <c r="H224" t="str">
        <f>IF(F224="","",IF(F224&gt;0,"Win","Loss"))</f>
        <v/>
      </c>
    </row>
    <row r="225" spans="6:8" x14ac:dyDescent="0.2">
      <c r="F225" t="str">
        <f>IF(OR(D225="",E225=""),"",E225-D225)</f>
        <v/>
      </c>
      <c r="G225" t="str">
        <f>IF(F225="", "", G224+F225)</f>
        <v/>
      </c>
      <c r="H225" t="str">
        <f>IF(F225="","",IF(F225&gt;0,"Win","Loss"))</f>
        <v/>
      </c>
    </row>
    <row r="226" spans="6:8" x14ac:dyDescent="0.2">
      <c r="F226" t="str">
        <f>IF(OR(D226="",E226=""),"",E226-D226)</f>
        <v/>
      </c>
      <c r="G226" t="str">
        <f>IF(F226="", "", G225+F226)</f>
        <v/>
      </c>
      <c r="H226" t="str">
        <f>IF(F226="","",IF(F226&gt;0,"Win","Loss"))</f>
        <v/>
      </c>
    </row>
    <row r="227" spans="6:8" x14ac:dyDescent="0.2">
      <c r="F227" t="str">
        <f>IF(OR(D227="",E227=""),"",E227-D227)</f>
        <v/>
      </c>
      <c r="G227" t="str">
        <f>IF(F227="", "", G226+F227)</f>
        <v/>
      </c>
      <c r="H227" t="str">
        <f>IF(F227="","",IF(F227&gt;0,"Win","Loss"))</f>
        <v/>
      </c>
    </row>
    <row r="228" spans="6:8" x14ac:dyDescent="0.2">
      <c r="F228" t="str">
        <f>IF(OR(D228="",E228=""),"",E228-D228)</f>
        <v/>
      </c>
      <c r="G228" t="str">
        <f>IF(F228="", "", G227+F228)</f>
        <v/>
      </c>
      <c r="H228" t="str">
        <f>IF(F228="","",IF(F228&gt;0,"Win","Loss"))</f>
        <v/>
      </c>
    </row>
    <row r="229" spans="6:8" x14ac:dyDescent="0.2">
      <c r="F229" t="str">
        <f>IF(OR(D229="",E229=""),"",E229-D229)</f>
        <v/>
      </c>
      <c r="G229" t="str">
        <f>IF(F229="", "", G228+F229)</f>
        <v/>
      </c>
      <c r="H229" t="str">
        <f>IF(F229="","",IF(F229&gt;0,"Win","Loss"))</f>
        <v/>
      </c>
    </row>
    <row r="230" spans="6:8" x14ac:dyDescent="0.2">
      <c r="F230" t="str">
        <f>IF(OR(D230="",E230=""),"",E230-D230)</f>
        <v/>
      </c>
      <c r="G230" t="str">
        <f>IF(F230="", "", G229+F230)</f>
        <v/>
      </c>
      <c r="H230" t="str">
        <f>IF(F230="","",IF(F230&gt;0,"Win","Loss"))</f>
        <v/>
      </c>
    </row>
    <row r="231" spans="6:8" x14ac:dyDescent="0.2">
      <c r="F231" t="str">
        <f>IF(OR(D231="",E231=""),"",E231-D231)</f>
        <v/>
      </c>
      <c r="G231" t="str">
        <f>IF(F231="", "", G230+F231)</f>
        <v/>
      </c>
      <c r="H231" t="str">
        <f>IF(F231="","",IF(F231&gt;0,"Win","Loss"))</f>
        <v/>
      </c>
    </row>
    <row r="232" spans="6:8" x14ac:dyDescent="0.2">
      <c r="F232" t="str">
        <f>IF(OR(D232="",E232=""),"",E232-D232)</f>
        <v/>
      </c>
      <c r="G232" t="str">
        <f>IF(F232="", "", G231+F232)</f>
        <v/>
      </c>
      <c r="H232" t="str">
        <f>IF(F232="","",IF(F232&gt;0,"Win","Loss"))</f>
        <v/>
      </c>
    </row>
    <row r="233" spans="6:8" x14ac:dyDescent="0.2">
      <c r="F233" t="str">
        <f>IF(OR(D233="",E233=""),"",E233-D233)</f>
        <v/>
      </c>
      <c r="G233" t="str">
        <f>IF(F233="", "", G232+F233)</f>
        <v/>
      </c>
      <c r="H233" t="str">
        <f>IF(F233="","",IF(F233&gt;0,"Win","Loss"))</f>
        <v/>
      </c>
    </row>
    <row r="234" spans="6:8" x14ac:dyDescent="0.2">
      <c r="F234" t="str">
        <f>IF(OR(D234="",E234=""),"",E234-D234)</f>
        <v/>
      </c>
      <c r="G234" t="str">
        <f>IF(F234="", "", G233+F234)</f>
        <v/>
      </c>
      <c r="H234" t="str">
        <f>IF(F234="","",IF(F234&gt;0,"Win","Loss"))</f>
        <v/>
      </c>
    </row>
    <row r="235" spans="6:8" x14ac:dyDescent="0.2">
      <c r="F235" t="str">
        <f>IF(OR(D235="",E235=""),"",E235-D235)</f>
        <v/>
      </c>
      <c r="G235" t="str">
        <f>IF(F235="", "", G234+F235)</f>
        <v/>
      </c>
      <c r="H235" t="str">
        <f>IF(F235="","",IF(F235&gt;0,"Win","Loss"))</f>
        <v/>
      </c>
    </row>
    <row r="236" spans="6:8" x14ac:dyDescent="0.2">
      <c r="F236" t="str">
        <f>IF(OR(D236="",E236=""),"",E236-D236)</f>
        <v/>
      </c>
      <c r="G236" t="str">
        <f>IF(F236="", "", G235+F236)</f>
        <v/>
      </c>
      <c r="H236" t="str">
        <f>IF(F236="","",IF(F236&gt;0,"Win","Loss"))</f>
        <v/>
      </c>
    </row>
    <row r="237" spans="6:8" x14ac:dyDescent="0.2">
      <c r="F237" t="str">
        <f>IF(OR(D237="",E237=""),"",E237-D237)</f>
        <v/>
      </c>
      <c r="G237" t="str">
        <f>IF(F237="", "", G236+F237)</f>
        <v/>
      </c>
      <c r="H237" t="str">
        <f>IF(F237="","",IF(F237&gt;0,"Win","Loss"))</f>
        <v/>
      </c>
    </row>
    <row r="238" spans="6:8" x14ac:dyDescent="0.2">
      <c r="F238" t="str">
        <f>IF(OR(D238="",E238=""),"",E238-D238)</f>
        <v/>
      </c>
      <c r="G238" t="str">
        <f>IF(F238="", "", G237+F238)</f>
        <v/>
      </c>
      <c r="H238" t="str">
        <f>IF(F238="","",IF(F238&gt;0,"Win","Loss"))</f>
        <v/>
      </c>
    </row>
    <row r="239" spans="6:8" x14ac:dyDescent="0.2">
      <c r="F239" t="str">
        <f>IF(OR(D239="",E239=""),"",E239-D239)</f>
        <v/>
      </c>
      <c r="G239" t="str">
        <f>IF(F239="", "", G238+F239)</f>
        <v/>
      </c>
      <c r="H239" t="str">
        <f>IF(F239="","",IF(F239&gt;0,"Win","Loss"))</f>
        <v/>
      </c>
    </row>
    <row r="240" spans="6:8" x14ac:dyDescent="0.2">
      <c r="F240" t="str">
        <f>IF(OR(D240="",E240=""),"",E240-D240)</f>
        <v/>
      </c>
      <c r="G240" t="str">
        <f>IF(F240="", "", G239+F240)</f>
        <v/>
      </c>
      <c r="H240" t="str">
        <f>IF(F240="","",IF(F240&gt;0,"Win","Loss"))</f>
        <v/>
      </c>
    </row>
    <row r="241" spans="6:8" x14ac:dyDescent="0.2">
      <c r="F241" t="str">
        <f>IF(OR(D241="",E241=""),"",E241-D241)</f>
        <v/>
      </c>
      <c r="G241" t="str">
        <f>IF(F241="", "", G240+F241)</f>
        <v/>
      </c>
      <c r="H241" t="str">
        <f>IF(F241="","",IF(F241&gt;0,"Win","Loss"))</f>
        <v/>
      </c>
    </row>
    <row r="242" spans="6:8" x14ac:dyDescent="0.2">
      <c r="F242" t="str">
        <f>IF(OR(D242="",E242=""),"",E242-D242)</f>
        <v/>
      </c>
      <c r="G242" t="str">
        <f>IF(F242="", "", G241+F242)</f>
        <v/>
      </c>
      <c r="H242" t="str">
        <f>IF(F242="","",IF(F242&gt;0,"Win","Loss"))</f>
        <v/>
      </c>
    </row>
    <row r="243" spans="6:8" x14ac:dyDescent="0.2">
      <c r="F243" t="str">
        <f>IF(OR(D243="",E243=""),"",E243-D243)</f>
        <v/>
      </c>
      <c r="G243" t="str">
        <f>IF(F243="", "", G242+F243)</f>
        <v/>
      </c>
      <c r="H243" t="str">
        <f>IF(F243="","",IF(F243&gt;0,"Win","Loss"))</f>
        <v/>
      </c>
    </row>
    <row r="244" spans="6:8" x14ac:dyDescent="0.2">
      <c r="F244" t="str">
        <f>IF(OR(D244="",E244=""),"",E244-D244)</f>
        <v/>
      </c>
      <c r="G244" t="str">
        <f>IF(F244="", "", G243+F244)</f>
        <v/>
      </c>
      <c r="H244" t="str">
        <f>IF(F244="","",IF(F244&gt;0,"Win","Loss"))</f>
        <v/>
      </c>
    </row>
    <row r="245" spans="6:8" x14ac:dyDescent="0.2">
      <c r="F245" t="str">
        <f>IF(OR(D245="",E245=""),"",E245-D245)</f>
        <v/>
      </c>
      <c r="G245" t="str">
        <f>IF(F245="", "", G244+F245)</f>
        <v/>
      </c>
      <c r="H245" t="str">
        <f>IF(F245="","",IF(F245&gt;0,"Win","Loss"))</f>
        <v/>
      </c>
    </row>
    <row r="246" spans="6:8" x14ac:dyDescent="0.2">
      <c r="F246" t="str">
        <f>IF(OR(D246="",E246=""),"",E246-D246)</f>
        <v/>
      </c>
      <c r="G246" t="str">
        <f>IF(F246="", "", G245+F246)</f>
        <v/>
      </c>
      <c r="H246" t="str">
        <f>IF(F246="","",IF(F246&gt;0,"Win","Loss"))</f>
        <v/>
      </c>
    </row>
    <row r="247" spans="6:8" x14ac:dyDescent="0.2">
      <c r="F247" t="str">
        <f>IF(OR(D247="",E247=""),"",E247-D247)</f>
        <v/>
      </c>
      <c r="G247" t="str">
        <f>IF(F247="", "", G246+F247)</f>
        <v/>
      </c>
      <c r="H247" t="str">
        <f>IF(F247="","",IF(F247&gt;0,"Win","Loss"))</f>
        <v/>
      </c>
    </row>
    <row r="248" spans="6:8" x14ac:dyDescent="0.2">
      <c r="F248" t="str">
        <f>IF(OR(D248="",E248=""),"",E248-D248)</f>
        <v/>
      </c>
      <c r="G248" t="str">
        <f>IF(F248="", "", G247+F248)</f>
        <v/>
      </c>
      <c r="H248" t="str">
        <f>IF(F248="","",IF(F248&gt;0,"Win","Loss"))</f>
        <v/>
      </c>
    </row>
    <row r="249" spans="6:8" x14ac:dyDescent="0.2">
      <c r="F249" t="str">
        <f>IF(OR(D249="",E249=""),"",E249-D249)</f>
        <v/>
      </c>
      <c r="G249" t="str">
        <f>IF(F249="", "", G248+F249)</f>
        <v/>
      </c>
      <c r="H249" t="str">
        <f>IF(F249="","",IF(F249&gt;0,"Win","Loss"))</f>
        <v/>
      </c>
    </row>
    <row r="250" spans="6:8" x14ac:dyDescent="0.2">
      <c r="F250" t="str">
        <f>IF(OR(D250="",E250=""),"",E250-D250)</f>
        <v/>
      </c>
      <c r="G250" t="str">
        <f>IF(F250="", "", G249+F250)</f>
        <v/>
      </c>
      <c r="H250" t="str">
        <f>IF(F250="","",IF(F250&gt;0,"Win","Loss"))</f>
        <v/>
      </c>
    </row>
    <row r="251" spans="6:8" x14ac:dyDescent="0.2">
      <c r="F251" t="str">
        <f>IF(OR(D251="",E251=""),"",E251-D251)</f>
        <v/>
      </c>
      <c r="G251" t="str">
        <f>IF(F251="", "", G250+F251)</f>
        <v/>
      </c>
      <c r="H251" t="str">
        <f>IF(F251="","",IF(F251&gt;0,"Win","Loss"))</f>
        <v/>
      </c>
    </row>
    <row r="252" spans="6:8" x14ac:dyDescent="0.2">
      <c r="F252" t="str">
        <f>IF(OR(D252="",E252=""),"",E252-D252)</f>
        <v/>
      </c>
      <c r="G252" t="str">
        <f>IF(F252="", "", G251+F252)</f>
        <v/>
      </c>
      <c r="H252" t="str">
        <f>IF(F252="","",IF(F252&gt;0,"Win","Loss"))</f>
        <v/>
      </c>
    </row>
    <row r="253" spans="6:8" x14ac:dyDescent="0.2">
      <c r="F253" t="str">
        <f>IF(OR(D253="",E253=""),"",E253-D253)</f>
        <v/>
      </c>
      <c r="G253" t="str">
        <f>IF(F253="", "", G252+F253)</f>
        <v/>
      </c>
      <c r="H253" t="str">
        <f>IF(F253="","",IF(F253&gt;0,"Win","Loss"))</f>
        <v/>
      </c>
    </row>
    <row r="254" spans="6:8" x14ac:dyDescent="0.2">
      <c r="F254" t="str">
        <f>IF(OR(D254="",E254=""),"",E254-D254)</f>
        <v/>
      </c>
      <c r="G254" t="str">
        <f>IF(F254="", "", G253+F254)</f>
        <v/>
      </c>
      <c r="H254" t="str">
        <f>IF(F254="","",IF(F254&gt;0,"Win","Loss"))</f>
        <v/>
      </c>
    </row>
    <row r="255" spans="6:8" x14ac:dyDescent="0.2">
      <c r="F255" t="str">
        <f>IF(OR(D255="",E255=""),"",E255-D255)</f>
        <v/>
      </c>
      <c r="G255" t="str">
        <f>IF(F255="", "", G254+F255)</f>
        <v/>
      </c>
      <c r="H255" t="str">
        <f>IF(F255="","",IF(F255&gt;0,"Win","Loss"))</f>
        <v/>
      </c>
    </row>
    <row r="256" spans="6:8" x14ac:dyDescent="0.2">
      <c r="F256" t="str">
        <f>IF(OR(D256="",E256=""),"",E256-D256)</f>
        <v/>
      </c>
      <c r="G256" t="str">
        <f>IF(F256="", "", G255+F256)</f>
        <v/>
      </c>
      <c r="H256" t="str">
        <f>IF(F256="","",IF(F256&gt;0,"Win","Loss"))</f>
        <v/>
      </c>
    </row>
    <row r="257" spans="6:8" x14ac:dyDescent="0.2">
      <c r="F257" t="str">
        <f>IF(OR(D257="",E257=""),"",E257-D257)</f>
        <v/>
      </c>
      <c r="G257" t="str">
        <f>IF(F257="", "", G256+F257)</f>
        <v/>
      </c>
      <c r="H257" t="str">
        <f>IF(F257="","",IF(F257&gt;0,"Win","Loss"))</f>
        <v/>
      </c>
    </row>
    <row r="258" spans="6:8" x14ac:dyDescent="0.2">
      <c r="F258" t="str">
        <f>IF(OR(D258="",E258=""),"",E258-D258)</f>
        <v/>
      </c>
      <c r="G258" t="str">
        <f>IF(F258="", "", G257+F258)</f>
        <v/>
      </c>
      <c r="H258" t="str">
        <f>IF(F258="","",IF(F258&gt;0,"Win","Loss"))</f>
        <v/>
      </c>
    </row>
    <row r="259" spans="6:8" x14ac:dyDescent="0.2">
      <c r="F259" t="str">
        <f>IF(OR(D259="",E259=""),"",E259-D259)</f>
        <v/>
      </c>
      <c r="G259" t="str">
        <f>IF(F259="", "", G258+F259)</f>
        <v/>
      </c>
      <c r="H259" t="str">
        <f>IF(F259="","",IF(F259&gt;0,"Win","Loss"))</f>
        <v/>
      </c>
    </row>
    <row r="260" spans="6:8" x14ac:dyDescent="0.2">
      <c r="F260" t="str">
        <f>IF(OR(D260="",E260=""),"",E260-D260)</f>
        <v/>
      </c>
      <c r="G260" t="str">
        <f>IF(F260="", "", G259+F260)</f>
        <v/>
      </c>
      <c r="H260" t="str">
        <f>IF(F260="","",IF(F260&gt;0,"Win","Loss"))</f>
        <v/>
      </c>
    </row>
    <row r="261" spans="6:8" x14ac:dyDescent="0.2">
      <c r="F261" t="str">
        <f>IF(OR(D261="",E261=""),"",E261-D261)</f>
        <v/>
      </c>
      <c r="G261" t="str">
        <f>IF(F261="", "", G260+F261)</f>
        <v/>
      </c>
      <c r="H261" t="str">
        <f>IF(F261="","",IF(F261&gt;0,"Win","Loss"))</f>
        <v/>
      </c>
    </row>
    <row r="262" spans="6:8" x14ac:dyDescent="0.2">
      <c r="F262" t="str">
        <f>IF(OR(D262="",E262=""),"",E262-D262)</f>
        <v/>
      </c>
      <c r="G262" t="str">
        <f>IF(F262="", "", G261+F262)</f>
        <v/>
      </c>
      <c r="H262" t="str">
        <f>IF(F262="","",IF(F262&gt;0,"Win","Loss"))</f>
        <v/>
      </c>
    </row>
    <row r="263" spans="6:8" x14ac:dyDescent="0.2">
      <c r="F263" t="str">
        <f>IF(OR(D263="",E263=""),"",E263-D263)</f>
        <v/>
      </c>
      <c r="G263" t="str">
        <f>IF(F263="", "", G262+F263)</f>
        <v/>
      </c>
      <c r="H263" t="str">
        <f>IF(F263="","",IF(F263&gt;0,"Win","Loss"))</f>
        <v/>
      </c>
    </row>
    <row r="264" spans="6:8" x14ac:dyDescent="0.2">
      <c r="F264" t="str">
        <f>IF(OR(D264="",E264=""),"",E264-D264)</f>
        <v/>
      </c>
      <c r="G264" t="str">
        <f>IF(F264="", "", G263+F264)</f>
        <v/>
      </c>
      <c r="H264" t="str">
        <f>IF(F264="","",IF(F264&gt;0,"Win","Loss"))</f>
        <v/>
      </c>
    </row>
    <row r="265" spans="6:8" x14ac:dyDescent="0.2">
      <c r="F265" t="str">
        <f>IF(OR(D265="",E265=""),"",E265-D265)</f>
        <v/>
      </c>
      <c r="G265" t="str">
        <f>IF(F265="", "", G264+F265)</f>
        <v/>
      </c>
      <c r="H265" t="str">
        <f>IF(F265="","",IF(F265&gt;0,"Win","Loss"))</f>
        <v/>
      </c>
    </row>
    <row r="266" spans="6:8" x14ac:dyDescent="0.2">
      <c r="F266" t="str">
        <f>IF(OR(D266="",E266=""),"",E266-D266)</f>
        <v/>
      </c>
      <c r="G266" t="str">
        <f>IF(F266="", "", G265+F266)</f>
        <v/>
      </c>
      <c r="H266" t="str">
        <f>IF(F266="","",IF(F266&gt;0,"Win","Loss"))</f>
        <v/>
      </c>
    </row>
    <row r="267" spans="6:8" x14ac:dyDescent="0.2">
      <c r="F267" t="str">
        <f>IF(OR(D267="",E267=""),"",E267-D267)</f>
        <v/>
      </c>
      <c r="G267" t="str">
        <f>IF(F267="", "", G266+F267)</f>
        <v/>
      </c>
      <c r="H267" t="str">
        <f>IF(F267="","",IF(F267&gt;0,"Win","Loss"))</f>
        <v/>
      </c>
    </row>
    <row r="268" spans="6:8" x14ac:dyDescent="0.2">
      <c r="F268" t="str">
        <f>IF(OR(D268="",E268=""),"",E268-D268)</f>
        <v/>
      </c>
      <c r="G268" t="str">
        <f>IF(F268="", "", G267+F268)</f>
        <v/>
      </c>
      <c r="H268" t="str">
        <f>IF(F268="","",IF(F268&gt;0,"Win","Loss"))</f>
        <v/>
      </c>
    </row>
    <row r="269" spans="6:8" x14ac:dyDescent="0.2">
      <c r="F269" t="str">
        <f>IF(OR(D269="",E269=""),"",E269-D269)</f>
        <v/>
      </c>
      <c r="G269" t="str">
        <f>IF(F269="", "", G268+F269)</f>
        <v/>
      </c>
      <c r="H269" t="str">
        <f>IF(F269="","",IF(F269&gt;0,"Win","Loss"))</f>
        <v/>
      </c>
    </row>
    <row r="270" spans="6:8" x14ac:dyDescent="0.2">
      <c r="F270" t="str">
        <f>IF(OR(D270="",E270=""),"",E270-D270)</f>
        <v/>
      </c>
      <c r="G270" t="str">
        <f>IF(F270="", "", G269+F270)</f>
        <v/>
      </c>
      <c r="H270" t="str">
        <f>IF(F270="","",IF(F270&gt;0,"Win","Loss"))</f>
        <v/>
      </c>
    </row>
    <row r="271" spans="6:8" x14ac:dyDescent="0.2">
      <c r="F271" t="str">
        <f>IF(OR(D271="",E271=""),"",E271-D271)</f>
        <v/>
      </c>
      <c r="G271" t="str">
        <f>IF(F271="", "", G270+F271)</f>
        <v/>
      </c>
      <c r="H271" t="str">
        <f>IF(F271="","",IF(F271&gt;0,"Win","Loss"))</f>
        <v/>
      </c>
    </row>
    <row r="272" spans="6:8" x14ac:dyDescent="0.2">
      <c r="F272" t="str">
        <f>IF(OR(D272="",E272=""),"",E272-D272)</f>
        <v/>
      </c>
      <c r="G272" t="str">
        <f>IF(F272="", "", G271+F272)</f>
        <v/>
      </c>
      <c r="H272" t="str">
        <f>IF(F272="","",IF(F272&gt;0,"Win","Loss"))</f>
        <v/>
      </c>
    </row>
    <row r="273" spans="6:8" x14ac:dyDescent="0.2">
      <c r="F273" t="str">
        <f>IF(OR(D273="",E273=""),"",E273-D273)</f>
        <v/>
      </c>
      <c r="G273" t="str">
        <f>IF(F273="", "", G272+F273)</f>
        <v/>
      </c>
      <c r="H273" t="str">
        <f>IF(F273="","",IF(F273&gt;0,"Win","Loss"))</f>
        <v/>
      </c>
    </row>
    <row r="274" spans="6:8" x14ac:dyDescent="0.2">
      <c r="F274" t="str">
        <f>IF(OR(D274="",E274=""),"",E274-D274)</f>
        <v/>
      </c>
      <c r="G274" t="str">
        <f>IF(F274="", "", G273+F274)</f>
        <v/>
      </c>
      <c r="H274" t="str">
        <f>IF(F274="","",IF(F274&gt;0,"Win","Loss"))</f>
        <v/>
      </c>
    </row>
    <row r="275" spans="6:8" x14ac:dyDescent="0.2">
      <c r="F275" t="str">
        <f>IF(OR(D275="",E275=""),"",E275-D275)</f>
        <v/>
      </c>
      <c r="G275" t="str">
        <f>IF(F275="", "", G274+F275)</f>
        <v/>
      </c>
      <c r="H275" t="str">
        <f>IF(F275="","",IF(F275&gt;0,"Win","Loss"))</f>
        <v/>
      </c>
    </row>
    <row r="276" spans="6:8" x14ac:dyDescent="0.2">
      <c r="F276" t="str">
        <f>IF(OR(D276="",E276=""),"",E276-D276)</f>
        <v/>
      </c>
      <c r="G276" t="str">
        <f>IF(F276="", "", G275+F276)</f>
        <v/>
      </c>
      <c r="H276" t="str">
        <f>IF(F276="","",IF(F276&gt;0,"Win","Loss"))</f>
        <v/>
      </c>
    </row>
    <row r="277" spans="6:8" x14ac:dyDescent="0.2">
      <c r="F277" t="str">
        <f>IF(OR(D277="",E277=""),"",E277-D277)</f>
        <v/>
      </c>
      <c r="G277" t="str">
        <f>IF(F277="", "", G276+F277)</f>
        <v/>
      </c>
      <c r="H277" t="str">
        <f>IF(F277="","",IF(F277&gt;0,"Win","Loss"))</f>
        <v/>
      </c>
    </row>
    <row r="278" spans="6:8" x14ac:dyDescent="0.2">
      <c r="F278" t="str">
        <f>IF(OR(D278="",E278=""),"",E278-D278)</f>
        <v/>
      </c>
      <c r="G278" t="str">
        <f>IF(F278="", "", G277+F278)</f>
        <v/>
      </c>
      <c r="H278" t="str">
        <f>IF(F278="","",IF(F278&gt;0,"Win","Loss"))</f>
        <v/>
      </c>
    </row>
    <row r="279" spans="6:8" x14ac:dyDescent="0.2">
      <c r="F279" t="str">
        <f>IF(OR(D279="",E279=""),"",E279-D279)</f>
        <v/>
      </c>
      <c r="G279" t="str">
        <f>IF(F279="", "", G278+F279)</f>
        <v/>
      </c>
      <c r="H279" t="str">
        <f>IF(F279="","",IF(F279&gt;0,"Win","Loss"))</f>
        <v/>
      </c>
    </row>
    <row r="280" spans="6:8" x14ac:dyDescent="0.2">
      <c r="F280" t="str">
        <f>IF(OR(D280="",E280=""),"",E280-D280)</f>
        <v/>
      </c>
      <c r="G280" t="str">
        <f>IF(F280="", "", G279+F280)</f>
        <v/>
      </c>
      <c r="H280" t="str">
        <f>IF(F280="","",IF(F280&gt;0,"Win","Loss"))</f>
        <v/>
      </c>
    </row>
    <row r="281" spans="6:8" x14ac:dyDescent="0.2">
      <c r="F281" t="str">
        <f>IF(OR(D281="",E281=""),"",E281-D281)</f>
        <v/>
      </c>
      <c r="G281" t="str">
        <f>IF(F281="", "", G280+F281)</f>
        <v/>
      </c>
      <c r="H281" t="str">
        <f>IF(F281="","",IF(F281&gt;0,"Win","Loss"))</f>
        <v/>
      </c>
    </row>
    <row r="282" spans="6:8" x14ac:dyDescent="0.2">
      <c r="F282" t="str">
        <f>IF(OR(D282="",E282=""),"",E282-D282)</f>
        <v/>
      </c>
      <c r="G282" t="str">
        <f>IF(F282="", "", G281+F282)</f>
        <v/>
      </c>
      <c r="H282" t="str">
        <f>IF(F282="","",IF(F282&gt;0,"Win","Loss"))</f>
        <v/>
      </c>
    </row>
    <row r="283" spans="6:8" x14ac:dyDescent="0.2">
      <c r="F283" t="str">
        <f>IF(OR(D283="",E283=""),"",E283-D283)</f>
        <v/>
      </c>
      <c r="G283" t="str">
        <f>IF(F283="", "", G282+F283)</f>
        <v/>
      </c>
      <c r="H283" t="str">
        <f>IF(F283="","",IF(F283&gt;0,"Win","Loss"))</f>
        <v/>
      </c>
    </row>
    <row r="284" spans="6:8" x14ac:dyDescent="0.2">
      <c r="F284" t="str">
        <f>IF(OR(D284="",E284=""),"",E284-D284)</f>
        <v/>
      </c>
      <c r="G284" t="str">
        <f>IF(F284="", "", G283+F284)</f>
        <v/>
      </c>
      <c r="H284" t="str">
        <f>IF(F284="","",IF(F284&gt;0,"Win","Loss"))</f>
        <v/>
      </c>
    </row>
    <row r="285" spans="6:8" x14ac:dyDescent="0.2">
      <c r="F285" t="str">
        <f>IF(OR(D285="",E285=""),"",E285-D285)</f>
        <v/>
      </c>
      <c r="G285" t="str">
        <f>IF(F285="", "", G284+F285)</f>
        <v/>
      </c>
      <c r="H285" t="str">
        <f>IF(F285="","",IF(F285&gt;0,"Win","Loss"))</f>
        <v/>
      </c>
    </row>
    <row r="286" spans="6:8" x14ac:dyDescent="0.2">
      <c r="F286" t="str">
        <f>IF(OR(D286="",E286=""),"",E286-D286)</f>
        <v/>
      </c>
      <c r="G286" t="str">
        <f>IF(F286="", "", G285+F286)</f>
        <v/>
      </c>
      <c r="H286" t="str">
        <f>IF(F286="","",IF(F286&gt;0,"Win","Loss"))</f>
        <v/>
      </c>
    </row>
    <row r="287" spans="6:8" x14ac:dyDescent="0.2">
      <c r="F287" t="str">
        <f>IF(OR(D287="",E287=""),"",E287-D287)</f>
        <v/>
      </c>
      <c r="G287" t="str">
        <f>IF(F287="", "", G286+F287)</f>
        <v/>
      </c>
      <c r="H287" t="str">
        <f>IF(F287="","",IF(F287&gt;0,"Win","Loss"))</f>
        <v/>
      </c>
    </row>
    <row r="288" spans="6:8" x14ac:dyDescent="0.2">
      <c r="F288" t="str">
        <f>IF(OR(D288="",E288=""),"",E288-D288)</f>
        <v/>
      </c>
      <c r="G288" t="str">
        <f>IF(F288="", "", G287+F288)</f>
        <v/>
      </c>
      <c r="H288" t="str">
        <f>IF(F288="","",IF(F288&gt;0,"Win","Loss"))</f>
        <v/>
      </c>
    </row>
    <row r="289" spans="6:8" x14ac:dyDescent="0.2">
      <c r="F289" t="str">
        <f>IF(OR(D289="",E289=""),"",E289-D289)</f>
        <v/>
      </c>
      <c r="G289" t="str">
        <f>IF(F289="", "", G288+F289)</f>
        <v/>
      </c>
      <c r="H289" t="str">
        <f>IF(F289="","",IF(F289&gt;0,"Win","Loss"))</f>
        <v/>
      </c>
    </row>
    <row r="290" spans="6:8" x14ac:dyDescent="0.2">
      <c r="F290" t="str">
        <f>IF(OR(D290="",E290=""),"",E290-D290)</f>
        <v/>
      </c>
      <c r="G290" t="str">
        <f>IF(F290="", "", G289+F290)</f>
        <v/>
      </c>
      <c r="H290" t="str">
        <f>IF(F290="","",IF(F290&gt;0,"Win","Loss"))</f>
        <v/>
      </c>
    </row>
    <row r="291" spans="6:8" x14ac:dyDescent="0.2">
      <c r="F291" t="str">
        <f>IF(OR(D291="",E291=""),"",E291-D291)</f>
        <v/>
      </c>
      <c r="G291" t="str">
        <f>IF(F291="", "", G290+F291)</f>
        <v/>
      </c>
      <c r="H291" t="str">
        <f>IF(F291="","",IF(F291&gt;0,"Win","Loss"))</f>
        <v/>
      </c>
    </row>
    <row r="292" spans="6:8" x14ac:dyDescent="0.2">
      <c r="F292" t="str">
        <f>IF(OR(D292="",E292=""),"",E292-D292)</f>
        <v/>
      </c>
      <c r="G292" t="str">
        <f>IF(F292="", "", G291+F292)</f>
        <v/>
      </c>
      <c r="H292" t="str">
        <f>IF(F292="","",IF(F292&gt;0,"Win","Loss"))</f>
        <v/>
      </c>
    </row>
    <row r="293" spans="6:8" x14ac:dyDescent="0.2">
      <c r="F293" t="str">
        <f>IF(OR(D293="",E293=""),"",E293-D293)</f>
        <v/>
      </c>
      <c r="G293" t="str">
        <f>IF(F293="", "", G292+F293)</f>
        <v/>
      </c>
      <c r="H293" t="str">
        <f>IF(F293="","",IF(F293&gt;0,"Win","Loss"))</f>
        <v/>
      </c>
    </row>
    <row r="294" spans="6:8" x14ac:dyDescent="0.2">
      <c r="F294" t="str">
        <f>IF(OR(D294="",E294=""),"",E294-D294)</f>
        <v/>
      </c>
      <c r="G294" t="str">
        <f>IF(F294="", "", G293+F294)</f>
        <v/>
      </c>
      <c r="H294" t="str">
        <f>IF(F294="","",IF(F294&gt;0,"Win","Loss"))</f>
        <v/>
      </c>
    </row>
    <row r="295" spans="6:8" x14ac:dyDescent="0.2">
      <c r="F295" t="str">
        <f>IF(OR(D295="",E295=""),"",E295-D295)</f>
        <v/>
      </c>
      <c r="G295" t="str">
        <f>IF(F295="", "", G294+F295)</f>
        <v/>
      </c>
      <c r="H295" t="str">
        <f>IF(F295="","",IF(F295&gt;0,"Win","Loss"))</f>
        <v/>
      </c>
    </row>
    <row r="296" spans="6:8" x14ac:dyDescent="0.2">
      <c r="F296" t="str">
        <f>IF(OR(D296="",E296=""),"",E296-D296)</f>
        <v/>
      </c>
      <c r="G296" t="str">
        <f>IF(F296="", "", G295+F296)</f>
        <v/>
      </c>
      <c r="H296" t="str">
        <f>IF(F296="","",IF(F296&gt;0,"Win","Loss"))</f>
        <v/>
      </c>
    </row>
    <row r="297" spans="6:8" x14ac:dyDescent="0.2">
      <c r="F297" t="str">
        <f>IF(OR(D297="",E297=""),"",E297-D297)</f>
        <v/>
      </c>
      <c r="G297" t="str">
        <f>IF(F297="", "", G296+F297)</f>
        <v/>
      </c>
      <c r="H297" t="str">
        <f>IF(F297="","",IF(F297&gt;0,"Win","Loss"))</f>
        <v/>
      </c>
    </row>
    <row r="298" spans="6:8" x14ac:dyDescent="0.2">
      <c r="F298" t="str">
        <f>IF(OR(D298="",E298=""),"",E298-D298)</f>
        <v/>
      </c>
      <c r="G298" t="str">
        <f>IF(F298="", "", G297+F298)</f>
        <v/>
      </c>
      <c r="H298" t="str">
        <f>IF(F298="","",IF(F298&gt;0,"Win","Loss"))</f>
        <v/>
      </c>
    </row>
    <row r="299" spans="6:8" x14ac:dyDescent="0.2">
      <c r="F299" t="str">
        <f>IF(OR(D299="",E299=""),"",E299-D299)</f>
        <v/>
      </c>
      <c r="G299" t="str">
        <f>IF(F299="", "", G298+F299)</f>
        <v/>
      </c>
      <c r="H299" t="str">
        <f>IF(F299="","",IF(F299&gt;0,"Win","Loss"))</f>
        <v/>
      </c>
    </row>
    <row r="300" spans="6:8" x14ac:dyDescent="0.2">
      <c r="F300" t="str">
        <f>IF(OR(D300="",E300=""),"",E300-D300)</f>
        <v/>
      </c>
      <c r="G300" t="str">
        <f>IF(F300="", "", G299+F300)</f>
        <v/>
      </c>
      <c r="H300" t="str">
        <f>IF(F300="","",IF(F300&gt;0,"Win","Loss"))</f>
        <v/>
      </c>
    </row>
    <row r="301" spans="6:8" x14ac:dyDescent="0.2">
      <c r="F301" t="str">
        <f>IF(OR(D301="",E301=""),"",E301-D301)</f>
        <v/>
      </c>
      <c r="G301" t="str">
        <f>IF(F301="", "", G300+F301)</f>
        <v/>
      </c>
      <c r="H301" t="str">
        <f>IF(F301="","",IF(F301&gt;0,"Win","Loss"))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Daily_Data</vt:lpstr>
      <vt:lpstr>Signal</vt:lpstr>
      <vt:lpstr>Trades</vt:lpstr>
      <vt:lpstr>Stats</vt:lpstr>
      <vt:lpstr>Scoreboard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2026-03-15T17:25:02Z</dcterms:created>
  <dcterms:modified xsi:type="dcterms:W3CDTF">2026-03-16T00:06:16Z</dcterms:modified>
</cp:coreProperties>
</file>