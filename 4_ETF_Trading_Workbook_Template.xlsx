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4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5" fillId="2" borderId="0" applyAlignment="1" pivotButton="0" quotePrefix="0" xfId="0">
      <alignment vertical="center"/>
    </xf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89.99609375" customWidth="1" style="33" min="1" max="1"/>
  </cols>
  <sheetData>
    <row r="1" ht="21.95" customHeight="1" s="33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5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3" min="1" max="1"/>
    <col width="11.97265625" customWidth="1" style="33" min="2" max="23"/>
    <col width="13.98828125" customWidth="1" style="33" min="24" max="29"/>
  </cols>
  <sheetData>
    <row r="1" ht="21.95" customHeight="1" s="33">
      <c r="A1" s="5" t="inlineStr">
        <is>
          <t>Daily Market Data</t>
        </is>
      </c>
    </row>
    <row r="2">
      <c r="A2" s="32" t="inlineStr">
        <is>
          <t>Date</t>
        </is>
      </c>
      <c r="B2" s="32" t="inlineStr">
        <is>
          <t>Semiconductors</t>
        </is>
      </c>
      <c r="H2" s="32" t="inlineStr">
        <is>
          <t>Nasdaq / Tech</t>
        </is>
      </c>
      <c r="P2" s="34" t="inlineStr">
        <is>
          <t>Momentum</t>
        </is>
      </c>
      <c r="X2" s="34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t="n">
        <v>593.719970703125</v>
      </c>
      <c r="AJ4" t="n">
        <v>387.3299865722656</v>
      </c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topLeftCell="A23" workbookViewId="0">
      <selection activeCell="A1" sqref="A1"/>
    </sheetView>
  </sheetViews>
  <sheetFormatPr baseColWidth="8" defaultRowHeight="15"/>
  <cols>
    <col width="25.9609375" customWidth="1" style="33" min="1" max="1"/>
    <col width="23.9453125" customWidth="1" style="33" min="2" max="2"/>
  </cols>
  <sheetData>
    <row r="1" ht="21.95" customHeight="1" s="33">
      <c r="A1" s="5" t="inlineStr">
        <is>
          <t>Signal Engine</t>
        </is>
      </c>
    </row>
    <row r="2">
      <c r="A2" s="32" t="inlineStr">
        <is>
          <t>Metric</t>
        </is>
      </c>
      <c r="B2" s="32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SOXL 1D %</t>
        </is>
      </c>
      <c r="B4" s="10">
        <f>IFERROR(LOOKUP(2,1/(Daily_Data!F:F&lt;&gt;""),Daily_Data!F:F),"")</f>
        <v/>
      </c>
    </row>
    <row r="5">
      <c r="A5" s="14" t="inlineStr">
        <is>
          <t>SOXS 1D %</t>
        </is>
      </c>
      <c r="B5" s="10">
        <f>IFERROR(LOOKUP(2,1/(Daily_Data!H:H&lt;&gt;""),Daily_Data!H:H),"")</f>
        <v/>
      </c>
    </row>
    <row r="6">
      <c r="A6" s="14" t="inlineStr">
        <is>
          <t>TQQQ 1D %</t>
        </is>
      </c>
      <c r="B6" s="10">
        <f>IFERROR(LOOKUP(2,1/(Daily_Data!M:M&lt;&gt;""),Daily_Data!M:M),"")</f>
        <v/>
      </c>
    </row>
    <row r="7">
      <c r="A7" s="14" t="inlineStr">
        <is>
          <t>SQQQ 1D %</t>
        </is>
      </c>
      <c r="B7" s="10">
        <f>IFERROR(LOOKUP(2,1/(Daily_Data!O:O&lt;&gt;""),Daily_Data!O:O),"")</f>
        <v/>
      </c>
    </row>
    <row r="8">
      <c r="A8" s="16" t="n"/>
      <c r="B8" s="17" t="n"/>
    </row>
    <row r="9">
      <c r="A9" s="14" t="inlineStr">
        <is>
          <t>SOXL 3D %</t>
        </is>
      </c>
      <c r="B9" s="10">
        <f>IFERROR(LOOKUP(2,1/(Daily_Data!P:P&lt;&gt;""),Daily_Data!P:P),"")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TQQQ 3D %</t>
        </is>
      </c>
      <c r="B11" s="10">
        <f>IFERROR(LOOKUP(2,1/(Daily_Data!T:T&lt;&gt;""),Daily_Data!T:T),"")</f>
        <v/>
      </c>
    </row>
    <row r="12">
      <c r="A12" s="14" t="inlineStr">
        <is>
          <t>SQQQ 3D %</t>
        </is>
      </c>
      <c r="B12" s="10">
        <f>IFERROR(LOOKUP(2,1/(Daily_Data!V:V&lt;&gt;""),Daily_Data!V:V),"")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9">
      <c r="A19" s="27" t="inlineStr">
        <is>
          <t>Daily Direction Score</t>
        </is>
      </c>
      <c r="B19" s="29">
        <f>IF(OR(B6="",B7=""),"",IF(AND(B6&gt;0,B7&lt;0),1,IF(AND(B6&lt;0,B7&gt;0),-1,0)))</f>
        <v/>
      </c>
    </row>
    <row r="20">
      <c r="A20" s="27" t="inlineStr">
        <is>
          <t>3D Direction Score</t>
        </is>
      </c>
      <c r="B20" s="29">
        <f>IF(OR(B11="",B12=""),"",IF(AND(B11&gt;0,B12&lt;0),1,IF(AND(B11&lt;0,B12&gt;0),-1,0)))</f>
        <v/>
      </c>
    </row>
    <row r="21">
      <c r="A21" s="27" t="inlineStr">
        <is>
          <t>5D Direction Score</t>
        </is>
      </c>
      <c r="B21" s="29">
        <f>IF(OR(B16="",B17=""),"",IF(AND(B16&gt;0,B17&lt;0),1,IF(AND(B16&lt;0,B17&gt;0),-1,0)))</f>
        <v/>
      </c>
    </row>
    <row r="22">
      <c r="A22" s="27" t="inlineStr">
        <is>
          <t>Total Direction Score</t>
        </is>
      </c>
      <c r="B22" s="29">
        <f>SUM(N(B19),N(B20),N(B21))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5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3" min="1" max="1"/>
    <col width="9.953125" customWidth="1" style="33" min="2" max="2"/>
    <col width="11.97265625" customWidth="1" style="33" min="3" max="5"/>
    <col width="16.0078125" customWidth="1" style="33" min="6" max="6"/>
    <col width="13.98828125" customWidth="1" style="33" min="7" max="8"/>
    <col width="9.953125" customWidth="1" style="33" min="9" max="9"/>
    <col width="37.93359375" customWidth="1" style="33" min="10" max="10"/>
  </cols>
  <sheetData>
    <row r="1" ht="21.95" customHeight="1" s="33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tabSelected="1" workbookViewId="0">
      <selection activeCell="A1" sqref="A1"/>
    </sheetView>
  </sheetViews>
  <sheetFormatPr baseColWidth="8" defaultRowHeight="15"/>
  <cols>
    <col width="27.98046875" customWidth="1" style="33" min="1" max="1"/>
    <col width="16.0078125" customWidth="1" style="33" min="2" max="2"/>
  </cols>
  <sheetData>
    <row r="1" ht="21.95" customHeight="1" s="33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2026-03-15T23:07:41Z</dcterms:modified>
</cp:coreProperties>
</file>