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_Data" sheetId="1" state="visible" r:id="rId1"/>
    <sheet xmlns:r="http://schemas.openxmlformats.org/officeDocument/2006/relationships" name="Signal" sheetId="2" state="visible" r:id="rId2"/>
    <sheet xmlns:r="http://schemas.openxmlformats.org/officeDocument/2006/relationships" name="Trades" sheetId="3" state="visible" r:id="rId3"/>
    <sheet xmlns:r="http://schemas.openxmlformats.org/officeDocument/2006/relationships" name="Scoreboard" sheetId="4" state="visible" r:id="rId4"/>
    <sheet xmlns:r="http://schemas.openxmlformats.org/officeDocument/2006/relationships" name="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"/>
    <numFmt numFmtId="165" formatCode="0.0%"/>
  </numFmts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</font>
    <font/>
  </fonts>
  <fills count="8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4" fillId="3" borderId="0" pivotButton="0" quotePrefix="0" xfId="0"/>
    <xf numFmtId="0" fontId="3" fillId="3" borderId="0" applyAlignment="1" pivotButton="0" quotePrefix="0" xfId="0">
      <alignment horizontal="center"/>
    </xf>
    <xf numFmtId="0" fontId="1" fillId="4" borderId="1" pivotButton="0" quotePrefix="0" xfId="0"/>
    <xf numFmtId="0" fontId="0" fillId="0" borderId="1" pivotButton="0" quotePrefix="0" xfId="0"/>
    <xf numFmtId="0" fontId="1" fillId="2" borderId="1" pivotButton="0" quotePrefix="0" xfId="0"/>
    <xf numFmtId="16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0" fontId="3" fillId="3" borderId="1" applyAlignment="1" pivotButton="0" quotePrefix="0" xfId="0">
      <alignment horizontal="center"/>
    </xf>
    <xf numFmtId="165" fontId="0" fillId="0" borderId="1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inlineStr">
        <is>
          <t>Enter data here</t>
        </is>
      </c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>
        <f>IFERROR((M4/M3)-1,"")</f>
        <v/>
      </c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n"/>
      <c r="B3" s="3" t="n"/>
      <c r="C3" s="3" t="n"/>
      <c r="D3" s="3" t="n"/>
      <c r="E3" s="3" t="n"/>
      <c r="F3" s="4">
        <f>IF(OR(E3="",E2=""),"",(E3/E2)-1)</f>
        <v/>
      </c>
      <c r="G3" s="4" t="n"/>
      <c r="H3" s="4" t="n"/>
      <c r="I3" s="3" t="n"/>
      <c r="J3" s="3" t="n"/>
      <c r="K3" s="3" t="n"/>
      <c r="L3" s="3" t="n"/>
      <c r="M3" s="4">
        <f>IF(OR(L3="",L2=""),"",(L3/L2)-1)</f>
        <v/>
      </c>
      <c r="N3" s="4" t="n"/>
      <c r="O3" s="4" t="n"/>
      <c r="P3" s="3" t="n"/>
      <c r="Q3" s="3" t="n"/>
      <c r="R3" s="3" t="n"/>
      <c r="S3" s="3" t="n"/>
      <c r="T3" s="4">
        <f>IF(OR(S3="",S2=""),"",(S3/S2)-1)</f>
        <v/>
      </c>
      <c r="U3" s="4" t="n"/>
      <c r="V3" s="4" t="n"/>
      <c r="W3" s="3" t="n"/>
      <c r="X3" s="3" t="n"/>
      <c r="Y3" s="3" t="n"/>
      <c r="Z3" s="3" t="n"/>
      <c r="AA3" s="4">
        <f>IF(OR(Z3="",Z2=""),"",(Z3/Z2)-1)</f>
        <v/>
      </c>
      <c r="AB3" s="4" t="n"/>
      <c r="AC3" s="4" t="n"/>
      <c r="AD3" s="3" t="n"/>
      <c r="AE3" s="4">
        <f>IF(OR(AD3="",AD2=""),"",(AD3/AD2)-1)</f>
        <v/>
      </c>
      <c r="AF3" s="4" t="n"/>
      <c r="AG3" s="4" t="n"/>
      <c r="AH3" s="3" t="n"/>
      <c r="AI3" s="4">
        <f>IF(OR(AH3="",AH2=""),"",(AH3/AH2)-1)</f>
        <v/>
      </c>
      <c r="AJ3" s="4" t="n"/>
      <c r="AK3" s="4" t="n"/>
    </row>
    <row r="4">
      <c r="A4" s="2" t="n"/>
      <c r="B4" s="3" t="n"/>
      <c r="C4" s="3" t="n"/>
      <c r="D4" s="3" t="n"/>
      <c r="E4" s="3" t="n"/>
      <c r="F4" s="4">
        <f>IF(OR(E4="",E3=""),"",(E4/E3)-1)</f>
        <v/>
      </c>
      <c r="G4" s="4" t="n"/>
      <c r="H4" s="4" t="n"/>
      <c r="I4" s="3" t="n"/>
      <c r="J4" s="3" t="n"/>
      <c r="K4" s="3" t="n"/>
      <c r="L4" s="3" t="n"/>
      <c r="M4" s="4">
        <f>IF(OR(L4="",L3=""),"",(L4/L3)-1)</f>
        <v/>
      </c>
      <c r="N4" s="4" t="n"/>
      <c r="O4" s="4" t="n"/>
      <c r="P4" s="3" t="n"/>
      <c r="Q4" s="3" t="n"/>
      <c r="R4" s="3" t="n"/>
      <c r="S4" s="3" t="n"/>
      <c r="T4" s="4">
        <f>IF(OR(S4="",S3=""),"",(S4/S3)-1)</f>
        <v/>
      </c>
      <c r="U4" s="4" t="n"/>
      <c r="V4" s="4" t="n"/>
      <c r="W4" s="3" t="n"/>
      <c r="X4" s="3" t="n"/>
      <c r="Y4" s="3" t="n"/>
      <c r="Z4" s="3" t="n"/>
      <c r="AA4" s="4">
        <f>IF(OR(Z4="",Z3=""),"",(Z4/Z3)-1)</f>
        <v/>
      </c>
      <c r="AB4" s="4" t="n"/>
      <c r="AC4" s="4" t="n"/>
      <c r="AD4" s="3" t="n"/>
      <c r="AE4" s="4">
        <f>IF(OR(AD4="",AD3=""),"",(AD4/AD3)-1)</f>
        <v/>
      </c>
      <c r="AF4" s="4" t="n"/>
      <c r="AG4" s="4" t="n"/>
      <c r="AH4" s="3" t="n"/>
      <c r="AI4" s="4">
        <f>IF(OR(AH4="",AH3=""),"",(AH4/AH3)-1)</f>
        <v/>
      </c>
      <c r="AJ4" s="4" t="n"/>
      <c r="AK4" s="4" t="n"/>
    </row>
    <row r="5">
      <c r="A5" s="2" t="n"/>
      <c r="B5" s="3" t="n"/>
      <c r="C5" s="3" t="n"/>
      <c r="D5" s="3" t="n"/>
      <c r="E5" s="3" t="n"/>
      <c r="F5" s="4">
        <f>IF(OR(E5="",E4=""),"",(E5/E4)-1)</f>
        <v/>
      </c>
      <c r="G5" s="4">
        <f>IF(OR(E5="",E2=""),"",(E5/E2)-1)</f>
        <v/>
      </c>
      <c r="H5" s="4" t="n"/>
      <c r="I5" s="3" t="n"/>
      <c r="J5" s="3" t="n"/>
      <c r="K5" s="3" t="n"/>
      <c r="L5" s="3" t="n"/>
      <c r="M5" s="4">
        <f>IF(OR(L5="",L4=""),"",(L5/L4)-1)</f>
        <v/>
      </c>
      <c r="N5" s="4">
        <f>IF(OR(L5="",L2=""),"",(L5/L2)-1)</f>
        <v/>
      </c>
      <c r="O5" s="4" t="n"/>
      <c r="P5" s="3" t="n"/>
      <c r="Q5" s="3" t="n"/>
      <c r="R5" s="3" t="n"/>
      <c r="S5" s="3" t="n"/>
      <c r="T5" s="4">
        <f>IF(OR(S5="",S4=""),"",(S5/S4)-1)</f>
        <v/>
      </c>
      <c r="U5" s="4">
        <f>IF(OR(S5="",S2=""),"",(S5/S2)-1)</f>
        <v/>
      </c>
      <c r="V5" s="4" t="n"/>
      <c r="W5" s="3" t="n"/>
      <c r="X5" s="3" t="n"/>
      <c r="Y5" s="3" t="n"/>
      <c r="Z5" s="3" t="n"/>
      <c r="AA5" s="4">
        <f>IF(OR(Z5="",Z4=""),"",(Z5/Z4)-1)</f>
        <v/>
      </c>
      <c r="AB5" s="4">
        <f>IF(OR(Z5="",Z2=""),"",(Z5/Z2)-1)</f>
        <v/>
      </c>
      <c r="AC5" s="4" t="n"/>
      <c r="AD5" s="3" t="n"/>
      <c r="AE5" s="4">
        <f>IF(OR(AD5="",AD4=""),"",(AD5/AD4)-1)</f>
        <v/>
      </c>
      <c r="AF5" s="4">
        <f>IF(OR(AD5="",AD2=""),"",(AD5/AD2)-1)</f>
        <v/>
      </c>
      <c r="AG5" s="4" t="n"/>
      <c r="AH5" s="3" t="n"/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n"/>
      <c r="B6" s="3" t="n"/>
      <c r="C6" s="3" t="n"/>
      <c r="D6" s="3" t="n"/>
      <c r="E6" s="3" t="n"/>
      <c r="F6" s="4">
        <f>IF(OR(E6="",E5=""),"",(E6/E5)-1)</f>
        <v/>
      </c>
      <c r="G6" s="4">
        <f>IF(OR(E6="",E3=""),"",(E6/E3)-1)</f>
        <v/>
      </c>
      <c r="H6" s="4" t="n"/>
      <c r="I6" s="3" t="n"/>
      <c r="J6" s="3" t="n"/>
      <c r="K6" s="3" t="n"/>
      <c r="L6" s="3" t="n"/>
      <c r="M6" s="4">
        <f>IF(OR(L6="",L5=""),"",(L6/L5)-1)</f>
        <v/>
      </c>
      <c r="N6" s="4">
        <f>IF(OR(L6="",L3=""),"",(L6/L3)-1)</f>
        <v/>
      </c>
      <c r="O6" s="4" t="n"/>
      <c r="P6" s="3" t="n"/>
      <c r="Q6" s="3" t="n"/>
      <c r="R6" s="3" t="n"/>
      <c r="S6" s="3" t="n"/>
      <c r="T6" s="4">
        <f>IF(OR(S6="",S5=""),"",(S6/S5)-1)</f>
        <v/>
      </c>
      <c r="U6" s="4">
        <f>IF(OR(S6="",S3=""),"",(S6/S3)-1)</f>
        <v/>
      </c>
      <c r="V6" s="4" t="n"/>
      <c r="W6" s="3" t="n"/>
      <c r="X6" s="3" t="n"/>
      <c r="Y6" s="3" t="n"/>
      <c r="Z6" s="3" t="n"/>
      <c r="AA6" s="4">
        <f>IF(OR(Z6="",Z5=""),"",(Z6/Z5)-1)</f>
        <v/>
      </c>
      <c r="AB6" s="4">
        <f>IF(OR(Z6="",Z3=""),"",(Z6/Z3)-1)</f>
        <v/>
      </c>
      <c r="AC6" s="4" t="n"/>
      <c r="AD6" s="3" t="n"/>
      <c r="AE6" s="4">
        <f>IF(OR(AD6="",AD5=""),"",(AD6/AD5)-1)</f>
        <v/>
      </c>
      <c r="AF6" s="4">
        <f>IF(OR(AD6="",AD3=""),"",(AD6/AD3)-1)</f>
        <v/>
      </c>
      <c r="AG6" s="4" t="n"/>
      <c r="AH6" s="3" t="n"/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n"/>
      <c r="B7" s="3" t="n"/>
      <c r="C7" s="3" t="n"/>
      <c r="D7" s="3" t="n"/>
      <c r="E7" s="3" t="n"/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/>
      <c r="J7" s="3" t="n"/>
      <c r="K7" s="3" t="n"/>
      <c r="L7" s="3" t="n"/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/>
      <c r="Q7" s="3" t="n"/>
      <c r="R7" s="3" t="n"/>
      <c r="S7" s="3" t="n"/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/>
      <c r="X7" s="3" t="n"/>
      <c r="Y7" s="3" t="n"/>
      <c r="Z7" s="3" t="n"/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/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/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8" customWidth="1" min="3" max="3"/>
    <col width="18" customWidth="1" min="4" max="4"/>
  </cols>
  <sheetData>
    <row r="1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8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8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8" t="inlineStr">
        <is>
          <t>System Output</t>
        </is>
      </c>
      <c r="C22" s="9" t="inlineStr">
        <is>
          <t>Current Position</t>
        </is>
      </c>
    </row>
    <row r="23">
      <c r="A23" s="10" t="inlineStr">
        <is>
          <t>Market Direction</t>
        </is>
      </c>
      <c r="B23" s="11">
        <f>IF(OR(B10="",B18=""),"",IF(AND(B10="Bull",B18="Bull"),"Bull",IF(AND(B10="Bear",B18="Bear"),"Bear","Wait")))</f>
        <v/>
      </c>
      <c r="C23" s="12" t="inlineStr">
        <is>
          <t>Primary ETF</t>
        </is>
      </c>
      <c r="D23" s="11">
        <f>B25</f>
        <v/>
      </c>
    </row>
    <row r="24">
      <c r="A24" s="10" t="inlineStr">
        <is>
          <t>Leadership</t>
        </is>
      </c>
      <c r="B24" s="11">
        <f>IF(B23="","",IF(B23="Wait","Mixed",IF(B16&gt;B8,"Semiconductors",IF(B16&lt;B8,"Nasdaq","Tied"))))</f>
        <v/>
      </c>
      <c r="C24" s="12" t="inlineStr">
        <is>
          <t>Secondary ETF</t>
        </is>
      </c>
      <c r="D24" s="11">
        <f>IF(B26="","(none)",B26)</f>
        <v/>
      </c>
    </row>
    <row r="25">
      <c r="A25" s="10" t="inlineStr">
        <is>
          <t>Trade 1</t>
        </is>
      </c>
      <c r="B25" s="11">
        <f>IF(B23="Bull",IF(B24="Semiconductors","SOXL","TQQQ"),IF(B23="Bear",IF(B24="Semiconductors","SOXS","SQQQ"),"WAIT"))</f>
        <v/>
      </c>
      <c r="C25" s="12" t="inlineStr">
        <is>
          <t>System State</t>
        </is>
      </c>
      <c r="D25" s="11">
        <f>B23</f>
        <v/>
      </c>
    </row>
    <row r="26">
      <c r="A26" s="10" t="inlineStr">
        <is>
          <t>Trade 2</t>
        </is>
      </c>
      <c r="B26" s="11">
        <f>IF(B23="Bull",IF(B24="Semiconductors","TQQQ","SOXL"),IF(B23="Bear",IF(B24="Semiconductors","SQQQ","SOXS"),""))</f>
        <v/>
      </c>
      <c r="C26" s="12" t="inlineStr">
        <is>
          <t>Confidence</t>
        </is>
      </c>
      <c r="D26" s="11">
        <f>B27</f>
        <v/>
      </c>
    </row>
    <row r="27">
      <c r="A27" s="10" t="inlineStr">
        <is>
          <t>Confidence</t>
        </is>
      </c>
      <c r="B27" s="11">
        <f>IF(B23="Wait","Low",IF(ABS(B16-B8)&gt;=0.03,"Strong",IF(ABS(B16-B8)&gt;=0.015,"Moderate","Low")))</f>
        <v/>
      </c>
      <c r="C27" s="12" t="inlineStr">
        <is>
          <t>Signal Date</t>
        </is>
      </c>
      <c r="D27" s="13">
        <f>B4</f>
        <v/>
      </c>
    </row>
    <row r="30">
      <c r="A30" s="9" t="inlineStr">
        <is>
          <t>Legend</t>
        </is>
      </c>
    </row>
    <row r="31">
      <c r="A31" s="14" t="inlineStr">
        <is>
          <t>Bull / Strong Bull</t>
        </is>
      </c>
      <c r="B31" s="14" t="inlineStr"/>
    </row>
    <row r="32">
      <c r="A32" s="15" t="inlineStr">
        <is>
          <t>Bear / Strong Bear</t>
        </is>
      </c>
      <c r="B32" s="15" t="inlineStr"/>
    </row>
    <row r="33">
      <c r="A33" s="16" t="inlineStr">
        <is>
          <t>Wait / Neutral / Mixed</t>
        </is>
      </c>
      <c r="B33" s="16" t="inlineStr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8" customWidth="1" min="13" max="13"/>
  </cols>
  <sheetData>
    <row r="1">
      <c r="A1" s="9" t="inlineStr">
        <is>
          <t>Trade Plan / Manual Tracking</t>
        </is>
      </c>
    </row>
    <row r="3">
      <c r="A3" s="17" t="inlineStr">
        <is>
          <t>Date</t>
        </is>
      </c>
      <c r="B3" s="17" t="inlineStr">
        <is>
          <t>System Signal</t>
        </is>
      </c>
      <c r="C3" s="17" t="inlineStr">
        <is>
          <t>Trade 1</t>
        </is>
      </c>
      <c r="D3" s="17" t="inlineStr">
        <is>
          <t>Trade 2</t>
        </is>
      </c>
      <c r="E3" s="17" t="inlineStr">
        <is>
          <t>Action</t>
        </is>
      </c>
      <c r="F3" s="17" t="inlineStr">
        <is>
          <t>Shares 1</t>
        </is>
      </c>
      <c r="G3" s="17" t="inlineStr">
        <is>
          <t>Shares 2</t>
        </is>
      </c>
      <c r="H3" s="17" t="inlineStr">
        <is>
          <t>Entry 1</t>
        </is>
      </c>
      <c r="I3" s="17" t="inlineStr">
        <is>
          <t>Entry 2</t>
        </is>
      </c>
      <c r="J3" s="17" t="inlineStr">
        <is>
          <t>Exit 1</t>
        </is>
      </c>
      <c r="K3" s="17" t="inlineStr">
        <is>
          <t>Exit 2</t>
        </is>
      </c>
      <c r="L3" s="17" t="inlineStr">
        <is>
          <t>Status</t>
        </is>
      </c>
      <c r="M3" s="17" t="inlineStr">
        <is>
          <t>Notes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8" t="n"/>
      <c r="I4" s="18" t="n"/>
      <c r="J4" s="18" t="n"/>
      <c r="K4" s="18" t="n"/>
      <c r="L4" s="11" t="n"/>
      <c r="M4" s="11" t="n"/>
    </row>
    <row r="5">
      <c r="A5" s="12" t="inlineStr">
        <is>
          <t>Current Date</t>
        </is>
      </c>
      <c r="B5" s="11">
        <f>Signal!B4</f>
        <v/>
      </c>
      <c r="C5" s="11" t="n"/>
      <c r="D5" s="19" t="inlineStr">
        <is>
          <t>Current Position</t>
        </is>
      </c>
      <c r="E5" s="21" t="n"/>
      <c r="F5" s="11" t="n"/>
      <c r="G5" s="11" t="n"/>
      <c r="H5" s="18" t="n"/>
      <c r="I5" s="18" t="n"/>
      <c r="J5" s="18" t="n"/>
      <c r="K5" s="18" t="n"/>
      <c r="L5" s="11" t="n"/>
      <c r="M5" s="11" t="n"/>
    </row>
    <row r="6">
      <c r="A6" s="12" t="inlineStr">
        <is>
          <t>Market Direction</t>
        </is>
      </c>
      <c r="B6" s="11">
        <f>Signal!B23</f>
        <v/>
      </c>
      <c r="C6" s="11" t="n"/>
      <c r="D6" s="12" t="inlineStr">
        <is>
          <t>Primary ETF</t>
        </is>
      </c>
      <c r="E6" s="11">
        <f>Signal!D23</f>
        <v/>
      </c>
      <c r="F6" s="11" t="n"/>
      <c r="G6" s="11" t="n"/>
      <c r="H6" s="18" t="n"/>
      <c r="I6" s="18" t="n"/>
      <c r="J6" s="18" t="n"/>
      <c r="K6" s="18" t="n"/>
      <c r="L6" s="11" t="n"/>
      <c r="M6" s="11" t="n"/>
    </row>
    <row r="7">
      <c r="A7" s="12" t="inlineStr">
        <is>
          <t>Trade 1</t>
        </is>
      </c>
      <c r="B7" s="11">
        <f>Signal!B25</f>
        <v/>
      </c>
      <c r="C7" s="11" t="n"/>
      <c r="D7" s="12" t="inlineStr">
        <is>
          <t>Secondary ETF</t>
        </is>
      </c>
      <c r="E7" s="11">
        <f>Signal!D24</f>
        <v/>
      </c>
      <c r="F7" s="11" t="n"/>
      <c r="G7" s="11" t="n"/>
      <c r="H7" s="18" t="n"/>
      <c r="I7" s="18" t="n"/>
      <c r="J7" s="18" t="n"/>
      <c r="K7" s="18" t="n"/>
      <c r="L7" s="11" t="n"/>
      <c r="M7" s="11" t="n"/>
    </row>
    <row r="8">
      <c r="A8" s="12" t="inlineStr">
        <is>
          <t>Trade 2</t>
        </is>
      </c>
      <c r="B8" s="11">
        <f>Signal!B26</f>
        <v/>
      </c>
      <c r="C8" s="11" t="n"/>
      <c r="D8" s="12" t="inlineStr">
        <is>
          <t>System State</t>
        </is>
      </c>
      <c r="E8" s="11">
        <f>Signal!D25</f>
        <v/>
      </c>
      <c r="F8" s="11" t="n"/>
      <c r="G8" s="11" t="n"/>
      <c r="H8" s="18" t="n"/>
      <c r="I8" s="18" t="n"/>
      <c r="J8" s="18" t="n"/>
      <c r="K8" s="18" t="n"/>
      <c r="L8" s="11" t="n"/>
      <c r="M8" s="11" t="n"/>
    </row>
    <row r="9">
      <c r="A9" s="12" t="inlineStr">
        <is>
          <t>Confidence</t>
        </is>
      </c>
      <c r="B9" s="11">
        <f>Signal!B27</f>
        <v/>
      </c>
      <c r="C9" s="11" t="n"/>
      <c r="D9" s="12" t="inlineStr">
        <is>
          <t>Confidence</t>
        </is>
      </c>
      <c r="E9" s="11">
        <f>Signal!D26</f>
        <v/>
      </c>
      <c r="F9" s="11" t="n"/>
      <c r="G9" s="11" t="n"/>
      <c r="H9" s="18" t="n"/>
      <c r="I9" s="18" t="n"/>
      <c r="J9" s="18" t="n"/>
      <c r="K9" s="18" t="n"/>
      <c r="L9" s="11" t="n"/>
      <c r="M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8" t="n"/>
      <c r="I10" s="18" t="n"/>
      <c r="J10" s="18" t="n"/>
      <c r="K10" s="18" t="n"/>
      <c r="L10" s="11" t="n"/>
      <c r="M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8" t="n"/>
      <c r="I11" s="18" t="n"/>
      <c r="J11" s="18" t="n"/>
      <c r="K11" s="18" t="n"/>
      <c r="L11" s="11" t="n"/>
      <c r="M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8" t="n"/>
      <c r="I12" s="18" t="n"/>
      <c r="J12" s="18" t="n"/>
      <c r="K12" s="18" t="n"/>
      <c r="L12" s="11" t="n"/>
      <c r="M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8" t="n"/>
      <c r="I13" s="18" t="n"/>
      <c r="J13" s="18" t="n"/>
      <c r="K13" s="18" t="n"/>
      <c r="L13" s="11" t="n"/>
      <c r="M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8" t="n"/>
      <c r="I14" s="18" t="n"/>
      <c r="J14" s="18" t="n"/>
      <c r="K14" s="18" t="n"/>
      <c r="L14" s="11" t="n"/>
      <c r="M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8" t="n"/>
      <c r="I15" s="18" t="n"/>
      <c r="J15" s="18" t="n"/>
      <c r="K15" s="18" t="n"/>
      <c r="L15" s="11" t="n"/>
      <c r="M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8" t="n"/>
      <c r="I16" s="18" t="n"/>
      <c r="J16" s="18" t="n"/>
      <c r="K16" s="18" t="n"/>
      <c r="L16" s="11" t="n"/>
      <c r="M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8" t="n"/>
      <c r="I17" s="18" t="n"/>
      <c r="J17" s="18" t="n"/>
      <c r="K17" s="18" t="n"/>
      <c r="L17" s="11" t="n"/>
      <c r="M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8" t="n"/>
      <c r="I18" s="18" t="n"/>
      <c r="J18" s="18" t="n"/>
      <c r="K18" s="18" t="n"/>
      <c r="L18" s="11" t="n"/>
      <c r="M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8" t="n"/>
      <c r="I19" s="18" t="n"/>
      <c r="J19" s="18" t="n"/>
      <c r="K19" s="18" t="n"/>
      <c r="L19" s="11" t="n"/>
      <c r="M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8" t="n"/>
      <c r="I20" s="18" t="n"/>
      <c r="J20" s="18" t="n"/>
      <c r="K20" s="18" t="n"/>
      <c r="L20" s="11" t="n"/>
      <c r="M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8" t="n"/>
      <c r="I21" s="18" t="n"/>
      <c r="J21" s="18" t="n"/>
      <c r="K21" s="18" t="n"/>
      <c r="L21" s="11" t="n"/>
      <c r="M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8" t="n"/>
      <c r="I22" s="18" t="n"/>
      <c r="J22" s="18" t="n"/>
      <c r="K22" s="18" t="n"/>
      <c r="L22" s="11" t="n"/>
      <c r="M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8" t="n"/>
      <c r="I23" s="18" t="n"/>
      <c r="J23" s="18" t="n"/>
      <c r="K23" s="18" t="n"/>
      <c r="L23" s="11" t="n"/>
      <c r="M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8" t="n"/>
      <c r="I24" s="18" t="n"/>
      <c r="J24" s="18" t="n"/>
      <c r="K24" s="18" t="n"/>
      <c r="L24" s="11" t="n"/>
      <c r="M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8" t="n"/>
      <c r="I25" s="18" t="n"/>
      <c r="J25" s="18" t="n"/>
      <c r="K25" s="18" t="n"/>
      <c r="L25" s="11" t="n"/>
      <c r="M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8" t="n"/>
      <c r="I26" s="18" t="n"/>
      <c r="J26" s="18" t="n"/>
      <c r="K26" s="18" t="n"/>
      <c r="L26" s="11" t="n"/>
      <c r="M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8" t="n"/>
      <c r="I27" s="18" t="n"/>
      <c r="J27" s="18" t="n"/>
      <c r="K27" s="18" t="n"/>
      <c r="L27" s="11" t="n"/>
      <c r="M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8" t="n"/>
      <c r="I28" s="18" t="n"/>
      <c r="J28" s="18" t="n"/>
      <c r="K28" s="18" t="n"/>
      <c r="L28" s="11" t="n"/>
      <c r="M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8" t="n"/>
      <c r="I29" s="18" t="n"/>
      <c r="J29" s="18" t="n"/>
      <c r="K29" s="18" t="n"/>
      <c r="L29" s="11" t="n"/>
      <c r="M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8" t="n"/>
      <c r="I30" s="18" t="n"/>
      <c r="J30" s="18" t="n"/>
      <c r="K30" s="18" t="n"/>
      <c r="L30" s="11" t="n"/>
      <c r="M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8" t="n"/>
      <c r="I31" s="18" t="n"/>
      <c r="J31" s="18" t="n"/>
      <c r="K31" s="18" t="n"/>
      <c r="L31" s="11" t="n"/>
      <c r="M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8" t="n"/>
      <c r="I32" s="18" t="n"/>
      <c r="J32" s="18" t="n"/>
      <c r="K32" s="18" t="n"/>
      <c r="L32" s="11" t="n"/>
      <c r="M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8" t="n"/>
      <c r="I33" s="18" t="n"/>
      <c r="J33" s="18" t="n"/>
      <c r="K33" s="18" t="n"/>
      <c r="L33" s="11" t="n"/>
      <c r="M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8" t="n"/>
      <c r="I34" s="18" t="n"/>
      <c r="J34" s="18" t="n"/>
      <c r="K34" s="18" t="n"/>
      <c r="L34" s="11" t="n"/>
      <c r="M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8" t="n"/>
      <c r="I35" s="18" t="n"/>
      <c r="J35" s="18" t="n"/>
      <c r="K35" s="18" t="n"/>
      <c r="L35" s="11" t="n"/>
      <c r="M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8" t="n"/>
      <c r="I36" s="18" t="n"/>
      <c r="J36" s="18" t="n"/>
      <c r="K36" s="18" t="n"/>
      <c r="L36" s="11" t="n"/>
      <c r="M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8" t="n"/>
      <c r="I37" s="18" t="n"/>
      <c r="J37" s="18" t="n"/>
      <c r="K37" s="18" t="n"/>
      <c r="L37" s="11" t="n"/>
      <c r="M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8" t="n"/>
      <c r="I38" s="18" t="n"/>
      <c r="J38" s="18" t="n"/>
      <c r="K38" s="18" t="n"/>
      <c r="L38" s="11" t="n"/>
      <c r="M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8" t="n"/>
      <c r="I39" s="18" t="n"/>
      <c r="J39" s="18" t="n"/>
      <c r="K39" s="18" t="n"/>
      <c r="L39" s="11" t="n"/>
      <c r="M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8" t="n"/>
      <c r="I40" s="18" t="n"/>
      <c r="J40" s="18" t="n"/>
      <c r="K40" s="18" t="n"/>
      <c r="L40" s="11" t="n"/>
      <c r="M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8" t="n"/>
      <c r="I41" s="18" t="n"/>
      <c r="J41" s="18" t="n"/>
      <c r="K41" s="18" t="n"/>
      <c r="L41" s="11" t="n"/>
      <c r="M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8" t="n"/>
      <c r="I42" s="18" t="n"/>
      <c r="J42" s="18" t="n"/>
      <c r="K42" s="18" t="n"/>
      <c r="L42" s="11" t="n"/>
      <c r="M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8" t="n"/>
      <c r="I43" s="18" t="n"/>
      <c r="J43" s="18" t="n"/>
      <c r="K43" s="18" t="n"/>
      <c r="L43" s="11" t="n"/>
      <c r="M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8" t="n"/>
      <c r="I44" s="18" t="n"/>
      <c r="J44" s="18" t="n"/>
      <c r="K44" s="18" t="n"/>
      <c r="L44" s="11" t="n"/>
      <c r="M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8" t="n"/>
      <c r="I45" s="18" t="n"/>
      <c r="J45" s="18" t="n"/>
      <c r="K45" s="18" t="n"/>
      <c r="L45" s="11" t="n"/>
      <c r="M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8" t="n"/>
      <c r="I46" s="18" t="n"/>
      <c r="J46" s="18" t="n"/>
      <c r="K46" s="18" t="n"/>
      <c r="L46" s="11" t="n"/>
      <c r="M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8" t="n"/>
      <c r="I47" s="18" t="n"/>
      <c r="J47" s="18" t="n"/>
      <c r="K47" s="18" t="n"/>
      <c r="L47" s="11" t="n"/>
      <c r="M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8" t="n"/>
      <c r="I48" s="18" t="n"/>
      <c r="J48" s="18" t="n"/>
      <c r="K48" s="18" t="n"/>
      <c r="L48" s="11" t="n"/>
      <c r="M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8" t="n"/>
      <c r="I49" s="18" t="n"/>
      <c r="J49" s="18" t="n"/>
      <c r="K49" s="18" t="n"/>
      <c r="L49" s="11" t="n"/>
      <c r="M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8" t="n"/>
      <c r="I50" s="18" t="n"/>
      <c r="J50" s="18" t="n"/>
      <c r="K50" s="18" t="n"/>
      <c r="L50" s="11" t="n"/>
      <c r="M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8" t="n"/>
      <c r="I51" s="18" t="n"/>
      <c r="J51" s="18" t="n"/>
      <c r="K51" s="18" t="n"/>
      <c r="L51" s="11" t="n"/>
      <c r="M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8" t="n"/>
      <c r="I52" s="18" t="n"/>
      <c r="J52" s="18" t="n"/>
      <c r="K52" s="18" t="n"/>
      <c r="L52" s="11" t="n"/>
      <c r="M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8" t="n"/>
      <c r="I53" s="18" t="n"/>
      <c r="J53" s="18" t="n"/>
      <c r="K53" s="18" t="n"/>
      <c r="L53" s="11" t="n"/>
      <c r="M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8" t="n"/>
      <c r="I54" s="18" t="n"/>
      <c r="J54" s="18" t="n"/>
      <c r="K54" s="18" t="n"/>
      <c r="L54" s="11" t="n"/>
      <c r="M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8" t="n"/>
      <c r="I55" s="18" t="n"/>
      <c r="J55" s="18" t="n"/>
      <c r="K55" s="18" t="n"/>
      <c r="L55" s="11" t="n"/>
      <c r="M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8" t="n"/>
      <c r="I56" s="18" t="n"/>
      <c r="J56" s="18" t="n"/>
      <c r="K56" s="18" t="n"/>
      <c r="L56" s="11" t="n"/>
      <c r="M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8" t="n"/>
      <c r="I57" s="18" t="n"/>
      <c r="J57" s="18" t="n"/>
      <c r="K57" s="18" t="n"/>
      <c r="L57" s="11" t="n"/>
      <c r="M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8" t="n"/>
      <c r="I58" s="18" t="n"/>
      <c r="J58" s="18" t="n"/>
      <c r="K58" s="18" t="n"/>
      <c r="L58" s="11" t="n"/>
      <c r="M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8" t="n"/>
      <c r="I59" s="18" t="n"/>
      <c r="J59" s="18" t="n"/>
      <c r="K59" s="18" t="n"/>
      <c r="L59" s="11" t="n"/>
      <c r="M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8" t="n"/>
      <c r="I60" s="18" t="n"/>
      <c r="J60" s="18" t="n"/>
      <c r="K60" s="18" t="n"/>
      <c r="L60" s="11" t="n"/>
      <c r="M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8" t="n"/>
      <c r="I61" s="18" t="n"/>
      <c r="J61" s="18" t="n"/>
      <c r="K61" s="18" t="n"/>
      <c r="L61" s="11" t="n"/>
      <c r="M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8" t="n"/>
      <c r="I62" s="18" t="n"/>
      <c r="J62" s="18" t="n"/>
      <c r="K62" s="18" t="n"/>
      <c r="L62" s="11" t="n"/>
      <c r="M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8" t="n"/>
      <c r="I63" s="18" t="n"/>
      <c r="J63" s="18" t="n"/>
      <c r="K63" s="18" t="n"/>
      <c r="L63" s="11" t="n"/>
      <c r="M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8" t="n"/>
      <c r="I64" s="18" t="n"/>
      <c r="J64" s="18" t="n"/>
      <c r="K64" s="18" t="n"/>
      <c r="L64" s="11" t="n"/>
      <c r="M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8" t="n"/>
      <c r="I65" s="18" t="n"/>
      <c r="J65" s="18" t="n"/>
      <c r="K65" s="18" t="n"/>
      <c r="L65" s="11" t="n"/>
      <c r="M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8" t="n"/>
      <c r="I66" s="18" t="n"/>
      <c r="J66" s="18" t="n"/>
      <c r="K66" s="18" t="n"/>
      <c r="L66" s="11" t="n"/>
      <c r="M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8" t="n"/>
      <c r="I67" s="18" t="n"/>
      <c r="J67" s="18" t="n"/>
      <c r="K67" s="18" t="n"/>
      <c r="L67" s="11" t="n"/>
      <c r="M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8" t="n"/>
      <c r="I68" s="18" t="n"/>
      <c r="J68" s="18" t="n"/>
      <c r="K68" s="18" t="n"/>
      <c r="L68" s="11" t="n"/>
      <c r="M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8" t="n"/>
      <c r="I69" s="18" t="n"/>
      <c r="J69" s="18" t="n"/>
      <c r="K69" s="18" t="n"/>
      <c r="L69" s="11" t="n"/>
      <c r="M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8" t="n"/>
      <c r="I70" s="18" t="n"/>
      <c r="J70" s="18" t="n"/>
      <c r="K70" s="18" t="n"/>
      <c r="L70" s="11" t="n"/>
      <c r="M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8" t="n"/>
      <c r="I71" s="18" t="n"/>
      <c r="J71" s="18" t="n"/>
      <c r="K71" s="18" t="n"/>
      <c r="L71" s="11" t="n"/>
      <c r="M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8" t="n"/>
      <c r="I72" s="18" t="n"/>
      <c r="J72" s="18" t="n"/>
      <c r="K72" s="18" t="n"/>
      <c r="L72" s="11" t="n"/>
      <c r="M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8" t="n"/>
      <c r="I73" s="18" t="n"/>
      <c r="J73" s="18" t="n"/>
      <c r="K73" s="18" t="n"/>
      <c r="L73" s="11" t="n"/>
      <c r="M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8" t="n"/>
      <c r="I74" s="18" t="n"/>
      <c r="J74" s="18" t="n"/>
      <c r="K74" s="18" t="n"/>
      <c r="L74" s="11" t="n"/>
      <c r="M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8" t="n"/>
      <c r="I75" s="18" t="n"/>
      <c r="J75" s="18" t="n"/>
      <c r="K75" s="18" t="n"/>
      <c r="L75" s="11" t="n"/>
      <c r="M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8" t="n"/>
      <c r="I76" s="18" t="n"/>
      <c r="J76" s="18" t="n"/>
      <c r="K76" s="18" t="n"/>
      <c r="L76" s="11" t="n"/>
      <c r="M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8" t="n"/>
      <c r="I77" s="18" t="n"/>
      <c r="J77" s="18" t="n"/>
      <c r="K77" s="18" t="n"/>
      <c r="L77" s="11" t="n"/>
      <c r="M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8" t="n"/>
      <c r="I78" s="18" t="n"/>
      <c r="J78" s="18" t="n"/>
      <c r="K78" s="18" t="n"/>
      <c r="L78" s="11" t="n"/>
      <c r="M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8" t="n"/>
      <c r="I79" s="18" t="n"/>
      <c r="J79" s="18" t="n"/>
      <c r="K79" s="18" t="n"/>
      <c r="L79" s="11" t="n"/>
      <c r="M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8" t="n"/>
      <c r="I80" s="18" t="n"/>
      <c r="J80" s="18" t="n"/>
      <c r="K80" s="18" t="n"/>
      <c r="L80" s="11" t="n"/>
      <c r="M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8" t="n"/>
      <c r="I81" s="18" t="n"/>
      <c r="J81" s="18" t="n"/>
      <c r="K81" s="18" t="n"/>
      <c r="L81" s="11" t="n"/>
      <c r="M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8" t="n"/>
      <c r="I82" s="18" t="n"/>
      <c r="J82" s="18" t="n"/>
      <c r="K82" s="18" t="n"/>
      <c r="L82" s="11" t="n"/>
      <c r="M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8" t="n"/>
      <c r="I83" s="18" t="n"/>
      <c r="J83" s="18" t="n"/>
      <c r="K83" s="18" t="n"/>
      <c r="L83" s="11" t="n"/>
      <c r="M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8" t="n"/>
      <c r="I84" s="18" t="n"/>
      <c r="J84" s="18" t="n"/>
      <c r="K84" s="18" t="n"/>
      <c r="L84" s="11" t="n"/>
      <c r="M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8" t="n"/>
      <c r="I85" s="18" t="n"/>
      <c r="J85" s="18" t="n"/>
      <c r="K85" s="18" t="n"/>
      <c r="L85" s="11" t="n"/>
      <c r="M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8" t="n"/>
      <c r="I86" s="18" t="n"/>
      <c r="J86" s="18" t="n"/>
      <c r="K86" s="18" t="n"/>
      <c r="L86" s="11" t="n"/>
      <c r="M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8" t="n"/>
      <c r="I87" s="18" t="n"/>
      <c r="J87" s="18" t="n"/>
      <c r="K87" s="18" t="n"/>
      <c r="L87" s="11" t="n"/>
      <c r="M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8" t="n"/>
      <c r="I88" s="18" t="n"/>
      <c r="J88" s="18" t="n"/>
      <c r="K88" s="18" t="n"/>
      <c r="L88" s="11" t="n"/>
      <c r="M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8" t="n"/>
      <c r="I89" s="18" t="n"/>
      <c r="J89" s="18" t="n"/>
      <c r="K89" s="18" t="n"/>
      <c r="L89" s="11" t="n"/>
      <c r="M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8" t="n"/>
      <c r="I90" s="18" t="n"/>
      <c r="J90" s="18" t="n"/>
      <c r="K90" s="18" t="n"/>
      <c r="L90" s="11" t="n"/>
      <c r="M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8" t="n"/>
      <c r="I91" s="18" t="n"/>
      <c r="J91" s="18" t="n"/>
      <c r="K91" s="18" t="n"/>
      <c r="L91" s="11" t="n"/>
      <c r="M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8" t="n"/>
      <c r="I92" s="18" t="n"/>
      <c r="J92" s="18" t="n"/>
      <c r="K92" s="18" t="n"/>
      <c r="L92" s="11" t="n"/>
      <c r="M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8" t="n"/>
      <c r="I93" s="18" t="n"/>
      <c r="J93" s="18" t="n"/>
      <c r="K93" s="18" t="n"/>
      <c r="L93" s="11" t="n"/>
      <c r="M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8" t="n"/>
      <c r="I94" s="18" t="n"/>
      <c r="J94" s="18" t="n"/>
      <c r="K94" s="18" t="n"/>
      <c r="L94" s="11" t="n"/>
      <c r="M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8" t="n"/>
      <c r="I95" s="18" t="n"/>
      <c r="J95" s="18" t="n"/>
      <c r="K95" s="18" t="n"/>
      <c r="L95" s="11" t="n"/>
      <c r="M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8" t="n"/>
      <c r="I96" s="18" t="n"/>
      <c r="J96" s="18" t="n"/>
      <c r="K96" s="18" t="n"/>
      <c r="L96" s="11" t="n"/>
      <c r="M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8" t="n"/>
      <c r="I97" s="18" t="n"/>
      <c r="J97" s="18" t="n"/>
      <c r="K97" s="18" t="n"/>
      <c r="L97" s="11" t="n"/>
      <c r="M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8" t="n"/>
      <c r="I98" s="18" t="n"/>
      <c r="J98" s="18" t="n"/>
      <c r="K98" s="18" t="n"/>
      <c r="L98" s="11" t="n"/>
      <c r="M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8" t="n"/>
      <c r="I99" s="18" t="n"/>
      <c r="J99" s="18" t="n"/>
      <c r="K99" s="18" t="n"/>
      <c r="L99" s="11" t="n"/>
      <c r="M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8" t="n"/>
      <c r="I100" s="18" t="n"/>
      <c r="J100" s="18" t="n"/>
      <c r="K100" s="18" t="n"/>
      <c r="L100" s="11" t="n"/>
      <c r="M100" s="11" t="n"/>
    </row>
  </sheetData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5" t="inlineStr">
        <is>
          <t>Paper Trade Scoreboard</t>
        </is>
      </c>
    </row>
    <row r="3">
      <c r="A3" s="17" t="inlineStr">
        <is>
          <t>Trade ID</t>
        </is>
      </c>
      <c r="B3" s="17" t="inlineStr">
        <is>
          <t>ETF</t>
        </is>
      </c>
      <c r="C3" s="17" t="inlineStr">
        <is>
          <t>Date In</t>
        </is>
      </c>
      <c r="D3" s="17" t="inlineStr">
        <is>
          <t>Date Out</t>
        </is>
      </c>
      <c r="E3" s="17" t="inlineStr">
        <is>
          <t>Entry</t>
        </is>
      </c>
      <c r="F3" s="17" t="inlineStr">
        <is>
          <t>Exit</t>
        </is>
      </c>
      <c r="G3" s="17" t="inlineStr">
        <is>
          <t>Shares</t>
        </is>
      </c>
      <c r="H3" s="17" t="inlineStr">
        <is>
          <t>P&amp;L $</t>
        </is>
      </c>
      <c r="I3" s="17" t="inlineStr">
        <is>
          <t>Return %</t>
        </is>
      </c>
      <c r="J3" s="17" t="inlineStr">
        <is>
          <t>Days Held</t>
        </is>
      </c>
      <c r="K3" s="17" t="inlineStr">
        <is>
          <t>Exit Reason</t>
        </is>
      </c>
    </row>
    <row r="4">
      <c r="A4" s="11" t="n"/>
      <c r="B4" s="11" t="n"/>
      <c r="C4" s="11" t="n"/>
      <c r="D4" s="11" t="n"/>
      <c r="E4" s="18" t="n"/>
      <c r="F4" s="18" t="n"/>
      <c r="G4" s="11" t="n"/>
      <c r="H4" s="18">
        <f>IF(OR(E4="",F4="",G4=""),"", (F4-E4)*G4)</f>
        <v/>
      </c>
      <c r="I4" s="20">
        <f>IF(OR(E4="",F4=""),"", (F4/E4)-1)</f>
        <v/>
      </c>
      <c r="J4" s="11">
        <f>IF(OR(C4="",D4=""),"", D4-C4)</f>
        <v/>
      </c>
      <c r="K4" s="11" t="n"/>
    </row>
    <row r="5">
      <c r="A5" s="11" t="n"/>
      <c r="B5" s="11" t="n"/>
      <c r="C5" s="11" t="n"/>
      <c r="D5" s="11" t="n"/>
      <c r="E5" s="18" t="n"/>
      <c r="F5" s="18" t="n"/>
      <c r="G5" s="11" t="n"/>
      <c r="H5" s="18">
        <f>IF(OR(E5="",F5="",G5=""),"", (F5-E5)*G5)</f>
        <v/>
      </c>
      <c r="I5" s="20">
        <f>IF(OR(E5="",F5=""),"", (F5/E5)-1)</f>
        <v/>
      </c>
      <c r="J5" s="11">
        <f>IF(OR(C5="",D5=""),"", D5-C5)</f>
        <v/>
      </c>
      <c r="K5" s="11" t="n"/>
    </row>
    <row r="6">
      <c r="A6" s="11" t="n"/>
      <c r="B6" s="11" t="n"/>
      <c r="C6" s="11" t="n"/>
      <c r="D6" s="11" t="n"/>
      <c r="E6" s="18" t="n"/>
      <c r="F6" s="18" t="n"/>
      <c r="G6" s="11" t="n"/>
      <c r="H6" s="18">
        <f>IF(OR(E6="",F6="",G6=""),"", (F6-E6)*G6)</f>
        <v/>
      </c>
      <c r="I6" s="20">
        <f>IF(OR(E6="",F6=""),"", (F6/E6)-1)</f>
        <v/>
      </c>
      <c r="J6" s="11">
        <f>IF(OR(C6="",D6=""),"", D6-C6)</f>
        <v/>
      </c>
      <c r="K6" s="11" t="n"/>
    </row>
    <row r="7">
      <c r="A7" s="11" t="n"/>
      <c r="B7" s="11" t="n"/>
      <c r="C7" s="11" t="n"/>
      <c r="D7" s="11" t="n"/>
      <c r="E7" s="18" t="n"/>
      <c r="F7" s="18" t="n"/>
      <c r="G7" s="11" t="n"/>
      <c r="H7" s="18">
        <f>IF(OR(E7="",F7="",G7=""),"", (F7-E7)*G7)</f>
        <v/>
      </c>
      <c r="I7" s="20">
        <f>IF(OR(E7="",F7=""),"", (F7/E7)-1)</f>
        <v/>
      </c>
      <c r="J7" s="11">
        <f>IF(OR(C7="",D7=""),"", D7-C7)</f>
        <v/>
      </c>
      <c r="K7" s="11" t="n"/>
    </row>
    <row r="8">
      <c r="A8" s="11" t="n"/>
      <c r="B8" s="11" t="n"/>
      <c r="C8" s="11" t="n"/>
      <c r="D8" s="11" t="n"/>
      <c r="E8" s="18" t="n"/>
      <c r="F8" s="18" t="n"/>
      <c r="G8" s="11" t="n"/>
      <c r="H8" s="18">
        <f>IF(OR(E8="",F8="",G8=""),"", (F8-E8)*G8)</f>
        <v/>
      </c>
      <c r="I8" s="20">
        <f>IF(OR(E8="",F8=""),"", (F8/E8)-1)</f>
        <v/>
      </c>
      <c r="J8" s="11">
        <f>IF(OR(C8="",D8=""),"", D8-C8)</f>
        <v/>
      </c>
      <c r="K8" s="11" t="n"/>
    </row>
    <row r="9">
      <c r="A9" s="11" t="n"/>
      <c r="B9" s="11" t="n"/>
      <c r="C9" s="11" t="n"/>
      <c r="D9" s="11" t="n"/>
      <c r="E9" s="18" t="n"/>
      <c r="F9" s="18" t="n"/>
      <c r="G9" s="11" t="n"/>
      <c r="H9" s="18">
        <f>IF(OR(E9="",F9="",G9=""),"", (F9-E9)*G9)</f>
        <v/>
      </c>
      <c r="I9" s="20">
        <f>IF(OR(E9="",F9=""),"", (F9/E9)-1)</f>
        <v/>
      </c>
      <c r="J9" s="11">
        <f>IF(OR(C9="",D9=""),"", D9-C9)</f>
        <v/>
      </c>
      <c r="K9" s="11" t="n"/>
    </row>
    <row r="10">
      <c r="A10" s="11" t="n"/>
      <c r="B10" s="11" t="n"/>
      <c r="C10" s="11" t="n"/>
      <c r="D10" s="11" t="n"/>
      <c r="E10" s="18" t="n"/>
      <c r="F10" s="18" t="n"/>
      <c r="G10" s="11" t="n"/>
      <c r="H10" s="18">
        <f>IF(OR(E10="",F10="",G10=""),"", (F10-E10)*G10)</f>
        <v/>
      </c>
      <c r="I10" s="20">
        <f>IF(OR(E10="",F10=""),"", (F10/E10)-1)</f>
        <v/>
      </c>
      <c r="J10" s="11">
        <f>IF(OR(C10="",D10=""),"", D10-C10)</f>
        <v/>
      </c>
      <c r="K10" s="11" t="n"/>
    </row>
    <row r="11">
      <c r="A11" s="11" t="n"/>
      <c r="B11" s="11" t="n"/>
      <c r="C11" s="11" t="n"/>
      <c r="D11" s="11" t="n"/>
      <c r="E11" s="18" t="n"/>
      <c r="F11" s="18" t="n"/>
      <c r="G11" s="11" t="n"/>
      <c r="H11" s="18">
        <f>IF(OR(E11="",F11="",G11=""),"", (F11-E11)*G11)</f>
        <v/>
      </c>
      <c r="I11" s="20">
        <f>IF(OR(E11="",F11=""),"", (F11/E11)-1)</f>
        <v/>
      </c>
      <c r="J11" s="11">
        <f>IF(OR(C11="",D11=""),"", D11-C11)</f>
        <v/>
      </c>
      <c r="K11" s="11" t="n"/>
    </row>
    <row r="12">
      <c r="A12" s="11" t="n"/>
      <c r="B12" s="11" t="n"/>
      <c r="C12" s="11" t="n"/>
      <c r="D12" s="11" t="n"/>
      <c r="E12" s="18" t="n"/>
      <c r="F12" s="18" t="n"/>
      <c r="G12" s="11" t="n"/>
      <c r="H12" s="18">
        <f>IF(OR(E12="",F12="",G12=""),"", (F12-E12)*G12)</f>
        <v/>
      </c>
      <c r="I12" s="20">
        <f>IF(OR(E12="",F12=""),"", (F12/E12)-1)</f>
        <v/>
      </c>
      <c r="J12" s="11">
        <f>IF(OR(C12="",D12=""),"", D12-C12)</f>
        <v/>
      </c>
      <c r="K12" s="11" t="n"/>
    </row>
    <row r="13">
      <c r="A13" s="11" t="n"/>
      <c r="B13" s="11" t="n"/>
      <c r="C13" s="11" t="n"/>
      <c r="D13" s="11" t="n"/>
      <c r="E13" s="18" t="n"/>
      <c r="F13" s="18" t="n"/>
      <c r="G13" s="11" t="n"/>
      <c r="H13" s="18">
        <f>IF(OR(E13="",F13="",G13=""),"", (F13-E13)*G13)</f>
        <v/>
      </c>
      <c r="I13" s="20">
        <f>IF(OR(E13="",F13=""),"", (F13/E13)-1)</f>
        <v/>
      </c>
      <c r="J13" s="11">
        <f>IF(OR(C13="",D13=""),"", D13-C13)</f>
        <v/>
      </c>
      <c r="K13" s="11" t="n"/>
    </row>
    <row r="14">
      <c r="A14" s="11" t="n"/>
      <c r="B14" s="11" t="n"/>
      <c r="C14" s="11" t="n"/>
      <c r="D14" s="11" t="n"/>
      <c r="E14" s="18" t="n"/>
      <c r="F14" s="18" t="n"/>
      <c r="G14" s="11" t="n"/>
      <c r="H14" s="18">
        <f>IF(OR(E14="",F14="",G14=""),"", (F14-E14)*G14)</f>
        <v/>
      </c>
      <c r="I14" s="20">
        <f>IF(OR(E14="",F14=""),"", (F14/E14)-1)</f>
        <v/>
      </c>
      <c r="J14" s="11">
        <f>IF(OR(C14="",D14=""),"", D14-C14)</f>
        <v/>
      </c>
      <c r="K14" s="11" t="n"/>
    </row>
    <row r="15">
      <c r="A15" s="11" t="n"/>
      <c r="B15" s="11" t="n"/>
      <c r="C15" s="11" t="n"/>
      <c r="D15" s="11" t="n"/>
      <c r="E15" s="18" t="n"/>
      <c r="F15" s="18" t="n"/>
      <c r="G15" s="11" t="n"/>
      <c r="H15" s="18">
        <f>IF(OR(E15="",F15="",G15=""),"", (F15-E15)*G15)</f>
        <v/>
      </c>
      <c r="I15" s="20">
        <f>IF(OR(E15="",F15=""),"", (F15/E15)-1)</f>
        <v/>
      </c>
      <c r="J15" s="11">
        <f>IF(OR(C15="",D15=""),"", D15-C15)</f>
        <v/>
      </c>
      <c r="K15" s="11" t="n"/>
    </row>
    <row r="16">
      <c r="A16" s="11" t="n"/>
      <c r="B16" s="11" t="n"/>
      <c r="C16" s="11" t="n"/>
      <c r="D16" s="11" t="n"/>
      <c r="E16" s="18" t="n"/>
      <c r="F16" s="18" t="n"/>
      <c r="G16" s="11" t="n"/>
      <c r="H16" s="18">
        <f>IF(OR(E16="",F16="",G16=""),"", (F16-E16)*G16)</f>
        <v/>
      </c>
      <c r="I16" s="20">
        <f>IF(OR(E16="",F16=""),"", (F16/E16)-1)</f>
        <v/>
      </c>
      <c r="J16" s="11">
        <f>IF(OR(C16="",D16=""),"", D16-C16)</f>
        <v/>
      </c>
      <c r="K16" s="11" t="n"/>
    </row>
    <row r="17">
      <c r="A17" s="11" t="n"/>
      <c r="B17" s="11" t="n"/>
      <c r="C17" s="11" t="n"/>
      <c r="D17" s="11" t="n"/>
      <c r="E17" s="18" t="n"/>
      <c r="F17" s="18" t="n"/>
      <c r="G17" s="11" t="n"/>
      <c r="H17" s="18">
        <f>IF(OR(E17="",F17="",G17=""),"", (F17-E17)*G17)</f>
        <v/>
      </c>
      <c r="I17" s="20">
        <f>IF(OR(E17="",F17=""),"", (F17/E17)-1)</f>
        <v/>
      </c>
      <c r="J17" s="11">
        <f>IF(OR(C17="",D17=""),"", D17-C17)</f>
        <v/>
      </c>
      <c r="K17" s="11" t="n"/>
    </row>
    <row r="18">
      <c r="A18" s="11" t="n"/>
      <c r="B18" s="11" t="n"/>
      <c r="C18" s="11" t="n"/>
      <c r="D18" s="11" t="n"/>
      <c r="E18" s="18" t="n"/>
      <c r="F18" s="18" t="n"/>
      <c r="G18" s="11" t="n"/>
      <c r="H18" s="18">
        <f>IF(OR(E18="",F18="",G18=""),"", (F18-E18)*G18)</f>
        <v/>
      </c>
      <c r="I18" s="20">
        <f>IF(OR(E18="",F18=""),"", (F18/E18)-1)</f>
        <v/>
      </c>
      <c r="J18" s="11">
        <f>IF(OR(C18="",D18=""),"", D18-C18)</f>
        <v/>
      </c>
      <c r="K18" s="11" t="n"/>
    </row>
    <row r="19">
      <c r="A19" s="11" t="n"/>
      <c r="B19" s="11" t="n"/>
      <c r="C19" s="11" t="n"/>
      <c r="D19" s="11" t="n"/>
      <c r="E19" s="18" t="n"/>
      <c r="F19" s="18" t="n"/>
      <c r="G19" s="11" t="n"/>
      <c r="H19" s="18">
        <f>IF(OR(E19="",F19="",G19=""),"", (F19-E19)*G19)</f>
        <v/>
      </c>
      <c r="I19" s="20">
        <f>IF(OR(E19="",F19=""),"", (F19/E19)-1)</f>
        <v/>
      </c>
      <c r="J19" s="11">
        <f>IF(OR(C19="",D19=""),"", D19-C19)</f>
        <v/>
      </c>
      <c r="K19" s="11" t="n"/>
    </row>
    <row r="20">
      <c r="A20" s="11" t="n"/>
      <c r="B20" s="11" t="n"/>
      <c r="C20" s="11" t="n"/>
      <c r="D20" s="11" t="n"/>
      <c r="E20" s="18" t="n"/>
      <c r="F20" s="18" t="n"/>
      <c r="G20" s="11" t="n"/>
      <c r="H20" s="18">
        <f>IF(OR(E20="",F20="",G20=""),"", (F20-E20)*G20)</f>
        <v/>
      </c>
      <c r="I20" s="20">
        <f>IF(OR(E20="",F20=""),"", (F20/E20)-1)</f>
        <v/>
      </c>
      <c r="J20" s="11">
        <f>IF(OR(C20="",D20=""),"", D20-C20)</f>
        <v/>
      </c>
      <c r="K20" s="11" t="n"/>
    </row>
    <row r="21">
      <c r="A21" s="11" t="n"/>
      <c r="B21" s="11" t="n"/>
      <c r="C21" s="11" t="n"/>
      <c r="D21" s="11" t="n"/>
      <c r="E21" s="18" t="n"/>
      <c r="F21" s="18" t="n"/>
      <c r="G21" s="11" t="n"/>
      <c r="H21" s="18">
        <f>IF(OR(E21="",F21="",G21=""),"", (F21-E21)*G21)</f>
        <v/>
      </c>
      <c r="I21" s="20">
        <f>IF(OR(E21="",F21=""),"", (F21/E21)-1)</f>
        <v/>
      </c>
      <c r="J21" s="11">
        <f>IF(OR(C21="",D21=""),"", D21-C21)</f>
        <v/>
      </c>
      <c r="K21" s="11" t="n"/>
    </row>
    <row r="22">
      <c r="A22" s="11" t="n"/>
      <c r="B22" s="11" t="n"/>
      <c r="C22" s="11" t="n"/>
      <c r="D22" s="11" t="n"/>
      <c r="E22" s="18" t="n"/>
      <c r="F22" s="18" t="n"/>
      <c r="G22" s="11" t="n"/>
      <c r="H22" s="18">
        <f>IF(OR(E22="",F22="",G22=""),"", (F22-E22)*G22)</f>
        <v/>
      </c>
      <c r="I22" s="20">
        <f>IF(OR(E22="",F22=""),"", (F22/E22)-1)</f>
        <v/>
      </c>
      <c r="J22" s="11">
        <f>IF(OR(C22="",D22=""),"", D22-C22)</f>
        <v/>
      </c>
      <c r="K22" s="11" t="n"/>
    </row>
    <row r="23">
      <c r="A23" s="11" t="n"/>
      <c r="B23" s="11" t="n"/>
      <c r="C23" s="11" t="n"/>
      <c r="D23" s="11" t="n"/>
      <c r="E23" s="18" t="n"/>
      <c r="F23" s="18" t="n"/>
      <c r="G23" s="11" t="n"/>
      <c r="H23" s="18">
        <f>IF(OR(E23="",F23="",G23=""),"", (F23-E23)*G23)</f>
        <v/>
      </c>
      <c r="I23" s="20">
        <f>IF(OR(E23="",F23=""),"", (F23/E23)-1)</f>
        <v/>
      </c>
      <c r="J23" s="11">
        <f>IF(OR(C23="",D23=""),"", D23-C23)</f>
        <v/>
      </c>
      <c r="K23" s="11" t="n"/>
    </row>
    <row r="24">
      <c r="A24" s="11" t="n"/>
      <c r="B24" s="11" t="n"/>
      <c r="C24" s="11" t="n"/>
      <c r="D24" s="11" t="n"/>
      <c r="E24" s="18" t="n"/>
      <c r="F24" s="18" t="n"/>
      <c r="G24" s="11" t="n"/>
      <c r="H24" s="18">
        <f>IF(OR(E24="",F24="",G24=""),"", (F24-E24)*G24)</f>
        <v/>
      </c>
      <c r="I24" s="20">
        <f>IF(OR(E24="",F24=""),"", (F24/E24)-1)</f>
        <v/>
      </c>
      <c r="J24" s="11">
        <f>IF(OR(C24="",D24=""),"", D24-C24)</f>
        <v/>
      </c>
      <c r="K24" s="11" t="n"/>
    </row>
    <row r="25">
      <c r="A25" s="11" t="n"/>
      <c r="B25" s="11" t="n"/>
      <c r="C25" s="11" t="n"/>
      <c r="D25" s="11" t="n"/>
      <c r="E25" s="18" t="n"/>
      <c r="F25" s="18" t="n"/>
      <c r="G25" s="11" t="n"/>
      <c r="H25" s="18">
        <f>IF(OR(E25="",F25="",G25=""),"", (F25-E25)*G25)</f>
        <v/>
      </c>
      <c r="I25" s="20">
        <f>IF(OR(E25="",F25=""),"", (F25/E25)-1)</f>
        <v/>
      </c>
      <c r="J25" s="11">
        <f>IF(OR(C25="",D25=""),"", D25-C25)</f>
        <v/>
      </c>
      <c r="K25" s="11" t="n"/>
    </row>
    <row r="26">
      <c r="A26" s="11" t="n"/>
      <c r="B26" s="11" t="n"/>
      <c r="C26" s="11" t="n"/>
      <c r="D26" s="11" t="n"/>
      <c r="E26" s="18" t="n"/>
      <c r="F26" s="18" t="n"/>
      <c r="G26" s="11" t="n"/>
      <c r="H26" s="18">
        <f>IF(OR(E26="",F26="",G26=""),"", (F26-E26)*G26)</f>
        <v/>
      </c>
      <c r="I26" s="20">
        <f>IF(OR(E26="",F26=""),"", (F26/E26)-1)</f>
        <v/>
      </c>
      <c r="J26" s="11">
        <f>IF(OR(C26="",D26=""),"", D26-C26)</f>
        <v/>
      </c>
      <c r="K26" s="11" t="n"/>
    </row>
    <row r="27">
      <c r="A27" s="11" t="n"/>
      <c r="B27" s="11" t="n"/>
      <c r="C27" s="11" t="n"/>
      <c r="D27" s="11" t="n"/>
      <c r="E27" s="18" t="n"/>
      <c r="F27" s="18" t="n"/>
      <c r="G27" s="11" t="n"/>
      <c r="H27" s="18">
        <f>IF(OR(E27="",F27="",G27=""),"", (F27-E27)*G27)</f>
        <v/>
      </c>
      <c r="I27" s="20">
        <f>IF(OR(E27="",F27=""),"", (F27/E27)-1)</f>
        <v/>
      </c>
      <c r="J27" s="11">
        <f>IF(OR(C27="",D27=""),"", D27-C27)</f>
        <v/>
      </c>
      <c r="K27" s="11" t="n"/>
    </row>
    <row r="28">
      <c r="A28" s="11" t="n"/>
      <c r="B28" s="11" t="n"/>
      <c r="C28" s="11" t="n"/>
      <c r="D28" s="11" t="n"/>
      <c r="E28" s="18" t="n"/>
      <c r="F28" s="18" t="n"/>
      <c r="G28" s="11" t="n"/>
      <c r="H28" s="18">
        <f>IF(OR(E28="",F28="",G28=""),"", (F28-E28)*G28)</f>
        <v/>
      </c>
      <c r="I28" s="20">
        <f>IF(OR(E28="",F28=""),"", (F28/E28)-1)</f>
        <v/>
      </c>
      <c r="J28" s="11">
        <f>IF(OR(C28="",D28=""),"", D28-C28)</f>
        <v/>
      </c>
      <c r="K28" s="11" t="n"/>
    </row>
    <row r="29">
      <c r="A29" s="11" t="n"/>
      <c r="B29" s="11" t="n"/>
      <c r="C29" s="11" t="n"/>
      <c r="D29" s="11" t="n"/>
      <c r="E29" s="18" t="n"/>
      <c r="F29" s="18" t="n"/>
      <c r="G29" s="11" t="n"/>
      <c r="H29" s="18">
        <f>IF(OR(E29="",F29="",G29=""),"", (F29-E29)*G29)</f>
        <v/>
      </c>
      <c r="I29" s="20">
        <f>IF(OR(E29="",F29=""),"", (F29/E29)-1)</f>
        <v/>
      </c>
      <c r="J29" s="11">
        <f>IF(OR(C29="",D29=""),"", D29-C29)</f>
        <v/>
      </c>
      <c r="K29" s="11" t="n"/>
    </row>
    <row r="30">
      <c r="A30" s="11" t="n"/>
      <c r="B30" s="11" t="n"/>
      <c r="C30" s="11" t="n"/>
      <c r="D30" s="11" t="n"/>
      <c r="E30" s="18" t="n"/>
      <c r="F30" s="18" t="n"/>
      <c r="G30" s="11" t="n"/>
      <c r="H30" s="18">
        <f>IF(OR(E30="",F30="",G30=""),"", (F30-E30)*G30)</f>
        <v/>
      </c>
      <c r="I30" s="20">
        <f>IF(OR(E30="",F30=""),"", (F30/E30)-1)</f>
        <v/>
      </c>
      <c r="J30" s="11">
        <f>IF(OR(C30="",D30=""),"", D30-C30)</f>
        <v/>
      </c>
      <c r="K30" s="11" t="n"/>
    </row>
    <row r="31">
      <c r="A31" s="11" t="n"/>
      <c r="B31" s="11" t="n"/>
      <c r="C31" s="11" t="n"/>
      <c r="D31" s="11" t="n"/>
      <c r="E31" s="18" t="n"/>
      <c r="F31" s="18" t="n"/>
      <c r="G31" s="11" t="n"/>
      <c r="H31" s="18">
        <f>IF(OR(E31="",F31="",G31=""),"", (F31-E31)*G31)</f>
        <v/>
      </c>
      <c r="I31" s="20">
        <f>IF(OR(E31="",F31=""),"", (F31/E31)-1)</f>
        <v/>
      </c>
      <c r="J31" s="11">
        <f>IF(OR(C31="",D31=""),"", D31-C31)</f>
        <v/>
      </c>
      <c r="K31" s="11" t="n"/>
    </row>
    <row r="32">
      <c r="A32" s="11" t="n"/>
      <c r="B32" s="11" t="n"/>
      <c r="C32" s="11" t="n"/>
      <c r="D32" s="11" t="n"/>
      <c r="E32" s="18" t="n"/>
      <c r="F32" s="18" t="n"/>
      <c r="G32" s="11" t="n"/>
      <c r="H32" s="18">
        <f>IF(OR(E32="",F32="",G32=""),"", (F32-E32)*G32)</f>
        <v/>
      </c>
      <c r="I32" s="20">
        <f>IF(OR(E32="",F32=""),"", (F32/E32)-1)</f>
        <v/>
      </c>
      <c r="J32" s="11">
        <f>IF(OR(C32="",D32=""),"", D32-C32)</f>
        <v/>
      </c>
      <c r="K32" s="11" t="n"/>
    </row>
    <row r="33">
      <c r="A33" s="11" t="n"/>
      <c r="B33" s="11" t="n"/>
      <c r="C33" s="11" t="n"/>
      <c r="D33" s="11" t="n"/>
      <c r="E33" s="18" t="n"/>
      <c r="F33" s="18" t="n"/>
      <c r="G33" s="11" t="n"/>
      <c r="H33" s="18">
        <f>IF(OR(E33="",F33="",G33=""),"", (F33-E33)*G33)</f>
        <v/>
      </c>
      <c r="I33" s="20">
        <f>IF(OR(E33="",F33=""),"", (F33/E33)-1)</f>
        <v/>
      </c>
      <c r="J33" s="11">
        <f>IF(OR(C33="",D33=""),"", D33-C33)</f>
        <v/>
      </c>
      <c r="K33" s="11" t="n"/>
    </row>
    <row r="34">
      <c r="A34" s="11" t="n"/>
      <c r="B34" s="11" t="n"/>
      <c r="C34" s="11" t="n"/>
      <c r="D34" s="11" t="n"/>
      <c r="E34" s="18" t="n"/>
      <c r="F34" s="18" t="n"/>
      <c r="G34" s="11" t="n"/>
      <c r="H34" s="18">
        <f>IF(OR(E34="",F34="",G34=""),"", (F34-E34)*G34)</f>
        <v/>
      </c>
      <c r="I34" s="20">
        <f>IF(OR(E34="",F34=""),"", (F34/E34)-1)</f>
        <v/>
      </c>
      <c r="J34" s="11">
        <f>IF(OR(C34="",D34=""),"", D34-C34)</f>
        <v/>
      </c>
      <c r="K34" s="11" t="n"/>
    </row>
    <row r="35">
      <c r="A35" s="11" t="n"/>
      <c r="B35" s="11" t="n"/>
      <c r="C35" s="11" t="n"/>
      <c r="D35" s="11" t="n"/>
      <c r="E35" s="18" t="n"/>
      <c r="F35" s="18" t="n"/>
      <c r="G35" s="11" t="n"/>
      <c r="H35" s="18">
        <f>IF(OR(E35="",F35="",G35=""),"", (F35-E35)*G35)</f>
        <v/>
      </c>
      <c r="I35" s="20">
        <f>IF(OR(E35="",F35=""),"", (F35/E35)-1)</f>
        <v/>
      </c>
      <c r="J35" s="11">
        <f>IF(OR(C35="",D35=""),"", D35-C35)</f>
        <v/>
      </c>
      <c r="K35" s="11" t="n"/>
    </row>
    <row r="36">
      <c r="A36" s="11" t="n"/>
      <c r="B36" s="11" t="n"/>
      <c r="C36" s="11" t="n"/>
      <c r="D36" s="11" t="n"/>
      <c r="E36" s="18" t="n"/>
      <c r="F36" s="18" t="n"/>
      <c r="G36" s="11" t="n"/>
      <c r="H36" s="18">
        <f>IF(OR(E36="",F36="",G36=""),"", (F36-E36)*G36)</f>
        <v/>
      </c>
      <c r="I36" s="20">
        <f>IF(OR(E36="",F36=""),"", (F36/E36)-1)</f>
        <v/>
      </c>
      <c r="J36" s="11">
        <f>IF(OR(C36="",D36=""),"", D36-C36)</f>
        <v/>
      </c>
      <c r="K36" s="11" t="n"/>
    </row>
    <row r="37">
      <c r="A37" s="11" t="n"/>
      <c r="B37" s="11" t="n"/>
      <c r="C37" s="11" t="n"/>
      <c r="D37" s="11" t="n"/>
      <c r="E37" s="18" t="n"/>
      <c r="F37" s="18" t="n"/>
      <c r="G37" s="11" t="n"/>
      <c r="H37" s="18">
        <f>IF(OR(E37="",F37="",G37=""),"", (F37-E37)*G37)</f>
        <v/>
      </c>
      <c r="I37" s="20">
        <f>IF(OR(E37="",F37=""),"", (F37/E37)-1)</f>
        <v/>
      </c>
      <c r="J37" s="11">
        <f>IF(OR(C37="",D37=""),"", D37-C37)</f>
        <v/>
      </c>
      <c r="K37" s="11" t="n"/>
    </row>
    <row r="38">
      <c r="A38" s="11" t="n"/>
      <c r="B38" s="11" t="n"/>
      <c r="C38" s="11" t="n"/>
      <c r="D38" s="11" t="n"/>
      <c r="E38" s="18" t="n"/>
      <c r="F38" s="18" t="n"/>
      <c r="G38" s="11" t="n"/>
      <c r="H38" s="18">
        <f>IF(OR(E38="",F38="",G38=""),"", (F38-E38)*G38)</f>
        <v/>
      </c>
      <c r="I38" s="20">
        <f>IF(OR(E38="",F38=""),"", (F38/E38)-1)</f>
        <v/>
      </c>
      <c r="J38" s="11">
        <f>IF(OR(C38="",D38=""),"", D38-C38)</f>
        <v/>
      </c>
      <c r="K38" s="11" t="n"/>
    </row>
    <row r="39">
      <c r="A39" s="11" t="n"/>
      <c r="B39" s="11" t="n"/>
      <c r="C39" s="11" t="n"/>
      <c r="D39" s="11" t="n"/>
      <c r="E39" s="18" t="n"/>
      <c r="F39" s="18" t="n"/>
      <c r="G39" s="11" t="n"/>
      <c r="H39" s="18">
        <f>IF(OR(E39="",F39="",G39=""),"", (F39-E39)*G39)</f>
        <v/>
      </c>
      <c r="I39" s="20">
        <f>IF(OR(E39="",F39=""),"", (F39/E39)-1)</f>
        <v/>
      </c>
      <c r="J39" s="11">
        <f>IF(OR(C39="",D39=""),"", D39-C39)</f>
        <v/>
      </c>
      <c r="K39" s="11" t="n"/>
    </row>
    <row r="40">
      <c r="A40" s="11" t="n"/>
      <c r="B40" s="11" t="n"/>
      <c r="C40" s="11" t="n"/>
      <c r="D40" s="11" t="n"/>
      <c r="E40" s="18" t="n"/>
      <c r="F40" s="18" t="n"/>
      <c r="G40" s="11" t="n"/>
      <c r="H40" s="18">
        <f>IF(OR(E40="",F40="",G40=""),"", (F40-E40)*G40)</f>
        <v/>
      </c>
      <c r="I40" s="20">
        <f>IF(OR(E40="",F40=""),"", (F40/E40)-1)</f>
        <v/>
      </c>
      <c r="J40" s="11">
        <f>IF(OR(C40="",D40=""),"", D40-C40)</f>
        <v/>
      </c>
      <c r="K40" s="11" t="n"/>
    </row>
    <row r="41">
      <c r="A41" s="11" t="n"/>
      <c r="B41" s="11" t="n"/>
      <c r="C41" s="11" t="n"/>
      <c r="D41" s="11" t="n"/>
      <c r="E41" s="18" t="n"/>
      <c r="F41" s="18" t="n"/>
      <c r="G41" s="11" t="n"/>
      <c r="H41" s="18">
        <f>IF(OR(E41="",F41="",G41=""),"", (F41-E41)*G41)</f>
        <v/>
      </c>
      <c r="I41" s="20">
        <f>IF(OR(E41="",F41=""),"", (F41/E41)-1)</f>
        <v/>
      </c>
      <c r="J41" s="11">
        <f>IF(OR(C41="",D41=""),"", D41-C41)</f>
        <v/>
      </c>
      <c r="K41" s="11" t="n"/>
    </row>
    <row r="42">
      <c r="A42" s="11" t="n"/>
      <c r="B42" s="11" t="n"/>
      <c r="C42" s="11" t="n"/>
      <c r="D42" s="11" t="n"/>
      <c r="E42" s="18" t="n"/>
      <c r="F42" s="18" t="n"/>
      <c r="G42" s="11" t="n"/>
      <c r="H42" s="18">
        <f>IF(OR(E42="",F42="",G42=""),"", (F42-E42)*G42)</f>
        <v/>
      </c>
      <c r="I42" s="20">
        <f>IF(OR(E42="",F42=""),"", (F42/E42)-1)</f>
        <v/>
      </c>
      <c r="J42" s="11">
        <f>IF(OR(C42="",D42=""),"", D42-C42)</f>
        <v/>
      </c>
      <c r="K42" s="11" t="n"/>
    </row>
    <row r="43">
      <c r="A43" s="11" t="n"/>
      <c r="B43" s="11" t="n"/>
      <c r="C43" s="11" t="n"/>
      <c r="D43" s="11" t="n"/>
      <c r="E43" s="18" t="n"/>
      <c r="F43" s="18" t="n"/>
      <c r="G43" s="11" t="n"/>
      <c r="H43" s="18">
        <f>IF(OR(E43="",F43="",G43=""),"", (F43-E43)*G43)</f>
        <v/>
      </c>
      <c r="I43" s="20">
        <f>IF(OR(E43="",F43=""),"", (F43/E43)-1)</f>
        <v/>
      </c>
      <c r="J43" s="11">
        <f>IF(OR(C43="",D43=""),"", D43-C43)</f>
        <v/>
      </c>
      <c r="K43" s="11" t="n"/>
    </row>
    <row r="44">
      <c r="A44" s="11" t="n"/>
      <c r="B44" s="11" t="n"/>
      <c r="C44" s="11" t="n"/>
      <c r="D44" s="11" t="n"/>
      <c r="E44" s="18" t="n"/>
      <c r="F44" s="18" t="n"/>
      <c r="G44" s="11" t="n"/>
      <c r="H44" s="18">
        <f>IF(OR(E44="",F44="",G44=""),"", (F44-E44)*G44)</f>
        <v/>
      </c>
      <c r="I44" s="20">
        <f>IF(OR(E44="",F44=""),"", (F44/E44)-1)</f>
        <v/>
      </c>
      <c r="J44" s="11">
        <f>IF(OR(C44="",D44=""),"", D44-C44)</f>
        <v/>
      </c>
      <c r="K44" s="11" t="n"/>
    </row>
    <row r="45">
      <c r="A45" s="11" t="n"/>
      <c r="B45" s="11" t="n"/>
      <c r="C45" s="11" t="n"/>
      <c r="D45" s="11" t="n"/>
      <c r="E45" s="18" t="n"/>
      <c r="F45" s="18" t="n"/>
      <c r="G45" s="11" t="n"/>
      <c r="H45" s="18">
        <f>IF(OR(E45="",F45="",G45=""),"", (F45-E45)*G45)</f>
        <v/>
      </c>
      <c r="I45" s="20">
        <f>IF(OR(E45="",F45=""),"", (F45/E45)-1)</f>
        <v/>
      </c>
      <c r="J45" s="11">
        <f>IF(OR(C45="",D45=""),"", D45-C45)</f>
        <v/>
      </c>
      <c r="K45" s="11" t="n"/>
    </row>
    <row r="46">
      <c r="A46" s="11" t="n"/>
      <c r="B46" s="11" t="n"/>
      <c r="C46" s="11" t="n"/>
      <c r="D46" s="11" t="n"/>
      <c r="E46" s="18" t="n"/>
      <c r="F46" s="18" t="n"/>
      <c r="G46" s="11" t="n"/>
      <c r="H46" s="18">
        <f>IF(OR(E46="",F46="",G46=""),"", (F46-E46)*G46)</f>
        <v/>
      </c>
      <c r="I46" s="20">
        <f>IF(OR(E46="",F46=""),"", (F46/E46)-1)</f>
        <v/>
      </c>
      <c r="J46" s="11">
        <f>IF(OR(C46="",D46=""),"", D46-C46)</f>
        <v/>
      </c>
      <c r="K46" s="11" t="n"/>
    </row>
    <row r="47">
      <c r="A47" s="11" t="n"/>
      <c r="B47" s="11" t="n"/>
      <c r="C47" s="11" t="n"/>
      <c r="D47" s="11" t="n"/>
      <c r="E47" s="18" t="n"/>
      <c r="F47" s="18" t="n"/>
      <c r="G47" s="11" t="n"/>
      <c r="H47" s="18">
        <f>IF(OR(E47="",F47="",G47=""),"", (F47-E47)*G47)</f>
        <v/>
      </c>
      <c r="I47" s="20">
        <f>IF(OR(E47="",F47=""),"", (F47/E47)-1)</f>
        <v/>
      </c>
      <c r="J47" s="11">
        <f>IF(OR(C47="",D47=""),"", D47-C47)</f>
        <v/>
      </c>
      <c r="K47" s="11" t="n"/>
    </row>
    <row r="48">
      <c r="A48" s="11" t="n"/>
      <c r="B48" s="11" t="n"/>
      <c r="C48" s="11" t="n"/>
      <c r="D48" s="11" t="n"/>
      <c r="E48" s="18" t="n"/>
      <c r="F48" s="18" t="n"/>
      <c r="G48" s="11" t="n"/>
      <c r="H48" s="18">
        <f>IF(OR(E48="",F48="",G48=""),"", (F48-E48)*G48)</f>
        <v/>
      </c>
      <c r="I48" s="20">
        <f>IF(OR(E48="",F48=""),"", (F48/E48)-1)</f>
        <v/>
      </c>
      <c r="J48" s="11">
        <f>IF(OR(C48="",D48=""),"", D48-C48)</f>
        <v/>
      </c>
      <c r="K48" s="11" t="n"/>
    </row>
    <row r="49">
      <c r="A49" s="11" t="n"/>
      <c r="B49" s="11" t="n"/>
      <c r="C49" s="11" t="n"/>
      <c r="D49" s="11" t="n"/>
      <c r="E49" s="18" t="n"/>
      <c r="F49" s="18" t="n"/>
      <c r="G49" s="11" t="n"/>
      <c r="H49" s="18">
        <f>IF(OR(E49="",F49="",G49=""),"", (F49-E49)*G49)</f>
        <v/>
      </c>
      <c r="I49" s="20">
        <f>IF(OR(E49="",F49=""),"", (F49/E49)-1)</f>
        <v/>
      </c>
      <c r="J49" s="11">
        <f>IF(OR(C49="",D49=""),"", D49-C49)</f>
        <v/>
      </c>
      <c r="K49" s="11" t="n"/>
    </row>
    <row r="50">
      <c r="A50" s="11" t="n"/>
      <c r="B50" s="11" t="n"/>
      <c r="C50" s="11" t="n"/>
      <c r="D50" s="11" t="n"/>
      <c r="E50" s="18" t="n"/>
      <c r="F50" s="18" t="n"/>
      <c r="G50" s="11" t="n"/>
      <c r="H50" s="18">
        <f>IF(OR(E50="",F50="",G50=""),"", (F50-E50)*G50)</f>
        <v/>
      </c>
      <c r="I50" s="20">
        <f>IF(OR(E50="",F50=""),"", (F50/E50)-1)</f>
        <v/>
      </c>
      <c r="J50" s="11">
        <f>IF(OR(C50="",D50=""),"", D50-C50)</f>
        <v/>
      </c>
      <c r="K50" s="11" t="n"/>
    </row>
    <row r="51">
      <c r="A51" s="11" t="n"/>
      <c r="B51" s="11" t="n"/>
      <c r="C51" s="11" t="n"/>
      <c r="D51" s="11" t="n"/>
      <c r="E51" s="18" t="n"/>
      <c r="F51" s="18" t="n"/>
      <c r="G51" s="11" t="n"/>
      <c r="H51" s="18">
        <f>IF(OR(E51="",F51="",G51=""),"", (F51-E51)*G51)</f>
        <v/>
      </c>
      <c r="I51" s="20">
        <f>IF(OR(E51="",F51=""),"", (F51/E51)-1)</f>
        <v/>
      </c>
      <c r="J51" s="11">
        <f>IF(OR(C51="",D51=""),"", D51-C51)</f>
        <v/>
      </c>
      <c r="K51" s="11" t="n"/>
    </row>
    <row r="52">
      <c r="A52" s="11" t="n"/>
      <c r="B52" s="11" t="n"/>
      <c r="C52" s="11" t="n"/>
      <c r="D52" s="11" t="n"/>
      <c r="E52" s="18" t="n"/>
      <c r="F52" s="18" t="n"/>
      <c r="G52" s="11" t="n"/>
      <c r="H52" s="18">
        <f>IF(OR(E52="",F52="",G52=""),"", (F52-E52)*G52)</f>
        <v/>
      </c>
      <c r="I52" s="20">
        <f>IF(OR(E52="",F52=""),"", (F52/E52)-1)</f>
        <v/>
      </c>
      <c r="J52" s="11">
        <f>IF(OR(C52="",D52=""),"", D52-C52)</f>
        <v/>
      </c>
      <c r="K52" s="11" t="n"/>
    </row>
    <row r="53">
      <c r="A53" s="11" t="n"/>
      <c r="B53" s="11" t="n"/>
      <c r="C53" s="11" t="n"/>
      <c r="D53" s="11" t="n"/>
      <c r="E53" s="18" t="n"/>
      <c r="F53" s="18" t="n"/>
      <c r="G53" s="11" t="n"/>
      <c r="H53" s="18">
        <f>IF(OR(E53="",F53="",G53=""),"", (F53-E53)*G53)</f>
        <v/>
      </c>
      <c r="I53" s="20">
        <f>IF(OR(E53="",F53=""),"", (F53/E53)-1)</f>
        <v/>
      </c>
      <c r="J53" s="11">
        <f>IF(OR(C53="",D53=""),"", D53-C53)</f>
        <v/>
      </c>
      <c r="K53" s="11" t="n"/>
    </row>
    <row r="54">
      <c r="A54" s="11" t="n"/>
      <c r="B54" s="11" t="n"/>
      <c r="C54" s="11" t="n"/>
      <c r="D54" s="11" t="n"/>
      <c r="E54" s="18" t="n"/>
      <c r="F54" s="18" t="n"/>
      <c r="G54" s="11" t="n"/>
      <c r="H54" s="18">
        <f>IF(OR(E54="",F54="",G54=""),"", (F54-E54)*G54)</f>
        <v/>
      </c>
      <c r="I54" s="20">
        <f>IF(OR(E54="",F54=""),"", (F54/E54)-1)</f>
        <v/>
      </c>
      <c r="J54" s="11">
        <f>IF(OR(C54="",D54=""),"", D54-C54)</f>
        <v/>
      </c>
      <c r="K54" s="11" t="n"/>
    </row>
    <row r="55">
      <c r="A55" s="11" t="n"/>
      <c r="B55" s="11" t="n"/>
      <c r="C55" s="11" t="n"/>
      <c r="D55" s="11" t="n"/>
      <c r="E55" s="18" t="n"/>
      <c r="F55" s="18" t="n"/>
      <c r="G55" s="11" t="n"/>
      <c r="H55" s="18">
        <f>IF(OR(E55="",F55="",G55=""),"", (F55-E55)*G55)</f>
        <v/>
      </c>
      <c r="I55" s="20">
        <f>IF(OR(E55="",F55=""),"", (F55/E55)-1)</f>
        <v/>
      </c>
      <c r="J55" s="11">
        <f>IF(OR(C55="",D55=""),"", D55-C55)</f>
        <v/>
      </c>
      <c r="K55" s="11" t="n"/>
    </row>
    <row r="56">
      <c r="A56" s="11" t="n"/>
      <c r="B56" s="11" t="n"/>
      <c r="C56" s="11" t="n"/>
      <c r="D56" s="11" t="n"/>
      <c r="E56" s="18" t="n"/>
      <c r="F56" s="18" t="n"/>
      <c r="G56" s="11" t="n"/>
      <c r="H56" s="18">
        <f>IF(OR(E56="",F56="",G56=""),"", (F56-E56)*G56)</f>
        <v/>
      </c>
      <c r="I56" s="20">
        <f>IF(OR(E56="",F56=""),"", (F56/E56)-1)</f>
        <v/>
      </c>
      <c r="J56" s="11">
        <f>IF(OR(C56="",D56=""),"", D56-C56)</f>
        <v/>
      </c>
      <c r="K56" s="11" t="n"/>
    </row>
    <row r="57">
      <c r="A57" s="11" t="n"/>
      <c r="B57" s="11" t="n"/>
      <c r="C57" s="11" t="n"/>
      <c r="D57" s="11" t="n"/>
      <c r="E57" s="18" t="n"/>
      <c r="F57" s="18" t="n"/>
      <c r="G57" s="11" t="n"/>
      <c r="H57" s="18">
        <f>IF(OR(E57="",F57="",G57=""),"", (F57-E57)*G57)</f>
        <v/>
      </c>
      <c r="I57" s="20">
        <f>IF(OR(E57="",F57=""),"", (F57/E57)-1)</f>
        <v/>
      </c>
      <c r="J57" s="11">
        <f>IF(OR(C57="",D57=""),"", D57-C57)</f>
        <v/>
      </c>
      <c r="K57" s="11" t="n"/>
    </row>
    <row r="58">
      <c r="A58" s="11" t="n"/>
      <c r="B58" s="11" t="n"/>
      <c r="C58" s="11" t="n"/>
      <c r="D58" s="11" t="n"/>
      <c r="E58" s="18" t="n"/>
      <c r="F58" s="18" t="n"/>
      <c r="G58" s="11" t="n"/>
      <c r="H58" s="18">
        <f>IF(OR(E58="",F58="",G58=""),"", (F58-E58)*G58)</f>
        <v/>
      </c>
      <c r="I58" s="20">
        <f>IF(OR(E58="",F58=""),"", (F58/E58)-1)</f>
        <v/>
      </c>
      <c r="J58" s="11">
        <f>IF(OR(C58="",D58=""),"", D58-C58)</f>
        <v/>
      </c>
      <c r="K58" s="11" t="n"/>
    </row>
    <row r="59">
      <c r="A59" s="11" t="n"/>
      <c r="B59" s="11" t="n"/>
      <c r="C59" s="11" t="n"/>
      <c r="D59" s="11" t="n"/>
      <c r="E59" s="18" t="n"/>
      <c r="F59" s="18" t="n"/>
      <c r="G59" s="11" t="n"/>
      <c r="H59" s="18">
        <f>IF(OR(E59="",F59="",G59=""),"", (F59-E59)*G59)</f>
        <v/>
      </c>
      <c r="I59" s="20">
        <f>IF(OR(E59="",F59=""),"", (F59/E59)-1)</f>
        <v/>
      </c>
      <c r="J59" s="11">
        <f>IF(OR(C59="",D59=""),"", D59-C59)</f>
        <v/>
      </c>
      <c r="K59" s="11" t="n"/>
    </row>
    <row r="60">
      <c r="A60" s="11" t="n"/>
      <c r="B60" s="11" t="n"/>
      <c r="C60" s="11" t="n"/>
      <c r="D60" s="11" t="n"/>
      <c r="E60" s="18" t="n"/>
      <c r="F60" s="18" t="n"/>
      <c r="G60" s="11" t="n"/>
      <c r="H60" s="18">
        <f>IF(OR(E60="",F60="",G60=""),"", (F60-E60)*G60)</f>
        <v/>
      </c>
      <c r="I60" s="20">
        <f>IF(OR(E60="",F60=""),"", (F60/E60)-1)</f>
        <v/>
      </c>
      <c r="J60" s="11">
        <f>IF(OR(C60="",D60=""),"", D60-C60)</f>
        <v/>
      </c>
      <c r="K60" s="11" t="n"/>
    </row>
    <row r="61">
      <c r="A61" s="11" t="n"/>
      <c r="B61" s="11" t="n"/>
      <c r="C61" s="11" t="n"/>
      <c r="D61" s="11" t="n"/>
      <c r="E61" s="18" t="n"/>
      <c r="F61" s="18" t="n"/>
      <c r="G61" s="11" t="n"/>
      <c r="H61" s="18">
        <f>IF(OR(E61="",F61="",G61=""),"", (F61-E61)*G61)</f>
        <v/>
      </c>
      <c r="I61" s="20">
        <f>IF(OR(E61="",F61=""),"", (F61/E61)-1)</f>
        <v/>
      </c>
      <c r="J61" s="11">
        <f>IF(OR(C61="",D61=""),"", D61-C61)</f>
        <v/>
      </c>
      <c r="K61" s="11" t="n"/>
    </row>
    <row r="62">
      <c r="A62" s="11" t="n"/>
      <c r="B62" s="11" t="n"/>
      <c r="C62" s="11" t="n"/>
      <c r="D62" s="11" t="n"/>
      <c r="E62" s="18" t="n"/>
      <c r="F62" s="18" t="n"/>
      <c r="G62" s="11" t="n"/>
      <c r="H62" s="18">
        <f>IF(OR(E62="",F62="",G62=""),"", (F62-E62)*G62)</f>
        <v/>
      </c>
      <c r="I62" s="20">
        <f>IF(OR(E62="",F62=""),"", (F62/E62)-1)</f>
        <v/>
      </c>
      <c r="J62" s="11">
        <f>IF(OR(C62="",D62=""),"", D62-C62)</f>
        <v/>
      </c>
      <c r="K62" s="11" t="n"/>
    </row>
    <row r="63">
      <c r="A63" s="11" t="n"/>
      <c r="B63" s="11" t="n"/>
      <c r="C63" s="11" t="n"/>
      <c r="D63" s="11" t="n"/>
      <c r="E63" s="18" t="n"/>
      <c r="F63" s="18" t="n"/>
      <c r="G63" s="11" t="n"/>
      <c r="H63" s="18">
        <f>IF(OR(E63="",F63="",G63=""),"", (F63-E63)*G63)</f>
        <v/>
      </c>
      <c r="I63" s="20">
        <f>IF(OR(E63="",F63=""),"", (F63/E63)-1)</f>
        <v/>
      </c>
      <c r="J63" s="11">
        <f>IF(OR(C63="",D63=""),"", D63-C63)</f>
        <v/>
      </c>
      <c r="K63" s="11" t="n"/>
    </row>
    <row r="64">
      <c r="A64" s="11" t="n"/>
      <c r="B64" s="11" t="n"/>
      <c r="C64" s="11" t="n"/>
      <c r="D64" s="11" t="n"/>
      <c r="E64" s="18" t="n"/>
      <c r="F64" s="18" t="n"/>
      <c r="G64" s="11" t="n"/>
      <c r="H64" s="18">
        <f>IF(OR(E64="",F64="",G64=""),"", (F64-E64)*G64)</f>
        <v/>
      </c>
      <c r="I64" s="20">
        <f>IF(OR(E64="",F64=""),"", (F64/E64)-1)</f>
        <v/>
      </c>
      <c r="J64" s="11">
        <f>IF(OR(C64="",D64=""),"", D64-C64)</f>
        <v/>
      </c>
      <c r="K64" s="11" t="n"/>
    </row>
    <row r="65">
      <c r="A65" s="11" t="n"/>
      <c r="B65" s="11" t="n"/>
      <c r="C65" s="11" t="n"/>
      <c r="D65" s="11" t="n"/>
      <c r="E65" s="18" t="n"/>
      <c r="F65" s="18" t="n"/>
      <c r="G65" s="11" t="n"/>
      <c r="H65" s="18">
        <f>IF(OR(E65="",F65="",G65=""),"", (F65-E65)*G65)</f>
        <v/>
      </c>
      <c r="I65" s="20">
        <f>IF(OR(E65="",F65=""),"", (F65/E65)-1)</f>
        <v/>
      </c>
      <c r="J65" s="11">
        <f>IF(OR(C65="",D65=""),"", D65-C65)</f>
        <v/>
      </c>
      <c r="K65" s="11" t="n"/>
    </row>
    <row r="66">
      <c r="A66" s="11" t="n"/>
      <c r="B66" s="11" t="n"/>
      <c r="C66" s="11" t="n"/>
      <c r="D66" s="11" t="n"/>
      <c r="E66" s="18" t="n"/>
      <c r="F66" s="18" t="n"/>
      <c r="G66" s="11" t="n"/>
      <c r="H66" s="18">
        <f>IF(OR(E66="",F66="",G66=""),"", (F66-E66)*G66)</f>
        <v/>
      </c>
      <c r="I66" s="20">
        <f>IF(OR(E66="",F66=""),"", (F66/E66)-1)</f>
        <v/>
      </c>
      <c r="J66" s="11">
        <f>IF(OR(C66="",D66=""),"", D66-C66)</f>
        <v/>
      </c>
      <c r="K66" s="11" t="n"/>
    </row>
    <row r="67">
      <c r="A67" s="11" t="n"/>
      <c r="B67" s="11" t="n"/>
      <c r="C67" s="11" t="n"/>
      <c r="D67" s="11" t="n"/>
      <c r="E67" s="18" t="n"/>
      <c r="F67" s="18" t="n"/>
      <c r="G67" s="11" t="n"/>
      <c r="H67" s="18">
        <f>IF(OR(E67="",F67="",G67=""),"", (F67-E67)*G67)</f>
        <v/>
      </c>
      <c r="I67" s="20">
        <f>IF(OR(E67="",F67=""),"", (F67/E67)-1)</f>
        <v/>
      </c>
      <c r="J67" s="11">
        <f>IF(OR(C67="",D67=""),"", D67-C67)</f>
        <v/>
      </c>
      <c r="K67" s="11" t="n"/>
    </row>
    <row r="68">
      <c r="A68" s="11" t="n"/>
      <c r="B68" s="11" t="n"/>
      <c r="C68" s="11" t="n"/>
      <c r="D68" s="11" t="n"/>
      <c r="E68" s="18" t="n"/>
      <c r="F68" s="18" t="n"/>
      <c r="G68" s="11" t="n"/>
      <c r="H68" s="18">
        <f>IF(OR(E68="",F68="",G68=""),"", (F68-E68)*G68)</f>
        <v/>
      </c>
      <c r="I68" s="20">
        <f>IF(OR(E68="",F68=""),"", (F68/E68)-1)</f>
        <v/>
      </c>
      <c r="J68" s="11">
        <f>IF(OR(C68="",D68=""),"", D68-C68)</f>
        <v/>
      </c>
      <c r="K68" s="11" t="n"/>
    </row>
    <row r="69">
      <c r="A69" s="11" t="n"/>
      <c r="B69" s="11" t="n"/>
      <c r="C69" s="11" t="n"/>
      <c r="D69" s="11" t="n"/>
      <c r="E69" s="18" t="n"/>
      <c r="F69" s="18" t="n"/>
      <c r="G69" s="11" t="n"/>
      <c r="H69" s="18">
        <f>IF(OR(E69="",F69="",G69=""),"", (F69-E69)*G69)</f>
        <v/>
      </c>
      <c r="I69" s="20">
        <f>IF(OR(E69="",F69=""),"", (F69/E69)-1)</f>
        <v/>
      </c>
      <c r="J69" s="11">
        <f>IF(OR(C69="",D69=""),"", D69-C69)</f>
        <v/>
      </c>
      <c r="K69" s="11" t="n"/>
    </row>
    <row r="70">
      <c r="A70" s="11" t="n"/>
      <c r="B70" s="11" t="n"/>
      <c r="C70" s="11" t="n"/>
      <c r="D70" s="11" t="n"/>
      <c r="E70" s="18" t="n"/>
      <c r="F70" s="18" t="n"/>
      <c r="G70" s="11" t="n"/>
      <c r="H70" s="18">
        <f>IF(OR(E70="",F70="",G70=""),"", (F70-E70)*G70)</f>
        <v/>
      </c>
      <c r="I70" s="20">
        <f>IF(OR(E70="",F70=""),"", (F70/E70)-1)</f>
        <v/>
      </c>
      <c r="J70" s="11">
        <f>IF(OR(C70="",D70=""),"", D70-C70)</f>
        <v/>
      </c>
      <c r="K70" s="11" t="n"/>
    </row>
    <row r="71">
      <c r="A71" s="11" t="n"/>
      <c r="B71" s="11" t="n"/>
      <c r="C71" s="11" t="n"/>
      <c r="D71" s="11" t="n"/>
      <c r="E71" s="18" t="n"/>
      <c r="F71" s="18" t="n"/>
      <c r="G71" s="11" t="n"/>
      <c r="H71" s="18">
        <f>IF(OR(E71="",F71="",G71=""),"", (F71-E71)*G71)</f>
        <v/>
      </c>
      <c r="I71" s="20">
        <f>IF(OR(E71="",F71=""),"", (F71/E71)-1)</f>
        <v/>
      </c>
      <c r="J71" s="11">
        <f>IF(OR(C71="",D71=""),"", D71-C71)</f>
        <v/>
      </c>
      <c r="K71" s="11" t="n"/>
    </row>
    <row r="72">
      <c r="A72" s="11" t="n"/>
      <c r="B72" s="11" t="n"/>
      <c r="C72" s="11" t="n"/>
      <c r="D72" s="11" t="n"/>
      <c r="E72" s="18" t="n"/>
      <c r="F72" s="18" t="n"/>
      <c r="G72" s="11" t="n"/>
      <c r="H72" s="18">
        <f>IF(OR(E72="",F72="",G72=""),"", (F72-E72)*G72)</f>
        <v/>
      </c>
      <c r="I72" s="20">
        <f>IF(OR(E72="",F72=""),"", (F72/E72)-1)</f>
        <v/>
      </c>
      <c r="J72" s="11">
        <f>IF(OR(C72="",D72=""),"", D72-C72)</f>
        <v/>
      </c>
      <c r="K72" s="11" t="n"/>
    </row>
    <row r="73">
      <c r="A73" s="11" t="n"/>
      <c r="B73" s="11" t="n"/>
      <c r="C73" s="11" t="n"/>
      <c r="D73" s="11" t="n"/>
      <c r="E73" s="18" t="n"/>
      <c r="F73" s="18" t="n"/>
      <c r="G73" s="11" t="n"/>
      <c r="H73" s="18">
        <f>IF(OR(E73="",F73="",G73=""),"", (F73-E73)*G73)</f>
        <v/>
      </c>
      <c r="I73" s="20">
        <f>IF(OR(E73="",F73=""),"", (F73/E73)-1)</f>
        <v/>
      </c>
      <c r="J73" s="11">
        <f>IF(OR(C73="",D73=""),"", D73-C73)</f>
        <v/>
      </c>
      <c r="K73" s="11" t="n"/>
    </row>
    <row r="74">
      <c r="A74" s="11" t="n"/>
      <c r="B74" s="11" t="n"/>
      <c r="C74" s="11" t="n"/>
      <c r="D74" s="11" t="n"/>
      <c r="E74" s="18" t="n"/>
      <c r="F74" s="18" t="n"/>
      <c r="G74" s="11" t="n"/>
      <c r="H74" s="18">
        <f>IF(OR(E74="",F74="",G74=""),"", (F74-E74)*G74)</f>
        <v/>
      </c>
      <c r="I74" s="20">
        <f>IF(OR(E74="",F74=""),"", (F74/E74)-1)</f>
        <v/>
      </c>
      <c r="J74" s="11">
        <f>IF(OR(C74="",D74=""),"", D74-C74)</f>
        <v/>
      </c>
      <c r="K74" s="11" t="n"/>
    </row>
    <row r="75">
      <c r="A75" s="11" t="n"/>
      <c r="B75" s="11" t="n"/>
      <c r="C75" s="11" t="n"/>
      <c r="D75" s="11" t="n"/>
      <c r="E75" s="18" t="n"/>
      <c r="F75" s="18" t="n"/>
      <c r="G75" s="11" t="n"/>
      <c r="H75" s="18">
        <f>IF(OR(E75="",F75="",G75=""),"", (F75-E75)*G75)</f>
        <v/>
      </c>
      <c r="I75" s="20">
        <f>IF(OR(E75="",F75=""),"", (F75/E75)-1)</f>
        <v/>
      </c>
      <c r="J75" s="11">
        <f>IF(OR(C75="",D75=""),"", D75-C75)</f>
        <v/>
      </c>
      <c r="K75" s="11" t="n"/>
    </row>
    <row r="76">
      <c r="A76" s="11" t="n"/>
      <c r="B76" s="11" t="n"/>
      <c r="C76" s="11" t="n"/>
      <c r="D76" s="11" t="n"/>
      <c r="E76" s="18" t="n"/>
      <c r="F76" s="18" t="n"/>
      <c r="G76" s="11" t="n"/>
      <c r="H76" s="18">
        <f>IF(OR(E76="",F76="",G76=""),"", (F76-E76)*G76)</f>
        <v/>
      </c>
      <c r="I76" s="20">
        <f>IF(OR(E76="",F76=""),"", (F76/E76)-1)</f>
        <v/>
      </c>
      <c r="J76" s="11">
        <f>IF(OR(C76="",D76=""),"", D76-C76)</f>
        <v/>
      </c>
      <c r="K76" s="11" t="n"/>
    </row>
    <row r="77">
      <c r="A77" s="11" t="n"/>
      <c r="B77" s="11" t="n"/>
      <c r="C77" s="11" t="n"/>
      <c r="D77" s="11" t="n"/>
      <c r="E77" s="18" t="n"/>
      <c r="F77" s="18" t="n"/>
      <c r="G77" s="11" t="n"/>
      <c r="H77" s="18">
        <f>IF(OR(E77="",F77="",G77=""),"", (F77-E77)*G77)</f>
        <v/>
      </c>
      <c r="I77" s="20">
        <f>IF(OR(E77="",F77=""),"", (F77/E77)-1)</f>
        <v/>
      </c>
      <c r="J77" s="11">
        <f>IF(OR(C77="",D77=""),"", D77-C77)</f>
        <v/>
      </c>
      <c r="K77" s="11" t="n"/>
    </row>
    <row r="78">
      <c r="A78" s="11" t="n"/>
      <c r="B78" s="11" t="n"/>
      <c r="C78" s="11" t="n"/>
      <c r="D78" s="11" t="n"/>
      <c r="E78" s="18" t="n"/>
      <c r="F78" s="18" t="n"/>
      <c r="G78" s="11" t="n"/>
      <c r="H78" s="18">
        <f>IF(OR(E78="",F78="",G78=""),"", (F78-E78)*G78)</f>
        <v/>
      </c>
      <c r="I78" s="20">
        <f>IF(OR(E78="",F78=""),"", (F78/E78)-1)</f>
        <v/>
      </c>
      <c r="J78" s="11">
        <f>IF(OR(C78="",D78=""),"", D78-C78)</f>
        <v/>
      </c>
      <c r="K78" s="11" t="n"/>
    </row>
    <row r="79">
      <c r="A79" s="11" t="n"/>
      <c r="B79" s="11" t="n"/>
      <c r="C79" s="11" t="n"/>
      <c r="D79" s="11" t="n"/>
      <c r="E79" s="18" t="n"/>
      <c r="F79" s="18" t="n"/>
      <c r="G79" s="11" t="n"/>
      <c r="H79" s="18">
        <f>IF(OR(E79="",F79="",G79=""),"", (F79-E79)*G79)</f>
        <v/>
      </c>
      <c r="I79" s="20">
        <f>IF(OR(E79="",F79=""),"", (F79/E79)-1)</f>
        <v/>
      </c>
      <c r="J79" s="11">
        <f>IF(OR(C79="",D79=""),"", D79-C79)</f>
        <v/>
      </c>
      <c r="K79" s="11" t="n"/>
    </row>
    <row r="80">
      <c r="A80" s="11" t="n"/>
      <c r="B80" s="11" t="n"/>
      <c r="C80" s="11" t="n"/>
      <c r="D80" s="11" t="n"/>
      <c r="E80" s="18" t="n"/>
      <c r="F80" s="18" t="n"/>
      <c r="G80" s="11" t="n"/>
      <c r="H80" s="18">
        <f>IF(OR(E80="",F80="",G80=""),"", (F80-E80)*G80)</f>
        <v/>
      </c>
      <c r="I80" s="20">
        <f>IF(OR(E80="",F80=""),"", (F80/E80)-1)</f>
        <v/>
      </c>
      <c r="J80" s="11">
        <f>IF(OR(C80="",D80=""),"", D80-C80)</f>
        <v/>
      </c>
      <c r="K80" s="11" t="n"/>
    </row>
    <row r="81">
      <c r="A81" s="11" t="n"/>
      <c r="B81" s="11" t="n"/>
      <c r="C81" s="11" t="n"/>
      <c r="D81" s="11" t="n"/>
      <c r="E81" s="18" t="n"/>
      <c r="F81" s="18" t="n"/>
      <c r="G81" s="11" t="n"/>
      <c r="H81" s="18">
        <f>IF(OR(E81="",F81="",G81=""),"", (F81-E81)*G81)</f>
        <v/>
      </c>
      <c r="I81" s="20">
        <f>IF(OR(E81="",F81=""),"", (F81/E81)-1)</f>
        <v/>
      </c>
      <c r="J81" s="11">
        <f>IF(OR(C81="",D81=""),"", D81-C81)</f>
        <v/>
      </c>
      <c r="K81" s="11" t="n"/>
    </row>
    <row r="82">
      <c r="A82" s="11" t="n"/>
      <c r="B82" s="11" t="n"/>
      <c r="C82" s="11" t="n"/>
      <c r="D82" s="11" t="n"/>
      <c r="E82" s="18" t="n"/>
      <c r="F82" s="18" t="n"/>
      <c r="G82" s="11" t="n"/>
      <c r="H82" s="18">
        <f>IF(OR(E82="",F82="",G82=""),"", (F82-E82)*G82)</f>
        <v/>
      </c>
      <c r="I82" s="20">
        <f>IF(OR(E82="",F82=""),"", (F82/E82)-1)</f>
        <v/>
      </c>
      <c r="J82" s="11">
        <f>IF(OR(C82="",D82=""),"", D82-C82)</f>
        <v/>
      </c>
      <c r="K82" s="11" t="n"/>
    </row>
    <row r="83">
      <c r="A83" s="11" t="n"/>
      <c r="B83" s="11" t="n"/>
      <c r="C83" s="11" t="n"/>
      <c r="D83" s="11" t="n"/>
      <c r="E83" s="18" t="n"/>
      <c r="F83" s="18" t="n"/>
      <c r="G83" s="11" t="n"/>
      <c r="H83" s="18">
        <f>IF(OR(E83="",F83="",G83=""),"", (F83-E83)*G83)</f>
        <v/>
      </c>
      <c r="I83" s="20">
        <f>IF(OR(E83="",F83=""),"", (F83/E83)-1)</f>
        <v/>
      </c>
      <c r="J83" s="11">
        <f>IF(OR(C83="",D83=""),"", D83-C83)</f>
        <v/>
      </c>
      <c r="K83" s="11" t="n"/>
    </row>
    <row r="84">
      <c r="A84" s="11" t="n"/>
      <c r="B84" s="11" t="n"/>
      <c r="C84" s="11" t="n"/>
      <c r="D84" s="11" t="n"/>
      <c r="E84" s="18" t="n"/>
      <c r="F84" s="18" t="n"/>
      <c r="G84" s="11" t="n"/>
      <c r="H84" s="18">
        <f>IF(OR(E84="",F84="",G84=""),"", (F84-E84)*G84)</f>
        <v/>
      </c>
      <c r="I84" s="20">
        <f>IF(OR(E84="",F84=""),"", (F84/E84)-1)</f>
        <v/>
      </c>
      <c r="J84" s="11">
        <f>IF(OR(C84="",D84=""),"", D84-C84)</f>
        <v/>
      </c>
      <c r="K84" s="11" t="n"/>
    </row>
    <row r="85">
      <c r="A85" s="11" t="n"/>
      <c r="B85" s="11" t="n"/>
      <c r="C85" s="11" t="n"/>
      <c r="D85" s="11" t="n"/>
      <c r="E85" s="18" t="n"/>
      <c r="F85" s="18" t="n"/>
      <c r="G85" s="11" t="n"/>
      <c r="H85" s="18">
        <f>IF(OR(E85="",F85="",G85=""),"", (F85-E85)*G85)</f>
        <v/>
      </c>
      <c r="I85" s="20">
        <f>IF(OR(E85="",F85=""),"", (F85/E85)-1)</f>
        <v/>
      </c>
      <c r="J85" s="11">
        <f>IF(OR(C85="",D85=""),"", D85-C85)</f>
        <v/>
      </c>
      <c r="K85" s="11" t="n"/>
    </row>
    <row r="86">
      <c r="A86" s="11" t="n"/>
      <c r="B86" s="11" t="n"/>
      <c r="C86" s="11" t="n"/>
      <c r="D86" s="11" t="n"/>
      <c r="E86" s="18" t="n"/>
      <c r="F86" s="18" t="n"/>
      <c r="G86" s="11" t="n"/>
      <c r="H86" s="18">
        <f>IF(OR(E86="",F86="",G86=""),"", (F86-E86)*G86)</f>
        <v/>
      </c>
      <c r="I86" s="20">
        <f>IF(OR(E86="",F86=""),"", (F86/E86)-1)</f>
        <v/>
      </c>
      <c r="J86" s="11">
        <f>IF(OR(C86="",D86=""),"", D86-C86)</f>
        <v/>
      </c>
      <c r="K86" s="11" t="n"/>
    </row>
    <row r="87">
      <c r="A87" s="11" t="n"/>
      <c r="B87" s="11" t="n"/>
      <c r="C87" s="11" t="n"/>
      <c r="D87" s="11" t="n"/>
      <c r="E87" s="18" t="n"/>
      <c r="F87" s="18" t="n"/>
      <c r="G87" s="11" t="n"/>
      <c r="H87" s="18">
        <f>IF(OR(E87="",F87="",G87=""),"", (F87-E87)*G87)</f>
        <v/>
      </c>
      <c r="I87" s="20">
        <f>IF(OR(E87="",F87=""),"", (F87/E87)-1)</f>
        <v/>
      </c>
      <c r="J87" s="11">
        <f>IF(OR(C87="",D87=""),"", D87-C87)</f>
        <v/>
      </c>
      <c r="K87" s="11" t="n"/>
    </row>
    <row r="88">
      <c r="A88" s="11" t="n"/>
      <c r="B88" s="11" t="n"/>
      <c r="C88" s="11" t="n"/>
      <c r="D88" s="11" t="n"/>
      <c r="E88" s="18" t="n"/>
      <c r="F88" s="18" t="n"/>
      <c r="G88" s="11" t="n"/>
      <c r="H88" s="18">
        <f>IF(OR(E88="",F88="",G88=""),"", (F88-E88)*G88)</f>
        <v/>
      </c>
      <c r="I88" s="20">
        <f>IF(OR(E88="",F88=""),"", (F88/E88)-1)</f>
        <v/>
      </c>
      <c r="J88" s="11">
        <f>IF(OR(C88="",D88=""),"", D88-C88)</f>
        <v/>
      </c>
      <c r="K88" s="11" t="n"/>
    </row>
    <row r="89">
      <c r="A89" s="11" t="n"/>
      <c r="B89" s="11" t="n"/>
      <c r="C89" s="11" t="n"/>
      <c r="D89" s="11" t="n"/>
      <c r="E89" s="18" t="n"/>
      <c r="F89" s="18" t="n"/>
      <c r="G89" s="11" t="n"/>
      <c r="H89" s="18">
        <f>IF(OR(E89="",F89="",G89=""),"", (F89-E89)*G89)</f>
        <v/>
      </c>
      <c r="I89" s="20">
        <f>IF(OR(E89="",F89=""),"", (F89/E89)-1)</f>
        <v/>
      </c>
      <c r="J89" s="11">
        <f>IF(OR(C89="",D89=""),"", D89-C89)</f>
        <v/>
      </c>
      <c r="K89" s="11" t="n"/>
    </row>
    <row r="90">
      <c r="A90" s="11" t="n"/>
      <c r="B90" s="11" t="n"/>
      <c r="C90" s="11" t="n"/>
      <c r="D90" s="11" t="n"/>
      <c r="E90" s="18" t="n"/>
      <c r="F90" s="18" t="n"/>
      <c r="G90" s="11" t="n"/>
      <c r="H90" s="18">
        <f>IF(OR(E90="",F90="",G90=""),"", (F90-E90)*G90)</f>
        <v/>
      </c>
      <c r="I90" s="20">
        <f>IF(OR(E90="",F90=""),"", (F90/E90)-1)</f>
        <v/>
      </c>
      <c r="J90" s="11">
        <f>IF(OR(C90="",D90=""),"", D90-C90)</f>
        <v/>
      </c>
      <c r="K90" s="11" t="n"/>
    </row>
    <row r="91">
      <c r="A91" s="11" t="n"/>
      <c r="B91" s="11" t="n"/>
      <c r="C91" s="11" t="n"/>
      <c r="D91" s="11" t="n"/>
      <c r="E91" s="18" t="n"/>
      <c r="F91" s="18" t="n"/>
      <c r="G91" s="11" t="n"/>
      <c r="H91" s="18">
        <f>IF(OR(E91="",F91="",G91=""),"", (F91-E91)*G91)</f>
        <v/>
      </c>
      <c r="I91" s="20">
        <f>IF(OR(E91="",F91=""),"", (F91/E91)-1)</f>
        <v/>
      </c>
      <c r="J91" s="11">
        <f>IF(OR(C91="",D91=""),"", D91-C91)</f>
        <v/>
      </c>
      <c r="K91" s="11" t="n"/>
    </row>
    <row r="92">
      <c r="A92" s="11" t="n"/>
      <c r="B92" s="11" t="n"/>
      <c r="C92" s="11" t="n"/>
      <c r="D92" s="11" t="n"/>
      <c r="E92" s="18" t="n"/>
      <c r="F92" s="18" t="n"/>
      <c r="G92" s="11" t="n"/>
      <c r="H92" s="18">
        <f>IF(OR(E92="",F92="",G92=""),"", (F92-E92)*G92)</f>
        <v/>
      </c>
      <c r="I92" s="20">
        <f>IF(OR(E92="",F92=""),"", (F92/E92)-1)</f>
        <v/>
      </c>
      <c r="J92" s="11">
        <f>IF(OR(C92="",D92=""),"", D92-C92)</f>
        <v/>
      </c>
      <c r="K92" s="11" t="n"/>
    </row>
    <row r="93">
      <c r="A93" s="11" t="n"/>
      <c r="B93" s="11" t="n"/>
      <c r="C93" s="11" t="n"/>
      <c r="D93" s="11" t="n"/>
      <c r="E93" s="18" t="n"/>
      <c r="F93" s="18" t="n"/>
      <c r="G93" s="11" t="n"/>
      <c r="H93" s="18">
        <f>IF(OR(E93="",F93="",G93=""),"", (F93-E93)*G93)</f>
        <v/>
      </c>
      <c r="I93" s="20">
        <f>IF(OR(E93="",F93=""),"", (F93/E93)-1)</f>
        <v/>
      </c>
      <c r="J93" s="11">
        <f>IF(OR(C93="",D93=""),"", D93-C93)</f>
        <v/>
      </c>
      <c r="K93" s="11" t="n"/>
    </row>
    <row r="94">
      <c r="A94" s="11" t="n"/>
      <c r="B94" s="11" t="n"/>
      <c r="C94" s="11" t="n"/>
      <c r="D94" s="11" t="n"/>
      <c r="E94" s="18" t="n"/>
      <c r="F94" s="18" t="n"/>
      <c r="G94" s="11" t="n"/>
      <c r="H94" s="18">
        <f>IF(OR(E94="",F94="",G94=""),"", (F94-E94)*G94)</f>
        <v/>
      </c>
      <c r="I94" s="20">
        <f>IF(OR(E94="",F94=""),"", (F94/E94)-1)</f>
        <v/>
      </c>
      <c r="J94" s="11">
        <f>IF(OR(C94="",D94=""),"", D94-C94)</f>
        <v/>
      </c>
      <c r="K94" s="11" t="n"/>
    </row>
    <row r="95">
      <c r="A95" s="11" t="n"/>
      <c r="B95" s="11" t="n"/>
      <c r="C95" s="11" t="n"/>
      <c r="D95" s="11" t="n"/>
      <c r="E95" s="18" t="n"/>
      <c r="F95" s="18" t="n"/>
      <c r="G95" s="11" t="n"/>
      <c r="H95" s="18">
        <f>IF(OR(E95="",F95="",G95=""),"", (F95-E95)*G95)</f>
        <v/>
      </c>
      <c r="I95" s="20">
        <f>IF(OR(E95="",F95=""),"", (F95/E95)-1)</f>
        <v/>
      </c>
      <c r="J95" s="11">
        <f>IF(OR(C95="",D95=""),"", D95-C95)</f>
        <v/>
      </c>
      <c r="K95" s="11" t="n"/>
    </row>
    <row r="96">
      <c r="A96" s="11" t="n"/>
      <c r="B96" s="11" t="n"/>
      <c r="C96" s="11" t="n"/>
      <c r="D96" s="11" t="n"/>
      <c r="E96" s="18" t="n"/>
      <c r="F96" s="18" t="n"/>
      <c r="G96" s="11" t="n"/>
      <c r="H96" s="18">
        <f>IF(OR(E96="",F96="",G96=""),"", (F96-E96)*G96)</f>
        <v/>
      </c>
      <c r="I96" s="20">
        <f>IF(OR(E96="",F96=""),"", (F96/E96)-1)</f>
        <v/>
      </c>
      <c r="J96" s="11">
        <f>IF(OR(C96="",D96=""),"", D96-C96)</f>
        <v/>
      </c>
      <c r="K96" s="11" t="n"/>
    </row>
    <row r="97">
      <c r="A97" s="11" t="n"/>
      <c r="B97" s="11" t="n"/>
      <c r="C97" s="11" t="n"/>
      <c r="D97" s="11" t="n"/>
      <c r="E97" s="18" t="n"/>
      <c r="F97" s="18" t="n"/>
      <c r="G97" s="11" t="n"/>
      <c r="H97" s="18">
        <f>IF(OR(E97="",F97="",G97=""),"", (F97-E97)*G97)</f>
        <v/>
      </c>
      <c r="I97" s="20">
        <f>IF(OR(E97="",F97=""),"", (F97/E97)-1)</f>
        <v/>
      </c>
      <c r="J97" s="11">
        <f>IF(OR(C97="",D97=""),"", D97-C97)</f>
        <v/>
      </c>
      <c r="K97" s="11" t="n"/>
    </row>
    <row r="98">
      <c r="A98" s="11" t="n"/>
      <c r="B98" s="11" t="n"/>
      <c r="C98" s="11" t="n"/>
      <c r="D98" s="11" t="n"/>
      <c r="E98" s="18" t="n"/>
      <c r="F98" s="18" t="n"/>
      <c r="G98" s="11" t="n"/>
      <c r="H98" s="18">
        <f>IF(OR(E98="",F98="",G98=""),"", (F98-E98)*G98)</f>
        <v/>
      </c>
      <c r="I98" s="20">
        <f>IF(OR(E98="",F98=""),"", (F98/E98)-1)</f>
        <v/>
      </c>
      <c r="J98" s="11">
        <f>IF(OR(C98="",D98=""),"", D98-C98)</f>
        <v/>
      </c>
      <c r="K98" s="11" t="n"/>
    </row>
    <row r="99">
      <c r="A99" s="11" t="n"/>
      <c r="B99" s="11" t="n"/>
      <c r="C99" s="11" t="n"/>
      <c r="D99" s="11" t="n"/>
      <c r="E99" s="18" t="n"/>
      <c r="F99" s="18" t="n"/>
      <c r="G99" s="11" t="n"/>
      <c r="H99" s="18">
        <f>IF(OR(E99="",F99="",G99=""),"", (F99-E99)*G99)</f>
        <v/>
      </c>
      <c r="I99" s="20">
        <f>IF(OR(E99="",F99=""),"", (F99/E99)-1)</f>
        <v/>
      </c>
      <c r="J99" s="11">
        <f>IF(OR(C99="",D99=""),"", D99-C99)</f>
        <v/>
      </c>
      <c r="K99" s="11" t="n"/>
    </row>
    <row r="100">
      <c r="A100" s="11" t="n"/>
      <c r="B100" s="11" t="n"/>
      <c r="C100" s="11" t="n"/>
      <c r="D100" s="11" t="n"/>
      <c r="E100" s="18" t="n"/>
      <c r="F100" s="18" t="n"/>
      <c r="G100" s="11" t="n"/>
      <c r="H100" s="18">
        <f>IF(OR(E100="",F100="",G100=""),"", (F100-E100)*G100)</f>
        <v/>
      </c>
      <c r="I100" s="20">
        <f>IF(OR(E100="",F100=""),"", (F100/E100)-1)</f>
        <v/>
      </c>
      <c r="J100" s="11">
        <f>IF(OR(C100="",D100=""),"", D100-C100)</f>
        <v/>
      </c>
      <c r="K10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</cols>
  <sheetData>
    <row r="1">
      <c r="A1" s="9" t="inlineStr">
        <is>
          <t>Summary Stats</t>
        </is>
      </c>
    </row>
    <row r="3">
      <c r="A3" s="10" t="inlineStr">
        <is>
          <t>Total Trades</t>
        </is>
      </c>
      <c r="B3" s="11">
        <f>COUNTIF(Scoreboard!A4:A100,"&lt;&gt;")</f>
        <v/>
      </c>
    </row>
    <row r="4">
      <c r="A4" s="10" t="inlineStr">
        <is>
          <t>Winning Trades</t>
        </is>
      </c>
      <c r="B4" s="11">
        <f>COUNTIF(Scoreboard!H4:H100,"&gt;0")</f>
        <v/>
      </c>
    </row>
    <row r="5">
      <c r="A5" s="10" t="inlineStr">
        <is>
          <t>Losing Trades</t>
        </is>
      </c>
      <c r="B5" s="11">
        <f>COUNTIF(Scoreboard!H4:H100,"&lt;0")</f>
        <v/>
      </c>
    </row>
    <row r="6">
      <c r="A6" s="10" t="inlineStr">
        <is>
          <t>Win Rate</t>
        </is>
      </c>
      <c r="B6" s="20">
        <f>IF(B3=0,"",B4/B3)</f>
        <v/>
      </c>
    </row>
    <row r="7">
      <c r="A7" s="10" t="inlineStr">
        <is>
          <t>Total P&amp;L</t>
        </is>
      </c>
      <c r="B7" s="18">
        <f>SUM(Scoreboard!H4:H100)</f>
        <v/>
      </c>
    </row>
    <row r="8">
      <c r="A8" s="10" t="inlineStr">
        <is>
          <t>Average Return</t>
        </is>
      </c>
      <c r="B8" s="20">
        <f>IF(B3=0,"",AVERAGEIF(Scoreboard!I4:I100,"&lt;&gt;"))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2026-03-17T03:45:30Z</dcterms:modified>
</cp:coreProperties>
</file>