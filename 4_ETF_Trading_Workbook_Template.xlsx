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ignal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coreboard" sheetId="3" state="visible" r:id="rId3"/>
    <sheet xmlns:r="http://schemas.openxmlformats.org/officeDocument/2006/relationships" name="Stats" sheetId="4" state="visible" r:id="rId4"/>
    <sheet xmlns:r="http://schemas.openxmlformats.org/officeDocument/2006/relationships" name="Daily_Data" sheetId="5" state="visible" r:id="rId5"/>
  </sheets>
  <definedNames>
    <definedName name="_xlnm._FilterDatabase" localSheetId="1" hidden="1">'Trades'!$A$3:$M$3</definedName>
    <definedName name="_xlnm._FilterDatabase" localSheetId="2" hidden="1">'Scoreboard'!$A$3:$K$3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FF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4" borderId="0" pivotButton="0" quotePrefix="0" xfId="0"/>
    <xf numFmtId="0" fontId="4" fillId="4" borderId="0" pivotButton="0" quotePrefix="0" xfId="0"/>
    <xf numFmtId="0" fontId="1" fillId="4" borderId="1" pivotButton="0" quotePrefix="0" xfId="0"/>
    <xf numFmtId="0" fontId="1" fillId="2" borderId="1" pivotButton="0" quotePrefix="0" xfId="0"/>
    <xf numFmtId="14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2" borderId="1" applyAlignment="1" pivotButton="0" quotePrefix="0" xfId="0">
      <alignment horizontal="center"/>
    </xf>
    <xf numFmtId="2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pivotButton="0" quotePrefix="0" xfId="0"/>
    <xf numFmtId="0" fontId="4" fillId="3" borderId="0" pivotButton="0" quotePrefix="0" xfId="0"/>
    <xf numFmtId="0" fontId="3" fillId="3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24" activePane="bottomLeft" state="frozen"/>
      <selection pane="bottomLeft" activeCell="D29" sqref="D29"/>
    </sheetView>
  </sheetViews>
  <sheetFormatPr baseColWidth="8" defaultRowHeight="15"/>
  <cols>
    <col width="23.9453125" customWidth="1" style="20" min="1" max="1"/>
    <col width="22.05859375" customWidth="1" style="20" min="2" max="2"/>
    <col width="18.0234375" customWidth="1" style="20" min="3" max="4"/>
  </cols>
  <sheetData>
    <row r="1" ht="18.75" customHeight="1" s="20">
      <c r="A1" s="5" t="inlineStr">
        <is>
          <t>4 ETF Signal Dashboard</t>
        </is>
      </c>
    </row>
    <row r="3">
      <c r="A3" s="6" t="inlineStr">
        <is>
          <t>Latest Row</t>
        </is>
      </c>
      <c r="B3">
        <f>LOOKUP(2,1/(Daily_Data!$A:$A&lt;&gt;""),ROW(Daily_Data!$A:$A))</f>
        <v/>
      </c>
    </row>
    <row r="4">
      <c r="A4" s="6" t="inlineStr">
        <is>
          <t>Latest Date</t>
        </is>
      </c>
      <c r="B4" s="2">
        <f>IF(B3="","",INDEX(Daily_Data!$A:$A,B3))</f>
        <v/>
      </c>
    </row>
    <row r="5">
      <c r="A5" s="7" t="n"/>
    </row>
    <row r="6">
      <c r="A6" s="21" t="inlineStr">
        <is>
          <t>QQQ Signal</t>
        </is>
      </c>
    </row>
    <row r="7">
      <c r="A7" s="6" t="inlineStr">
        <is>
          <t>QQQ 1D</t>
        </is>
      </c>
      <c r="B7" s="4">
        <f>IF($B$3="","",INDEX(Daily_Data!$AE:$AE,$B$3))</f>
        <v/>
      </c>
    </row>
    <row r="8">
      <c r="A8" s="6" t="inlineStr">
        <is>
          <t>QQQ 3D</t>
        </is>
      </c>
      <c r="B8" s="4">
        <f>IF($B$3="","",INDEX(Daily_Data!$AF:$AF,$B$3))</f>
        <v/>
      </c>
    </row>
    <row r="9">
      <c r="A9" s="6" t="inlineStr">
        <is>
          <t>QQQ 5D</t>
        </is>
      </c>
      <c r="B9" s="4">
        <f>IF($B$3="","",INDEX(Daily_Data!$AG:$AG,$B$3))</f>
        <v/>
      </c>
    </row>
    <row r="10">
      <c r="A10" s="6" t="inlineStr">
        <is>
          <t>QQQ State</t>
        </is>
      </c>
      <c r="B10">
        <f>IF(OR(B8="",B9=""),"",IF(AND(B8&gt;0,B9&gt;0),"Bull",IF(AND(B8&lt;0,B9&lt;0),"Bear","Neutral")))</f>
        <v/>
      </c>
    </row>
    <row r="11">
      <c r="A11" s="7" t="n"/>
    </row>
    <row r="12">
      <c r="A12" s="7" t="n"/>
    </row>
    <row r="13">
      <c r="A13" s="7" t="n"/>
    </row>
    <row r="14">
      <c r="A14" s="21" t="inlineStr">
        <is>
          <t>SMH Signal</t>
        </is>
      </c>
    </row>
    <row r="15">
      <c r="A15" s="6" t="inlineStr">
        <is>
          <t>SMH 1D</t>
        </is>
      </c>
      <c r="B15" s="4">
        <f>IF($B$3="","",INDEX(Daily_Data!$AI:$AI,$B$3))</f>
        <v/>
      </c>
    </row>
    <row r="16">
      <c r="A16" s="6" t="inlineStr">
        <is>
          <t>SMH 3D</t>
        </is>
      </c>
      <c r="B16" s="4">
        <f>IF($B$3="","",INDEX(Daily_Data!$AJ:$AJ,$B$3))</f>
        <v/>
      </c>
    </row>
    <row r="17">
      <c r="A17" s="6" t="inlineStr">
        <is>
          <t>SMH 5D</t>
        </is>
      </c>
      <c r="B17" s="4">
        <f>IF($B$3="","",INDEX(Daily_Data!$AK:$AK,$B$3))</f>
        <v/>
      </c>
    </row>
    <row r="18">
      <c r="A18" s="6" t="inlineStr">
        <is>
          <t>SMH State</t>
        </is>
      </c>
      <c r="B18">
        <f>IF(OR(B16="",B17=""),"",IF(AND(B16&gt;0,B17&gt;0),"Bull",IF(AND(B16&lt;0,B17&lt;0),"Bear","Neutral")))</f>
        <v/>
      </c>
    </row>
    <row r="19">
      <c r="A19" s="7" t="n"/>
    </row>
    <row r="20">
      <c r="A20" s="7" t="n"/>
    </row>
    <row r="21">
      <c r="A21" s="7" t="n"/>
    </row>
    <row r="22">
      <c r="A22" s="21" t="inlineStr">
        <is>
          <t>System Output</t>
        </is>
      </c>
      <c r="C22" s="19" t="inlineStr">
        <is>
          <t>Current Position</t>
        </is>
      </c>
    </row>
    <row r="23">
      <c r="A23" s="8" t="inlineStr">
        <is>
          <t>Market Direction</t>
        </is>
      </c>
      <c r="B23" s="17">
        <f>IF(OR(B10="",B18=""),"",IF(AND(B10="Bull",B18="Bull"),"Bull",IF(AND(B10="Bear",B18="Bear"),"Bear","Wait")))</f>
        <v/>
      </c>
      <c r="C23" s="9" t="inlineStr">
        <is>
          <t>Primary ETF</t>
        </is>
      </c>
      <c r="D23" s="17" t="inlineStr">
        <is>
          <t>SOXL</t>
        </is>
      </c>
    </row>
    <row r="24">
      <c r="A24" s="8" t="inlineStr">
        <is>
          <t>Leadership</t>
        </is>
      </c>
      <c r="B24" s="17">
        <f>IF(B23="","",IF(B23="Wait","Mixed",IF(B16&gt;B8,"Semiconductors",IF(B16&lt;B8,"Nasdaq","Tied"))))</f>
        <v/>
      </c>
      <c r="C24" s="9" t="inlineStr">
        <is>
          <t>Secondary ETF</t>
        </is>
      </c>
      <c r="D24" s="17" t="inlineStr">
        <is>
          <t>TQQQ</t>
        </is>
      </c>
    </row>
    <row r="25">
      <c r="A25" s="8" t="inlineStr">
        <is>
          <t>Trade 1</t>
        </is>
      </c>
      <c r="B25" s="17">
        <f>IF(B23="Bull",IF(B24="Semiconductors","SOXL","TQQQ"),IF(B23="Bear",IF(B24="Semiconductors","SOXS","SQQQ"),"WAIT"))</f>
        <v/>
      </c>
      <c r="C25" s="9" t="inlineStr">
        <is>
          <t>System State</t>
        </is>
      </c>
      <c r="D25" s="17">
        <f>B23</f>
        <v/>
      </c>
    </row>
    <row r="26">
      <c r="A26" s="8" t="inlineStr">
        <is>
          <t>Trade 2</t>
        </is>
      </c>
      <c r="B26" s="17">
        <f>IF(B23="Bull",IF(B24="Semiconductors","TQQQ","SOXL"),IF(B23="Bear",IF(B24="Semiconductors","SQQQ","SOXS"),""))</f>
        <v/>
      </c>
      <c r="C26" s="9" t="inlineStr">
        <is>
          <t>Confidence</t>
        </is>
      </c>
      <c r="D26" s="17">
        <f>B27</f>
        <v/>
      </c>
    </row>
    <row r="27">
      <c r="A27" s="8" t="inlineStr">
        <is>
          <t>Confidence</t>
        </is>
      </c>
      <c r="B27" s="17">
        <f>IF(B23="Wait","Low",IF(ABS(B16-B8)&gt;=0.03,"Strong",IF(ABS(B16-B8)&gt;=0.015,"Moderate","Low")))</f>
        <v/>
      </c>
      <c r="C27" s="9" t="inlineStr">
        <is>
          <t>Signal Date</t>
        </is>
      </c>
      <c r="D27" s="10" t="inlineStr">
        <is>
          <t>2026-10-29</t>
        </is>
      </c>
    </row>
    <row r="30">
      <c r="A30" s="19" t="inlineStr">
        <is>
          <t>Legend</t>
        </is>
      </c>
    </row>
    <row r="31">
      <c r="A31" s="11" t="inlineStr">
        <is>
          <t>Bull / Strong Bull</t>
        </is>
      </c>
      <c r="B31" s="11" t="n"/>
    </row>
    <row r="32">
      <c r="A32" s="12" t="inlineStr">
        <is>
          <t>Bear / Strong Bear</t>
        </is>
      </c>
      <c r="B32" s="12" t="n"/>
    </row>
    <row r="33">
      <c r="A33" s="13" t="inlineStr">
        <is>
          <t>Wait / Neutral / Mixed</t>
        </is>
      </c>
      <c r="B33" s="13" t="n"/>
    </row>
  </sheetData>
  <mergeCells count="5">
    <mergeCell ref="A30:B30"/>
    <mergeCell ref="A14:B14"/>
    <mergeCell ref="C22:D22"/>
    <mergeCell ref="A6:B6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97265625" customWidth="1" style="20" min="1" max="1"/>
    <col width="13.98828125" customWidth="1" style="20" min="2" max="5"/>
    <col width="9.953125" customWidth="1" style="20" min="6" max="11"/>
    <col width="11.97265625" customWidth="1" style="20" min="12" max="12"/>
    <col width="18.0234375" customWidth="1" style="20" min="13" max="13"/>
  </cols>
  <sheetData>
    <row r="1">
      <c r="A1" s="19" t="inlineStr">
        <is>
          <t>Trade Plan / Manual Tracking</t>
        </is>
      </c>
    </row>
    <row r="3">
      <c r="A3" s="14" t="inlineStr">
        <is>
          <t>Date</t>
        </is>
      </c>
      <c r="B3" s="14" t="inlineStr">
        <is>
          <t>System Signal</t>
        </is>
      </c>
      <c r="C3" s="14" t="inlineStr">
        <is>
          <t>Trade 1</t>
        </is>
      </c>
      <c r="D3" s="14" t="inlineStr">
        <is>
          <t>Trade 2</t>
        </is>
      </c>
      <c r="E3" s="14" t="inlineStr">
        <is>
          <t>Action</t>
        </is>
      </c>
      <c r="F3" s="14" t="inlineStr">
        <is>
          <t>Shares 1</t>
        </is>
      </c>
      <c r="G3" s="14" t="inlineStr">
        <is>
          <t>Shares 2</t>
        </is>
      </c>
      <c r="H3" s="14" t="inlineStr">
        <is>
          <t>Entry 1</t>
        </is>
      </c>
      <c r="I3" s="14" t="inlineStr">
        <is>
          <t>Entry 2</t>
        </is>
      </c>
      <c r="J3" s="14" t="inlineStr">
        <is>
          <t>Exit 1</t>
        </is>
      </c>
      <c r="K3" s="14" t="inlineStr">
        <is>
          <t>Exit 2</t>
        </is>
      </c>
      <c r="L3" s="14" t="inlineStr">
        <is>
          <t>Status</t>
        </is>
      </c>
      <c r="M3" s="14" t="inlineStr">
        <is>
          <t>Notes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5" t="n"/>
      <c r="I4" s="15" t="n"/>
      <c r="J4" s="15" t="n"/>
      <c r="K4" s="15" t="n"/>
      <c r="L4" s="17" t="n"/>
      <c r="M4" s="17" t="n"/>
    </row>
    <row r="5">
      <c r="A5" s="9" t="inlineStr">
        <is>
          <t>Current Date</t>
        </is>
      </c>
      <c r="B5" s="17">
        <f>Signal!B4</f>
        <v/>
      </c>
      <c r="C5" s="17" t="n"/>
      <c r="D5" s="22" t="inlineStr">
        <is>
          <t>Current Position</t>
        </is>
      </c>
      <c r="E5" s="23" t="n"/>
      <c r="F5" s="17" t="n"/>
      <c r="G5" s="17" t="n"/>
      <c r="H5" s="15" t="n"/>
      <c r="I5" s="15" t="n"/>
      <c r="J5" s="15" t="n"/>
      <c r="K5" s="15" t="n"/>
      <c r="L5" s="17" t="n"/>
      <c r="M5" s="17" t="n"/>
    </row>
    <row r="6">
      <c r="A6" s="9" t="inlineStr">
        <is>
          <t>Market Direction</t>
        </is>
      </c>
      <c r="B6" s="17">
        <f>Signal!B23</f>
        <v/>
      </c>
      <c r="C6" s="17" t="n"/>
      <c r="D6" s="9" t="inlineStr">
        <is>
          <t>Primary ETF</t>
        </is>
      </c>
      <c r="E6" s="17">
        <f>Signal!D23</f>
        <v/>
      </c>
      <c r="F6" s="17" t="n"/>
      <c r="G6" s="17" t="n"/>
      <c r="H6" s="15" t="n"/>
      <c r="I6" s="15" t="n"/>
      <c r="J6" s="15" t="n"/>
      <c r="K6" s="15" t="n"/>
      <c r="L6" s="17" t="n"/>
      <c r="M6" s="17" t="n"/>
    </row>
    <row r="7">
      <c r="A7" s="9" t="inlineStr">
        <is>
          <t>Trade 1</t>
        </is>
      </c>
      <c r="B7" s="17">
        <f>Signal!B25</f>
        <v/>
      </c>
      <c r="C7" s="17" t="n"/>
      <c r="D7" s="9" t="inlineStr">
        <is>
          <t>Secondary ETF</t>
        </is>
      </c>
      <c r="E7" s="17">
        <f>Signal!D24</f>
        <v/>
      </c>
      <c r="F7" s="17" t="n"/>
      <c r="G7" s="17" t="n"/>
      <c r="H7" s="15" t="n"/>
      <c r="I7" s="15" t="n"/>
      <c r="J7" s="15" t="n"/>
      <c r="K7" s="15" t="n"/>
      <c r="L7" s="17" t="n"/>
      <c r="M7" s="17" t="n"/>
    </row>
    <row r="8">
      <c r="A8" s="9" t="inlineStr">
        <is>
          <t>Trade 2</t>
        </is>
      </c>
      <c r="B8" s="17">
        <f>Signal!B26</f>
        <v/>
      </c>
      <c r="C8" s="17" t="n"/>
      <c r="D8" s="9" t="inlineStr">
        <is>
          <t>System State</t>
        </is>
      </c>
      <c r="E8" s="17">
        <f>Signal!D25</f>
        <v/>
      </c>
      <c r="F8" s="17" t="n"/>
      <c r="G8" s="17" t="n"/>
      <c r="H8" s="15" t="n"/>
      <c r="I8" s="15" t="n"/>
      <c r="J8" s="15" t="n"/>
      <c r="K8" s="15" t="n"/>
      <c r="L8" s="17" t="n"/>
      <c r="M8" s="17" t="n"/>
    </row>
    <row r="9">
      <c r="A9" s="9" t="inlineStr">
        <is>
          <t>Confidence</t>
        </is>
      </c>
      <c r="B9" s="17">
        <f>Signal!B27</f>
        <v/>
      </c>
      <c r="C9" s="17" t="n"/>
      <c r="D9" s="9" t="inlineStr">
        <is>
          <t>Confidence</t>
        </is>
      </c>
      <c r="E9" s="17">
        <f>Signal!D26</f>
        <v/>
      </c>
      <c r="F9" s="17" t="n"/>
      <c r="G9" s="17" t="n"/>
      <c r="H9" s="15" t="n"/>
      <c r="I9" s="15" t="n"/>
      <c r="J9" s="15" t="n"/>
      <c r="K9" s="15" t="n"/>
      <c r="L9" s="17" t="n"/>
      <c r="M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5" t="n"/>
      <c r="I10" s="15" t="n"/>
      <c r="J10" s="15" t="n"/>
      <c r="K10" s="15" t="n"/>
      <c r="L10" s="17" t="n"/>
      <c r="M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5" t="n"/>
      <c r="I11" s="15" t="n"/>
      <c r="J11" s="15" t="n"/>
      <c r="K11" s="15" t="n"/>
      <c r="L11" s="17" t="n"/>
      <c r="M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5" t="n"/>
      <c r="I12" s="15" t="n"/>
      <c r="J12" s="15" t="n"/>
      <c r="K12" s="15" t="n"/>
      <c r="L12" s="17" t="n"/>
      <c r="M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5" t="n"/>
      <c r="I13" s="15" t="n"/>
      <c r="J13" s="15" t="n"/>
      <c r="K13" s="15" t="n"/>
      <c r="L13" s="17" t="n"/>
      <c r="M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5" t="n"/>
      <c r="I14" s="15" t="n"/>
      <c r="J14" s="15" t="n"/>
      <c r="K14" s="15" t="n"/>
      <c r="L14" s="17" t="n"/>
      <c r="M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5" t="n"/>
      <c r="I15" s="15" t="n"/>
      <c r="J15" s="15" t="n"/>
      <c r="K15" s="15" t="n"/>
      <c r="L15" s="17" t="n"/>
      <c r="M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5" t="n"/>
      <c r="I16" s="15" t="n"/>
      <c r="J16" s="15" t="n"/>
      <c r="K16" s="15" t="n"/>
      <c r="L16" s="17" t="n"/>
      <c r="M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5" t="n"/>
      <c r="I17" s="15" t="n"/>
      <c r="J17" s="15" t="n"/>
      <c r="K17" s="15" t="n"/>
      <c r="L17" s="17" t="n"/>
      <c r="M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5" t="n"/>
      <c r="I18" s="15" t="n"/>
      <c r="J18" s="15" t="n"/>
      <c r="K18" s="15" t="n"/>
      <c r="L18" s="17" t="n"/>
      <c r="M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5" t="n"/>
      <c r="I19" s="15" t="n"/>
      <c r="J19" s="15" t="n"/>
      <c r="K19" s="15" t="n"/>
      <c r="L19" s="17" t="n"/>
      <c r="M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5" t="n"/>
      <c r="I20" s="15" t="n"/>
      <c r="J20" s="15" t="n"/>
      <c r="K20" s="15" t="n"/>
      <c r="L20" s="17" t="n"/>
      <c r="M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5" t="n"/>
      <c r="I21" s="15" t="n"/>
      <c r="J21" s="15" t="n"/>
      <c r="K21" s="15" t="n"/>
      <c r="L21" s="17" t="n"/>
      <c r="M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5" t="n"/>
      <c r="I22" s="15" t="n"/>
      <c r="J22" s="15" t="n"/>
      <c r="K22" s="15" t="n"/>
      <c r="L22" s="17" t="n"/>
      <c r="M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5" t="n"/>
      <c r="I23" s="15" t="n"/>
      <c r="J23" s="15" t="n"/>
      <c r="K23" s="15" t="n"/>
      <c r="L23" s="17" t="n"/>
      <c r="M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5" t="n"/>
      <c r="I24" s="15" t="n"/>
      <c r="J24" s="15" t="n"/>
      <c r="K24" s="15" t="n"/>
      <c r="L24" s="17" t="n"/>
      <c r="M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5" t="n"/>
      <c r="I25" s="15" t="n"/>
      <c r="J25" s="15" t="n"/>
      <c r="K25" s="15" t="n"/>
      <c r="L25" s="17" t="n"/>
      <c r="M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5" t="n"/>
      <c r="I26" s="15" t="n"/>
      <c r="J26" s="15" t="n"/>
      <c r="K26" s="15" t="n"/>
      <c r="L26" s="17" t="n"/>
      <c r="M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5" t="n"/>
      <c r="I27" s="15" t="n"/>
      <c r="J27" s="15" t="n"/>
      <c r="K27" s="15" t="n"/>
      <c r="L27" s="17" t="n"/>
      <c r="M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5" t="n"/>
      <c r="I28" s="15" t="n"/>
      <c r="J28" s="15" t="n"/>
      <c r="K28" s="15" t="n"/>
      <c r="L28" s="17" t="n"/>
      <c r="M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5" t="n"/>
      <c r="I29" s="15" t="n"/>
      <c r="J29" s="15" t="n"/>
      <c r="K29" s="15" t="n"/>
      <c r="L29" s="17" t="n"/>
      <c r="M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5" t="n"/>
      <c r="I30" s="15" t="n"/>
      <c r="J30" s="15" t="n"/>
      <c r="K30" s="15" t="n"/>
      <c r="L30" s="17" t="n"/>
      <c r="M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5" t="n"/>
      <c r="I31" s="15" t="n"/>
      <c r="J31" s="15" t="n"/>
      <c r="K31" s="15" t="n"/>
      <c r="L31" s="17" t="n"/>
      <c r="M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5" t="n"/>
      <c r="I32" s="15" t="n"/>
      <c r="J32" s="15" t="n"/>
      <c r="K32" s="15" t="n"/>
      <c r="L32" s="17" t="n"/>
      <c r="M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5" t="n"/>
      <c r="I33" s="15" t="n"/>
      <c r="J33" s="15" t="n"/>
      <c r="K33" s="15" t="n"/>
      <c r="L33" s="17" t="n"/>
      <c r="M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5" t="n"/>
      <c r="I34" s="15" t="n"/>
      <c r="J34" s="15" t="n"/>
      <c r="K34" s="15" t="n"/>
      <c r="L34" s="17" t="n"/>
      <c r="M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5" t="n"/>
      <c r="I35" s="15" t="n"/>
      <c r="J35" s="15" t="n"/>
      <c r="K35" s="15" t="n"/>
      <c r="L35" s="17" t="n"/>
      <c r="M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5" t="n"/>
      <c r="I36" s="15" t="n"/>
      <c r="J36" s="15" t="n"/>
      <c r="K36" s="15" t="n"/>
      <c r="L36" s="17" t="n"/>
      <c r="M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5" t="n"/>
      <c r="I37" s="15" t="n"/>
      <c r="J37" s="15" t="n"/>
      <c r="K37" s="15" t="n"/>
      <c r="L37" s="17" t="n"/>
      <c r="M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5" t="n"/>
      <c r="I38" s="15" t="n"/>
      <c r="J38" s="15" t="n"/>
      <c r="K38" s="15" t="n"/>
      <c r="L38" s="17" t="n"/>
      <c r="M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5" t="n"/>
      <c r="I39" s="15" t="n"/>
      <c r="J39" s="15" t="n"/>
      <c r="K39" s="15" t="n"/>
      <c r="L39" s="17" t="n"/>
      <c r="M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5" t="n"/>
      <c r="I40" s="15" t="n"/>
      <c r="J40" s="15" t="n"/>
      <c r="K40" s="15" t="n"/>
      <c r="L40" s="17" t="n"/>
      <c r="M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5" t="n"/>
      <c r="I41" s="15" t="n"/>
      <c r="J41" s="15" t="n"/>
      <c r="K41" s="15" t="n"/>
      <c r="L41" s="17" t="n"/>
      <c r="M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5" t="n"/>
      <c r="I42" s="15" t="n"/>
      <c r="J42" s="15" t="n"/>
      <c r="K42" s="15" t="n"/>
      <c r="L42" s="17" t="n"/>
      <c r="M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5" t="n"/>
      <c r="I43" s="15" t="n"/>
      <c r="J43" s="15" t="n"/>
      <c r="K43" s="15" t="n"/>
      <c r="L43" s="17" t="n"/>
      <c r="M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5" t="n"/>
      <c r="I44" s="15" t="n"/>
      <c r="J44" s="15" t="n"/>
      <c r="K44" s="15" t="n"/>
      <c r="L44" s="17" t="n"/>
      <c r="M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5" t="n"/>
      <c r="I45" s="15" t="n"/>
      <c r="J45" s="15" t="n"/>
      <c r="K45" s="15" t="n"/>
      <c r="L45" s="17" t="n"/>
      <c r="M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5" t="n"/>
      <c r="I46" s="15" t="n"/>
      <c r="J46" s="15" t="n"/>
      <c r="K46" s="15" t="n"/>
      <c r="L46" s="17" t="n"/>
      <c r="M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5" t="n"/>
      <c r="I47" s="15" t="n"/>
      <c r="J47" s="15" t="n"/>
      <c r="K47" s="15" t="n"/>
      <c r="L47" s="17" t="n"/>
      <c r="M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5" t="n"/>
      <c r="I48" s="15" t="n"/>
      <c r="J48" s="15" t="n"/>
      <c r="K48" s="15" t="n"/>
      <c r="L48" s="17" t="n"/>
      <c r="M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5" t="n"/>
      <c r="I49" s="15" t="n"/>
      <c r="J49" s="15" t="n"/>
      <c r="K49" s="15" t="n"/>
      <c r="L49" s="17" t="n"/>
      <c r="M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5" t="n"/>
      <c r="I50" s="15" t="n"/>
      <c r="J50" s="15" t="n"/>
      <c r="K50" s="15" t="n"/>
      <c r="L50" s="17" t="n"/>
      <c r="M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5" t="n"/>
      <c r="I51" s="15" t="n"/>
      <c r="J51" s="15" t="n"/>
      <c r="K51" s="15" t="n"/>
      <c r="L51" s="17" t="n"/>
      <c r="M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5" t="n"/>
      <c r="I52" s="15" t="n"/>
      <c r="J52" s="15" t="n"/>
      <c r="K52" s="15" t="n"/>
      <c r="L52" s="17" t="n"/>
      <c r="M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5" t="n"/>
      <c r="I53" s="15" t="n"/>
      <c r="J53" s="15" t="n"/>
      <c r="K53" s="15" t="n"/>
      <c r="L53" s="17" t="n"/>
      <c r="M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5" t="n"/>
      <c r="I54" s="15" t="n"/>
      <c r="J54" s="15" t="n"/>
      <c r="K54" s="15" t="n"/>
      <c r="L54" s="17" t="n"/>
      <c r="M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5" t="n"/>
      <c r="I55" s="15" t="n"/>
      <c r="J55" s="15" t="n"/>
      <c r="K55" s="15" t="n"/>
      <c r="L55" s="17" t="n"/>
      <c r="M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5" t="n"/>
      <c r="I56" s="15" t="n"/>
      <c r="J56" s="15" t="n"/>
      <c r="K56" s="15" t="n"/>
      <c r="L56" s="17" t="n"/>
      <c r="M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5" t="n"/>
      <c r="I57" s="15" t="n"/>
      <c r="J57" s="15" t="n"/>
      <c r="K57" s="15" t="n"/>
      <c r="L57" s="17" t="n"/>
      <c r="M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5" t="n"/>
      <c r="I58" s="15" t="n"/>
      <c r="J58" s="15" t="n"/>
      <c r="K58" s="15" t="n"/>
      <c r="L58" s="17" t="n"/>
      <c r="M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5" t="n"/>
      <c r="I59" s="15" t="n"/>
      <c r="J59" s="15" t="n"/>
      <c r="K59" s="15" t="n"/>
      <c r="L59" s="17" t="n"/>
      <c r="M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5" t="n"/>
      <c r="I60" s="15" t="n"/>
      <c r="J60" s="15" t="n"/>
      <c r="K60" s="15" t="n"/>
      <c r="L60" s="17" t="n"/>
      <c r="M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5" t="n"/>
      <c r="I61" s="15" t="n"/>
      <c r="J61" s="15" t="n"/>
      <c r="K61" s="15" t="n"/>
      <c r="L61" s="17" t="n"/>
      <c r="M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5" t="n"/>
      <c r="I62" s="15" t="n"/>
      <c r="J62" s="15" t="n"/>
      <c r="K62" s="15" t="n"/>
      <c r="L62" s="17" t="n"/>
      <c r="M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5" t="n"/>
      <c r="I63" s="15" t="n"/>
      <c r="J63" s="15" t="n"/>
      <c r="K63" s="15" t="n"/>
      <c r="L63" s="17" t="n"/>
      <c r="M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5" t="n"/>
      <c r="I64" s="15" t="n"/>
      <c r="J64" s="15" t="n"/>
      <c r="K64" s="15" t="n"/>
      <c r="L64" s="17" t="n"/>
      <c r="M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5" t="n"/>
      <c r="I65" s="15" t="n"/>
      <c r="J65" s="15" t="n"/>
      <c r="K65" s="15" t="n"/>
      <c r="L65" s="17" t="n"/>
      <c r="M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5" t="n"/>
      <c r="I66" s="15" t="n"/>
      <c r="J66" s="15" t="n"/>
      <c r="K66" s="15" t="n"/>
      <c r="L66" s="17" t="n"/>
      <c r="M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5" t="n"/>
      <c r="I67" s="15" t="n"/>
      <c r="J67" s="15" t="n"/>
      <c r="K67" s="15" t="n"/>
      <c r="L67" s="17" t="n"/>
      <c r="M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5" t="n"/>
      <c r="I68" s="15" t="n"/>
      <c r="J68" s="15" t="n"/>
      <c r="K68" s="15" t="n"/>
      <c r="L68" s="17" t="n"/>
      <c r="M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5" t="n"/>
      <c r="I69" s="15" t="n"/>
      <c r="J69" s="15" t="n"/>
      <c r="K69" s="15" t="n"/>
      <c r="L69" s="17" t="n"/>
      <c r="M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5" t="n"/>
      <c r="I70" s="15" t="n"/>
      <c r="J70" s="15" t="n"/>
      <c r="K70" s="15" t="n"/>
      <c r="L70" s="17" t="n"/>
      <c r="M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5" t="n"/>
      <c r="I71" s="15" t="n"/>
      <c r="J71" s="15" t="n"/>
      <c r="K71" s="15" t="n"/>
      <c r="L71" s="17" t="n"/>
      <c r="M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5" t="n"/>
      <c r="I72" s="15" t="n"/>
      <c r="J72" s="15" t="n"/>
      <c r="K72" s="15" t="n"/>
      <c r="L72" s="17" t="n"/>
      <c r="M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5" t="n"/>
      <c r="I73" s="15" t="n"/>
      <c r="J73" s="15" t="n"/>
      <c r="K73" s="15" t="n"/>
      <c r="L73" s="17" t="n"/>
      <c r="M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5" t="n"/>
      <c r="I74" s="15" t="n"/>
      <c r="J74" s="15" t="n"/>
      <c r="K74" s="15" t="n"/>
      <c r="L74" s="17" t="n"/>
      <c r="M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5" t="n"/>
      <c r="I75" s="15" t="n"/>
      <c r="J75" s="15" t="n"/>
      <c r="K75" s="15" t="n"/>
      <c r="L75" s="17" t="n"/>
      <c r="M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5" t="n"/>
      <c r="I76" s="15" t="n"/>
      <c r="J76" s="15" t="n"/>
      <c r="K76" s="15" t="n"/>
      <c r="L76" s="17" t="n"/>
      <c r="M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5" t="n"/>
      <c r="I77" s="15" t="n"/>
      <c r="J77" s="15" t="n"/>
      <c r="K77" s="15" t="n"/>
      <c r="L77" s="17" t="n"/>
      <c r="M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5" t="n"/>
      <c r="I78" s="15" t="n"/>
      <c r="J78" s="15" t="n"/>
      <c r="K78" s="15" t="n"/>
      <c r="L78" s="17" t="n"/>
      <c r="M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5" t="n"/>
      <c r="I79" s="15" t="n"/>
      <c r="J79" s="15" t="n"/>
      <c r="K79" s="15" t="n"/>
      <c r="L79" s="17" t="n"/>
      <c r="M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5" t="n"/>
      <c r="I80" s="15" t="n"/>
      <c r="J80" s="15" t="n"/>
      <c r="K80" s="15" t="n"/>
      <c r="L80" s="17" t="n"/>
      <c r="M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5" t="n"/>
      <c r="I81" s="15" t="n"/>
      <c r="J81" s="15" t="n"/>
      <c r="K81" s="15" t="n"/>
      <c r="L81" s="17" t="n"/>
      <c r="M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5" t="n"/>
      <c r="I82" s="15" t="n"/>
      <c r="J82" s="15" t="n"/>
      <c r="K82" s="15" t="n"/>
      <c r="L82" s="17" t="n"/>
      <c r="M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5" t="n"/>
      <c r="I83" s="15" t="n"/>
      <c r="J83" s="15" t="n"/>
      <c r="K83" s="15" t="n"/>
      <c r="L83" s="17" t="n"/>
      <c r="M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5" t="n"/>
      <c r="I84" s="15" t="n"/>
      <c r="J84" s="15" t="n"/>
      <c r="K84" s="15" t="n"/>
      <c r="L84" s="17" t="n"/>
      <c r="M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5" t="n"/>
      <c r="I85" s="15" t="n"/>
      <c r="J85" s="15" t="n"/>
      <c r="K85" s="15" t="n"/>
      <c r="L85" s="17" t="n"/>
      <c r="M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5" t="n"/>
      <c r="I86" s="15" t="n"/>
      <c r="J86" s="15" t="n"/>
      <c r="K86" s="15" t="n"/>
      <c r="L86" s="17" t="n"/>
      <c r="M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5" t="n"/>
      <c r="I87" s="15" t="n"/>
      <c r="J87" s="15" t="n"/>
      <c r="K87" s="15" t="n"/>
      <c r="L87" s="17" t="n"/>
      <c r="M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5" t="n"/>
      <c r="I88" s="15" t="n"/>
      <c r="J88" s="15" t="n"/>
      <c r="K88" s="15" t="n"/>
      <c r="L88" s="17" t="n"/>
      <c r="M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5" t="n"/>
      <c r="I89" s="15" t="n"/>
      <c r="J89" s="15" t="n"/>
      <c r="K89" s="15" t="n"/>
      <c r="L89" s="17" t="n"/>
      <c r="M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5" t="n"/>
      <c r="I90" s="15" t="n"/>
      <c r="J90" s="15" t="n"/>
      <c r="K90" s="15" t="n"/>
      <c r="L90" s="17" t="n"/>
      <c r="M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5" t="n"/>
      <c r="I91" s="15" t="n"/>
      <c r="J91" s="15" t="n"/>
      <c r="K91" s="15" t="n"/>
      <c r="L91" s="17" t="n"/>
      <c r="M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5" t="n"/>
      <c r="I92" s="15" t="n"/>
      <c r="J92" s="15" t="n"/>
      <c r="K92" s="15" t="n"/>
      <c r="L92" s="17" t="n"/>
      <c r="M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5" t="n"/>
      <c r="I93" s="15" t="n"/>
      <c r="J93" s="15" t="n"/>
      <c r="K93" s="15" t="n"/>
      <c r="L93" s="17" t="n"/>
      <c r="M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5" t="n"/>
      <c r="I94" s="15" t="n"/>
      <c r="J94" s="15" t="n"/>
      <c r="K94" s="15" t="n"/>
      <c r="L94" s="17" t="n"/>
      <c r="M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5" t="n"/>
      <c r="I95" s="15" t="n"/>
      <c r="J95" s="15" t="n"/>
      <c r="K95" s="15" t="n"/>
      <c r="L95" s="17" t="n"/>
      <c r="M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5" t="n"/>
      <c r="I96" s="15" t="n"/>
      <c r="J96" s="15" t="n"/>
      <c r="K96" s="15" t="n"/>
      <c r="L96" s="17" t="n"/>
      <c r="M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5" t="n"/>
      <c r="I97" s="15" t="n"/>
      <c r="J97" s="15" t="n"/>
      <c r="K97" s="15" t="n"/>
      <c r="L97" s="17" t="n"/>
      <c r="M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5" t="n"/>
      <c r="I98" s="15" t="n"/>
      <c r="J98" s="15" t="n"/>
      <c r="K98" s="15" t="n"/>
      <c r="L98" s="17" t="n"/>
      <c r="M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5" t="n"/>
      <c r="I99" s="15" t="n"/>
      <c r="J99" s="15" t="n"/>
      <c r="K99" s="15" t="n"/>
      <c r="L99" s="17" t="n"/>
      <c r="M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5" t="n"/>
      <c r="I100" s="15" t="n"/>
      <c r="J100" s="15" t="n"/>
      <c r="K100" s="15" t="n"/>
      <c r="L100" s="17" t="n"/>
      <c r="M100" s="17" t="n"/>
    </row>
  </sheetData>
  <autoFilter ref="A3:M3"/>
  <mergeCells count="2">
    <mergeCell ref="A1:D1"/>
    <mergeCell ref="D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98828125" customWidth="1" style="20" min="1" max="11"/>
  </cols>
  <sheetData>
    <row r="1" ht="18.75" customHeight="1" s="20">
      <c r="A1" s="5" t="inlineStr">
        <is>
          <t>Paper Trade Scoreboard</t>
        </is>
      </c>
    </row>
    <row r="3">
      <c r="A3" s="14" t="inlineStr">
        <is>
          <t>Trade ID</t>
        </is>
      </c>
      <c r="B3" s="14" t="inlineStr">
        <is>
          <t>ETF</t>
        </is>
      </c>
      <c r="C3" s="14" t="inlineStr">
        <is>
          <t>Date In</t>
        </is>
      </c>
      <c r="D3" s="14" t="inlineStr">
        <is>
          <t>Date Out</t>
        </is>
      </c>
      <c r="E3" s="14" t="inlineStr">
        <is>
          <t>Entry</t>
        </is>
      </c>
      <c r="F3" s="14" t="inlineStr">
        <is>
          <t>Exit</t>
        </is>
      </c>
      <c r="G3" s="14" t="inlineStr">
        <is>
          <t>Shares</t>
        </is>
      </c>
      <c r="H3" s="14" t="inlineStr">
        <is>
          <t>P&amp;L $</t>
        </is>
      </c>
      <c r="I3" s="14" t="inlineStr">
        <is>
          <t>Return %</t>
        </is>
      </c>
      <c r="J3" s="14" t="inlineStr">
        <is>
          <t>Days Held</t>
        </is>
      </c>
      <c r="K3" s="14" t="inlineStr">
        <is>
          <t>Exit Reason</t>
        </is>
      </c>
    </row>
    <row r="4">
      <c r="A4" s="17" t="n"/>
      <c r="B4" s="17" t="n"/>
      <c r="C4" s="17" t="n"/>
      <c r="D4" s="17" t="n"/>
      <c r="E4" s="15" t="n"/>
      <c r="F4" s="15" t="n"/>
      <c r="G4" s="17" t="n"/>
      <c r="H4" s="15">
        <f>IF(OR(E4="",F4="",G4=""),"", (F4-E4)*G4)</f>
        <v/>
      </c>
      <c r="I4" s="16">
        <f>IF(OR(E4="",F4=""),"", (F4/E4)-1)</f>
        <v/>
      </c>
      <c r="J4" s="17">
        <f>IF(OR(C4="",D4=""),"", D4-C4)</f>
        <v/>
      </c>
      <c r="K4" s="17" t="n"/>
    </row>
    <row r="5">
      <c r="A5" s="17" t="n"/>
      <c r="B5" s="17" t="n"/>
      <c r="C5" s="17" t="n"/>
      <c r="D5" s="17" t="n"/>
      <c r="E5" s="15" t="n"/>
      <c r="F5" s="15" t="n"/>
      <c r="G5" s="17" t="n"/>
      <c r="H5" s="15">
        <f>IF(OR(E5="",F5="",G5=""),"", (F5-E5)*G5)</f>
        <v/>
      </c>
      <c r="I5" s="16">
        <f>IF(OR(E5="",F5=""),"", (F5/E5)-1)</f>
        <v/>
      </c>
      <c r="J5" s="17">
        <f>IF(OR(C5="",D5=""),"", D5-C5)</f>
        <v/>
      </c>
      <c r="K5" s="17" t="n"/>
    </row>
    <row r="6">
      <c r="A6" s="17" t="n"/>
      <c r="B6" s="17" t="n"/>
      <c r="C6" s="17" t="n"/>
      <c r="D6" s="17" t="n"/>
      <c r="E6" s="15" t="n"/>
      <c r="F6" s="15" t="n"/>
      <c r="G6" s="17" t="n"/>
      <c r="H6" s="15">
        <f>IF(OR(E6="",F6="",G6=""),"", (F6-E6)*G6)</f>
        <v/>
      </c>
      <c r="I6" s="16">
        <f>IF(OR(E6="",F6=""),"", (F6/E6)-1)</f>
        <v/>
      </c>
      <c r="J6" s="17">
        <f>IF(OR(C6="",D6=""),"", D6-C6)</f>
        <v/>
      </c>
      <c r="K6" s="17" t="n"/>
    </row>
    <row r="7">
      <c r="A7" s="17" t="n"/>
      <c r="B7" s="17" t="n"/>
      <c r="C7" s="17" t="n"/>
      <c r="D7" s="17" t="n"/>
      <c r="E7" s="15" t="n"/>
      <c r="F7" s="15" t="n"/>
      <c r="G7" s="17" t="n"/>
      <c r="H7" s="15">
        <f>IF(OR(E7="",F7="",G7=""),"", (F7-E7)*G7)</f>
        <v/>
      </c>
      <c r="I7" s="16">
        <f>IF(OR(E7="",F7=""),"", (F7/E7)-1)</f>
        <v/>
      </c>
      <c r="J7" s="17">
        <f>IF(OR(C7="",D7=""),"", D7-C7)</f>
        <v/>
      </c>
      <c r="K7" s="17" t="n"/>
    </row>
    <row r="8">
      <c r="A8" s="17" t="n"/>
      <c r="B8" s="17" t="n"/>
      <c r="C8" s="17" t="n"/>
      <c r="D8" s="17" t="n"/>
      <c r="E8" s="15" t="n"/>
      <c r="F8" s="15" t="n"/>
      <c r="G8" s="17" t="n"/>
      <c r="H8" s="15">
        <f>IF(OR(E8="",F8="",G8=""),"", (F8-E8)*G8)</f>
        <v/>
      </c>
      <c r="I8" s="16">
        <f>IF(OR(E8="",F8=""),"", (F8/E8)-1)</f>
        <v/>
      </c>
      <c r="J8" s="17">
        <f>IF(OR(C8="",D8=""),"", D8-C8)</f>
        <v/>
      </c>
      <c r="K8" s="17" t="n"/>
    </row>
    <row r="9">
      <c r="A9" s="17" t="n"/>
      <c r="B9" s="17" t="n"/>
      <c r="C9" s="17" t="n"/>
      <c r="D9" s="17" t="n"/>
      <c r="E9" s="15" t="n"/>
      <c r="F9" s="15" t="n"/>
      <c r="G9" s="17" t="n"/>
      <c r="H9" s="15">
        <f>IF(OR(E9="",F9="",G9=""),"", (F9-E9)*G9)</f>
        <v/>
      </c>
      <c r="I9" s="16">
        <f>IF(OR(E9="",F9=""),"", (F9/E9)-1)</f>
        <v/>
      </c>
      <c r="J9" s="17">
        <f>IF(OR(C9="",D9=""),"", D9-C9)</f>
        <v/>
      </c>
      <c r="K9" s="17" t="n"/>
    </row>
    <row r="10">
      <c r="A10" s="17" t="n"/>
      <c r="B10" s="17" t="n"/>
      <c r="C10" s="17" t="n"/>
      <c r="D10" s="17" t="n"/>
      <c r="E10" s="15" t="n"/>
      <c r="F10" s="15" t="n"/>
      <c r="G10" s="17" t="n"/>
      <c r="H10" s="15">
        <f>IF(OR(E10="",F10="",G10=""),"", (F10-E10)*G10)</f>
        <v/>
      </c>
      <c r="I10" s="16">
        <f>IF(OR(E10="",F10=""),"", (F10/E10)-1)</f>
        <v/>
      </c>
      <c r="J10" s="17">
        <f>IF(OR(C10="",D10=""),"", D10-C10)</f>
        <v/>
      </c>
      <c r="K10" s="17" t="n"/>
    </row>
    <row r="11">
      <c r="A11" s="17" t="n"/>
      <c r="B11" s="17" t="n"/>
      <c r="C11" s="17" t="n"/>
      <c r="D11" s="17" t="n"/>
      <c r="E11" s="15" t="n"/>
      <c r="F11" s="15" t="n"/>
      <c r="G11" s="17" t="n"/>
      <c r="H11" s="15">
        <f>IF(OR(E11="",F11="",G11=""),"", (F11-E11)*G11)</f>
        <v/>
      </c>
      <c r="I11" s="16">
        <f>IF(OR(E11="",F11=""),"", (F11/E11)-1)</f>
        <v/>
      </c>
      <c r="J11" s="17">
        <f>IF(OR(C11="",D11=""),"", D11-C11)</f>
        <v/>
      </c>
      <c r="K11" s="17" t="n"/>
    </row>
    <row r="12">
      <c r="A12" s="17" t="n"/>
      <c r="B12" s="17" t="n"/>
      <c r="C12" s="17" t="n"/>
      <c r="D12" s="17" t="n"/>
      <c r="E12" s="15" t="n"/>
      <c r="F12" s="15" t="n"/>
      <c r="G12" s="17" t="n"/>
      <c r="H12" s="15">
        <f>IF(OR(E12="",F12="",G12=""),"", (F12-E12)*G12)</f>
        <v/>
      </c>
      <c r="I12" s="16">
        <f>IF(OR(E12="",F12=""),"", (F12/E12)-1)</f>
        <v/>
      </c>
      <c r="J12" s="17">
        <f>IF(OR(C12="",D12=""),"", D12-C12)</f>
        <v/>
      </c>
      <c r="K12" s="17" t="n"/>
    </row>
    <row r="13">
      <c r="A13" s="17" t="n"/>
      <c r="B13" s="17" t="n"/>
      <c r="C13" s="17" t="n"/>
      <c r="D13" s="17" t="n"/>
      <c r="E13" s="15" t="n"/>
      <c r="F13" s="15" t="n"/>
      <c r="G13" s="17" t="n"/>
      <c r="H13" s="15">
        <f>IF(OR(E13="",F13="",G13=""),"", (F13-E13)*G13)</f>
        <v/>
      </c>
      <c r="I13" s="16">
        <f>IF(OR(E13="",F13=""),"", (F13/E13)-1)</f>
        <v/>
      </c>
      <c r="J13" s="17">
        <f>IF(OR(C13="",D13=""),"", D13-C13)</f>
        <v/>
      </c>
      <c r="K13" s="17" t="n"/>
    </row>
    <row r="14">
      <c r="A14" s="17" t="n"/>
      <c r="B14" s="17" t="n"/>
      <c r="C14" s="17" t="n"/>
      <c r="D14" s="17" t="n"/>
      <c r="E14" s="15" t="n"/>
      <c r="F14" s="15" t="n"/>
      <c r="G14" s="17" t="n"/>
      <c r="H14" s="15">
        <f>IF(OR(E14="",F14="",G14=""),"", (F14-E14)*G14)</f>
        <v/>
      </c>
      <c r="I14" s="16">
        <f>IF(OR(E14="",F14=""),"", (F14/E14)-1)</f>
        <v/>
      </c>
      <c r="J14" s="17">
        <f>IF(OR(C14="",D14=""),"", D14-C14)</f>
        <v/>
      </c>
      <c r="K14" s="17" t="n"/>
    </row>
    <row r="15">
      <c r="A15" s="17" t="n"/>
      <c r="B15" s="17" t="n"/>
      <c r="C15" s="17" t="n"/>
      <c r="D15" s="17" t="n"/>
      <c r="E15" s="15" t="n"/>
      <c r="F15" s="15" t="n"/>
      <c r="G15" s="17" t="n"/>
      <c r="H15" s="15">
        <f>IF(OR(E15="",F15="",G15=""),"", (F15-E15)*G15)</f>
        <v/>
      </c>
      <c r="I15" s="16">
        <f>IF(OR(E15="",F15=""),"", (F15/E15)-1)</f>
        <v/>
      </c>
      <c r="J15" s="17">
        <f>IF(OR(C15="",D15=""),"", D15-C15)</f>
        <v/>
      </c>
      <c r="K15" s="17" t="n"/>
    </row>
    <row r="16">
      <c r="A16" s="17" t="n"/>
      <c r="B16" s="17" t="n"/>
      <c r="C16" s="17" t="n"/>
      <c r="D16" s="17" t="n"/>
      <c r="E16" s="15" t="n"/>
      <c r="F16" s="15" t="n"/>
      <c r="G16" s="17" t="n"/>
      <c r="H16" s="15">
        <f>IF(OR(E16="",F16="",G16=""),"", (F16-E16)*G16)</f>
        <v/>
      </c>
      <c r="I16" s="16">
        <f>IF(OR(E16="",F16=""),"", (F16/E16)-1)</f>
        <v/>
      </c>
      <c r="J16" s="17">
        <f>IF(OR(C16="",D16=""),"", D16-C16)</f>
        <v/>
      </c>
      <c r="K16" s="17" t="n"/>
    </row>
    <row r="17">
      <c r="A17" s="17" t="n"/>
      <c r="B17" s="17" t="n"/>
      <c r="C17" s="17" t="n"/>
      <c r="D17" s="17" t="n"/>
      <c r="E17" s="15" t="n"/>
      <c r="F17" s="15" t="n"/>
      <c r="G17" s="17" t="n"/>
      <c r="H17" s="15">
        <f>IF(OR(E17="",F17="",G17=""),"", (F17-E17)*G17)</f>
        <v/>
      </c>
      <c r="I17" s="16">
        <f>IF(OR(E17="",F17=""),"", (F17/E17)-1)</f>
        <v/>
      </c>
      <c r="J17" s="17">
        <f>IF(OR(C17="",D17=""),"", D17-C17)</f>
        <v/>
      </c>
      <c r="K17" s="17" t="n"/>
    </row>
    <row r="18">
      <c r="A18" s="17" t="n"/>
      <c r="B18" s="17" t="n"/>
      <c r="C18" s="17" t="n"/>
      <c r="D18" s="17" t="n"/>
      <c r="E18" s="15" t="n"/>
      <c r="F18" s="15" t="n"/>
      <c r="G18" s="17" t="n"/>
      <c r="H18" s="15">
        <f>IF(OR(E18="",F18="",G18=""),"", (F18-E18)*G18)</f>
        <v/>
      </c>
      <c r="I18" s="16">
        <f>IF(OR(E18="",F18=""),"", (F18/E18)-1)</f>
        <v/>
      </c>
      <c r="J18" s="17">
        <f>IF(OR(C18="",D18=""),"", D18-C18)</f>
        <v/>
      </c>
      <c r="K18" s="17" t="n"/>
    </row>
    <row r="19">
      <c r="A19" s="17" t="n"/>
      <c r="B19" s="17" t="n"/>
      <c r="C19" s="17" t="n"/>
      <c r="D19" s="17" t="n"/>
      <c r="E19" s="15" t="n"/>
      <c r="F19" s="15" t="n"/>
      <c r="G19" s="17" t="n"/>
      <c r="H19" s="15">
        <f>IF(OR(E19="",F19="",G19=""),"", (F19-E19)*G19)</f>
        <v/>
      </c>
      <c r="I19" s="16">
        <f>IF(OR(E19="",F19=""),"", (F19/E19)-1)</f>
        <v/>
      </c>
      <c r="J19" s="17">
        <f>IF(OR(C19="",D19=""),"", D19-C19)</f>
        <v/>
      </c>
      <c r="K19" s="17" t="n"/>
    </row>
    <row r="20">
      <c r="A20" s="17" t="n"/>
      <c r="B20" s="17" t="n"/>
      <c r="C20" s="17" t="n"/>
      <c r="D20" s="17" t="n"/>
      <c r="E20" s="15" t="n"/>
      <c r="F20" s="15" t="n"/>
      <c r="G20" s="17" t="n"/>
      <c r="H20" s="15">
        <f>IF(OR(E20="",F20="",G20=""),"", (F20-E20)*G20)</f>
        <v/>
      </c>
      <c r="I20" s="16">
        <f>IF(OR(E20="",F20=""),"", (F20/E20)-1)</f>
        <v/>
      </c>
      <c r="J20" s="17">
        <f>IF(OR(C20="",D20=""),"", D20-C20)</f>
        <v/>
      </c>
      <c r="K20" s="17" t="n"/>
    </row>
    <row r="21">
      <c r="A21" s="17" t="n"/>
      <c r="B21" s="17" t="n"/>
      <c r="C21" s="17" t="n"/>
      <c r="D21" s="17" t="n"/>
      <c r="E21" s="15" t="n"/>
      <c r="F21" s="15" t="n"/>
      <c r="G21" s="17" t="n"/>
      <c r="H21" s="15">
        <f>IF(OR(E21="",F21="",G21=""),"", (F21-E21)*G21)</f>
        <v/>
      </c>
      <c r="I21" s="16">
        <f>IF(OR(E21="",F21=""),"", (F21/E21)-1)</f>
        <v/>
      </c>
      <c r="J21" s="17">
        <f>IF(OR(C21="",D21=""),"", D21-C21)</f>
        <v/>
      </c>
      <c r="K21" s="17" t="n"/>
    </row>
    <row r="22">
      <c r="A22" s="17" t="n"/>
      <c r="B22" s="17" t="n"/>
      <c r="C22" s="17" t="n"/>
      <c r="D22" s="17" t="n"/>
      <c r="E22" s="15" t="n"/>
      <c r="F22" s="15" t="n"/>
      <c r="G22" s="17" t="n"/>
      <c r="H22" s="15">
        <f>IF(OR(E22="",F22="",G22=""),"", (F22-E22)*G22)</f>
        <v/>
      </c>
      <c r="I22" s="16">
        <f>IF(OR(E22="",F22=""),"", (F22/E22)-1)</f>
        <v/>
      </c>
      <c r="J22" s="17">
        <f>IF(OR(C22="",D22=""),"", D22-C22)</f>
        <v/>
      </c>
      <c r="K22" s="17" t="n"/>
    </row>
    <row r="23">
      <c r="A23" s="17" t="n"/>
      <c r="B23" s="17" t="n"/>
      <c r="C23" s="17" t="n"/>
      <c r="D23" s="17" t="n"/>
      <c r="E23" s="15" t="n"/>
      <c r="F23" s="15" t="n"/>
      <c r="G23" s="17" t="n"/>
      <c r="H23" s="15">
        <f>IF(OR(E23="",F23="",G23=""),"", (F23-E23)*G23)</f>
        <v/>
      </c>
      <c r="I23" s="16">
        <f>IF(OR(E23="",F23=""),"", (F23/E23)-1)</f>
        <v/>
      </c>
      <c r="J23" s="17">
        <f>IF(OR(C23="",D23=""),"", D23-C23)</f>
        <v/>
      </c>
      <c r="K23" s="17" t="n"/>
    </row>
    <row r="24">
      <c r="A24" s="17" t="n"/>
      <c r="B24" s="17" t="n"/>
      <c r="C24" s="17" t="n"/>
      <c r="D24" s="17" t="n"/>
      <c r="E24" s="15" t="n"/>
      <c r="F24" s="15" t="n"/>
      <c r="G24" s="17" t="n"/>
      <c r="H24" s="15">
        <f>IF(OR(E24="",F24="",G24=""),"", (F24-E24)*G24)</f>
        <v/>
      </c>
      <c r="I24" s="16">
        <f>IF(OR(E24="",F24=""),"", (F24/E24)-1)</f>
        <v/>
      </c>
      <c r="J24" s="17">
        <f>IF(OR(C24="",D24=""),"", D24-C24)</f>
        <v/>
      </c>
      <c r="K24" s="17" t="n"/>
    </row>
    <row r="25">
      <c r="A25" s="17" t="n"/>
      <c r="B25" s="17" t="n"/>
      <c r="C25" s="17" t="n"/>
      <c r="D25" s="17" t="n"/>
      <c r="E25" s="15" t="n"/>
      <c r="F25" s="15" t="n"/>
      <c r="G25" s="17" t="n"/>
      <c r="H25" s="15">
        <f>IF(OR(E25="",F25="",G25=""),"", (F25-E25)*G25)</f>
        <v/>
      </c>
      <c r="I25" s="16">
        <f>IF(OR(E25="",F25=""),"", (F25/E25)-1)</f>
        <v/>
      </c>
      <c r="J25" s="17">
        <f>IF(OR(C25="",D25=""),"", D25-C25)</f>
        <v/>
      </c>
      <c r="K25" s="17" t="n"/>
    </row>
    <row r="26">
      <c r="A26" s="17" t="n"/>
      <c r="B26" s="17" t="n"/>
      <c r="C26" s="17" t="n"/>
      <c r="D26" s="17" t="n"/>
      <c r="E26" s="15" t="n"/>
      <c r="F26" s="15" t="n"/>
      <c r="G26" s="17" t="n"/>
      <c r="H26" s="15">
        <f>IF(OR(E26="",F26="",G26=""),"", (F26-E26)*G26)</f>
        <v/>
      </c>
      <c r="I26" s="16">
        <f>IF(OR(E26="",F26=""),"", (F26/E26)-1)</f>
        <v/>
      </c>
      <c r="J26" s="17">
        <f>IF(OR(C26="",D26=""),"", D26-C26)</f>
        <v/>
      </c>
      <c r="K26" s="17" t="n"/>
    </row>
    <row r="27">
      <c r="A27" s="17" t="n"/>
      <c r="B27" s="17" t="n"/>
      <c r="C27" s="17" t="n"/>
      <c r="D27" s="17" t="n"/>
      <c r="E27" s="15" t="n"/>
      <c r="F27" s="15" t="n"/>
      <c r="G27" s="17" t="n"/>
      <c r="H27" s="15">
        <f>IF(OR(E27="",F27="",G27=""),"", (F27-E27)*G27)</f>
        <v/>
      </c>
      <c r="I27" s="16">
        <f>IF(OR(E27="",F27=""),"", (F27/E27)-1)</f>
        <v/>
      </c>
      <c r="J27" s="17">
        <f>IF(OR(C27="",D27=""),"", D27-C27)</f>
        <v/>
      </c>
      <c r="K27" s="17" t="n"/>
    </row>
    <row r="28">
      <c r="A28" s="17" t="n"/>
      <c r="B28" s="17" t="n"/>
      <c r="C28" s="17" t="n"/>
      <c r="D28" s="17" t="n"/>
      <c r="E28" s="15" t="n"/>
      <c r="F28" s="15" t="n"/>
      <c r="G28" s="17" t="n"/>
      <c r="H28" s="15">
        <f>IF(OR(E28="",F28="",G28=""),"", (F28-E28)*G28)</f>
        <v/>
      </c>
      <c r="I28" s="16">
        <f>IF(OR(E28="",F28=""),"", (F28/E28)-1)</f>
        <v/>
      </c>
      <c r="J28" s="17">
        <f>IF(OR(C28="",D28=""),"", D28-C28)</f>
        <v/>
      </c>
      <c r="K28" s="17" t="n"/>
    </row>
    <row r="29">
      <c r="A29" s="17" t="n"/>
      <c r="B29" s="17" t="n"/>
      <c r="C29" s="17" t="n"/>
      <c r="D29" s="17" t="n"/>
      <c r="E29" s="15" t="n"/>
      <c r="F29" s="15" t="n"/>
      <c r="G29" s="17" t="n"/>
      <c r="H29" s="15">
        <f>IF(OR(E29="",F29="",G29=""),"", (F29-E29)*G29)</f>
        <v/>
      </c>
      <c r="I29" s="16">
        <f>IF(OR(E29="",F29=""),"", (F29/E29)-1)</f>
        <v/>
      </c>
      <c r="J29" s="17">
        <f>IF(OR(C29="",D29=""),"", D29-C29)</f>
        <v/>
      </c>
      <c r="K29" s="17" t="n"/>
    </row>
    <row r="30">
      <c r="A30" s="17" t="n"/>
      <c r="B30" s="17" t="n"/>
      <c r="C30" s="17" t="n"/>
      <c r="D30" s="17" t="n"/>
      <c r="E30" s="15" t="n"/>
      <c r="F30" s="15" t="n"/>
      <c r="G30" s="17" t="n"/>
      <c r="H30" s="15">
        <f>IF(OR(E30="",F30="",G30=""),"", (F30-E30)*G30)</f>
        <v/>
      </c>
      <c r="I30" s="16">
        <f>IF(OR(E30="",F30=""),"", (F30/E30)-1)</f>
        <v/>
      </c>
      <c r="J30" s="17">
        <f>IF(OR(C30="",D30=""),"", D30-C30)</f>
        <v/>
      </c>
      <c r="K30" s="17" t="n"/>
    </row>
    <row r="31">
      <c r="A31" s="17" t="n"/>
      <c r="B31" s="17" t="n"/>
      <c r="C31" s="17" t="n"/>
      <c r="D31" s="17" t="n"/>
      <c r="E31" s="15" t="n"/>
      <c r="F31" s="15" t="n"/>
      <c r="G31" s="17" t="n"/>
      <c r="H31" s="15">
        <f>IF(OR(E31="",F31="",G31=""),"", (F31-E31)*G31)</f>
        <v/>
      </c>
      <c r="I31" s="16">
        <f>IF(OR(E31="",F31=""),"", (F31/E31)-1)</f>
        <v/>
      </c>
      <c r="J31" s="17">
        <f>IF(OR(C31="",D31=""),"", D31-C31)</f>
        <v/>
      </c>
      <c r="K31" s="17" t="n"/>
    </row>
    <row r="32">
      <c r="A32" s="17" t="n"/>
      <c r="B32" s="17" t="n"/>
      <c r="C32" s="17" t="n"/>
      <c r="D32" s="17" t="n"/>
      <c r="E32" s="15" t="n"/>
      <c r="F32" s="15" t="n"/>
      <c r="G32" s="17" t="n"/>
      <c r="H32" s="15">
        <f>IF(OR(E32="",F32="",G32=""),"", (F32-E32)*G32)</f>
        <v/>
      </c>
      <c r="I32" s="16">
        <f>IF(OR(E32="",F32=""),"", (F32/E32)-1)</f>
        <v/>
      </c>
      <c r="J32" s="17">
        <f>IF(OR(C32="",D32=""),"", D32-C32)</f>
        <v/>
      </c>
      <c r="K32" s="17" t="n"/>
    </row>
    <row r="33">
      <c r="A33" s="17" t="n"/>
      <c r="B33" s="17" t="n"/>
      <c r="C33" s="17" t="n"/>
      <c r="D33" s="17" t="n"/>
      <c r="E33" s="15" t="n"/>
      <c r="F33" s="15" t="n"/>
      <c r="G33" s="17" t="n"/>
      <c r="H33" s="15">
        <f>IF(OR(E33="",F33="",G33=""),"", (F33-E33)*G33)</f>
        <v/>
      </c>
      <c r="I33" s="16">
        <f>IF(OR(E33="",F33=""),"", (F33/E33)-1)</f>
        <v/>
      </c>
      <c r="J33" s="17">
        <f>IF(OR(C33="",D33=""),"", D33-C33)</f>
        <v/>
      </c>
      <c r="K33" s="17" t="n"/>
    </row>
    <row r="34">
      <c r="A34" s="17" t="n"/>
      <c r="B34" s="17" t="n"/>
      <c r="C34" s="17" t="n"/>
      <c r="D34" s="17" t="n"/>
      <c r="E34" s="15" t="n"/>
      <c r="F34" s="15" t="n"/>
      <c r="G34" s="17" t="n"/>
      <c r="H34" s="15">
        <f>IF(OR(E34="",F34="",G34=""),"", (F34-E34)*G34)</f>
        <v/>
      </c>
      <c r="I34" s="16">
        <f>IF(OR(E34="",F34=""),"", (F34/E34)-1)</f>
        <v/>
      </c>
      <c r="J34" s="17">
        <f>IF(OR(C34="",D34=""),"", D34-C34)</f>
        <v/>
      </c>
      <c r="K34" s="17" t="n"/>
    </row>
    <row r="35">
      <c r="A35" s="17" t="n"/>
      <c r="B35" s="17" t="n"/>
      <c r="C35" s="17" t="n"/>
      <c r="D35" s="17" t="n"/>
      <c r="E35" s="15" t="n"/>
      <c r="F35" s="15" t="n"/>
      <c r="G35" s="17" t="n"/>
      <c r="H35" s="15">
        <f>IF(OR(E35="",F35="",G35=""),"", (F35-E35)*G35)</f>
        <v/>
      </c>
      <c r="I35" s="16">
        <f>IF(OR(E35="",F35=""),"", (F35/E35)-1)</f>
        <v/>
      </c>
      <c r="J35" s="17">
        <f>IF(OR(C35="",D35=""),"", D35-C35)</f>
        <v/>
      </c>
      <c r="K35" s="17" t="n"/>
    </row>
    <row r="36">
      <c r="A36" s="17" t="n"/>
      <c r="B36" s="17" t="n"/>
      <c r="C36" s="17" t="n"/>
      <c r="D36" s="17" t="n"/>
      <c r="E36" s="15" t="n"/>
      <c r="F36" s="15" t="n"/>
      <c r="G36" s="17" t="n"/>
      <c r="H36" s="15">
        <f>IF(OR(E36="",F36="",G36=""),"", (F36-E36)*G36)</f>
        <v/>
      </c>
      <c r="I36" s="16">
        <f>IF(OR(E36="",F36=""),"", (F36/E36)-1)</f>
        <v/>
      </c>
      <c r="J36" s="17">
        <f>IF(OR(C36="",D36=""),"", D36-C36)</f>
        <v/>
      </c>
      <c r="K36" s="17" t="n"/>
    </row>
    <row r="37">
      <c r="A37" s="17" t="n"/>
      <c r="B37" s="17" t="n"/>
      <c r="C37" s="17" t="n"/>
      <c r="D37" s="17" t="n"/>
      <c r="E37" s="15" t="n"/>
      <c r="F37" s="15" t="n"/>
      <c r="G37" s="17" t="n"/>
      <c r="H37" s="15">
        <f>IF(OR(E37="",F37="",G37=""),"", (F37-E37)*G37)</f>
        <v/>
      </c>
      <c r="I37" s="16">
        <f>IF(OR(E37="",F37=""),"", (F37/E37)-1)</f>
        <v/>
      </c>
      <c r="J37" s="17">
        <f>IF(OR(C37="",D37=""),"", D37-C37)</f>
        <v/>
      </c>
      <c r="K37" s="17" t="n"/>
    </row>
    <row r="38">
      <c r="A38" s="17" t="n"/>
      <c r="B38" s="17" t="n"/>
      <c r="C38" s="17" t="n"/>
      <c r="D38" s="17" t="n"/>
      <c r="E38" s="15" t="n"/>
      <c r="F38" s="15" t="n"/>
      <c r="G38" s="17" t="n"/>
      <c r="H38" s="15">
        <f>IF(OR(E38="",F38="",G38=""),"", (F38-E38)*G38)</f>
        <v/>
      </c>
      <c r="I38" s="16">
        <f>IF(OR(E38="",F38=""),"", (F38/E38)-1)</f>
        <v/>
      </c>
      <c r="J38" s="17">
        <f>IF(OR(C38="",D38=""),"", D38-C38)</f>
        <v/>
      </c>
      <c r="K38" s="17" t="n"/>
    </row>
    <row r="39">
      <c r="A39" s="17" t="n"/>
      <c r="B39" s="17" t="n"/>
      <c r="C39" s="17" t="n"/>
      <c r="D39" s="17" t="n"/>
      <c r="E39" s="15" t="n"/>
      <c r="F39" s="15" t="n"/>
      <c r="G39" s="17" t="n"/>
      <c r="H39" s="15">
        <f>IF(OR(E39="",F39="",G39=""),"", (F39-E39)*G39)</f>
        <v/>
      </c>
      <c r="I39" s="16">
        <f>IF(OR(E39="",F39=""),"", (F39/E39)-1)</f>
        <v/>
      </c>
      <c r="J39" s="17">
        <f>IF(OR(C39="",D39=""),"", D39-C39)</f>
        <v/>
      </c>
      <c r="K39" s="17" t="n"/>
    </row>
    <row r="40">
      <c r="A40" s="17" t="n"/>
      <c r="B40" s="17" t="n"/>
      <c r="C40" s="17" t="n"/>
      <c r="D40" s="17" t="n"/>
      <c r="E40" s="15" t="n"/>
      <c r="F40" s="15" t="n"/>
      <c r="G40" s="17" t="n"/>
      <c r="H40" s="15">
        <f>IF(OR(E40="",F40="",G40=""),"", (F40-E40)*G40)</f>
        <v/>
      </c>
      <c r="I40" s="16">
        <f>IF(OR(E40="",F40=""),"", (F40/E40)-1)</f>
        <v/>
      </c>
      <c r="J40" s="17">
        <f>IF(OR(C40="",D40=""),"", D40-C40)</f>
        <v/>
      </c>
      <c r="K40" s="17" t="n"/>
    </row>
    <row r="41">
      <c r="A41" s="17" t="n"/>
      <c r="B41" s="17" t="n"/>
      <c r="C41" s="17" t="n"/>
      <c r="D41" s="17" t="n"/>
      <c r="E41" s="15" t="n"/>
      <c r="F41" s="15" t="n"/>
      <c r="G41" s="17" t="n"/>
      <c r="H41" s="15">
        <f>IF(OR(E41="",F41="",G41=""),"", (F41-E41)*G41)</f>
        <v/>
      </c>
      <c r="I41" s="16">
        <f>IF(OR(E41="",F41=""),"", (F41/E41)-1)</f>
        <v/>
      </c>
      <c r="J41" s="17">
        <f>IF(OR(C41="",D41=""),"", D41-C41)</f>
        <v/>
      </c>
      <c r="K41" s="17" t="n"/>
    </row>
    <row r="42">
      <c r="A42" s="17" t="n"/>
      <c r="B42" s="17" t="n"/>
      <c r="C42" s="17" t="n"/>
      <c r="D42" s="17" t="n"/>
      <c r="E42" s="15" t="n"/>
      <c r="F42" s="15" t="n"/>
      <c r="G42" s="17" t="n"/>
      <c r="H42" s="15">
        <f>IF(OR(E42="",F42="",G42=""),"", (F42-E42)*G42)</f>
        <v/>
      </c>
      <c r="I42" s="16">
        <f>IF(OR(E42="",F42=""),"", (F42/E42)-1)</f>
        <v/>
      </c>
      <c r="J42" s="17">
        <f>IF(OR(C42="",D42=""),"", D42-C42)</f>
        <v/>
      </c>
      <c r="K42" s="17" t="n"/>
    </row>
    <row r="43">
      <c r="A43" s="17" t="n"/>
      <c r="B43" s="17" t="n"/>
      <c r="C43" s="17" t="n"/>
      <c r="D43" s="17" t="n"/>
      <c r="E43" s="15" t="n"/>
      <c r="F43" s="15" t="n"/>
      <c r="G43" s="17" t="n"/>
      <c r="H43" s="15">
        <f>IF(OR(E43="",F43="",G43=""),"", (F43-E43)*G43)</f>
        <v/>
      </c>
      <c r="I43" s="16">
        <f>IF(OR(E43="",F43=""),"", (F43/E43)-1)</f>
        <v/>
      </c>
      <c r="J43" s="17">
        <f>IF(OR(C43="",D43=""),"", D43-C43)</f>
        <v/>
      </c>
      <c r="K43" s="17" t="n"/>
    </row>
    <row r="44">
      <c r="A44" s="17" t="n"/>
      <c r="B44" s="17" t="n"/>
      <c r="C44" s="17" t="n"/>
      <c r="D44" s="17" t="n"/>
      <c r="E44" s="15" t="n"/>
      <c r="F44" s="15" t="n"/>
      <c r="G44" s="17" t="n"/>
      <c r="H44" s="15">
        <f>IF(OR(E44="",F44="",G44=""),"", (F44-E44)*G44)</f>
        <v/>
      </c>
      <c r="I44" s="16">
        <f>IF(OR(E44="",F44=""),"", (F44/E44)-1)</f>
        <v/>
      </c>
      <c r="J44" s="17">
        <f>IF(OR(C44="",D44=""),"", D44-C44)</f>
        <v/>
      </c>
      <c r="K44" s="17" t="n"/>
    </row>
    <row r="45">
      <c r="A45" s="17" t="n"/>
      <c r="B45" s="17" t="n"/>
      <c r="C45" s="17" t="n"/>
      <c r="D45" s="17" t="n"/>
      <c r="E45" s="15" t="n"/>
      <c r="F45" s="15" t="n"/>
      <c r="G45" s="17" t="n"/>
      <c r="H45" s="15">
        <f>IF(OR(E45="",F45="",G45=""),"", (F45-E45)*G45)</f>
        <v/>
      </c>
      <c r="I45" s="16">
        <f>IF(OR(E45="",F45=""),"", (F45/E45)-1)</f>
        <v/>
      </c>
      <c r="J45" s="17">
        <f>IF(OR(C45="",D45=""),"", D45-C45)</f>
        <v/>
      </c>
      <c r="K45" s="17" t="n"/>
    </row>
    <row r="46">
      <c r="A46" s="17" t="n"/>
      <c r="B46" s="17" t="n"/>
      <c r="C46" s="17" t="n"/>
      <c r="D46" s="17" t="n"/>
      <c r="E46" s="15" t="n"/>
      <c r="F46" s="15" t="n"/>
      <c r="G46" s="17" t="n"/>
      <c r="H46" s="15">
        <f>IF(OR(E46="",F46="",G46=""),"", (F46-E46)*G46)</f>
        <v/>
      </c>
      <c r="I46" s="16">
        <f>IF(OR(E46="",F46=""),"", (F46/E46)-1)</f>
        <v/>
      </c>
      <c r="J46" s="17">
        <f>IF(OR(C46="",D46=""),"", D46-C46)</f>
        <v/>
      </c>
      <c r="K46" s="17" t="n"/>
    </row>
    <row r="47">
      <c r="A47" s="17" t="n"/>
      <c r="B47" s="17" t="n"/>
      <c r="C47" s="17" t="n"/>
      <c r="D47" s="17" t="n"/>
      <c r="E47" s="15" t="n"/>
      <c r="F47" s="15" t="n"/>
      <c r="G47" s="17" t="n"/>
      <c r="H47" s="15">
        <f>IF(OR(E47="",F47="",G47=""),"", (F47-E47)*G47)</f>
        <v/>
      </c>
      <c r="I47" s="16">
        <f>IF(OR(E47="",F47=""),"", (F47/E47)-1)</f>
        <v/>
      </c>
      <c r="J47" s="17">
        <f>IF(OR(C47="",D47=""),"", D47-C47)</f>
        <v/>
      </c>
      <c r="K47" s="17" t="n"/>
    </row>
    <row r="48">
      <c r="A48" s="17" t="n"/>
      <c r="B48" s="17" t="n"/>
      <c r="C48" s="17" t="n"/>
      <c r="D48" s="17" t="n"/>
      <c r="E48" s="15" t="n"/>
      <c r="F48" s="15" t="n"/>
      <c r="G48" s="17" t="n"/>
      <c r="H48" s="15">
        <f>IF(OR(E48="",F48="",G48=""),"", (F48-E48)*G48)</f>
        <v/>
      </c>
      <c r="I48" s="16">
        <f>IF(OR(E48="",F48=""),"", (F48/E48)-1)</f>
        <v/>
      </c>
      <c r="J48" s="17">
        <f>IF(OR(C48="",D48=""),"", D48-C48)</f>
        <v/>
      </c>
      <c r="K48" s="17" t="n"/>
    </row>
    <row r="49">
      <c r="A49" s="17" t="n"/>
      <c r="B49" s="17" t="n"/>
      <c r="C49" s="17" t="n"/>
      <c r="D49" s="17" t="n"/>
      <c r="E49" s="15" t="n"/>
      <c r="F49" s="15" t="n"/>
      <c r="G49" s="17" t="n"/>
      <c r="H49" s="15">
        <f>IF(OR(E49="",F49="",G49=""),"", (F49-E49)*G49)</f>
        <v/>
      </c>
      <c r="I49" s="16">
        <f>IF(OR(E49="",F49=""),"", (F49/E49)-1)</f>
        <v/>
      </c>
      <c r="J49" s="17">
        <f>IF(OR(C49="",D49=""),"", D49-C49)</f>
        <v/>
      </c>
      <c r="K49" s="17" t="n"/>
    </row>
    <row r="50">
      <c r="A50" s="17" t="n"/>
      <c r="B50" s="17" t="n"/>
      <c r="C50" s="17" t="n"/>
      <c r="D50" s="17" t="n"/>
      <c r="E50" s="15" t="n"/>
      <c r="F50" s="15" t="n"/>
      <c r="G50" s="17" t="n"/>
      <c r="H50" s="15">
        <f>IF(OR(E50="",F50="",G50=""),"", (F50-E50)*G50)</f>
        <v/>
      </c>
      <c r="I50" s="16">
        <f>IF(OR(E50="",F50=""),"", (F50/E50)-1)</f>
        <v/>
      </c>
      <c r="J50" s="17">
        <f>IF(OR(C50="",D50=""),"", D50-C50)</f>
        <v/>
      </c>
      <c r="K50" s="17" t="n"/>
    </row>
    <row r="51">
      <c r="A51" s="17" t="n"/>
      <c r="B51" s="17" t="n"/>
      <c r="C51" s="17" t="n"/>
      <c r="D51" s="17" t="n"/>
      <c r="E51" s="15" t="n"/>
      <c r="F51" s="15" t="n"/>
      <c r="G51" s="17" t="n"/>
      <c r="H51" s="15">
        <f>IF(OR(E51="",F51="",G51=""),"", (F51-E51)*G51)</f>
        <v/>
      </c>
      <c r="I51" s="16">
        <f>IF(OR(E51="",F51=""),"", (F51/E51)-1)</f>
        <v/>
      </c>
      <c r="J51" s="17">
        <f>IF(OR(C51="",D51=""),"", D51-C51)</f>
        <v/>
      </c>
      <c r="K51" s="17" t="n"/>
    </row>
    <row r="52">
      <c r="A52" s="17" t="n"/>
      <c r="B52" s="17" t="n"/>
      <c r="C52" s="17" t="n"/>
      <c r="D52" s="17" t="n"/>
      <c r="E52" s="15" t="n"/>
      <c r="F52" s="15" t="n"/>
      <c r="G52" s="17" t="n"/>
      <c r="H52" s="15">
        <f>IF(OR(E52="",F52="",G52=""),"", (F52-E52)*G52)</f>
        <v/>
      </c>
      <c r="I52" s="16">
        <f>IF(OR(E52="",F52=""),"", (F52/E52)-1)</f>
        <v/>
      </c>
      <c r="J52" s="17">
        <f>IF(OR(C52="",D52=""),"", D52-C52)</f>
        <v/>
      </c>
      <c r="K52" s="17" t="n"/>
    </row>
    <row r="53">
      <c r="A53" s="17" t="n"/>
      <c r="B53" s="17" t="n"/>
      <c r="C53" s="17" t="n"/>
      <c r="D53" s="17" t="n"/>
      <c r="E53" s="15" t="n"/>
      <c r="F53" s="15" t="n"/>
      <c r="G53" s="17" t="n"/>
      <c r="H53" s="15">
        <f>IF(OR(E53="",F53="",G53=""),"", (F53-E53)*G53)</f>
        <v/>
      </c>
      <c r="I53" s="16">
        <f>IF(OR(E53="",F53=""),"", (F53/E53)-1)</f>
        <v/>
      </c>
      <c r="J53" s="17">
        <f>IF(OR(C53="",D53=""),"", D53-C53)</f>
        <v/>
      </c>
      <c r="K53" s="17" t="n"/>
    </row>
    <row r="54">
      <c r="A54" s="17" t="n"/>
      <c r="B54" s="17" t="n"/>
      <c r="C54" s="17" t="n"/>
      <c r="D54" s="17" t="n"/>
      <c r="E54" s="15" t="n"/>
      <c r="F54" s="15" t="n"/>
      <c r="G54" s="17" t="n"/>
      <c r="H54" s="15">
        <f>IF(OR(E54="",F54="",G54=""),"", (F54-E54)*G54)</f>
        <v/>
      </c>
      <c r="I54" s="16">
        <f>IF(OR(E54="",F54=""),"", (F54/E54)-1)</f>
        <v/>
      </c>
      <c r="J54" s="17">
        <f>IF(OR(C54="",D54=""),"", D54-C54)</f>
        <v/>
      </c>
      <c r="K54" s="17" t="n"/>
    </row>
    <row r="55">
      <c r="A55" s="17" t="n"/>
      <c r="B55" s="17" t="n"/>
      <c r="C55" s="17" t="n"/>
      <c r="D55" s="17" t="n"/>
      <c r="E55" s="15" t="n"/>
      <c r="F55" s="15" t="n"/>
      <c r="G55" s="17" t="n"/>
      <c r="H55" s="15">
        <f>IF(OR(E55="",F55="",G55=""),"", (F55-E55)*G55)</f>
        <v/>
      </c>
      <c r="I55" s="16">
        <f>IF(OR(E55="",F55=""),"", (F55/E55)-1)</f>
        <v/>
      </c>
      <c r="J55" s="17">
        <f>IF(OR(C55="",D55=""),"", D55-C55)</f>
        <v/>
      </c>
      <c r="K55" s="17" t="n"/>
    </row>
    <row r="56">
      <c r="A56" s="17" t="n"/>
      <c r="B56" s="17" t="n"/>
      <c r="C56" s="17" t="n"/>
      <c r="D56" s="17" t="n"/>
      <c r="E56" s="15" t="n"/>
      <c r="F56" s="15" t="n"/>
      <c r="G56" s="17" t="n"/>
      <c r="H56" s="15">
        <f>IF(OR(E56="",F56="",G56=""),"", (F56-E56)*G56)</f>
        <v/>
      </c>
      <c r="I56" s="16">
        <f>IF(OR(E56="",F56=""),"", (F56/E56)-1)</f>
        <v/>
      </c>
      <c r="J56" s="17">
        <f>IF(OR(C56="",D56=""),"", D56-C56)</f>
        <v/>
      </c>
      <c r="K56" s="17" t="n"/>
    </row>
    <row r="57">
      <c r="A57" s="17" t="n"/>
      <c r="B57" s="17" t="n"/>
      <c r="C57" s="17" t="n"/>
      <c r="D57" s="17" t="n"/>
      <c r="E57" s="15" t="n"/>
      <c r="F57" s="15" t="n"/>
      <c r="G57" s="17" t="n"/>
      <c r="H57" s="15">
        <f>IF(OR(E57="",F57="",G57=""),"", (F57-E57)*G57)</f>
        <v/>
      </c>
      <c r="I57" s="16">
        <f>IF(OR(E57="",F57=""),"", (F57/E57)-1)</f>
        <v/>
      </c>
      <c r="J57" s="17">
        <f>IF(OR(C57="",D57=""),"", D57-C57)</f>
        <v/>
      </c>
      <c r="K57" s="17" t="n"/>
    </row>
    <row r="58">
      <c r="A58" s="17" t="n"/>
      <c r="B58" s="17" t="n"/>
      <c r="C58" s="17" t="n"/>
      <c r="D58" s="17" t="n"/>
      <c r="E58" s="15" t="n"/>
      <c r="F58" s="15" t="n"/>
      <c r="G58" s="17" t="n"/>
      <c r="H58" s="15">
        <f>IF(OR(E58="",F58="",G58=""),"", (F58-E58)*G58)</f>
        <v/>
      </c>
      <c r="I58" s="16">
        <f>IF(OR(E58="",F58=""),"", (F58/E58)-1)</f>
        <v/>
      </c>
      <c r="J58" s="17">
        <f>IF(OR(C58="",D58=""),"", D58-C58)</f>
        <v/>
      </c>
      <c r="K58" s="17" t="n"/>
    </row>
    <row r="59">
      <c r="A59" s="17" t="n"/>
      <c r="B59" s="17" t="n"/>
      <c r="C59" s="17" t="n"/>
      <c r="D59" s="17" t="n"/>
      <c r="E59" s="15" t="n"/>
      <c r="F59" s="15" t="n"/>
      <c r="G59" s="17" t="n"/>
      <c r="H59" s="15">
        <f>IF(OR(E59="",F59="",G59=""),"", (F59-E59)*G59)</f>
        <v/>
      </c>
      <c r="I59" s="16">
        <f>IF(OR(E59="",F59=""),"", (F59/E59)-1)</f>
        <v/>
      </c>
      <c r="J59" s="17">
        <f>IF(OR(C59="",D59=""),"", D59-C59)</f>
        <v/>
      </c>
      <c r="K59" s="17" t="n"/>
    </row>
    <row r="60">
      <c r="A60" s="17" t="n"/>
      <c r="B60" s="17" t="n"/>
      <c r="C60" s="17" t="n"/>
      <c r="D60" s="17" t="n"/>
      <c r="E60" s="15" t="n"/>
      <c r="F60" s="15" t="n"/>
      <c r="G60" s="17" t="n"/>
      <c r="H60" s="15">
        <f>IF(OR(E60="",F60="",G60=""),"", (F60-E60)*G60)</f>
        <v/>
      </c>
      <c r="I60" s="16">
        <f>IF(OR(E60="",F60=""),"", (F60/E60)-1)</f>
        <v/>
      </c>
      <c r="J60" s="17">
        <f>IF(OR(C60="",D60=""),"", D60-C60)</f>
        <v/>
      </c>
      <c r="K60" s="17" t="n"/>
    </row>
    <row r="61">
      <c r="A61" s="17" t="n"/>
      <c r="B61" s="17" t="n"/>
      <c r="C61" s="17" t="n"/>
      <c r="D61" s="17" t="n"/>
      <c r="E61" s="15" t="n"/>
      <c r="F61" s="15" t="n"/>
      <c r="G61" s="17" t="n"/>
      <c r="H61" s="15">
        <f>IF(OR(E61="",F61="",G61=""),"", (F61-E61)*G61)</f>
        <v/>
      </c>
      <c r="I61" s="16">
        <f>IF(OR(E61="",F61=""),"", (F61/E61)-1)</f>
        <v/>
      </c>
      <c r="J61" s="17">
        <f>IF(OR(C61="",D61=""),"", D61-C61)</f>
        <v/>
      </c>
      <c r="K61" s="17" t="n"/>
    </row>
    <row r="62">
      <c r="A62" s="17" t="n"/>
      <c r="B62" s="17" t="n"/>
      <c r="C62" s="17" t="n"/>
      <c r="D62" s="17" t="n"/>
      <c r="E62" s="15" t="n"/>
      <c r="F62" s="15" t="n"/>
      <c r="G62" s="17" t="n"/>
      <c r="H62" s="15">
        <f>IF(OR(E62="",F62="",G62=""),"", (F62-E62)*G62)</f>
        <v/>
      </c>
      <c r="I62" s="16">
        <f>IF(OR(E62="",F62=""),"", (F62/E62)-1)</f>
        <v/>
      </c>
      <c r="J62" s="17">
        <f>IF(OR(C62="",D62=""),"", D62-C62)</f>
        <v/>
      </c>
      <c r="K62" s="17" t="n"/>
    </row>
    <row r="63">
      <c r="A63" s="17" t="n"/>
      <c r="B63" s="17" t="n"/>
      <c r="C63" s="17" t="n"/>
      <c r="D63" s="17" t="n"/>
      <c r="E63" s="15" t="n"/>
      <c r="F63" s="15" t="n"/>
      <c r="G63" s="17" t="n"/>
      <c r="H63" s="15">
        <f>IF(OR(E63="",F63="",G63=""),"", (F63-E63)*G63)</f>
        <v/>
      </c>
      <c r="I63" s="16">
        <f>IF(OR(E63="",F63=""),"", (F63/E63)-1)</f>
        <v/>
      </c>
      <c r="J63" s="17">
        <f>IF(OR(C63="",D63=""),"", D63-C63)</f>
        <v/>
      </c>
      <c r="K63" s="17" t="n"/>
    </row>
    <row r="64">
      <c r="A64" s="17" t="n"/>
      <c r="B64" s="17" t="n"/>
      <c r="C64" s="17" t="n"/>
      <c r="D64" s="17" t="n"/>
      <c r="E64" s="15" t="n"/>
      <c r="F64" s="15" t="n"/>
      <c r="G64" s="17" t="n"/>
      <c r="H64" s="15">
        <f>IF(OR(E64="",F64="",G64=""),"", (F64-E64)*G64)</f>
        <v/>
      </c>
      <c r="I64" s="16">
        <f>IF(OR(E64="",F64=""),"", (F64/E64)-1)</f>
        <v/>
      </c>
      <c r="J64" s="17">
        <f>IF(OR(C64="",D64=""),"", D64-C64)</f>
        <v/>
      </c>
      <c r="K64" s="17" t="n"/>
    </row>
    <row r="65">
      <c r="A65" s="17" t="n"/>
      <c r="B65" s="17" t="n"/>
      <c r="C65" s="17" t="n"/>
      <c r="D65" s="17" t="n"/>
      <c r="E65" s="15" t="n"/>
      <c r="F65" s="15" t="n"/>
      <c r="G65" s="17" t="n"/>
      <c r="H65" s="15">
        <f>IF(OR(E65="",F65="",G65=""),"", (F65-E65)*G65)</f>
        <v/>
      </c>
      <c r="I65" s="16">
        <f>IF(OR(E65="",F65=""),"", (F65/E65)-1)</f>
        <v/>
      </c>
      <c r="J65" s="17">
        <f>IF(OR(C65="",D65=""),"", D65-C65)</f>
        <v/>
      </c>
      <c r="K65" s="17" t="n"/>
    </row>
    <row r="66">
      <c r="A66" s="17" t="n"/>
      <c r="B66" s="17" t="n"/>
      <c r="C66" s="17" t="n"/>
      <c r="D66" s="17" t="n"/>
      <c r="E66" s="15" t="n"/>
      <c r="F66" s="15" t="n"/>
      <c r="G66" s="17" t="n"/>
      <c r="H66" s="15">
        <f>IF(OR(E66="",F66="",G66=""),"", (F66-E66)*G66)</f>
        <v/>
      </c>
      <c r="I66" s="16">
        <f>IF(OR(E66="",F66=""),"", (F66/E66)-1)</f>
        <v/>
      </c>
      <c r="J66" s="17">
        <f>IF(OR(C66="",D66=""),"", D66-C66)</f>
        <v/>
      </c>
      <c r="K66" s="17" t="n"/>
    </row>
    <row r="67">
      <c r="A67" s="17" t="n"/>
      <c r="B67" s="17" t="n"/>
      <c r="C67" s="17" t="n"/>
      <c r="D67" s="17" t="n"/>
      <c r="E67" s="15" t="n"/>
      <c r="F67" s="15" t="n"/>
      <c r="G67" s="17" t="n"/>
      <c r="H67" s="15">
        <f>IF(OR(E67="",F67="",G67=""),"", (F67-E67)*G67)</f>
        <v/>
      </c>
      <c r="I67" s="16">
        <f>IF(OR(E67="",F67=""),"", (F67/E67)-1)</f>
        <v/>
      </c>
      <c r="J67" s="17">
        <f>IF(OR(C67="",D67=""),"", D67-C67)</f>
        <v/>
      </c>
      <c r="K67" s="17" t="n"/>
    </row>
    <row r="68">
      <c r="A68" s="17" t="n"/>
      <c r="B68" s="17" t="n"/>
      <c r="C68" s="17" t="n"/>
      <c r="D68" s="17" t="n"/>
      <c r="E68" s="15" t="n"/>
      <c r="F68" s="15" t="n"/>
      <c r="G68" s="17" t="n"/>
      <c r="H68" s="15">
        <f>IF(OR(E68="",F68="",G68=""),"", (F68-E68)*G68)</f>
        <v/>
      </c>
      <c r="I68" s="16">
        <f>IF(OR(E68="",F68=""),"", (F68/E68)-1)</f>
        <v/>
      </c>
      <c r="J68" s="17">
        <f>IF(OR(C68="",D68=""),"", D68-C68)</f>
        <v/>
      </c>
      <c r="K68" s="17" t="n"/>
    </row>
    <row r="69">
      <c r="A69" s="17" t="n"/>
      <c r="B69" s="17" t="n"/>
      <c r="C69" s="17" t="n"/>
      <c r="D69" s="17" t="n"/>
      <c r="E69" s="15" t="n"/>
      <c r="F69" s="15" t="n"/>
      <c r="G69" s="17" t="n"/>
      <c r="H69" s="15">
        <f>IF(OR(E69="",F69="",G69=""),"", (F69-E69)*G69)</f>
        <v/>
      </c>
      <c r="I69" s="16">
        <f>IF(OR(E69="",F69=""),"", (F69/E69)-1)</f>
        <v/>
      </c>
      <c r="J69" s="17">
        <f>IF(OR(C69="",D69=""),"", D69-C69)</f>
        <v/>
      </c>
      <c r="K69" s="17" t="n"/>
    </row>
    <row r="70">
      <c r="A70" s="17" t="n"/>
      <c r="B70" s="17" t="n"/>
      <c r="C70" s="17" t="n"/>
      <c r="D70" s="17" t="n"/>
      <c r="E70" s="15" t="n"/>
      <c r="F70" s="15" t="n"/>
      <c r="G70" s="17" t="n"/>
      <c r="H70" s="15">
        <f>IF(OR(E70="",F70="",G70=""),"", (F70-E70)*G70)</f>
        <v/>
      </c>
      <c r="I70" s="16">
        <f>IF(OR(E70="",F70=""),"", (F70/E70)-1)</f>
        <v/>
      </c>
      <c r="J70" s="17">
        <f>IF(OR(C70="",D70=""),"", D70-C70)</f>
        <v/>
      </c>
      <c r="K70" s="17" t="n"/>
    </row>
    <row r="71">
      <c r="A71" s="17" t="n"/>
      <c r="B71" s="17" t="n"/>
      <c r="C71" s="17" t="n"/>
      <c r="D71" s="17" t="n"/>
      <c r="E71" s="15" t="n"/>
      <c r="F71" s="15" t="n"/>
      <c r="G71" s="17" t="n"/>
      <c r="H71" s="15">
        <f>IF(OR(E71="",F71="",G71=""),"", (F71-E71)*G71)</f>
        <v/>
      </c>
      <c r="I71" s="16">
        <f>IF(OR(E71="",F71=""),"", (F71/E71)-1)</f>
        <v/>
      </c>
      <c r="J71" s="17">
        <f>IF(OR(C71="",D71=""),"", D71-C71)</f>
        <v/>
      </c>
      <c r="K71" s="17" t="n"/>
    </row>
    <row r="72">
      <c r="A72" s="17" t="n"/>
      <c r="B72" s="17" t="n"/>
      <c r="C72" s="17" t="n"/>
      <c r="D72" s="17" t="n"/>
      <c r="E72" s="15" t="n"/>
      <c r="F72" s="15" t="n"/>
      <c r="G72" s="17" t="n"/>
      <c r="H72" s="15">
        <f>IF(OR(E72="",F72="",G72=""),"", (F72-E72)*G72)</f>
        <v/>
      </c>
      <c r="I72" s="16">
        <f>IF(OR(E72="",F72=""),"", (F72/E72)-1)</f>
        <v/>
      </c>
      <c r="J72" s="17">
        <f>IF(OR(C72="",D72=""),"", D72-C72)</f>
        <v/>
      </c>
      <c r="K72" s="17" t="n"/>
    </row>
    <row r="73">
      <c r="A73" s="17" t="n"/>
      <c r="B73" s="17" t="n"/>
      <c r="C73" s="17" t="n"/>
      <c r="D73" s="17" t="n"/>
      <c r="E73" s="15" t="n"/>
      <c r="F73" s="15" t="n"/>
      <c r="G73" s="17" t="n"/>
      <c r="H73" s="15">
        <f>IF(OR(E73="",F73="",G73=""),"", (F73-E73)*G73)</f>
        <v/>
      </c>
      <c r="I73" s="16">
        <f>IF(OR(E73="",F73=""),"", (F73/E73)-1)</f>
        <v/>
      </c>
      <c r="J73" s="17">
        <f>IF(OR(C73="",D73=""),"", D73-C73)</f>
        <v/>
      </c>
      <c r="K73" s="17" t="n"/>
    </row>
    <row r="74">
      <c r="A74" s="17" t="n"/>
      <c r="B74" s="17" t="n"/>
      <c r="C74" s="17" t="n"/>
      <c r="D74" s="17" t="n"/>
      <c r="E74" s="15" t="n"/>
      <c r="F74" s="15" t="n"/>
      <c r="G74" s="17" t="n"/>
      <c r="H74" s="15">
        <f>IF(OR(E74="",F74="",G74=""),"", (F74-E74)*G74)</f>
        <v/>
      </c>
      <c r="I74" s="16">
        <f>IF(OR(E74="",F74=""),"", (F74/E74)-1)</f>
        <v/>
      </c>
      <c r="J74" s="17">
        <f>IF(OR(C74="",D74=""),"", D74-C74)</f>
        <v/>
      </c>
      <c r="K74" s="17" t="n"/>
    </row>
    <row r="75">
      <c r="A75" s="17" t="n"/>
      <c r="B75" s="17" t="n"/>
      <c r="C75" s="17" t="n"/>
      <c r="D75" s="17" t="n"/>
      <c r="E75" s="15" t="n"/>
      <c r="F75" s="15" t="n"/>
      <c r="G75" s="17" t="n"/>
      <c r="H75" s="15">
        <f>IF(OR(E75="",F75="",G75=""),"", (F75-E75)*G75)</f>
        <v/>
      </c>
      <c r="I75" s="16">
        <f>IF(OR(E75="",F75=""),"", (F75/E75)-1)</f>
        <v/>
      </c>
      <c r="J75" s="17">
        <f>IF(OR(C75="",D75=""),"", D75-C75)</f>
        <v/>
      </c>
      <c r="K75" s="17" t="n"/>
    </row>
    <row r="76">
      <c r="A76" s="17" t="n"/>
      <c r="B76" s="17" t="n"/>
      <c r="C76" s="17" t="n"/>
      <c r="D76" s="17" t="n"/>
      <c r="E76" s="15" t="n"/>
      <c r="F76" s="15" t="n"/>
      <c r="G76" s="17" t="n"/>
      <c r="H76" s="15">
        <f>IF(OR(E76="",F76="",G76=""),"", (F76-E76)*G76)</f>
        <v/>
      </c>
      <c r="I76" s="16">
        <f>IF(OR(E76="",F76=""),"", (F76/E76)-1)</f>
        <v/>
      </c>
      <c r="J76" s="17">
        <f>IF(OR(C76="",D76=""),"", D76-C76)</f>
        <v/>
      </c>
      <c r="K76" s="17" t="n"/>
    </row>
    <row r="77">
      <c r="A77" s="17" t="n"/>
      <c r="B77" s="17" t="n"/>
      <c r="C77" s="17" t="n"/>
      <c r="D77" s="17" t="n"/>
      <c r="E77" s="15" t="n"/>
      <c r="F77" s="15" t="n"/>
      <c r="G77" s="17" t="n"/>
      <c r="H77" s="15">
        <f>IF(OR(E77="",F77="",G77=""),"", (F77-E77)*G77)</f>
        <v/>
      </c>
      <c r="I77" s="16">
        <f>IF(OR(E77="",F77=""),"", (F77/E77)-1)</f>
        <v/>
      </c>
      <c r="J77" s="17">
        <f>IF(OR(C77="",D77=""),"", D77-C77)</f>
        <v/>
      </c>
      <c r="K77" s="17" t="n"/>
    </row>
    <row r="78">
      <c r="A78" s="17" t="n"/>
      <c r="B78" s="17" t="n"/>
      <c r="C78" s="17" t="n"/>
      <c r="D78" s="17" t="n"/>
      <c r="E78" s="15" t="n"/>
      <c r="F78" s="15" t="n"/>
      <c r="G78" s="17" t="n"/>
      <c r="H78" s="15">
        <f>IF(OR(E78="",F78="",G78=""),"", (F78-E78)*G78)</f>
        <v/>
      </c>
      <c r="I78" s="16">
        <f>IF(OR(E78="",F78=""),"", (F78/E78)-1)</f>
        <v/>
      </c>
      <c r="J78" s="17">
        <f>IF(OR(C78="",D78=""),"", D78-C78)</f>
        <v/>
      </c>
      <c r="K78" s="17" t="n"/>
    </row>
    <row r="79">
      <c r="A79" s="17" t="n"/>
      <c r="B79" s="17" t="n"/>
      <c r="C79" s="17" t="n"/>
      <c r="D79" s="17" t="n"/>
      <c r="E79" s="15" t="n"/>
      <c r="F79" s="15" t="n"/>
      <c r="G79" s="17" t="n"/>
      <c r="H79" s="15">
        <f>IF(OR(E79="",F79="",G79=""),"", (F79-E79)*G79)</f>
        <v/>
      </c>
      <c r="I79" s="16">
        <f>IF(OR(E79="",F79=""),"", (F79/E79)-1)</f>
        <v/>
      </c>
      <c r="J79" s="17">
        <f>IF(OR(C79="",D79=""),"", D79-C79)</f>
        <v/>
      </c>
      <c r="K79" s="17" t="n"/>
    </row>
    <row r="80">
      <c r="A80" s="17" t="n"/>
      <c r="B80" s="17" t="n"/>
      <c r="C80" s="17" t="n"/>
      <c r="D80" s="17" t="n"/>
      <c r="E80" s="15" t="n"/>
      <c r="F80" s="15" t="n"/>
      <c r="G80" s="17" t="n"/>
      <c r="H80" s="15">
        <f>IF(OR(E80="",F80="",G80=""),"", (F80-E80)*G80)</f>
        <v/>
      </c>
      <c r="I80" s="16">
        <f>IF(OR(E80="",F80=""),"", (F80/E80)-1)</f>
        <v/>
      </c>
      <c r="J80" s="17">
        <f>IF(OR(C80="",D80=""),"", D80-C80)</f>
        <v/>
      </c>
      <c r="K80" s="17" t="n"/>
    </row>
    <row r="81">
      <c r="A81" s="17" t="n"/>
      <c r="B81" s="17" t="n"/>
      <c r="C81" s="17" t="n"/>
      <c r="D81" s="17" t="n"/>
      <c r="E81" s="15" t="n"/>
      <c r="F81" s="15" t="n"/>
      <c r="G81" s="17" t="n"/>
      <c r="H81" s="15">
        <f>IF(OR(E81="",F81="",G81=""),"", (F81-E81)*G81)</f>
        <v/>
      </c>
      <c r="I81" s="16">
        <f>IF(OR(E81="",F81=""),"", (F81/E81)-1)</f>
        <v/>
      </c>
      <c r="J81" s="17">
        <f>IF(OR(C81="",D81=""),"", D81-C81)</f>
        <v/>
      </c>
      <c r="K81" s="17" t="n"/>
    </row>
    <row r="82">
      <c r="A82" s="17" t="n"/>
      <c r="B82" s="17" t="n"/>
      <c r="C82" s="17" t="n"/>
      <c r="D82" s="17" t="n"/>
      <c r="E82" s="15" t="n"/>
      <c r="F82" s="15" t="n"/>
      <c r="G82" s="17" t="n"/>
      <c r="H82" s="15">
        <f>IF(OR(E82="",F82="",G82=""),"", (F82-E82)*G82)</f>
        <v/>
      </c>
      <c r="I82" s="16">
        <f>IF(OR(E82="",F82=""),"", (F82/E82)-1)</f>
        <v/>
      </c>
      <c r="J82" s="17">
        <f>IF(OR(C82="",D82=""),"", D82-C82)</f>
        <v/>
      </c>
      <c r="K82" s="17" t="n"/>
    </row>
    <row r="83">
      <c r="A83" s="17" t="n"/>
      <c r="B83" s="17" t="n"/>
      <c r="C83" s="17" t="n"/>
      <c r="D83" s="17" t="n"/>
      <c r="E83" s="15" t="n"/>
      <c r="F83" s="15" t="n"/>
      <c r="G83" s="17" t="n"/>
      <c r="H83" s="15">
        <f>IF(OR(E83="",F83="",G83=""),"", (F83-E83)*G83)</f>
        <v/>
      </c>
      <c r="I83" s="16">
        <f>IF(OR(E83="",F83=""),"", (F83/E83)-1)</f>
        <v/>
      </c>
      <c r="J83" s="17">
        <f>IF(OR(C83="",D83=""),"", D83-C83)</f>
        <v/>
      </c>
      <c r="K83" s="17" t="n"/>
    </row>
    <row r="84">
      <c r="A84" s="17" t="n"/>
      <c r="B84" s="17" t="n"/>
      <c r="C84" s="17" t="n"/>
      <c r="D84" s="17" t="n"/>
      <c r="E84" s="15" t="n"/>
      <c r="F84" s="15" t="n"/>
      <c r="G84" s="17" t="n"/>
      <c r="H84" s="15">
        <f>IF(OR(E84="",F84="",G84=""),"", (F84-E84)*G84)</f>
        <v/>
      </c>
      <c r="I84" s="16">
        <f>IF(OR(E84="",F84=""),"", (F84/E84)-1)</f>
        <v/>
      </c>
      <c r="J84" s="17">
        <f>IF(OR(C84="",D84=""),"", D84-C84)</f>
        <v/>
      </c>
      <c r="K84" s="17" t="n"/>
    </row>
    <row r="85">
      <c r="A85" s="17" t="n"/>
      <c r="B85" s="17" t="n"/>
      <c r="C85" s="17" t="n"/>
      <c r="D85" s="17" t="n"/>
      <c r="E85" s="15" t="n"/>
      <c r="F85" s="15" t="n"/>
      <c r="G85" s="17" t="n"/>
      <c r="H85" s="15">
        <f>IF(OR(E85="",F85="",G85=""),"", (F85-E85)*G85)</f>
        <v/>
      </c>
      <c r="I85" s="16">
        <f>IF(OR(E85="",F85=""),"", (F85/E85)-1)</f>
        <v/>
      </c>
      <c r="J85" s="17">
        <f>IF(OR(C85="",D85=""),"", D85-C85)</f>
        <v/>
      </c>
      <c r="K85" s="17" t="n"/>
    </row>
    <row r="86">
      <c r="A86" s="17" t="n"/>
      <c r="B86" s="17" t="n"/>
      <c r="C86" s="17" t="n"/>
      <c r="D86" s="17" t="n"/>
      <c r="E86" s="15" t="n"/>
      <c r="F86" s="15" t="n"/>
      <c r="G86" s="17" t="n"/>
      <c r="H86" s="15">
        <f>IF(OR(E86="",F86="",G86=""),"", (F86-E86)*G86)</f>
        <v/>
      </c>
      <c r="I86" s="16">
        <f>IF(OR(E86="",F86=""),"", (F86/E86)-1)</f>
        <v/>
      </c>
      <c r="J86" s="17">
        <f>IF(OR(C86="",D86=""),"", D86-C86)</f>
        <v/>
      </c>
      <c r="K86" s="17" t="n"/>
    </row>
    <row r="87">
      <c r="A87" s="17" t="n"/>
      <c r="B87" s="17" t="n"/>
      <c r="C87" s="17" t="n"/>
      <c r="D87" s="17" t="n"/>
      <c r="E87" s="15" t="n"/>
      <c r="F87" s="15" t="n"/>
      <c r="G87" s="17" t="n"/>
      <c r="H87" s="15">
        <f>IF(OR(E87="",F87="",G87=""),"", (F87-E87)*G87)</f>
        <v/>
      </c>
      <c r="I87" s="16">
        <f>IF(OR(E87="",F87=""),"", (F87/E87)-1)</f>
        <v/>
      </c>
      <c r="J87" s="17">
        <f>IF(OR(C87="",D87=""),"", D87-C87)</f>
        <v/>
      </c>
      <c r="K87" s="17" t="n"/>
    </row>
    <row r="88">
      <c r="A88" s="17" t="n"/>
      <c r="B88" s="17" t="n"/>
      <c r="C88" s="17" t="n"/>
      <c r="D88" s="17" t="n"/>
      <c r="E88" s="15" t="n"/>
      <c r="F88" s="15" t="n"/>
      <c r="G88" s="17" t="n"/>
      <c r="H88" s="15">
        <f>IF(OR(E88="",F88="",G88=""),"", (F88-E88)*G88)</f>
        <v/>
      </c>
      <c r="I88" s="16">
        <f>IF(OR(E88="",F88=""),"", (F88/E88)-1)</f>
        <v/>
      </c>
      <c r="J88" s="17">
        <f>IF(OR(C88="",D88=""),"", D88-C88)</f>
        <v/>
      </c>
      <c r="K88" s="17" t="n"/>
    </row>
    <row r="89">
      <c r="A89" s="17" t="n"/>
      <c r="B89" s="17" t="n"/>
      <c r="C89" s="17" t="n"/>
      <c r="D89" s="17" t="n"/>
      <c r="E89" s="15" t="n"/>
      <c r="F89" s="15" t="n"/>
      <c r="G89" s="17" t="n"/>
      <c r="H89" s="15">
        <f>IF(OR(E89="",F89="",G89=""),"", (F89-E89)*G89)</f>
        <v/>
      </c>
      <c r="I89" s="16">
        <f>IF(OR(E89="",F89=""),"", (F89/E89)-1)</f>
        <v/>
      </c>
      <c r="J89" s="17">
        <f>IF(OR(C89="",D89=""),"", D89-C89)</f>
        <v/>
      </c>
      <c r="K89" s="17" t="n"/>
    </row>
    <row r="90">
      <c r="A90" s="17" t="n"/>
      <c r="B90" s="17" t="n"/>
      <c r="C90" s="17" t="n"/>
      <c r="D90" s="17" t="n"/>
      <c r="E90" s="15" t="n"/>
      <c r="F90" s="15" t="n"/>
      <c r="G90" s="17" t="n"/>
      <c r="H90" s="15">
        <f>IF(OR(E90="",F90="",G90=""),"", (F90-E90)*G90)</f>
        <v/>
      </c>
      <c r="I90" s="16">
        <f>IF(OR(E90="",F90=""),"", (F90/E90)-1)</f>
        <v/>
      </c>
      <c r="J90" s="17">
        <f>IF(OR(C90="",D90=""),"", D90-C90)</f>
        <v/>
      </c>
      <c r="K90" s="17" t="n"/>
    </row>
    <row r="91">
      <c r="A91" s="17" t="n"/>
      <c r="B91" s="17" t="n"/>
      <c r="C91" s="17" t="n"/>
      <c r="D91" s="17" t="n"/>
      <c r="E91" s="15" t="n"/>
      <c r="F91" s="15" t="n"/>
      <c r="G91" s="17" t="n"/>
      <c r="H91" s="15">
        <f>IF(OR(E91="",F91="",G91=""),"", (F91-E91)*G91)</f>
        <v/>
      </c>
      <c r="I91" s="16">
        <f>IF(OR(E91="",F91=""),"", (F91/E91)-1)</f>
        <v/>
      </c>
      <c r="J91" s="17">
        <f>IF(OR(C91="",D91=""),"", D91-C91)</f>
        <v/>
      </c>
      <c r="K91" s="17" t="n"/>
    </row>
    <row r="92">
      <c r="A92" s="17" t="n"/>
      <c r="B92" s="17" t="n"/>
      <c r="C92" s="17" t="n"/>
      <c r="D92" s="17" t="n"/>
      <c r="E92" s="15" t="n"/>
      <c r="F92" s="15" t="n"/>
      <c r="G92" s="17" t="n"/>
      <c r="H92" s="15">
        <f>IF(OR(E92="",F92="",G92=""),"", (F92-E92)*G92)</f>
        <v/>
      </c>
      <c r="I92" s="16">
        <f>IF(OR(E92="",F92=""),"", (F92/E92)-1)</f>
        <v/>
      </c>
      <c r="J92" s="17">
        <f>IF(OR(C92="",D92=""),"", D92-C92)</f>
        <v/>
      </c>
      <c r="K92" s="17" t="n"/>
    </row>
    <row r="93">
      <c r="A93" s="17" t="n"/>
      <c r="B93" s="17" t="n"/>
      <c r="C93" s="17" t="n"/>
      <c r="D93" s="17" t="n"/>
      <c r="E93" s="15" t="n"/>
      <c r="F93" s="15" t="n"/>
      <c r="G93" s="17" t="n"/>
      <c r="H93" s="15">
        <f>IF(OR(E93="",F93="",G93=""),"", (F93-E93)*G93)</f>
        <v/>
      </c>
      <c r="I93" s="16">
        <f>IF(OR(E93="",F93=""),"", (F93/E93)-1)</f>
        <v/>
      </c>
      <c r="J93" s="17">
        <f>IF(OR(C93="",D93=""),"", D93-C93)</f>
        <v/>
      </c>
      <c r="K93" s="17" t="n"/>
    </row>
    <row r="94">
      <c r="A94" s="17" t="n"/>
      <c r="B94" s="17" t="n"/>
      <c r="C94" s="17" t="n"/>
      <c r="D94" s="17" t="n"/>
      <c r="E94" s="15" t="n"/>
      <c r="F94" s="15" t="n"/>
      <c r="G94" s="17" t="n"/>
      <c r="H94" s="15">
        <f>IF(OR(E94="",F94="",G94=""),"", (F94-E94)*G94)</f>
        <v/>
      </c>
      <c r="I94" s="16">
        <f>IF(OR(E94="",F94=""),"", (F94/E94)-1)</f>
        <v/>
      </c>
      <c r="J94" s="17">
        <f>IF(OR(C94="",D94=""),"", D94-C94)</f>
        <v/>
      </c>
      <c r="K94" s="17" t="n"/>
    </row>
    <row r="95">
      <c r="A95" s="17" t="n"/>
      <c r="B95" s="17" t="n"/>
      <c r="C95" s="17" t="n"/>
      <c r="D95" s="17" t="n"/>
      <c r="E95" s="15" t="n"/>
      <c r="F95" s="15" t="n"/>
      <c r="G95" s="17" t="n"/>
      <c r="H95" s="15">
        <f>IF(OR(E95="",F95="",G95=""),"", (F95-E95)*G95)</f>
        <v/>
      </c>
      <c r="I95" s="16">
        <f>IF(OR(E95="",F95=""),"", (F95/E95)-1)</f>
        <v/>
      </c>
      <c r="J95" s="17">
        <f>IF(OR(C95="",D95=""),"", D95-C95)</f>
        <v/>
      </c>
      <c r="K95" s="17" t="n"/>
    </row>
    <row r="96">
      <c r="A96" s="17" t="n"/>
      <c r="B96" s="17" t="n"/>
      <c r="C96" s="17" t="n"/>
      <c r="D96" s="17" t="n"/>
      <c r="E96" s="15" t="n"/>
      <c r="F96" s="15" t="n"/>
      <c r="G96" s="17" t="n"/>
      <c r="H96" s="15">
        <f>IF(OR(E96="",F96="",G96=""),"", (F96-E96)*G96)</f>
        <v/>
      </c>
      <c r="I96" s="16">
        <f>IF(OR(E96="",F96=""),"", (F96/E96)-1)</f>
        <v/>
      </c>
      <c r="J96" s="17">
        <f>IF(OR(C96="",D96=""),"", D96-C96)</f>
        <v/>
      </c>
      <c r="K96" s="17" t="n"/>
    </row>
    <row r="97">
      <c r="A97" s="17" t="n"/>
      <c r="B97" s="17" t="n"/>
      <c r="C97" s="17" t="n"/>
      <c r="D97" s="17" t="n"/>
      <c r="E97" s="15" t="n"/>
      <c r="F97" s="15" t="n"/>
      <c r="G97" s="17" t="n"/>
      <c r="H97" s="15">
        <f>IF(OR(E97="",F97="",G97=""),"", (F97-E97)*G97)</f>
        <v/>
      </c>
      <c r="I97" s="16">
        <f>IF(OR(E97="",F97=""),"", (F97/E97)-1)</f>
        <v/>
      </c>
      <c r="J97" s="17">
        <f>IF(OR(C97="",D97=""),"", D97-C97)</f>
        <v/>
      </c>
      <c r="K97" s="17" t="n"/>
    </row>
    <row r="98">
      <c r="A98" s="17" t="n"/>
      <c r="B98" s="17" t="n"/>
      <c r="C98" s="17" t="n"/>
      <c r="D98" s="17" t="n"/>
      <c r="E98" s="15" t="n"/>
      <c r="F98" s="15" t="n"/>
      <c r="G98" s="17" t="n"/>
      <c r="H98" s="15">
        <f>IF(OR(E98="",F98="",G98=""),"", (F98-E98)*G98)</f>
        <v/>
      </c>
      <c r="I98" s="16">
        <f>IF(OR(E98="",F98=""),"", (F98/E98)-1)</f>
        <v/>
      </c>
      <c r="J98" s="17">
        <f>IF(OR(C98="",D98=""),"", D98-C98)</f>
        <v/>
      </c>
      <c r="K98" s="17" t="n"/>
    </row>
    <row r="99">
      <c r="A99" s="17" t="n"/>
      <c r="B99" s="17" t="n"/>
      <c r="C99" s="17" t="n"/>
      <c r="D99" s="17" t="n"/>
      <c r="E99" s="15" t="n"/>
      <c r="F99" s="15" t="n"/>
      <c r="G99" s="17" t="n"/>
      <c r="H99" s="15">
        <f>IF(OR(E99="",F99="",G99=""),"", (F99-E99)*G99)</f>
        <v/>
      </c>
      <c r="I99" s="16">
        <f>IF(OR(E99="",F99=""),"", (F99/E99)-1)</f>
        <v/>
      </c>
      <c r="J99" s="17">
        <f>IF(OR(C99="",D99=""),"", D99-C99)</f>
        <v/>
      </c>
      <c r="K99" s="17" t="n"/>
    </row>
    <row r="100">
      <c r="A100" s="17" t="n"/>
      <c r="B100" s="17" t="n"/>
      <c r="C100" s="17" t="n"/>
      <c r="D100" s="17" t="n"/>
      <c r="E100" s="15" t="n"/>
      <c r="F100" s="15" t="n"/>
      <c r="G100" s="17" t="n"/>
      <c r="H100" s="15">
        <f>IF(OR(E100="",F100="",G100=""),"", (F100-E100)*G100)</f>
        <v/>
      </c>
      <c r="I100" s="16">
        <f>IF(OR(E100="",F100=""),"", (F100/E100)-1)</f>
        <v/>
      </c>
      <c r="J100" s="17">
        <f>IF(OR(C100="",D100=""),"", D100-C100)</f>
        <v/>
      </c>
      <c r="K100" s="17" t="n"/>
    </row>
    <row r="101">
      <c r="A101" s="17" t="n"/>
      <c r="B101" s="17" t="n"/>
      <c r="C101" s="17" t="n"/>
      <c r="D101" s="17" t="n"/>
      <c r="E101" s="15" t="n"/>
      <c r="F101" s="15" t="n"/>
      <c r="G101" s="17" t="n"/>
      <c r="H101" s="15">
        <f>IF(OR(E101="",F101="",G101=""),"", (F101-E101)*G101)</f>
        <v/>
      </c>
      <c r="I101" s="16">
        <f>IF(OR(E101="",F101=""),"", (F101/E101)-1)</f>
        <v/>
      </c>
      <c r="J101" s="17">
        <f>IF(OR(C101="",D101=""),"", D101-C101)</f>
        <v/>
      </c>
      <c r="K101" s="17" t="n"/>
    </row>
    <row r="102">
      <c r="A102" s="17" t="n"/>
      <c r="B102" s="17" t="n"/>
      <c r="C102" s="17" t="n"/>
      <c r="D102" s="17" t="n"/>
      <c r="E102" s="15" t="n"/>
      <c r="F102" s="15" t="n"/>
      <c r="G102" s="17" t="n"/>
      <c r="H102" s="15">
        <f>IF(OR(E102="",F102="",G102=""),"", (F102-E102)*G102)</f>
        <v/>
      </c>
      <c r="I102" s="16">
        <f>IF(OR(E102="",F102=""),"", (F102/E102)-1)</f>
        <v/>
      </c>
      <c r="J102" s="17">
        <f>IF(OR(C102="",D102=""),"", D102-C102)</f>
        <v/>
      </c>
      <c r="K102" s="17" t="n"/>
    </row>
    <row r="103">
      <c r="A103" s="17" t="n"/>
      <c r="B103" s="17" t="n"/>
      <c r="C103" s="17" t="n"/>
      <c r="D103" s="17" t="n"/>
      <c r="E103" s="15" t="n"/>
      <c r="F103" s="15" t="n"/>
      <c r="G103" s="17" t="n"/>
      <c r="H103" s="15">
        <f>IF(OR(E103="",F103="",G103=""),"", (F103-E103)*G103)</f>
        <v/>
      </c>
      <c r="I103" s="16">
        <f>IF(OR(E103="",F103=""),"", (F103/E103)-1)</f>
        <v/>
      </c>
      <c r="J103" s="17">
        <f>IF(OR(C103="",D103=""),"", D103-C103)</f>
        <v/>
      </c>
      <c r="K103" s="17" t="n"/>
    </row>
    <row r="104">
      <c r="A104" s="17" t="n"/>
      <c r="B104" s="17" t="n"/>
      <c r="C104" s="17" t="n"/>
      <c r="D104" s="17" t="n"/>
      <c r="E104" s="15" t="n"/>
      <c r="F104" s="15" t="n"/>
      <c r="G104" s="17" t="n"/>
      <c r="H104" s="15">
        <f>IF(OR(E104="",F104="",G104=""),"", (F104-E104)*G104)</f>
        <v/>
      </c>
      <c r="I104" s="16">
        <f>IF(OR(E104="",F104=""),"", (F104/E104)-1)</f>
        <v/>
      </c>
      <c r="J104" s="17">
        <f>IF(OR(C104="",D104=""),"", D104-C104)</f>
        <v/>
      </c>
      <c r="K104" s="17" t="n"/>
    </row>
    <row r="105">
      <c r="A105" s="17" t="n"/>
      <c r="B105" s="17" t="n"/>
      <c r="C105" s="17" t="n"/>
      <c r="D105" s="17" t="n"/>
      <c r="E105" s="15" t="n"/>
      <c r="F105" s="15" t="n"/>
      <c r="G105" s="17" t="n"/>
      <c r="H105" s="15">
        <f>IF(OR(E105="",F105="",G105=""),"", (F105-E105)*G105)</f>
        <v/>
      </c>
      <c r="I105" s="16">
        <f>IF(OR(E105="",F105=""),"", (F105/E105)-1)</f>
        <v/>
      </c>
      <c r="J105" s="17">
        <f>IF(OR(C105="",D105=""),"", D105-C105)</f>
        <v/>
      </c>
      <c r="K105" s="17" t="n"/>
    </row>
    <row r="106">
      <c r="A106" s="17" t="n"/>
      <c r="B106" s="17" t="n"/>
      <c r="C106" s="17" t="n"/>
      <c r="D106" s="17" t="n"/>
      <c r="E106" s="15" t="n"/>
      <c r="F106" s="15" t="n"/>
      <c r="G106" s="17" t="n"/>
      <c r="H106" s="15">
        <f>IF(OR(E106="",F106="",G106=""),"", (F106-E106)*G106)</f>
        <v/>
      </c>
      <c r="I106" s="16">
        <f>IF(OR(E106="",F106=""),"", (F106/E106)-1)</f>
        <v/>
      </c>
      <c r="J106" s="17">
        <f>IF(OR(C106="",D106=""),"", D106-C106)</f>
        <v/>
      </c>
      <c r="K106" s="17" t="n"/>
    </row>
    <row r="107">
      <c r="A107" s="17" t="n"/>
      <c r="B107" s="17" t="n"/>
      <c r="C107" s="17" t="n"/>
      <c r="D107" s="17" t="n"/>
      <c r="E107" s="15" t="n"/>
      <c r="F107" s="15" t="n"/>
      <c r="G107" s="17" t="n"/>
      <c r="H107" s="15">
        <f>IF(OR(E107="",F107="",G107=""),"", (F107-E107)*G107)</f>
        <v/>
      </c>
      <c r="I107" s="16">
        <f>IF(OR(E107="",F107=""),"", (F107/E107)-1)</f>
        <v/>
      </c>
      <c r="J107" s="17">
        <f>IF(OR(C107="",D107=""),"", D107-C107)</f>
        <v/>
      </c>
      <c r="K107" s="17" t="n"/>
    </row>
    <row r="108">
      <c r="A108" s="17" t="n"/>
      <c r="B108" s="17" t="n"/>
      <c r="C108" s="17" t="n"/>
      <c r="D108" s="17" t="n"/>
      <c r="E108" s="15" t="n"/>
      <c r="F108" s="15" t="n"/>
      <c r="G108" s="17" t="n"/>
      <c r="H108" s="15">
        <f>IF(OR(E108="",F108="",G108=""),"", (F108-E108)*G108)</f>
        <v/>
      </c>
      <c r="I108" s="16">
        <f>IF(OR(E108="",F108=""),"", (F108/E108)-1)</f>
        <v/>
      </c>
      <c r="J108" s="17">
        <f>IF(OR(C108="",D108=""),"", D108-C108)</f>
        <v/>
      </c>
      <c r="K108" s="17" t="n"/>
    </row>
    <row r="109">
      <c r="A109" s="17" t="n"/>
      <c r="B109" s="17" t="n"/>
      <c r="C109" s="17" t="n"/>
      <c r="D109" s="17" t="n"/>
      <c r="E109" s="15" t="n"/>
      <c r="F109" s="15" t="n"/>
      <c r="G109" s="17" t="n"/>
      <c r="H109" s="15">
        <f>IF(OR(E109="",F109="",G109=""),"", (F109-E109)*G109)</f>
        <v/>
      </c>
      <c r="I109" s="16">
        <f>IF(OR(E109="",F109=""),"", (F109/E109)-1)</f>
        <v/>
      </c>
      <c r="J109" s="17">
        <f>IF(OR(C109="",D109=""),"", D109-C109)</f>
        <v/>
      </c>
      <c r="K109" s="17" t="n"/>
    </row>
    <row r="110">
      <c r="A110" s="17" t="n"/>
      <c r="B110" s="17" t="n"/>
      <c r="C110" s="17" t="n"/>
      <c r="D110" s="17" t="n"/>
      <c r="E110" s="15" t="n"/>
      <c r="F110" s="15" t="n"/>
      <c r="G110" s="17" t="n"/>
      <c r="H110" s="15">
        <f>IF(OR(E110="",F110="",G110=""),"", (F110-E110)*G110)</f>
        <v/>
      </c>
      <c r="I110" s="16">
        <f>IF(OR(E110="",F110=""),"", (F110/E110)-1)</f>
        <v/>
      </c>
      <c r="J110" s="17">
        <f>IF(OR(C110="",D110=""),"", D110-C110)</f>
        <v/>
      </c>
      <c r="K110" s="17" t="n"/>
    </row>
    <row r="111">
      <c r="A111" s="17" t="n"/>
      <c r="B111" s="17" t="n"/>
      <c r="C111" s="17" t="n"/>
      <c r="D111" s="17" t="n"/>
      <c r="E111" s="15" t="n"/>
      <c r="F111" s="15" t="n"/>
      <c r="G111" s="17" t="n"/>
      <c r="H111" s="15">
        <f>IF(OR(E111="",F111="",G111=""),"", (F111-E111)*G111)</f>
        <v/>
      </c>
      <c r="I111" s="16">
        <f>IF(OR(E111="",F111=""),"", (F111/E111)-1)</f>
        <v/>
      </c>
      <c r="J111" s="17">
        <f>IF(OR(C111="",D111=""),"", D111-C111)</f>
        <v/>
      </c>
      <c r="K111" s="17" t="n"/>
    </row>
    <row r="112">
      <c r="A112" s="17" t="n"/>
      <c r="B112" s="17" t="n"/>
      <c r="C112" s="17" t="n"/>
      <c r="D112" s="17" t="n"/>
      <c r="E112" s="15" t="n"/>
      <c r="F112" s="15" t="n"/>
      <c r="G112" s="17" t="n"/>
      <c r="H112" s="15">
        <f>IF(OR(E112="",F112="",G112=""),"", (F112-E112)*G112)</f>
        <v/>
      </c>
      <c r="I112" s="16">
        <f>IF(OR(E112="",F112=""),"", (F112/E112)-1)</f>
        <v/>
      </c>
      <c r="J112" s="17">
        <f>IF(OR(C112="",D112=""),"", D112-C112)</f>
        <v/>
      </c>
      <c r="K112" s="17" t="n"/>
    </row>
    <row r="113">
      <c r="A113" s="17" t="n"/>
      <c r="B113" s="17" t="n"/>
      <c r="C113" s="17" t="n"/>
      <c r="D113" s="17" t="n"/>
      <c r="E113" s="15" t="n"/>
      <c r="F113" s="15" t="n"/>
      <c r="G113" s="17" t="n"/>
      <c r="H113" s="15">
        <f>IF(OR(E113="",F113="",G113=""),"", (F113-E113)*G113)</f>
        <v/>
      </c>
      <c r="I113" s="16">
        <f>IF(OR(E113="",F113=""),"", (F113/E113)-1)</f>
        <v/>
      </c>
      <c r="J113" s="17">
        <f>IF(OR(C113="",D113=""),"", D113-C113)</f>
        <v/>
      </c>
      <c r="K113" s="17" t="n"/>
    </row>
    <row r="114">
      <c r="A114" s="17" t="n"/>
      <c r="B114" s="17" t="n"/>
      <c r="C114" s="17" t="n"/>
      <c r="D114" s="17" t="n"/>
      <c r="E114" s="15" t="n"/>
      <c r="F114" s="15" t="n"/>
      <c r="G114" s="17" t="n"/>
      <c r="H114" s="15">
        <f>IF(OR(E114="",F114="",G114=""),"", (F114-E114)*G114)</f>
        <v/>
      </c>
      <c r="I114" s="16">
        <f>IF(OR(E114="",F114=""),"", (F114/E114)-1)</f>
        <v/>
      </c>
      <c r="J114" s="17">
        <f>IF(OR(C114="",D114=""),"", D114-C114)</f>
        <v/>
      </c>
      <c r="K114" s="17" t="n"/>
    </row>
    <row r="115">
      <c r="A115" s="17" t="n"/>
      <c r="B115" s="17" t="n"/>
      <c r="C115" s="17" t="n"/>
      <c r="D115" s="17" t="n"/>
      <c r="E115" s="15" t="n"/>
      <c r="F115" s="15" t="n"/>
      <c r="G115" s="17" t="n"/>
      <c r="H115" s="15">
        <f>IF(OR(E115="",F115="",G115=""),"", (F115-E115)*G115)</f>
        <v/>
      </c>
      <c r="I115" s="16">
        <f>IF(OR(E115="",F115=""),"", (F115/E115)-1)</f>
        <v/>
      </c>
      <c r="J115" s="17">
        <f>IF(OR(C115="",D115=""),"", D115-C115)</f>
        <v/>
      </c>
      <c r="K115" s="17" t="n"/>
    </row>
    <row r="116">
      <c r="A116" s="17" t="n"/>
      <c r="B116" s="17" t="n"/>
      <c r="C116" s="17" t="n"/>
      <c r="D116" s="17" t="n"/>
      <c r="E116" s="15" t="n"/>
      <c r="F116" s="15" t="n"/>
      <c r="G116" s="17" t="n"/>
      <c r="H116" s="15">
        <f>IF(OR(E116="",F116="",G116=""),"", (F116-E116)*G116)</f>
        <v/>
      </c>
      <c r="I116" s="16">
        <f>IF(OR(E116="",F116=""),"", (F116/E116)-1)</f>
        <v/>
      </c>
      <c r="J116" s="17">
        <f>IF(OR(C116="",D116=""),"", D116-C116)</f>
        <v/>
      </c>
      <c r="K116" s="17" t="n"/>
    </row>
    <row r="117">
      <c r="A117" s="17" t="n"/>
      <c r="B117" s="17" t="n"/>
      <c r="C117" s="17" t="n"/>
      <c r="D117" s="17" t="n"/>
      <c r="E117" s="15" t="n"/>
      <c r="F117" s="15" t="n"/>
      <c r="G117" s="17" t="n"/>
      <c r="H117" s="15">
        <f>IF(OR(E117="",F117="",G117=""),"", (F117-E117)*G117)</f>
        <v/>
      </c>
      <c r="I117" s="16">
        <f>IF(OR(E117="",F117=""),"", (F117/E117)-1)</f>
        <v/>
      </c>
      <c r="J117" s="17">
        <f>IF(OR(C117="",D117=""),"", D117-C117)</f>
        <v/>
      </c>
      <c r="K117" s="17" t="n"/>
    </row>
    <row r="118">
      <c r="A118" s="17" t="n"/>
      <c r="B118" s="17" t="n"/>
      <c r="C118" s="17" t="n"/>
      <c r="D118" s="17" t="n"/>
      <c r="E118" s="15" t="n"/>
      <c r="F118" s="15" t="n"/>
      <c r="G118" s="17" t="n"/>
      <c r="H118" s="15">
        <f>IF(OR(E118="",F118="",G118=""),"", (F118-E118)*G118)</f>
        <v/>
      </c>
      <c r="I118" s="16">
        <f>IF(OR(E118="",F118=""),"", (F118/E118)-1)</f>
        <v/>
      </c>
      <c r="J118" s="17">
        <f>IF(OR(C118="",D118=""),"", D118-C118)</f>
        <v/>
      </c>
      <c r="K118" s="17" t="n"/>
    </row>
    <row r="119">
      <c r="A119" s="17" t="n"/>
      <c r="B119" s="17" t="n"/>
      <c r="C119" s="17" t="n"/>
      <c r="D119" s="17" t="n"/>
      <c r="E119" s="15" t="n"/>
      <c r="F119" s="15" t="n"/>
      <c r="G119" s="17" t="n"/>
      <c r="H119" s="15">
        <f>IF(OR(E119="",F119="",G119=""),"", (F119-E119)*G119)</f>
        <v/>
      </c>
      <c r="I119" s="16">
        <f>IF(OR(E119="",F119=""),"", (F119/E119)-1)</f>
        <v/>
      </c>
      <c r="J119" s="17">
        <f>IF(OR(C119="",D119=""),"", D119-C119)</f>
        <v/>
      </c>
      <c r="K119" s="17" t="n"/>
    </row>
    <row r="120">
      <c r="A120" s="17" t="n"/>
      <c r="B120" s="17" t="n"/>
      <c r="C120" s="17" t="n"/>
      <c r="D120" s="17" t="n"/>
      <c r="E120" s="15" t="n"/>
      <c r="F120" s="15" t="n"/>
      <c r="G120" s="17" t="n"/>
      <c r="H120" s="15">
        <f>IF(OR(E120="",F120="",G120=""),"", (F120-E120)*G120)</f>
        <v/>
      </c>
      <c r="I120" s="16">
        <f>IF(OR(E120="",F120=""),"", (F120/E120)-1)</f>
        <v/>
      </c>
      <c r="J120" s="17">
        <f>IF(OR(C120="",D120=""),"", D120-C120)</f>
        <v/>
      </c>
      <c r="K120" s="17" t="n"/>
    </row>
    <row r="121">
      <c r="A121" s="17" t="n"/>
      <c r="B121" s="17" t="n"/>
      <c r="C121" s="17" t="n"/>
      <c r="D121" s="17" t="n"/>
      <c r="E121" s="15" t="n"/>
      <c r="F121" s="15" t="n"/>
      <c r="G121" s="17" t="n"/>
      <c r="H121" s="15">
        <f>IF(OR(E121="",F121="",G121=""),"", (F121-E121)*G121)</f>
        <v/>
      </c>
      <c r="I121" s="16">
        <f>IF(OR(E121="",F121=""),"", (F121/E121)-1)</f>
        <v/>
      </c>
      <c r="J121" s="17">
        <f>IF(OR(C121="",D121=""),"", D121-C121)</f>
        <v/>
      </c>
      <c r="K121" s="17" t="n"/>
    </row>
    <row r="122">
      <c r="A122" s="17" t="n"/>
      <c r="B122" s="17" t="n"/>
      <c r="C122" s="17" t="n"/>
      <c r="D122" s="17" t="n"/>
      <c r="E122" s="15" t="n"/>
      <c r="F122" s="15" t="n"/>
      <c r="G122" s="17" t="n"/>
      <c r="H122" s="15">
        <f>IF(OR(E122="",F122="",G122=""),"", (F122-E122)*G122)</f>
        <v/>
      </c>
      <c r="I122" s="16">
        <f>IF(OR(E122="",F122=""),"", (F122/E122)-1)</f>
        <v/>
      </c>
      <c r="J122" s="17">
        <f>IF(OR(C122="",D122=""),"", D122-C122)</f>
        <v/>
      </c>
      <c r="K122" s="17" t="n"/>
    </row>
    <row r="123">
      <c r="A123" s="17" t="n"/>
      <c r="B123" s="17" t="n"/>
      <c r="C123" s="17" t="n"/>
      <c r="D123" s="17" t="n"/>
      <c r="E123" s="15" t="n"/>
      <c r="F123" s="15" t="n"/>
      <c r="G123" s="17" t="n"/>
      <c r="H123" s="15">
        <f>IF(OR(E123="",F123="",G123=""),"", (F123-E123)*G123)</f>
        <v/>
      </c>
      <c r="I123" s="16">
        <f>IF(OR(E123="",F123=""),"", (F123/E123)-1)</f>
        <v/>
      </c>
      <c r="J123" s="17">
        <f>IF(OR(C123="",D123=""),"", D123-C123)</f>
        <v/>
      </c>
      <c r="K123" s="17" t="n"/>
    </row>
    <row r="124">
      <c r="A124" s="17" t="n"/>
      <c r="B124" s="17" t="n"/>
      <c r="C124" s="17" t="n"/>
      <c r="D124" s="17" t="n"/>
      <c r="E124" s="15" t="n"/>
      <c r="F124" s="15" t="n"/>
      <c r="G124" s="17" t="n"/>
      <c r="H124" s="15">
        <f>IF(OR(E124="",F124="",G124=""),"", (F124-E124)*G124)</f>
        <v/>
      </c>
      <c r="I124" s="16">
        <f>IF(OR(E124="",F124=""),"", (F124/E124)-1)</f>
        <v/>
      </c>
      <c r="J124" s="17">
        <f>IF(OR(C124="",D124=""),"", D124-C124)</f>
        <v/>
      </c>
      <c r="K124" s="17" t="n"/>
    </row>
    <row r="125">
      <c r="A125" s="17" t="n"/>
      <c r="B125" s="17" t="n"/>
      <c r="C125" s="17" t="n"/>
      <c r="D125" s="17" t="n"/>
      <c r="E125" s="15" t="n"/>
      <c r="F125" s="15" t="n"/>
      <c r="G125" s="17" t="n"/>
      <c r="H125" s="15">
        <f>IF(OR(E125="",F125="",G125=""),"", (F125-E125)*G125)</f>
        <v/>
      </c>
      <c r="I125" s="16">
        <f>IF(OR(E125="",F125=""),"", (F125/E125)-1)</f>
        <v/>
      </c>
      <c r="J125" s="17">
        <f>IF(OR(C125="",D125=""),"", D125-C125)</f>
        <v/>
      </c>
      <c r="K125" s="17" t="n"/>
    </row>
    <row r="126">
      <c r="A126" s="17" t="n"/>
      <c r="B126" s="17" t="n"/>
      <c r="C126" s="17" t="n"/>
      <c r="D126" s="17" t="n"/>
      <c r="E126" s="15" t="n"/>
      <c r="F126" s="15" t="n"/>
      <c r="G126" s="17" t="n"/>
      <c r="H126" s="15">
        <f>IF(OR(E126="",F126="",G126=""),"", (F126-E126)*G126)</f>
        <v/>
      </c>
      <c r="I126" s="16">
        <f>IF(OR(E126="",F126=""),"", (F126/E126)-1)</f>
        <v/>
      </c>
      <c r="J126" s="17">
        <f>IF(OR(C126="",D126=""),"", D126-C126)</f>
        <v/>
      </c>
      <c r="K126" s="17" t="n"/>
    </row>
    <row r="127">
      <c r="A127" s="17" t="n"/>
      <c r="B127" s="17" t="n"/>
      <c r="C127" s="17" t="n"/>
      <c r="D127" s="17" t="n"/>
      <c r="E127" s="15" t="n"/>
      <c r="F127" s="15" t="n"/>
      <c r="G127" s="17" t="n"/>
      <c r="H127" s="15">
        <f>IF(OR(E127="",F127="",G127=""),"", (F127-E127)*G127)</f>
        <v/>
      </c>
      <c r="I127" s="16">
        <f>IF(OR(E127="",F127=""),"", (F127/E127)-1)</f>
        <v/>
      </c>
      <c r="J127" s="17">
        <f>IF(OR(C127="",D127=""),"", D127-C127)</f>
        <v/>
      </c>
      <c r="K127" s="17" t="n"/>
    </row>
    <row r="128">
      <c r="A128" s="17" t="n"/>
      <c r="B128" s="17" t="n"/>
      <c r="C128" s="17" t="n"/>
      <c r="D128" s="17" t="n"/>
      <c r="E128" s="15" t="n"/>
      <c r="F128" s="15" t="n"/>
      <c r="G128" s="17" t="n"/>
      <c r="H128" s="15">
        <f>IF(OR(E128="",F128="",G128=""),"", (F128-E128)*G128)</f>
        <v/>
      </c>
      <c r="I128" s="16">
        <f>IF(OR(E128="",F128=""),"", (F128/E128)-1)</f>
        <v/>
      </c>
      <c r="J128" s="17">
        <f>IF(OR(C128="",D128=""),"", D128-C128)</f>
        <v/>
      </c>
      <c r="K128" s="17" t="n"/>
    </row>
    <row r="129">
      <c r="A129" s="17" t="n"/>
      <c r="B129" s="17" t="n"/>
      <c r="C129" s="17" t="n"/>
      <c r="D129" s="17" t="n"/>
      <c r="E129" s="15" t="n"/>
      <c r="F129" s="15" t="n"/>
      <c r="G129" s="17" t="n"/>
      <c r="H129" s="15">
        <f>IF(OR(E129="",F129="",G129=""),"", (F129-E129)*G129)</f>
        <v/>
      </c>
      <c r="I129" s="16">
        <f>IF(OR(E129="",F129=""),"", (F129/E129)-1)</f>
        <v/>
      </c>
      <c r="J129" s="17">
        <f>IF(OR(C129="",D129=""),"", D129-C129)</f>
        <v/>
      </c>
      <c r="K129" s="17" t="n"/>
    </row>
    <row r="130">
      <c r="A130" s="17" t="n"/>
      <c r="B130" s="17" t="n"/>
      <c r="C130" s="17" t="n"/>
      <c r="D130" s="17" t="n"/>
      <c r="E130" s="15" t="n"/>
      <c r="F130" s="15" t="n"/>
      <c r="G130" s="17" t="n"/>
      <c r="H130" s="15">
        <f>IF(OR(E130="",F130="",G130=""),"", (F130-E130)*G130)</f>
        <v/>
      </c>
      <c r="I130" s="16">
        <f>IF(OR(E130="",F130=""),"", (F130/E130)-1)</f>
        <v/>
      </c>
      <c r="J130" s="17">
        <f>IF(OR(C130="",D130=""),"", D130-C130)</f>
        <v/>
      </c>
      <c r="K130" s="17" t="n"/>
    </row>
    <row r="131">
      <c r="A131" s="17" t="n"/>
      <c r="B131" s="17" t="n"/>
      <c r="C131" s="17" t="n"/>
      <c r="D131" s="17" t="n"/>
      <c r="E131" s="15" t="n"/>
      <c r="F131" s="15" t="n"/>
      <c r="G131" s="17" t="n"/>
      <c r="H131" s="15">
        <f>IF(OR(E131="",F131="",G131=""),"", (F131-E131)*G131)</f>
        <v/>
      </c>
      <c r="I131" s="16">
        <f>IF(OR(E131="",F131=""),"", (F131/E131)-1)</f>
        <v/>
      </c>
      <c r="J131" s="17">
        <f>IF(OR(C131="",D131=""),"", D131-C131)</f>
        <v/>
      </c>
      <c r="K131" s="17" t="n"/>
    </row>
    <row r="132">
      <c r="A132" s="17" t="n"/>
      <c r="B132" s="17" t="n"/>
      <c r="C132" s="17" t="n"/>
      <c r="D132" s="17" t="n"/>
      <c r="E132" s="15" t="n"/>
      <c r="F132" s="15" t="n"/>
      <c r="G132" s="17" t="n"/>
      <c r="H132" s="15">
        <f>IF(OR(E132="",F132="",G132=""),"", (F132-E132)*G132)</f>
        <v/>
      </c>
      <c r="I132" s="16">
        <f>IF(OR(E132="",F132=""),"", (F132/E132)-1)</f>
        <v/>
      </c>
      <c r="J132" s="17">
        <f>IF(OR(C132="",D132=""),"", D132-C132)</f>
        <v/>
      </c>
      <c r="K132" s="17" t="n"/>
    </row>
    <row r="133">
      <c r="A133" s="17" t="n"/>
      <c r="B133" s="17" t="n"/>
      <c r="C133" s="17" t="n"/>
      <c r="D133" s="17" t="n"/>
      <c r="E133" s="15" t="n"/>
      <c r="F133" s="15" t="n"/>
      <c r="G133" s="17" t="n"/>
      <c r="H133" s="15">
        <f>IF(OR(E133="",F133="",G133=""),"", (F133-E133)*G133)</f>
        <v/>
      </c>
      <c r="I133" s="16">
        <f>IF(OR(E133="",F133=""),"", (F133/E133)-1)</f>
        <v/>
      </c>
      <c r="J133" s="17">
        <f>IF(OR(C133="",D133=""),"", D133-C133)</f>
        <v/>
      </c>
      <c r="K133" s="17" t="n"/>
    </row>
    <row r="134">
      <c r="A134" s="17" t="n"/>
      <c r="B134" s="17" t="n"/>
      <c r="C134" s="17" t="n"/>
      <c r="D134" s="17" t="n"/>
      <c r="E134" s="15" t="n"/>
      <c r="F134" s="15" t="n"/>
      <c r="G134" s="17" t="n"/>
      <c r="H134" s="15">
        <f>IF(OR(E134="",F134="",G134=""),"", (F134-E134)*G134)</f>
        <v/>
      </c>
      <c r="I134" s="16">
        <f>IF(OR(E134="",F134=""),"", (F134/E134)-1)</f>
        <v/>
      </c>
      <c r="J134" s="17">
        <f>IF(OR(C134="",D134=""),"", D134-C134)</f>
        <v/>
      </c>
      <c r="K134" s="17" t="n"/>
    </row>
    <row r="135">
      <c r="A135" s="17" t="n"/>
      <c r="B135" s="17" t="n"/>
      <c r="C135" s="17" t="n"/>
      <c r="D135" s="17" t="n"/>
      <c r="E135" s="15" t="n"/>
      <c r="F135" s="15" t="n"/>
      <c r="G135" s="17" t="n"/>
      <c r="H135" s="15">
        <f>IF(OR(E135="",F135="",G135=""),"", (F135-E135)*G135)</f>
        <v/>
      </c>
      <c r="I135" s="16">
        <f>IF(OR(E135="",F135=""),"", (F135/E135)-1)</f>
        <v/>
      </c>
      <c r="J135" s="17">
        <f>IF(OR(C135="",D135=""),"", D135-C135)</f>
        <v/>
      </c>
      <c r="K135" s="17" t="n"/>
    </row>
    <row r="136">
      <c r="A136" s="17" t="n"/>
      <c r="B136" s="17" t="n"/>
      <c r="C136" s="17" t="n"/>
      <c r="D136" s="17" t="n"/>
      <c r="E136" s="15" t="n"/>
      <c r="F136" s="15" t="n"/>
      <c r="G136" s="17" t="n"/>
      <c r="H136" s="15">
        <f>IF(OR(E136="",F136="",G136=""),"", (F136-E136)*G136)</f>
        <v/>
      </c>
      <c r="I136" s="16">
        <f>IF(OR(E136="",F136=""),"", (F136/E136)-1)</f>
        <v/>
      </c>
      <c r="J136" s="17">
        <f>IF(OR(C136="",D136=""),"", D136-C136)</f>
        <v/>
      </c>
      <c r="K136" s="17" t="n"/>
    </row>
    <row r="137">
      <c r="A137" s="17" t="n"/>
      <c r="B137" s="17" t="n"/>
      <c r="C137" s="17" t="n"/>
      <c r="D137" s="17" t="n"/>
      <c r="E137" s="15" t="n"/>
      <c r="F137" s="15" t="n"/>
      <c r="G137" s="17" t="n"/>
      <c r="H137" s="15">
        <f>IF(OR(E137="",F137="",G137=""),"", (F137-E137)*G137)</f>
        <v/>
      </c>
      <c r="I137" s="16">
        <f>IF(OR(E137="",F137=""),"", (F137/E137)-1)</f>
        <v/>
      </c>
      <c r="J137" s="17">
        <f>IF(OR(C137="",D137=""),"", D137-C137)</f>
        <v/>
      </c>
      <c r="K137" s="17" t="n"/>
    </row>
    <row r="138">
      <c r="A138" s="17" t="n"/>
      <c r="B138" s="17" t="n"/>
      <c r="C138" s="17" t="n"/>
      <c r="D138" s="17" t="n"/>
      <c r="E138" s="15" t="n"/>
      <c r="F138" s="15" t="n"/>
      <c r="G138" s="17" t="n"/>
      <c r="H138" s="15">
        <f>IF(OR(E138="",F138="",G138=""),"", (F138-E138)*G138)</f>
        <v/>
      </c>
      <c r="I138" s="16">
        <f>IF(OR(E138="",F138=""),"", (F138/E138)-1)</f>
        <v/>
      </c>
      <c r="J138" s="17">
        <f>IF(OR(C138="",D138=""),"", D138-C138)</f>
        <v/>
      </c>
      <c r="K138" s="17" t="n"/>
    </row>
    <row r="139">
      <c r="A139" s="17" t="n"/>
      <c r="B139" s="17" t="n"/>
      <c r="C139" s="17" t="n"/>
      <c r="D139" s="17" t="n"/>
      <c r="E139" s="15" t="n"/>
      <c r="F139" s="15" t="n"/>
      <c r="G139" s="17" t="n"/>
      <c r="H139" s="15">
        <f>IF(OR(E139="",F139="",G139=""),"", (F139-E139)*G139)</f>
        <v/>
      </c>
      <c r="I139" s="16">
        <f>IF(OR(E139="",F139=""),"", (F139/E139)-1)</f>
        <v/>
      </c>
      <c r="J139" s="17">
        <f>IF(OR(C139="",D139=""),"", D139-C139)</f>
        <v/>
      </c>
      <c r="K139" s="17" t="n"/>
    </row>
    <row r="140">
      <c r="A140" s="17" t="n"/>
      <c r="B140" s="17" t="n"/>
      <c r="C140" s="17" t="n"/>
      <c r="D140" s="17" t="n"/>
      <c r="E140" s="15" t="n"/>
      <c r="F140" s="15" t="n"/>
      <c r="G140" s="17" t="n"/>
      <c r="H140" s="15">
        <f>IF(OR(E140="",F140="",G140=""),"", (F140-E140)*G140)</f>
        <v/>
      </c>
      <c r="I140" s="16">
        <f>IF(OR(E140="",F140=""),"", (F140/E140)-1)</f>
        <v/>
      </c>
      <c r="J140" s="17">
        <f>IF(OR(C140="",D140=""),"", D140-C140)</f>
        <v/>
      </c>
      <c r="K140" s="17" t="n"/>
    </row>
    <row r="141">
      <c r="A141" s="17" t="n"/>
      <c r="B141" s="17" t="n"/>
      <c r="C141" s="17" t="n"/>
      <c r="D141" s="17" t="n"/>
      <c r="E141" s="15" t="n"/>
      <c r="F141" s="15" t="n"/>
      <c r="G141" s="17" t="n"/>
      <c r="H141" s="15">
        <f>IF(OR(E141="",F141="",G141=""),"", (F141-E141)*G141)</f>
        <v/>
      </c>
      <c r="I141" s="16">
        <f>IF(OR(E141="",F141=""),"", (F141/E141)-1)</f>
        <v/>
      </c>
      <c r="J141" s="17">
        <f>IF(OR(C141="",D141=""),"", D141-C141)</f>
        <v/>
      </c>
      <c r="K141" s="17" t="n"/>
    </row>
    <row r="142">
      <c r="A142" s="17" t="n"/>
      <c r="B142" s="17" t="n"/>
      <c r="C142" s="17" t="n"/>
      <c r="D142" s="17" t="n"/>
      <c r="E142" s="15" t="n"/>
      <c r="F142" s="15" t="n"/>
      <c r="G142" s="17" t="n"/>
      <c r="H142" s="15">
        <f>IF(OR(E142="",F142="",G142=""),"", (F142-E142)*G142)</f>
        <v/>
      </c>
      <c r="I142" s="16">
        <f>IF(OR(E142="",F142=""),"", (F142/E142)-1)</f>
        <v/>
      </c>
      <c r="J142" s="17">
        <f>IF(OR(C142="",D142=""),"", D142-C142)</f>
        <v/>
      </c>
      <c r="K142" s="17" t="n"/>
    </row>
    <row r="143">
      <c r="A143" s="17" t="n"/>
      <c r="B143" s="17" t="n"/>
      <c r="C143" s="17" t="n"/>
      <c r="D143" s="17" t="n"/>
      <c r="E143" s="15" t="n"/>
      <c r="F143" s="15" t="n"/>
      <c r="G143" s="17" t="n"/>
      <c r="H143" s="15">
        <f>IF(OR(E143="",F143="",G143=""),"", (F143-E143)*G143)</f>
        <v/>
      </c>
      <c r="I143" s="16">
        <f>IF(OR(E143="",F143=""),"", (F143/E143)-1)</f>
        <v/>
      </c>
      <c r="J143" s="17">
        <f>IF(OR(C143="",D143=""),"", D143-C143)</f>
        <v/>
      </c>
      <c r="K143" s="17" t="n"/>
    </row>
    <row r="144">
      <c r="A144" s="17" t="n"/>
      <c r="B144" s="17" t="n"/>
      <c r="C144" s="17" t="n"/>
      <c r="D144" s="17" t="n"/>
      <c r="E144" s="15" t="n"/>
      <c r="F144" s="15" t="n"/>
      <c r="G144" s="17" t="n"/>
      <c r="H144" s="15">
        <f>IF(OR(E144="",F144="",G144=""),"", (F144-E144)*G144)</f>
        <v/>
      </c>
      <c r="I144" s="16">
        <f>IF(OR(E144="",F144=""),"", (F144/E144)-1)</f>
        <v/>
      </c>
      <c r="J144" s="17">
        <f>IF(OR(C144="",D144=""),"", D144-C144)</f>
        <v/>
      </c>
      <c r="K144" s="17" t="n"/>
    </row>
    <row r="145">
      <c r="A145" s="17" t="n"/>
      <c r="B145" s="17" t="n"/>
      <c r="C145" s="17" t="n"/>
      <c r="D145" s="17" t="n"/>
      <c r="E145" s="15" t="n"/>
      <c r="F145" s="15" t="n"/>
      <c r="G145" s="17" t="n"/>
      <c r="H145" s="15">
        <f>IF(OR(E145="",F145="",G145=""),"", (F145-E145)*G145)</f>
        <v/>
      </c>
      <c r="I145" s="16">
        <f>IF(OR(E145="",F145=""),"", (F145/E145)-1)</f>
        <v/>
      </c>
      <c r="J145" s="17">
        <f>IF(OR(C145="",D145=""),"", D145-C145)</f>
        <v/>
      </c>
      <c r="K145" s="17" t="n"/>
    </row>
    <row r="146">
      <c r="A146" s="17" t="n"/>
      <c r="B146" s="17" t="n"/>
      <c r="C146" s="17" t="n"/>
      <c r="D146" s="17" t="n"/>
      <c r="E146" s="15" t="n"/>
      <c r="F146" s="15" t="n"/>
      <c r="G146" s="17" t="n"/>
      <c r="H146" s="15">
        <f>IF(OR(E146="",F146="",G146=""),"", (F146-E146)*G146)</f>
        <v/>
      </c>
      <c r="I146" s="16">
        <f>IF(OR(E146="",F146=""),"", (F146/E146)-1)</f>
        <v/>
      </c>
      <c r="J146" s="17">
        <f>IF(OR(C146="",D146=""),"", D146-C146)</f>
        <v/>
      </c>
      <c r="K146" s="17" t="n"/>
    </row>
    <row r="147">
      <c r="A147" s="17" t="n"/>
      <c r="B147" s="17" t="n"/>
      <c r="C147" s="17" t="n"/>
      <c r="D147" s="17" t="n"/>
      <c r="E147" s="15" t="n"/>
      <c r="F147" s="15" t="n"/>
      <c r="G147" s="17" t="n"/>
      <c r="H147" s="15">
        <f>IF(OR(E147="",F147="",G147=""),"", (F147-E147)*G147)</f>
        <v/>
      </c>
      <c r="I147" s="16">
        <f>IF(OR(E147="",F147=""),"", (F147/E147)-1)</f>
        <v/>
      </c>
      <c r="J147" s="17">
        <f>IF(OR(C147="",D147=""),"", D147-C147)</f>
        <v/>
      </c>
      <c r="K147" s="17" t="n"/>
    </row>
    <row r="148">
      <c r="A148" s="17" t="n"/>
      <c r="B148" s="17" t="n"/>
      <c r="C148" s="17" t="n"/>
      <c r="D148" s="17" t="n"/>
      <c r="E148" s="15" t="n"/>
      <c r="F148" s="15" t="n"/>
      <c r="G148" s="17" t="n"/>
      <c r="H148" s="15">
        <f>IF(OR(E148="",F148="",G148=""),"", (F148-E148)*G148)</f>
        <v/>
      </c>
      <c r="I148" s="16">
        <f>IF(OR(E148="",F148=""),"", (F148/E148)-1)</f>
        <v/>
      </c>
      <c r="J148" s="17">
        <f>IF(OR(C148="",D148=""),"", D148-C148)</f>
        <v/>
      </c>
      <c r="K148" s="17" t="n"/>
    </row>
    <row r="149">
      <c r="A149" s="17" t="n"/>
      <c r="B149" s="17" t="n"/>
      <c r="C149" s="17" t="n"/>
      <c r="D149" s="17" t="n"/>
      <c r="E149" s="15" t="n"/>
      <c r="F149" s="15" t="n"/>
      <c r="G149" s="17" t="n"/>
      <c r="H149" s="15">
        <f>IF(OR(E149="",F149="",G149=""),"", (F149-E149)*G149)</f>
        <v/>
      </c>
      <c r="I149" s="16">
        <f>IF(OR(E149="",F149=""),"", (F149/E149)-1)</f>
        <v/>
      </c>
      <c r="J149" s="17">
        <f>IF(OR(C149="",D149=""),"", D149-C149)</f>
        <v/>
      </c>
      <c r="K149" s="17" t="n"/>
    </row>
    <row r="150">
      <c r="A150" s="17" t="n"/>
      <c r="B150" s="17" t="n"/>
      <c r="C150" s="17" t="n"/>
      <c r="D150" s="17" t="n"/>
      <c r="E150" s="15" t="n"/>
      <c r="F150" s="15" t="n"/>
      <c r="G150" s="17" t="n"/>
      <c r="H150" s="15">
        <f>IF(OR(E150="",F150="",G150=""),"", (F150-E150)*G150)</f>
        <v/>
      </c>
      <c r="I150" s="16">
        <f>IF(OR(E150="",F150=""),"", (F150/E150)-1)</f>
        <v/>
      </c>
      <c r="J150" s="17">
        <f>IF(OR(C150="",D150=""),"", D150-C150)</f>
        <v/>
      </c>
      <c r="K150" s="17" t="n"/>
    </row>
    <row r="151">
      <c r="A151" s="17" t="n"/>
      <c r="B151" s="17" t="n"/>
      <c r="C151" s="17" t="n"/>
      <c r="D151" s="17" t="n"/>
      <c r="E151" s="15" t="n"/>
      <c r="F151" s="15" t="n"/>
      <c r="G151" s="17" t="n"/>
      <c r="H151" s="15">
        <f>IF(OR(E151="",F151="",G151=""),"", (F151-E151)*G151)</f>
        <v/>
      </c>
      <c r="I151" s="16">
        <f>IF(OR(E151="",F151=""),"", (F151/E151)-1)</f>
        <v/>
      </c>
      <c r="J151" s="17">
        <f>IF(OR(C151="",D151=""),"", D151-C151)</f>
        <v/>
      </c>
      <c r="K151" s="17" t="n"/>
    </row>
    <row r="152">
      <c r="A152" s="17" t="n"/>
      <c r="B152" s="17" t="n"/>
      <c r="C152" s="17" t="n"/>
      <c r="D152" s="17" t="n"/>
      <c r="E152" s="15" t="n"/>
      <c r="F152" s="15" t="n"/>
      <c r="G152" s="17" t="n"/>
      <c r="H152" s="15">
        <f>IF(OR(E152="",F152="",G152=""),"", (F152-E152)*G152)</f>
        <v/>
      </c>
      <c r="I152" s="16">
        <f>IF(OR(E152="",F152=""),"", (F152/E152)-1)</f>
        <v/>
      </c>
      <c r="J152" s="17">
        <f>IF(OR(C152="",D152=""),"", D152-C152)</f>
        <v/>
      </c>
      <c r="K152" s="17" t="n"/>
    </row>
    <row r="153">
      <c r="A153" s="17" t="n"/>
      <c r="B153" s="17" t="n"/>
      <c r="C153" s="17" t="n"/>
      <c r="D153" s="17" t="n"/>
      <c r="E153" s="15" t="n"/>
      <c r="F153" s="15" t="n"/>
      <c r="G153" s="17" t="n"/>
      <c r="H153" s="15">
        <f>IF(OR(E153="",F153="",G153=""),"", (F153-E153)*G153)</f>
        <v/>
      </c>
      <c r="I153" s="16">
        <f>IF(OR(E153="",F153=""),"", (F153/E153)-1)</f>
        <v/>
      </c>
      <c r="J153" s="17">
        <f>IF(OR(C153="",D153=""),"", D153-C153)</f>
        <v/>
      </c>
      <c r="K153" s="17" t="n"/>
    </row>
    <row r="154">
      <c r="A154" s="17" t="n"/>
      <c r="B154" s="17" t="n"/>
      <c r="C154" s="17" t="n"/>
      <c r="D154" s="17" t="n"/>
      <c r="E154" s="15" t="n"/>
      <c r="F154" s="15" t="n"/>
      <c r="G154" s="17" t="n"/>
      <c r="H154" s="15">
        <f>IF(OR(E154="",F154="",G154=""),"", (F154-E154)*G154)</f>
        <v/>
      </c>
      <c r="I154" s="16">
        <f>IF(OR(E154="",F154=""),"", (F154/E154)-1)</f>
        <v/>
      </c>
      <c r="J154" s="17">
        <f>IF(OR(C154="",D154=""),"", D154-C154)</f>
        <v/>
      </c>
      <c r="K154" s="17" t="n"/>
    </row>
    <row r="155">
      <c r="A155" s="17" t="n"/>
      <c r="B155" s="17" t="n"/>
      <c r="C155" s="17" t="n"/>
      <c r="D155" s="17" t="n"/>
      <c r="E155" s="15" t="n"/>
      <c r="F155" s="15" t="n"/>
      <c r="G155" s="17" t="n"/>
      <c r="H155" s="15">
        <f>IF(OR(E155="",F155="",G155=""),"", (F155-E155)*G155)</f>
        <v/>
      </c>
      <c r="I155" s="16">
        <f>IF(OR(E155="",F155=""),"", (F155/E155)-1)</f>
        <v/>
      </c>
      <c r="J155" s="17">
        <f>IF(OR(C155="",D155=""),"", D155-C155)</f>
        <v/>
      </c>
      <c r="K155" s="17" t="n"/>
    </row>
    <row r="156">
      <c r="A156" s="17" t="n"/>
      <c r="B156" s="17" t="n"/>
      <c r="C156" s="17" t="n"/>
      <c r="D156" s="17" t="n"/>
      <c r="E156" s="15" t="n"/>
      <c r="F156" s="15" t="n"/>
      <c r="G156" s="17" t="n"/>
      <c r="H156" s="15">
        <f>IF(OR(E156="",F156="",G156=""),"", (F156-E156)*G156)</f>
        <v/>
      </c>
      <c r="I156" s="16">
        <f>IF(OR(E156="",F156=""),"", (F156/E156)-1)</f>
        <v/>
      </c>
      <c r="J156" s="17">
        <f>IF(OR(C156="",D156=""),"", D156-C156)</f>
        <v/>
      </c>
      <c r="K156" s="17" t="n"/>
    </row>
    <row r="157">
      <c r="A157" s="17" t="n"/>
      <c r="B157" s="17" t="n"/>
      <c r="C157" s="17" t="n"/>
      <c r="D157" s="17" t="n"/>
      <c r="E157" s="15" t="n"/>
      <c r="F157" s="15" t="n"/>
      <c r="G157" s="17" t="n"/>
      <c r="H157" s="15">
        <f>IF(OR(E157="",F157="",G157=""),"", (F157-E157)*G157)</f>
        <v/>
      </c>
      <c r="I157" s="16">
        <f>IF(OR(E157="",F157=""),"", (F157/E157)-1)</f>
        <v/>
      </c>
      <c r="J157" s="17">
        <f>IF(OR(C157="",D157=""),"", D157-C157)</f>
        <v/>
      </c>
      <c r="K157" s="17" t="n"/>
    </row>
    <row r="158">
      <c r="A158" s="17" t="n"/>
      <c r="B158" s="17" t="n"/>
      <c r="C158" s="17" t="n"/>
      <c r="D158" s="17" t="n"/>
      <c r="E158" s="15" t="n"/>
      <c r="F158" s="15" t="n"/>
      <c r="G158" s="17" t="n"/>
      <c r="H158" s="15">
        <f>IF(OR(E158="",F158="",G158=""),"", (F158-E158)*G158)</f>
        <v/>
      </c>
      <c r="I158" s="16">
        <f>IF(OR(E158="",F158=""),"", (F158/E158)-1)</f>
        <v/>
      </c>
      <c r="J158" s="17">
        <f>IF(OR(C158="",D158=""),"", D158-C158)</f>
        <v/>
      </c>
      <c r="K158" s="17" t="n"/>
    </row>
    <row r="159">
      <c r="A159" s="17" t="n"/>
      <c r="B159" s="17" t="n"/>
      <c r="C159" s="17" t="n"/>
      <c r="D159" s="17" t="n"/>
      <c r="E159" s="15" t="n"/>
      <c r="F159" s="15" t="n"/>
      <c r="G159" s="17" t="n"/>
      <c r="H159" s="15">
        <f>IF(OR(E159="",F159="",G159=""),"", (F159-E159)*G159)</f>
        <v/>
      </c>
      <c r="I159" s="16">
        <f>IF(OR(E159="",F159=""),"", (F159/E159)-1)</f>
        <v/>
      </c>
      <c r="J159" s="17">
        <f>IF(OR(C159="",D159=""),"", D159-C159)</f>
        <v/>
      </c>
      <c r="K159" s="17" t="n"/>
    </row>
    <row r="160">
      <c r="A160" s="17" t="n"/>
      <c r="B160" s="17" t="n"/>
      <c r="C160" s="17" t="n"/>
      <c r="D160" s="17" t="n"/>
      <c r="E160" s="15" t="n"/>
      <c r="F160" s="15" t="n"/>
      <c r="G160" s="17" t="n"/>
      <c r="H160" s="15">
        <f>IF(OR(E160="",F160="",G160=""),"", (F160-E160)*G160)</f>
        <v/>
      </c>
      <c r="I160" s="16">
        <f>IF(OR(E160="",F160=""),"", (F160/E160)-1)</f>
        <v/>
      </c>
      <c r="J160" s="17">
        <f>IF(OR(C160="",D160=""),"", D160-C160)</f>
        <v/>
      </c>
      <c r="K160" s="17" t="n"/>
    </row>
    <row r="161">
      <c r="A161" s="17" t="n"/>
      <c r="B161" s="17" t="n"/>
      <c r="C161" s="17" t="n"/>
      <c r="D161" s="17" t="n"/>
      <c r="E161" s="15" t="n"/>
      <c r="F161" s="15" t="n"/>
      <c r="G161" s="17" t="n"/>
      <c r="H161" s="15">
        <f>IF(OR(E161="",F161="",G161=""),"", (F161-E161)*G161)</f>
        <v/>
      </c>
      <c r="I161" s="16">
        <f>IF(OR(E161="",F161=""),"", (F161/E161)-1)</f>
        <v/>
      </c>
      <c r="J161" s="17">
        <f>IF(OR(C161="",D161=""),"", D161-C161)</f>
        <v/>
      </c>
      <c r="K161" s="17" t="n"/>
    </row>
    <row r="162">
      <c r="A162" s="17" t="n"/>
      <c r="B162" s="17" t="n"/>
      <c r="C162" s="17" t="n"/>
      <c r="D162" s="17" t="n"/>
      <c r="E162" s="15" t="n"/>
      <c r="F162" s="15" t="n"/>
      <c r="G162" s="17" t="n"/>
      <c r="H162" s="15">
        <f>IF(OR(E162="",F162="",G162=""),"", (F162-E162)*G162)</f>
        <v/>
      </c>
      <c r="I162" s="16">
        <f>IF(OR(E162="",F162=""),"", (F162/E162)-1)</f>
        <v/>
      </c>
      <c r="J162" s="17">
        <f>IF(OR(C162="",D162=""),"", D162-C162)</f>
        <v/>
      </c>
      <c r="K162" s="17" t="n"/>
    </row>
    <row r="163">
      <c r="A163" s="17" t="n"/>
      <c r="B163" s="17" t="n"/>
      <c r="C163" s="17" t="n"/>
      <c r="D163" s="17" t="n"/>
      <c r="E163" s="15" t="n"/>
      <c r="F163" s="15" t="n"/>
      <c r="G163" s="17" t="n"/>
      <c r="H163" s="15">
        <f>IF(OR(E163="",F163="",G163=""),"", (F163-E163)*G163)</f>
        <v/>
      </c>
      <c r="I163" s="16">
        <f>IF(OR(E163="",F163=""),"", (F163/E163)-1)</f>
        <v/>
      </c>
      <c r="J163" s="17">
        <f>IF(OR(C163="",D163=""),"", D163-C163)</f>
        <v/>
      </c>
      <c r="K163" s="17" t="n"/>
    </row>
    <row r="164">
      <c r="A164" s="17" t="n"/>
      <c r="B164" s="17" t="n"/>
      <c r="C164" s="17" t="n"/>
      <c r="D164" s="17" t="n"/>
      <c r="E164" s="15" t="n"/>
      <c r="F164" s="15" t="n"/>
      <c r="G164" s="17" t="n"/>
      <c r="H164" s="15">
        <f>IF(OR(E164="",F164="",G164=""),"", (F164-E164)*G164)</f>
        <v/>
      </c>
      <c r="I164" s="16">
        <f>IF(OR(E164="",F164=""),"", (F164/E164)-1)</f>
        <v/>
      </c>
      <c r="J164" s="17">
        <f>IF(OR(C164="",D164=""),"", D164-C164)</f>
        <v/>
      </c>
      <c r="K164" s="17" t="n"/>
    </row>
    <row r="165">
      <c r="A165" s="17" t="n"/>
      <c r="B165" s="17" t="n"/>
      <c r="C165" s="17" t="n"/>
      <c r="D165" s="17" t="n"/>
      <c r="E165" s="15" t="n"/>
      <c r="F165" s="15" t="n"/>
      <c r="G165" s="17" t="n"/>
      <c r="H165" s="15">
        <f>IF(OR(E165="",F165="",G165=""),"", (F165-E165)*G165)</f>
        <v/>
      </c>
      <c r="I165" s="16">
        <f>IF(OR(E165="",F165=""),"", (F165/E165)-1)</f>
        <v/>
      </c>
      <c r="J165" s="17">
        <f>IF(OR(C165="",D165=""),"", D165-C165)</f>
        <v/>
      </c>
      <c r="K165" s="17" t="n"/>
    </row>
    <row r="166">
      <c r="A166" s="17" t="n"/>
      <c r="B166" s="17" t="n"/>
      <c r="C166" s="17" t="n"/>
      <c r="D166" s="17" t="n"/>
      <c r="E166" s="15" t="n"/>
      <c r="F166" s="15" t="n"/>
      <c r="G166" s="17" t="n"/>
      <c r="H166" s="15">
        <f>IF(OR(E166="",F166="",G166=""),"", (F166-E166)*G166)</f>
        <v/>
      </c>
      <c r="I166" s="16">
        <f>IF(OR(E166="",F166=""),"", (F166/E166)-1)</f>
        <v/>
      </c>
      <c r="J166" s="17">
        <f>IF(OR(C166="",D166=""),"", D166-C166)</f>
        <v/>
      </c>
      <c r="K166" s="17" t="n"/>
    </row>
    <row r="167">
      <c r="A167" s="17" t="n"/>
      <c r="B167" s="17" t="n"/>
      <c r="C167" s="17" t="n"/>
      <c r="D167" s="17" t="n"/>
      <c r="E167" s="15" t="n"/>
      <c r="F167" s="15" t="n"/>
      <c r="G167" s="17" t="n"/>
      <c r="H167" s="15">
        <f>IF(OR(E167="",F167="",G167=""),"", (F167-E167)*G167)</f>
        <v/>
      </c>
      <c r="I167" s="16">
        <f>IF(OR(E167="",F167=""),"", (F167/E167)-1)</f>
        <v/>
      </c>
      <c r="J167" s="17">
        <f>IF(OR(C167="",D167=""),"", D167-C167)</f>
        <v/>
      </c>
      <c r="K167" s="17" t="n"/>
    </row>
    <row r="168">
      <c r="A168" s="17" t="n"/>
      <c r="B168" s="17" t="n"/>
      <c r="C168" s="17" t="n"/>
      <c r="D168" s="17" t="n"/>
      <c r="E168" s="15" t="n"/>
      <c r="F168" s="15" t="n"/>
      <c r="G168" s="17" t="n"/>
      <c r="H168" s="15">
        <f>IF(OR(E168="",F168="",G168=""),"", (F168-E168)*G168)</f>
        <v/>
      </c>
      <c r="I168" s="16">
        <f>IF(OR(E168="",F168=""),"", (F168/E168)-1)</f>
        <v/>
      </c>
      <c r="J168" s="17">
        <f>IF(OR(C168="",D168=""),"", D168-C168)</f>
        <v/>
      </c>
      <c r="K168" s="17" t="n"/>
    </row>
    <row r="169">
      <c r="A169" s="17" t="n"/>
      <c r="B169" s="17" t="n"/>
      <c r="C169" s="17" t="n"/>
      <c r="D169" s="17" t="n"/>
      <c r="E169" s="15" t="n"/>
      <c r="F169" s="15" t="n"/>
      <c r="G169" s="17" t="n"/>
      <c r="H169" s="15">
        <f>IF(OR(E169="",F169="",G169=""),"", (F169-E169)*G169)</f>
        <v/>
      </c>
      <c r="I169" s="16">
        <f>IF(OR(E169="",F169=""),"", (F169/E169)-1)</f>
        <v/>
      </c>
      <c r="J169" s="17">
        <f>IF(OR(C169="",D169=""),"", D169-C169)</f>
        <v/>
      </c>
      <c r="K169" s="17" t="n"/>
    </row>
    <row r="170">
      <c r="A170" s="17" t="n"/>
      <c r="B170" s="17" t="n"/>
      <c r="C170" s="17" t="n"/>
      <c r="D170" s="17" t="n"/>
      <c r="E170" s="15" t="n"/>
      <c r="F170" s="15" t="n"/>
      <c r="G170" s="17" t="n"/>
      <c r="H170" s="15">
        <f>IF(OR(E170="",F170="",G170=""),"", (F170-E170)*G170)</f>
        <v/>
      </c>
      <c r="I170" s="16">
        <f>IF(OR(E170="",F170=""),"", (F170/E170)-1)</f>
        <v/>
      </c>
      <c r="J170" s="17">
        <f>IF(OR(C170="",D170=""),"", D170-C170)</f>
        <v/>
      </c>
      <c r="K170" s="17" t="n"/>
    </row>
    <row r="171">
      <c r="A171" s="17" t="n"/>
      <c r="B171" s="17" t="n"/>
      <c r="C171" s="17" t="n"/>
      <c r="D171" s="17" t="n"/>
      <c r="E171" s="15" t="n"/>
      <c r="F171" s="15" t="n"/>
      <c r="G171" s="17" t="n"/>
      <c r="H171" s="15">
        <f>IF(OR(E171="",F171="",G171=""),"", (F171-E171)*G171)</f>
        <v/>
      </c>
      <c r="I171" s="16">
        <f>IF(OR(E171="",F171=""),"", (F171/E171)-1)</f>
        <v/>
      </c>
      <c r="J171" s="17">
        <f>IF(OR(C171="",D171=""),"", D171-C171)</f>
        <v/>
      </c>
      <c r="K171" s="17" t="n"/>
    </row>
    <row r="172">
      <c r="A172" s="17" t="n"/>
      <c r="B172" s="17" t="n"/>
      <c r="C172" s="17" t="n"/>
      <c r="D172" s="17" t="n"/>
      <c r="E172" s="15" t="n"/>
      <c r="F172" s="15" t="n"/>
      <c r="G172" s="17" t="n"/>
      <c r="H172" s="15">
        <f>IF(OR(E172="",F172="",G172=""),"", (F172-E172)*G172)</f>
        <v/>
      </c>
      <c r="I172" s="16">
        <f>IF(OR(E172="",F172=""),"", (F172/E172)-1)</f>
        <v/>
      </c>
      <c r="J172" s="17">
        <f>IF(OR(C172="",D172=""),"", D172-C172)</f>
        <v/>
      </c>
      <c r="K172" s="17" t="n"/>
    </row>
    <row r="173">
      <c r="A173" s="17" t="n"/>
      <c r="B173" s="17" t="n"/>
      <c r="C173" s="17" t="n"/>
      <c r="D173" s="17" t="n"/>
      <c r="E173" s="15" t="n"/>
      <c r="F173" s="15" t="n"/>
      <c r="G173" s="17" t="n"/>
      <c r="H173" s="15">
        <f>IF(OR(E173="",F173="",G173=""),"", (F173-E173)*G173)</f>
        <v/>
      </c>
      <c r="I173" s="16">
        <f>IF(OR(E173="",F173=""),"", (F173/E173)-1)</f>
        <v/>
      </c>
      <c r="J173" s="17">
        <f>IF(OR(C173="",D173=""),"", D173-C173)</f>
        <v/>
      </c>
      <c r="K173" s="17" t="n"/>
    </row>
    <row r="174">
      <c r="A174" s="17" t="n"/>
      <c r="B174" s="17" t="n"/>
      <c r="C174" s="17" t="n"/>
      <c r="D174" s="17" t="n"/>
      <c r="E174" s="15" t="n"/>
      <c r="F174" s="15" t="n"/>
      <c r="G174" s="17" t="n"/>
      <c r="H174" s="15">
        <f>IF(OR(E174="",F174="",G174=""),"", (F174-E174)*G174)</f>
        <v/>
      </c>
      <c r="I174" s="16">
        <f>IF(OR(E174="",F174=""),"", (F174/E174)-1)</f>
        <v/>
      </c>
      <c r="J174" s="17">
        <f>IF(OR(C174="",D174=""),"", D174-C174)</f>
        <v/>
      </c>
      <c r="K174" s="17" t="n"/>
    </row>
    <row r="175">
      <c r="A175" s="17" t="n"/>
      <c r="B175" s="17" t="n"/>
      <c r="C175" s="17" t="n"/>
      <c r="D175" s="17" t="n"/>
      <c r="E175" s="15" t="n"/>
      <c r="F175" s="15" t="n"/>
      <c r="G175" s="17" t="n"/>
      <c r="H175" s="15">
        <f>IF(OR(E175="",F175="",G175=""),"", (F175-E175)*G175)</f>
        <v/>
      </c>
      <c r="I175" s="16">
        <f>IF(OR(E175="",F175=""),"", (F175/E175)-1)</f>
        <v/>
      </c>
      <c r="J175" s="17">
        <f>IF(OR(C175="",D175=""),"", D175-C175)</f>
        <v/>
      </c>
      <c r="K175" s="17" t="n"/>
    </row>
    <row r="176">
      <c r="A176" s="17" t="n"/>
      <c r="B176" s="17" t="n"/>
      <c r="C176" s="17" t="n"/>
      <c r="D176" s="17" t="n"/>
      <c r="E176" s="15" t="n"/>
      <c r="F176" s="15" t="n"/>
      <c r="G176" s="17" t="n"/>
      <c r="H176" s="15">
        <f>IF(OR(E176="",F176="",G176=""),"", (F176-E176)*G176)</f>
        <v/>
      </c>
      <c r="I176" s="16">
        <f>IF(OR(E176="",F176=""),"", (F176/E176)-1)</f>
        <v/>
      </c>
      <c r="J176" s="17">
        <f>IF(OR(C176="",D176=""),"", D176-C176)</f>
        <v/>
      </c>
      <c r="K176" s="17" t="n"/>
    </row>
    <row r="177">
      <c r="A177" s="17" t="n"/>
      <c r="B177" s="17" t="n"/>
      <c r="C177" s="17" t="n"/>
      <c r="D177" s="17" t="n"/>
      <c r="E177" s="15" t="n"/>
      <c r="F177" s="15" t="n"/>
      <c r="G177" s="17" t="n"/>
      <c r="H177" s="15">
        <f>IF(OR(E177="",F177="",G177=""),"", (F177-E177)*G177)</f>
        <v/>
      </c>
      <c r="I177" s="16">
        <f>IF(OR(E177="",F177=""),"", (F177/E177)-1)</f>
        <v/>
      </c>
      <c r="J177" s="17">
        <f>IF(OR(C177="",D177=""),"", D177-C177)</f>
        <v/>
      </c>
      <c r="K177" s="17" t="n"/>
    </row>
    <row r="178">
      <c r="A178" s="17" t="n"/>
      <c r="B178" s="17" t="n"/>
      <c r="C178" s="17" t="n"/>
      <c r="D178" s="17" t="n"/>
      <c r="E178" s="15" t="n"/>
      <c r="F178" s="15" t="n"/>
      <c r="G178" s="17" t="n"/>
      <c r="H178" s="15">
        <f>IF(OR(E178="",F178="",G178=""),"", (F178-E178)*G178)</f>
        <v/>
      </c>
      <c r="I178" s="16">
        <f>IF(OR(E178="",F178=""),"", (F178/E178)-1)</f>
        <v/>
      </c>
      <c r="J178" s="17">
        <f>IF(OR(C178="",D178=""),"", D178-C178)</f>
        <v/>
      </c>
      <c r="K178" s="17" t="n"/>
    </row>
    <row r="179">
      <c r="A179" s="17" t="n"/>
      <c r="B179" s="17" t="n"/>
      <c r="C179" s="17" t="n"/>
      <c r="D179" s="17" t="n"/>
      <c r="E179" s="15" t="n"/>
      <c r="F179" s="15" t="n"/>
      <c r="G179" s="17" t="n"/>
      <c r="H179" s="15">
        <f>IF(OR(E179="",F179="",G179=""),"", (F179-E179)*G179)</f>
        <v/>
      </c>
      <c r="I179" s="16">
        <f>IF(OR(E179="",F179=""),"", (F179/E179)-1)</f>
        <v/>
      </c>
      <c r="J179" s="17">
        <f>IF(OR(C179="",D179=""),"", D179-C179)</f>
        <v/>
      </c>
      <c r="K179" s="17" t="n"/>
    </row>
    <row r="180">
      <c r="A180" s="17" t="n"/>
      <c r="B180" s="17" t="n"/>
      <c r="C180" s="17" t="n"/>
      <c r="D180" s="17" t="n"/>
      <c r="E180" s="15" t="n"/>
      <c r="F180" s="15" t="n"/>
      <c r="G180" s="17" t="n"/>
      <c r="H180" s="15">
        <f>IF(OR(E180="",F180="",G180=""),"", (F180-E180)*G180)</f>
        <v/>
      </c>
      <c r="I180" s="16">
        <f>IF(OR(E180="",F180=""),"", (F180/E180)-1)</f>
        <v/>
      </c>
      <c r="J180" s="17">
        <f>IF(OR(C180="",D180=""),"", D180-C180)</f>
        <v/>
      </c>
      <c r="K180" s="17" t="n"/>
    </row>
    <row r="181">
      <c r="A181" s="17" t="n"/>
      <c r="B181" s="17" t="n"/>
      <c r="C181" s="17" t="n"/>
      <c r="D181" s="17" t="n"/>
      <c r="E181" s="15" t="n"/>
      <c r="F181" s="15" t="n"/>
      <c r="G181" s="17" t="n"/>
      <c r="H181" s="15">
        <f>IF(OR(E181="",F181="",G181=""),"", (F181-E181)*G181)</f>
        <v/>
      </c>
      <c r="I181" s="16">
        <f>IF(OR(E181="",F181=""),"", (F181/E181)-1)</f>
        <v/>
      </c>
      <c r="J181" s="17">
        <f>IF(OR(C181="",D181=""),"", D181-C181)</f>
        <v/>
      </c>
      <c r="K181" s="17" t="n"/>
    </row>
    <row r="182">
      <c r="A182" s="17" t="n"/>
      <c r="B182" s="17" t="n"/>
      <c r="C182" s="17" t="n"/>
      <c r="D182" s="17" t="n"/>
      <c r="E182" s="15" t="n"/>
      <c r="F182" s="15" t="n"/>
      <c r="G182" s="17" t="n"/>
      <c r="H182" s="15">
        <f>IF(OR(E182="",F182="",G182=""),"", (F182-E182)*G182)</f>
        <v/>
      </c>
      <c r="I182" s="16">
        <f>IF(OR(E182="",F182=""),"", (F182/E182)-1)</f>
        <v/>
      </c>
      <c r="J182" s="17">
        <f>IF(OR(C182="",D182=""),"", D182-C182)</f>
        <v/>
      </c>
      <c r="K182" s="17" t="n"/>
    </row>
    <row r="183">
      <c r="A183" s="17" t="n"/>
      <c r="B183" s="17" t="n"/>
      <c r="C183" s="17" t="n"/>
      <c r="D183" s="17" t="n"/>
      <c r="E183" s="15" t="n"/>
      <c r="F183" s="15" t="n"/>
      <c r="G183" s="17" t="n"/>
      <c r="H183" s="15">
        <f>IF(OR(E183="",F183="",G183=""),"", (F183-E183)*G183)</f>
        <v/>
      </c>
      <c r="I183" s="16">
        <f>IF(OR(E183="",F183=""),"", (F183/E183)-1)</f>
        <v/>
      </c>
      <c r="J183" s="17">
        <f>IF(OR(C183="",D183=""),"", D183-C183)</f>
        <v/>
      </c>
      <c r="K183" s="17" t="n"/>
    </row>
    <row r="184">
      <c r="A184" s="17" t="n"/>
      <c r="B184" s="17" t="n"/>
      <c r="C184" s="17" t="n"/>
      <c r="D184" s="17" t="n"/>
      <c r="E184" s="15" t="n"/>
      <c r="F184" s="15" t="n"/>
      <c r="G184" s="17" t="n"/>
      <c r="H184" s="15">
        <f>IF(OR(E184="",F184="",G184=""),"", (F184-E184)*G184)</f>
        <v/>
      </c>
      <c r="I184" s="16">
        <f>IF(OR(E184="",F184=""),"", (F184/E184)-1)</f>
        <v/>
      </c>
      <c r="J184" s="17">
        <f>IF(OR(C184="",D184=""),"", D184-C184)</f>
        <v/>
      </c>
      <c r="K184" s="17" t="n"/>
    </row>
    <row r="185">
      <c r="A185" s="17" t="n"/>
      <c r="B185" s="17" t="n"/>
      <c r="C185" s="17" t="n"/>
      <c r="D185" s="17" t="n"/>
      <c r="E185" s="15" t="n"/>
      <c r="F185" s="15" t="n"/>
      <c r="G185" s="17" t="n"/>
      <c r="H185" s="15">
        <f>IF(OR(E185="",F185="",G185=""),"", (F185-E185)*G185)</f>
        <v/>
      </c>
      <c r="I185" s="16">
        <f>IF(OR(E185="",F185=""),"", (F185/E185)-1)</f>
        <v/>
      </c>
      <c r="J185" s="17">
        <f>IF(OR(C185="",D185=""),"", D185-C185)</f>
        <v/>
      </c>
      <c r="K185" s="17" t="n"/>
    </row>
    <row r="186">
      <c r="A186" s="17" t="n"/>
      <c r="B186" s="17" t="n"/>
      <c r="C186" s="17" t="n"/>
      <c r="D186" s="17" t="n"/>
      <c r="E186" s="15" t="n"/>
      <c r="F186" s="15" t="n"/>
      <c r="G186" s="17" t="n"/>
      <c r="H186" s="15">
        <f>IF(OR(E186="",F186="",G186=""),"", (F186-E186)*G186)</f>
        <v/>
      </c>
      <c r="I186" s="16">
        <f>IF(OR(E186="",F186=""),"", (F186/E186)-1)</f>
        <v/>
      </c>
      <c r="J186" s="17">
        <f>IF(OR(C186="",D186=""),"", D186-C186)</f>
        <v/>
      </c>
      <c r="K186" s="17" t="n"/>
    </row>
    <row r="187">
      <c r="A187" s="17" t="n"/>
      <c r="B187" s="17" t="n"/>
      <c r="C187" s="17" t="n"/>
      <c r="D187" s="17" t="n"/>
      <c r="E187" s="15" t="n"/>
      <c r="F187" s="15" t="n"/>
      <c r="G187" s="17" t="n"/>
      <c r="H187" s="15">
        <f>IF(OR(E187="",F187="",G187=""),"", (F187-E187)*G187)</f>
        <v/>
      </c>
      <c r="I187" s="16">
        <f>IF(OR(E187="",F187=""),"", (F187/E187)-1)</f>
        <v/>
      </c>
      <c r="J187" s="17">
        <f>IF(OR(C187="",D187=""),"", D187-C187)</f>
        <v/>
      </c>
      <c r="K187" s="17" t="n"/>
    </row>
    <row r="188">
      <c r="A188" s="17" t="n"/>
      <c r="B188" s="17" t="n"/>
      <c r="C188" s="17" t="n"/>
      <c r="D188" s="17" t="n"/>
      <c r="E188" s="15" t="n"/>
      <c r="F188" s="15" t="n"/>
      <c r="G188" s="17" t="n"/>
      <c r="H188" s="15">
        <f>IF(OR(E188="",F188="",G188=""),"", (F188-E188)*G188)</f>
        <v/>
      </c>
      <c r="I188" s="16">
        <f>IF(OR(E188="",F188=""),"", (F188/E188)-1)</f>
        <v/>
      </c>
      <c r="J188" s="17">
        <f>IF(OR(C188="",D188=""),"", D188-C188)</f>
        <v/>
      </c>
      <c r="K188" s="17" t="n"/>
    </row>
    <row r="189">
      <c r="A189" s="17" t="n"/>
      <c r="B189" s="17" t="n"/>
      <c r="C189" s="17" t="n"/>
      <c r="D189" s="17" t="n"/>
      <c r="E189" s="15" t="n"/>
      <c r="F189" s="15" t="n"/>
      <c r="G189" s="17" t="n"/>
      <c r="H189" s="15">
        <f>IF(OR(E189="",F189="",G189=""),"", (F189-E189)*G189)</f>
        <v/>
      </c>
      <c r="I189" s="16">
        <f>IF(OR(E189="",F189=""),"", (F189/E189)-1)</f>
        <v/>
      </c>
      <c r="J189" s="17">
        <f>IF(OR(C189="",D189=""),"", D189-C189)</f>
        <v/>
      </c>
      <c r="K189" s="17" t="n"/>
    </row>
    <row r="190">
      <c r="A190" s="17" t="n"/>
      <c r="B190" s="17" t="n"/>
      <c r="C190" s="17" t="n"/>
      <c r="D190" s="17" t="n"/>
      <c r="E190" s="15" t="n"/>
      <c r="F190" s="15" t="n"/>
      <c r="G190" s="17" t="n"/>
      <c r="H190" s="15">
        <f>IF(OR(E190="",F190="",G190=""),"", (F190-E190)*G190)</f>
        <v/>
      </c>
      <c r="I190" s="16">
        <f>IF(OR(E190="",F190=""),"", (F190/E190)-1)</f>
        <v/>
      </c>
      <c r="J190" s="17">
        <f>IF(OR(C190="",D190=""),"", D190-C190)</f>
        <v/>
      </c>
      <c r="K190" s="17" t="n"/>
    </row>
    <row r="191">
      <c r="A191" s="17" t="n"/>
      <c r="B191" s="17" t="n"/>
      <c r="C191" s="17" t="n"/>
      <c r="D191" s="17" t="n"/>
      <c r="E191" s="15" t="n"/>
      <c r="F191" s="15" t="n"/>
      <c r="G191" s="17" t="n"/>
      <c r="H191" s="15">
        <f>IF(OR(E191="",F191="",G191=""),"", (F191-E191)*G191)</f>
        <v/>
      </c>
      <c r="I191" s="16">
        <f>IF(OR(E191="",F191=""),"", (F191/E191)-1)</f>
        <v/>
      </c>
      <c r="J191" s="17">
        <f>IF(OR(C191="",D191=""),"", D191-C191)</f>
        <v/>
      </c>
      <c r="K191" s="17" t="n"/>
    </row>
    <row r="192">
      <c r="A192" s="17" t="n"/>
      <c r="B192" s="17" t="n"/>
      <c r="C192" s="17" t="n"/>
      <c r="D192" s="17" t="n"/>
      <c r="E192" s="15" t="n"/>
      <c r="F192" s="15" t="n"/>
      <c r="G192" s="17" t="n"/>
      <c r="H192" s="15">
        <f>IF(OR(E192="",F192="",G192=""),"", (F192-E192)*G192)</f>
        <v/>
      </c>
      <c r="I192" s="16">
        <f>IF(OR(E192="",F192=""),"", (F192/E192)-1)</f>
        <v/>
      </c>
      <c r="J192" s="17">
        <f>IF(OR(C192="",D192=""),"", D192-C192)</f>
        <v/>
      </c>
      <c r="K192" s="17" t="n"/>
    </row>
    <row r="193">
      <c r="A193" s="17" t="n"/>
      <c r="B193" s="17" t="n"/>
      <c r="C193" s="17" t="n"/>
      <c r="D193" s="17" t="n"/>
      <c r="E193" s="15" t="n"/>
      <c r="F193" s="15" t="n"/>
      <c r="G193" s="17" t="n"/>
      <c r="H193" s="15">
        <f>IF(OR(E193="",F193="",G193=""),"", (F193-E193)*G193)</f>
        <v/>
      </c>
      <c r="I193" s="16">
        <f>IF(OR(E193="",F193=""),"", (F193/E193)-1)</f>
        <v/>
      </c>
      <c r="J193" s="17">
        <f>IF(OR(C193="",D193=""),"", D193-C193)</f>
        <v/>
      </c>
      <c r="K193" s="17" t="n"/>
    </row>
    <row r="194">
      <c r="A194" s="17" t="n"/>
      <c r="B194" s="17" t="n"/>
      <c r="C194" s="17" t="n"/>
      <c r="D194" s="17" t="n"/>
      <c r="E194" s="15" t="n"/>
      <c r="F194" s="15" t="n"/>
      <c r="G194" s="17" t="n"/>
      <c r="H194" s="15">
        <f>IF(OR(E194="",F194="",G194=""),"", (F194-E194)*G194)</f>
        <v/>
      </c>
      <c r="I194" s="16">
        <f>IF(OR(E194="",F194=""),"", (F194/E194)-1)</f>
        <v/>
      </c>
      <c r="J194" s="17">
        <f>IF(OR(C194="",D194=""),"", D194-C194)</f>
        <v/>
      </c>
      <c r="K194" s="17" t="n"/>
    </row>
    <row r="195">
      <c r="A195" s="17" t="n"/>
      <c r="B195" s="17" t="n"/>
      <c r="C195" s="17" t="n"/>
      <c r="D195" s="17" t="n"/>
      <c r="E195" s="15" t="n"/>
      <c r="F195" s="15" t="n"/>
      <c r="G195" s="17" t="n"/>
      <c r="H195" s="15">
        <f>IF(OR(E195="",F195="",G195=""),"", (F195-E195)*G195)</f>
        <v/>
      </c>
      <c r="I195" s="16">
        <f>IF(OR(E195="",F195=""),"", (F195/E195)-1)</f>
        <v/>
      </c>
      <c r="J195" s="17">
        <f>IF(OR(C195="",D195=""),"", D195-C195)</f>
        <v/>
      </c>
      <c r="K195" s="17" t="n"/>
    </row>
    <row r="196">
      <c r="A196" s="17" t="n"/>
      <c r="B196" s="17" t="n"/>
      <c r="C196" s="17" t="n"/>
      <c r="D196" s="17" t="n"/>
      <c r="E196" s="15" t="n"/>
      <c r="F196" s="15" t="n"/>
      <c r="G196" s="17" t="n"/>
      <c r="H196" s="15">
        <f>IF(OR(E196="",F196="",G196=""),"", (F196-E196)*G196)</f>
        <v/>
      </c>
      <c r="I196" s="16">
        <f>IF(OR(E196="",F196=""),"", (F196/E196)-1)</f>
        <v/>
      </c>
      <c r="J196" s="17">
        <f>IF(OR(C196="",D196=""),"", D196-C196)</f>
        <v/>
      </c>
      <c r="K196" s="17" t="n"/>
    </row>
    <row r="197">
      <c r="A197" s="17" t="n"/>
      <c r="B197" s="17" t="n"/>
      <c r="C197" s="17" t="n"/>
      <c r="D197" s="17" t="n"/>
      <c r="E197" s="15" t="n"/>
      <c r="F197" s="15" t="n"/>
      <c r="G197" s="17" t="n"/>
      <c r="H197" s="15">
        <f>IF(OR(E197="",F197="",G197=""),"", (F197-E197)*G197)</f>
        <v/>
      </c>
      <c r="I197" s="16">
        <f>IF(OR(E197="",F197=""),"", (F197/E197)-1)</f>
        <v/>
      </c>
      <c r="J197" s="17">
        <f>IF(OR(C197="",D197=""),"", D197-C197)</f>
        <v/>
      </c>
      <c r="K197" s="17" t="n"/>
    </row>
    <row r="198">
      <c r="A198" s="17" t="n"/>
      <c r="B198" s="17" t="n"/>
      <c r="C198" s="17" t="n"/>
      <c r="D198" s="17" t="n"/>
      <c r="E198" s="15" t="n"/>
      <c r="F198" s="15" t="n"/>
      <c r="G198" s="17" t="n"/>
      <c r="H198" s="15">
        <f>IF(OR(E198="",F198="",G198=""),"", (F198-E198)*G198)</f>
        <v/>
      </c>
      <c r="I198" s="16">
        <f>IF(OR(E198="",F198=""),"", (F198/E198)-1)</f>
        <v/>
      </c>
      <c r="J198" s="17">
        <f>IF(OR(C198="",D198=""),"", D198-C198)</f>
        <v/>
      </c>
      <c r="K198" s="17" t="n"/>
    </row>
    <row r="199">
      <c r="A199" s="17" t="n"/>
      <c r="B199" s="17" t="n"/>
      <c r="C199" s="17" t="n"/>
      <c r="D199" s="17" t="n"/>
      <c r="E199" s="15" t="n"/>
      <c r="F199" s="15" t="n"/>
      <c r="G199" s="17" t="n"/>
      <c r="H199" s="15">
        <f>IF(OR(E199="",F199="",G199=""),"", (F199-E199)*G199)</f>
        <v/>
      </c>
      <c r="I199" s="16">
        <f>IF(OR(E199="",F199=""),"", (F199/E199)-1)</f>
        <v/>
      </c>
      <c r="J199" s="17">
        <f>IF(OR(C199="",D199=""),"", D199-C199)</f>
        <v/>
      </c>
      <c r="K199" s="17" t="n"/>
    </row>
    <row r="200">
      <c r="A200" s="17" t="n"/>
      <c r="B200" s="17" t="n"/>
      <c r="C200" s="17" t="n"/>
      <c r="D200" s="17" t="n"/>
      <c r="E200" s="15" t="n"/>
      <c r="F200" s="15" t="n"/>
      <c r="G200" s="17" t="n"/>
      <c r="H200" s="15">
        <f>IF(OR(E200="",F200="",G200=""),"", (F200-E200)*G200)</f>
        <v/>
      </c>
      <c r="I200" s="16">
        <f>IF(OR(E200="",F200=""),"", (F200/E200)-1)</f>
        <v/>
      </c>
      <c r="J200" s="17">
        <f>IF(OR(C200="",D200=""),"", D200-C200)</f>
        <v/>
      </c>
      <c r="K200" s="17" t="n"/>
    </row>
    <row r="201">
      <c r="A201" s="17" t="n"/>
      <c r="B201" s="17" t="n"/>
      <c r="C201" s="17" t="n"/>
      <c r="D201" s="17" t="n"/>
      <c r="E201" s="15" t="n"/>
      <c r="F201" s="15" t="n"/>
      <c r="G201" s="17" t="n"/>
      <c r="H201" s="15">
        <f>IF(OR(E201="",F201="",G201=""),"", (F201-E201)*G201)</f>
        <v/>
      </c>
      <c r="I201" s="16">
        <f>IF(OR(E201="",F201=""),"", (F201/E201)-1)</f>
        <v/>
      </c>
      <c r="J201" s="17">
        <f>IF(OR(C201="",D201=""),"", D201-C201)</f>
        <v/>
      </c>
      <c r="K201" s="17" t="n"/>
    </row>
    <row r="202">
      <c r="A202" s="17" t="n"/>
      <c r="B202" s="17" t="n"/>
      <c r="C202" s="17" t="n"/>
      <c r="D202" s="17" t="n"/>
      <c r="E202" s="15" t="n"/>
      <c r="F202" s="15" t="n"/>
      <c r="G202" s="17" t="n"/>
      <c r="H202" s="15">
        <f>IF(OR(E202="",F202="",G202=""),"", (F202-E202)*G202)</f>
        <v/>
      </c>
      <c r="I202" s="16">
        <f>IF(OR(E202="",F202=""),"", (F202/E202)-1)</f>
        <v/>
      </c>
      <c r="J202" s="17">
        <f>IF(OR(C202="",D202=""),"", D202-C202)</f>
        <v/>
      </c>
      <c r="K202" s="17" t="n"/>
    </row>
    <row r="203">
      <c r="A203" s="17" t="n"/>
      <c r="B203" s="17" t="n"/>
      <c r="C203" s="17" t="n"/>
      <c r="D203" s="17" t="n"/>
      <c r="E203" s="15" t="n"/>
      <c r="F203" s="15" t="n"/>
      <c r="G203" s="17" t="n"/>
      <c r="H203" s="15">
        <f>IF(OR(E203="",F203="",G203=""),"", (F203-E203)*G203)</f>
        <v/>
      </c>
      <c r="I203" s="16">
        <f>IF(OR(E203="",F203=""),"", (F203/E203)-1)</f>
        <v/>
      </c>
      <c r="J203" s="17">
        <f>IF(OR(C203="",D203=""),"", D203-C203)</f>
        <v/>
      </c>
      <c r="K203" s="17" t="n"/>
    </row>
    <row r="204">
      <c r="A204" s="17" t="n"/>
      <c r="B204" s="17" t="n"/>
      <c r="C204" s="17" t="n"/>
      <c r="D204" s="17" t="n"/>
      <c r="E204" s="15" t="n"/>
      <c r="F204" s="15" t="n"/>
      <c r="G204" s="17" t="n"/>
      <c r="H204" s="15">
        <f>IF(OR(E204="",F204="",G204=""),"", (F204-E204)*G204)</f>
        <v/>
      </c>
      <c r="I204" s="16">
        <f>IF(OR(E204="",F204=""),"", (F204/E204)-1)</f>
        <v/>
      </c>
      <c r="J204" s="17">
        <f>IF(OR(C204="",D204=""),"", D204-C204)</f>
        <v/>
      </c>
      <c r="K204" s="17" t="n"/>
    </row>
    <row r="205">
      <c r="A205" s="17" t="n"/>
      <c r="B205" s="17" t="n"/>
      <c r="C205" s="17" t="n"/>
      <c r="D205" s="17" t="n"/>
      <c r="E205" s="15" t="n"/>
      <c r="F205" s="15" t="n"/>
      <c r="G205" s="17" t="n"/>
      <c r="H205" s="15">
        <f>IF(OR(E205="",F205="",G205=""),"", (F205-E205)*G205)</f>
        <v/>
      </c>
      <c r="I205" s="16">
        <f>IF(OR(E205="",F205=""),"", (F205/E205)-1)</f>
        <v/>
      </c>
      <c r="J205" s="17">
        <f>IF(OR(C205="",D205=""),"", D205-C205)</f>
        <v/>
      </c>
      <c r="K205" s="17" t="n"/>
    </row>
    <row r="206">
      <c r="A206" s="17" t="n"/>
      <c r="B206" s="17" t="n"/>
      <c r="C206" s="17" t="n"/>
      <c r="D206" s="17" t="n"/>
      <c r="E206" s="15" t="n"/>
      <c r="F206" s="15" t="n"/>
      <c r="G206" s="17" t="n"/>
      <c r="H206" s="15">
        <f>IF(OR(E206="",F206="",G206=""),"", (F206-E206)*G206)</f>
        <v/>
      </c>
      <c r="I206" s="16">
        <f>IF(OR(E206="",F206=""),"", (F206/E206)-1)</f>
        <v/>
      </c>
      <c r="J206" s="17">
        <f>IF(OR(C206="",D206=""),"", D206-C206)</f>
        <v/>
      </c>
      <c r="K206" s="17" t="n"/>
    </row>
    <row r="207">
      <c r="A207" s="17" t="n"/>
      <c r="B207" s="17" t="n"/>
      <c r="C207" s="17" t="n"/>
      <c r="D207" s="17" t="n"/>
      <c r="E207" s="15" t="n"/>
      <c r="F207" s="15" t="n"/>
      <c r="G207" s="17" t="n"/>
      <c r="H207" s="15">
        <f>IF(OR(E207="",F207="",G207=""),"", (F207-E207)*G207)</f>
        <v/>
      </c>
      <c r="I207" s="16">
        <f>IF(OR(E207="",F207=""),"", (F207/E207)-1)</f>
        <v/>
      </c>
      <c r="J207" s="17">
        <f>IF(OR(C207="",D207=""),"", D207-C207)</f>
        <v/>
      </c>
      <c r="K207" s="17" t="n"/>
    </row>
    <row r="208">
      <c r="A208" s="17" t="n"/>
      <c r="B208" s="17" t="n"/>
      <c r="C208" s="17" t="n"/>
      <c r="D208" s="17" t="n"/>
      <c r="E208" s="15" t="n"/>
      <c r="F208" s="15" t="n"/>
      <c r="G208" s="17" t="n"/>
      <c r="H208" s="15">
        <f>IF(OR(E208="",F208="",G208=""),"", (F208-E208)*G208)</f>
        <v/>
      </c>
      <c r="I208" s="16">
        <f>IF(OR(E208="",F208=""),"", (F208/E208)-1)</f>
        <v/>
      </c>
      <c r="J208" s="17">
        <f>IF(OR(C208="",D208=""),"", D208-C208)</f>
        <v/>
      </c>
      <c r="K208" s="17" t="n"/>
    </row>
    <row r="209">
      <c r="A209" s="17" t="n"/>
      <c r="B209" s="17" t="n"/>
      <c r="C209" s="17" t="n"/>
      <c r="D209" s="17" t="n"/>
      <c r="E209" s="15" t="n"/>
      <c r="F209" s="15" t="n"/>
      <c r="G209" s="17" t="n"/>
      <c r="H209" s="15">
        <f>IF(OR(E209="",F209="",G209=""),"", (F209-E209)*G209)</f>
        <v/>
      </c>
      <c r="I209" s="16">
        <f>IF(OR(E209="",F209=""),"", (F209/E209)-1)</f>
        <v/>
      </c>
      <c r="J209" s="17">
        <f>IF(OR(C209="",D209=""),"", D209-C209)</f>
        <v/>
      </c>
      <c r="K209" s="17" t="n"/>
    </row>
    <row r="210">
      <c r="A210" s="17" t="n"/>
      <c r="B210" s="17" t="n"/>
      <c r="C210" s="17" t="n"/>
      <c r="D210" s="17" t="n"/>
      <c r="E210" s="15" t="n"/>
      <c r="F210" s="15" t="n"/>
      <c r="G210" s="17" t="n"/>
      <c r="H210" s="15">
        <f>IF(OR(E210="",F210="",G210=""),"", (F210-E210)*G210)</f>
        <v/>
      </c>
      <c r="I210" s="16">
        <f>IF(OR(E210="",F210=""),"", (F210/E210)-1)</f>
        <v/>
      </c>
      <c r="J210" s="17">
        <f>IF(OR(C210="",D210=""),"", D210-C210)</f>
        <v/>
      </c>
      <c r="K210" s="17" t="n"/>
    </row>
    <row r="211">
      <c r="A211" s="17" t="n"/>
      <c r="B211" s="17" t="n"/>
      <c r="C211" s="17" t="n"/>
      <c r="D211" s="17" t="n"/>
      <c r="E211" s="15" t="n"/>
      <c r="F211" s="15" t="n"/>
      <c r="G211" s="17" t="n"/>
      <c r="H211" s="15">
        <f>IF(OR(E211="",F211="",G211=""),"", (F211-E211)*G211)</f>
        <v/>
      </c>
      <c r="I211" s="16">
        <f>IF(OR(E211="",F211=""),"", (F211/E211)-1)</f>
        <v/>
      </c>
      <c r="J211" s="17">
        <f>IF(OR(C211="",D211=""),"", D211-C211)</f>
        <v/>
      </c>
      <c r="K211" s="17" t="n"/>
    </row>
    <row r="212">
      <c r="A212" s="17" t="n"/>
      <c r="B212" s="17" t="n"/>
      <c r="C212" s="17" t="n"/>
      <c r="D212" s="17" t="n"/>
      <c r="E212" s="15" t="n"/>
      <c r="F212" s="15" t="n"/>
      <c r="G212" s="17" t="n"/>
      <c r="H212" s="15">
        <f>IF(OR(E212="",F212="",G212=""),"", (F212-E212)*G212)</f>
        <v/>
      </c>
      <c r="I212" s="16">
        <f>IF(OR(E212="",F212=""),"", (F212/E212)-1)</f>
        <v/>
      </c>
      <c r="J212" s="17">
        <f>IF(OR(C212="",D212=""),"", D212-C212)</f>
        <v/>
      </c>
      <c r="K212" s="17" t="n"/>
    </row>
    <row r="213">
      <c r="A213" s="17" t="n"/>
      <c r="B213" s="17" t="n"/>
      <c r="C213" s="17" t="n"/>
      <c r="D213" s="17" t="n"/>
      <c r="E213" s="15" t="n"/>
      <c r="F213" s="15" t="n"/>
      <c r="G213" s="17" t="n"/>
      <c r="H213" s="15">
        <f>IF(OR(E213="",F213="",G213=""),"", (F213-E213)*G213)</f>
        <v/>
      </c>
      <c r="I213" s="16">
        <f>IF(OR(E213="",F213=""),"", (F213/E213)-1)</f>
        <v/>
      </c>
      <c r="J213" s="17">
        <f>IF(OR(C213="",D213=""),"", D213-C213)</f>
        <v/>
      </c>
      <c r="K213" s="17" t="n"/>
    </row>
    <row r="214">
      <c r="A214" s="17" t="n"/>
      <c r="B214" s="17" t="n"/>
      <c r="C214" s="17" t="n"/>
      <c r="D214" s="17" t="n"/>
      <c r="E214" s="15" t="n"/>
      <c r="F214" s="15" t="n"/>
      <c r="G214" s="17" t="n"/>
      <c r="H214" s="15">
        <f>IF(OR(E214="",F214="",G214=""),"", (F214-E214)*G214)</f>
        <v/>
      </c>
      <c r="I214" s="16">
        <f>IF(OR(E214="",F214=""),"", (F214/E214)-1)</f>
        <v/>
      </c>
      <c r="J214" s="17">
        <f>IF(OR(C214="",D214=""),"", D214-C214)</f>
        <v/>
      </c>
      <c r="K214" s="17" t="n"/>
    </row>
    <row r="215">
      <c r="A215" s="17" t="n"/>
      <c r="B215" s="17" t="n"/>
      <c r="C215" s="17" t="n"/>
      <c r="D215" s="17" t="n"/>
      <c r="E215" s="15" t="n"/>
      <c r="F215" s="15" t="n"/>
      <c r="G215" s="17" t="n"/>
      <c r="H215" s="15">
        <f>IF(OR(E215="",F215="",G215=""),"", (F215-E215)*G215)</f>
        <v/>
      </c>
      <c r="I215" s="16">
        <f>IF(OR(E215="",F215=""),"", (F215/E215)-1)</f>
        <v/>
      </c>
      <c r="J215" s="17">
        <f>IF(OR(C215="",D215=""),"", D215-C215)</f>
        <v/>
      </c>
      <c r="K215" s="17" t="n"/>
    </row>
    <row r="216">
      <c r="A216" s="17" t="n"/>
      <c r="B216" s="17" t="n"/>
      <c r="C216" s="17" t="n"/>
      <c r="D216" s="17" t="n"/>
      <c r="E216" s="15" t="n"/>
      <c r="F216" s="15" t="n"/>
      <c r="G216" s="17" t="n"/>
      <c r="H216" s="15">
        <f>IF(OR(E216="",F216="",G216=""),"", (F216-E216)*G216)</f>
        <v/>
      </c>
      <c r="I216" s="16">
        <f>IF(OR(E216="",F216=""),"", (F216/E216)-1)</f>
        <v/>
      </c>
      <c r="J216" s="17">
        <f>IF(OR(C216="",D216=""),"", D216-C216)</f>
        <v/>
      </c>
      <c r="K216" s="17" t="n"/>
    </row>
    <row r="217">
      <c r="A217" s="17" t="n"/>
      <c r="B217" s="17" t="n"/>
      <c r="C217" s="17" t="n"/>
      <c r="D217" s="17" t="n"/>
      <c r="E217" s="15" t="n"/>
      <c r="F217" s="15" t="n"/>
      <c r="G217" s="17" t="n"/>
      <c r="H217" s="15">
        <f>IF(OR(E217="",F217="",G217=""),"", (F217-E217)*G217)</f>
        <v/>
      </c>
      <c r="I217" s="16">
        <f>IF(OR(E217="",F217=""),"", (F217/E217)-1)</f>
        <v/>
      </c>
      <c r="J217" s="17">
        <f>IF(OR(C217="",D217=""),"", D217-C217)</f>
        <v/>
      </c>
      <c r="K217" s="17" t="n"/>
    </row>
    <row r="218">
      <c r="A218" s="17" t="n"/>
      <c r="B218" s="17" t="n"/>
      <c r="C218" s="17" t="n"/>
      <c r="D218" s="17" t="n"/>
      <c r="E218" s="15" t="n"/>
      <c r="F218" s="15" t="n"/>
      <c r="G218" s="17" t="n"/>
      <c r="H218" s="15">
        <f>IF(OR(E218="",F218="",G218=""),"", (F218-E218)*G218)</f>
        <v/>
      </c>
      <c r="I218" s="16">
        <f>IF(OR(E218="",F218=""),"", (F218/E218)-1)</f>
        <v/>
      </c>
      <c r="J218" s="17">
        <f>IF(OR(C218="",D218=""),"", D218-C218)</f>
        <v/>
      </c>
      <c r="K218" s="17" t="n"/>
    </row>
    <row r="219">
      <c r="A219" s="17" t="n"/>
      <c r="B219" s="17" t="n"/>
      <c r="C219" s="17" t="n"/>
      <c r="D219" s="17" t="n"/>
      <c r="E219" s="15" t="n"/>
      <c r="F219" s="15" t="n"/>
      <c r="G219" s="17" t="n"/>
      <c r="H219" s="15">
        <f>IF(OR(E219="",F219="",G219=""),"", (F219-E219)*G219)</f>
        <v/>
      </c>
      <c r="I219" s="16">
        <f>IF(OR(E219="",F219=""),"", (F219/E219)-1)</f>
        <v/>
      </c>
      <c r="J219" s="17">
        <f>IF(OR(C219="",D219=""),"", D219-C219)</f>
        <v/>
      </c>
      <c r="K219" s="17" t="n"/>
    </row>
    <row r="220">
      <c r="A220" s="17" t="n"/>
      <c r="B220" s="17" t="n"/>
      <c r="C220" s="17" t="n"/>
      <c r="D220" s="17" t="n"/>
      <c r="E220" s="15" t="n"/>
      <c r="F220" s="15" t="n"/>
      <c r="G220" s="17" t="n"/>
      <c r="H220" s="15">
        <f>IF(OR(E220="",F220="",G220=""),"", (F220-E220)*G220)</f>
        <v/>
      </c>
      <c r="I220" s="16">
        <f>IF(OR(E220="",F220=""),"", (F220/E220)-1)</f>
        <v/>
      </c>
      <c r="J220" s="17">
        <f>IF(OR(C220="",D220=""),"", D220-C220)</f>
        <v/>
      </c>
      <c r="K220" s="17" t="n"/>
    </row>
    <row r="221">
      <c r="A221" s="17" t="n"/>
      <c r="B221" s="17" t="n"/>
      <c r="C221" s="17" t="n"/>
      <c r="D221" s="17" t="n"/>
      <c r="E221" s="15" t="n"/>
      <c r="F221" s="15" t="n"/>
      <c r="G221" s="17" t="n"/>
      <c r="H221" s="15">
        <f>IF(OR(E221="",F221="",G221=""),"", (F221-E221)*G221)</f>
        <v/>
      </c>
      <c r="I221" s="16">
        <f>IF(OR(E221="",F221=""),"", (F221/E221)-1)</f>
        <v/>
      </c>
      <c r="J221" s="17">
        <f>IF(OR(C221="",D221=""),"", D221-C221)</f>
        <v/>
      </c>
      <c r="K221" s="17" t="n"/>
    </row>
    <row r="222">
      <c r="A222" s="17" t="n"/>
      <c r="B222" s="17" t="n"/>
      <c r="C222" s="17" t="n"/>
      <c r="D222" s="17" t="n"/>
      <c r="E222" s="15" t="n"/>
      <c r="F222" s="15" t="n"/>
      <c r="G222" s="17" t="n"/>
      <c r="H222" s="15">
        <f>IF(OR(E222="",F222="",G222=""),"", (F222-E222)*G222)</f>
        <v/>
      </c>
      <c r="I222" s="16">
        <f>IF(OR(E222="",F222=""),"", (F222/E222)-1)</f>
        <v/>
      </c>
      <c r="J222" s="17">
        <f>IF(OR(C222="",D222=""),"", D222-C222)</f>
        <v/>
      </c>
      <c r="K222" s="17" t="n"/>
    </row>
    <row r="223">
      <c r="A223" s="17" t="n"/>
      <c r="B223" s="17" t="n"/>
      <c r="C223" s="17" t="n"/>
      <c r="D223" s="17" t="n"/>
      <c r="E223" s="15" t="n"/>
      <c r="F223" s="15" t="n"/>
      <c r="G223" s="17" t="n"/>
      <c r="H223" s="15">
        <f>IF(OR(E223="",F223="",G223=""),"", (F223-E223)*G223)</f>
        <v/>
      </c>
      <c r="I223" s="16">
        <f>IF(OR(E223="",F223=""),"", (F223/E223)-1)</f>
        <v/>
      </c>
      <c r="J223" s="17">
        <f>IF(OR(C223="",D223=""),"", D223-C223)</f>
        <v/>
      </c>
      <c r="K223" s="17" t="n"/>
    </row>
    <row r="224">
      <c r="A224" s="17" t="n"/>
      <c r="B224" s="17" t="n"/>
      <c r="C224" s="17" t="n"/>
      <c r="D224" s="17" t="n"/>
      <c r="E224" s="15" t="n"/>
      <c r="F224" s="15" t="n"/>
      <c r="G224" s="17" t="n"/>
      <c r="H224" s="15">
        <f>IF(OR(E224="",F224="",G224=""),"", (F224-E224)*G224)</f>
        <v/>
      </c>
      <c r="I224" s="16">
        <f>IF(OR(E224="",F224=""),"", (F224/E224)-1)</f>
        <v/>
      </c>
      <c r="J224" s="17">
        <f>IF(OR(C224="",D224=""),"", D224-C224)</f>
        <v/>
      </c>
      <c r="K224" s="17" t="n"/>
    </row>
    <row r="225">
      <c r="A225" s="17" t="n"/>
      <c r="B225" s="17" t="n"/>
      <c r="C225" s="17" t="n"/>
      <c r="D225" s="17" t="n"/>
      <c r="E225" s="15" t="n"/>
      <c r="F225" s="15" t="n"/>
      <c r="G225" s="17" t="n"/>
      <c r="H225" s="15">
        <f>IF(OR(E225="",F225="",G225=""),"", (F225-E225)*G225)</f>
        <v/>
      </c>
      <c r="I225" s="16">
        <f>IF(OR(E225="",F225=""),"", (F225/E225)-1)</f>
        <v/>
      </c>
      <c r="J225" s="17">
        <f>IF(OR(C225="",D225=""),"", D225-C225)</f>
        <v/>
      </c>
      <c r="K225" s="17" t="n"/>
    </row>
    <row r="226">
      <c r="A226" s="17" t="n"/>
      <c r="B226" s="17" t="n"/>
      <c r="C226" s="17" t="n"/>
      <c r="D226" s="17" t="n"/>
      <c r="E226" s="15" t="n"/>
      <c r="F226" s="15" t="n"/>
      <c r="G226" s="17" t="n"/>
      <c r="H226" s="15">
        <f>IF(OR(E226="",F226="",G226=""),"", (F226-E226)*G226)</f>
        <v/>
      </c>
      <c r="I226" s="16">
        <f>IF(OR(E226="",F226=""),"", (F226/E226)-1)</f>
        <v/>
      </c>
      <c r="J226" s="17">
        <f>IF(OR(C226="",D226=""),"", D226-C226)</f>
        <v/>
      </c>
      <c r="K226" s="17" t="n"/>
    </row>
    <row r="227">
      <c r="A227" s="17" t="n"/>
      <c r="B227" s="17" t="n"/>
      <c r="C227" s="17" t="n"/>
      <c r="D227" s="17" t="n"/>
      <c r="E227" s="15" t="n"/>
      <c r="F227" s="15" t="n"/>
      <c r="G227" s="17" t="n"/>
      <c r="H227" s="15">
        <f>IF(OR(E227="",F227="",G227=""),"", (F227-E227)*G227)</f>
        <v/>
      </c>
      <c r="I227" s="16">
        <f>IF(OR(E227="",F227=""),"", (F227/E227)-1)</f>
        <v/>
      </c>
      <c r="J227" s="17">
        <f>IF(OR(C227="",D227=""),"", D227-C227)</f>
        <v/>
      </c>
      <c r="K227" s="17" t="n"/>
    </row>
    <row r="228">
      <c r="A228" s="17" t="n"/>
      <c r="B228" s="17" t="n"/>
      <c r="C228" s="17" t="n"/>
      <c r="D228" s="17" t="n"/>
      <c r="E228" s="15" t="n"/>
      <c r="F228" s="15" t="n"/>
      <c r="G228" s="17" t="n"/>
      <c r="H228" s="15">
        <f>IF(OR(E228="",F228="",G228=""),"", (F228-E228)*G228)</f>
        <v/>
      </c>
      <c r="I228" s="16">
        <f>IF(OR(E228="",F228=""),"", (F228/E228)-1)</f>
        <v/>
      </c>
      <c r="J228" s="17">
        <f>IF(OR(C228="",D228=""),"", D228-C228)</f>
        <v/>
      </c>
      <c r="K228" s="17" t="n"/>
    </row>
    <row r="229">
      <c r="A229" s="17" t="n"/>
      <c r="B229" s="17" t="n"/>
      <c r="C229" s="17" t="n"/>
      <c r="D229" s="17" t="n"/>
      <c r="E229" s="15" t="n"/>
      <c r="F229" s="15" t="n"/>
      <c r="G229" s="17" t="n"/>
      <c r="H229" s="15">
        <f>IF(OR(E229="",F229="",G229=""),"", (F229-E229)*G229)</f>
        <v/>
      </c>
      <c r="I229" s="16">
        <f>IF(OR(E229="",F229=""),"", (F229/E229)-1)</f>
        <v/>
      </c>
      <c r="J229" s="17">
        <f>IF(OR(C229="",D229=""),"", D229-C229)</f>
        <v/>
      </c>
      <c r="K229" s="17" t="n"/>
    </row>
    <row r="230">
      <c r="A230" s="17" t="n"/>
      <c r="B230" s="17" t="n"/>
      <c r="C230" s="17" t="n"/>
      <c r="D230" s="17" t="n"/>
      <c r="E230" s="15" t="n"/>
      <c r="F230" s="15" t="n"/>
      <c r="G230" s="17" t="n"/>
      <c r="H230" s="15">
        <f>IF(OR(E230="",F230="",G230=""),"", (F230-E230)*G230)</f>
        <v/>
      </c>
      <c r="I230" s="16">
        <f>IF(OR(E230="",F230=""),"", (F230/E230)-1)</f>
        <v/>
      </c>
      <c r="J230" s="17">
        <f>IF(OR(C230="",D230=""),"", D230-C230)</f>
        <v/>
      </c>
      <c r="K230" s="17" t="n"/>
    </row>
    <row r="231">
      <c r="A231" s="17" t="n"/>
      <c r="B231" s="17" t="n"/>
      <c r="C231" s="17" t="n"/>
      <c r="D231" s="17" t="n"/>
      <c r="E231" s="15" t="n"/>
      <c r="F231" s="15" t="n"/>
      <c r="G231" s="17" t="n"/>
      <c r="H231" s="15">
        <f>IF(OR(E231="",F231="",G231=""),"", (F231-E231)*G231)</f>
        <v/>
      </c>
      <c r="I231" s="16">
        <f>IF(OR(E231="",F231=""),"", (F231/E231)-1)</f>
        <v/>
      </c>
      <c r="J231" s="17">
        <f>IF(OR(C231="",D231=""),"", D231-C231)</f>
        <v/>
      </c>
      <c r="K231" s="17" t="n"/>
    </row>
    <row r="232">
      <c r="A232" s="17" t="n"/>
      <c r="B232" s="17" t="n"/>
      <c r="C232" s="17" t="n"/>
      <c r="D232" s="17" t="n"/>
      <c r="E232" s="15" t="n"/>
      <c r="F232" s="15" t="n"/>
      <c r="G232" s="17" t="n"/>
      <c r="H232" s="15">
        <f>IF(OR(E232="",F232="",G232=""),"", (F232-E232)*G232)</f>
        <v/>
      </c>
      <c r="I232" s="16">
        <f>IF(OR(E232="",F232=""),"", (F232/E232)-1)</f>
        <v/>
      </c>
      <c r="J232" s="17">
        <f>IF(OR(C232="",D232=""),"", D232-C232)</f>
        <v/>
      </c>
      <c r="K232" s="17" t="n"/>
    </row>
    <row r="233">
      <c r="A233" s="17" t="n"/>
      <c r="B233" s="17" t="n"/>
      <c r="C233" s="17" t="n"/>
      <c r="D233" s="17" t="n"/>
      <c r="E233" s="15" t="n"/>
      <c r="F233" s="15" t="n"/>
      <c r="G233" s="17" t="n"/>
      <c r="H233" s="15">
        <f>IF(OR(E233="",F233="",G233=""),"", (F233-E233)*G233)</f>
        <v/>
      </c>
      <c r="I233" s="16">
        <f>IF(OR(E233="",F233=""),"", (F233/E233)-1)</f>
        <v/>
      </c>
      <c r="J233" s="17">
        <f>IF(OR(C233="",D233=""),"", D233-C233)</f>
        <v/>
      </c>
      <c r="K233" s="17" t="n"/>
    </row>
    <row r="234">
      <c r="A234" s="17" t="n"/>
      <c r="B234" s="17" t="n"/>
      <c r="C234" s="17" t="n"/>
      <c r="D234" s="17" t="n"/>
      <c r="E234" s="15" t="n"/>
      <c r="F234" s="15" t="n"/>
      <c r="G234" s="17" t="n"/>
      <c r="H234" s="15">
        <f>IF(OR(E234="",F234="",G234=""),"", (F234-E234)*G234)</f>
        <v/>
      </c>
      <c r="I234" s="16">
        <f>IF(OR(E234="",F234=""),"", (F234/E234)-1)</f>
        <v/>
      </c>
      <c r="J234" s="17">
        <f>IF(OR(C234="",D234=""),"", D234-C234)</f>
        <v/>
      </c>
      <c r="K234" s="17" t="n"/>
    </row>
    <row r="235">
      <c r="A235" s="17" t="n"/>
      <c r="B235" s="17" t="n"/>
      <c r="C235" s="17" t="n"/>
      <c r="D235" s="17" t="n"/>
      <c r="E235" s="15" t="n"/>
      <c r="F235" s="15" t="n"/>
      <c r="G235" s="17" t="n"/>
      <c r="H235" s="15">
        <f>IF(OR(E235="",F235="",G235=""),"", (F235-E235)*G235)</f>
        <v/>
      </c>
      <c r="I235" s="16">
        <f>IF(OR(E235="",F235=""),"", (F235/E235)-1)</f>
        <v/>
      </c>
      <c r="J235" s="17">
        <f>IF(OR(C235="",D235=""),"", D235-C235)</f>
        <v/>
      </c>
      <c r="K235" s="17" t="n"/>
    </row>
    <row r="236">
      <c r="A236" s="17" t="n"/>
      <c r="B236" s="17" t="n"/>
      <c r="C236" s="17" t="n"/>
      <c r="D236" s="17" t="n"/>
      <c r="E236" s="15" t="n"/>
      <c r="F236" s="15" t="n"/>
      <c r="G236" s="17" t="n"/>
      <c r="H236" s="15">
        <f>IF(OR(E236="",F236="",G236=""),"", (F236-E236)*G236)</f>
        <v/>
      </c>
      <c r="I236" s="16">
        <f>IF(OR(E236="",F236=""),"", (F236/E236)-1)</f>
        <v/>
      </c>
      <c r="J236" s="17">
        <f>IF(OR(C236="",D236=""),"", D236-C236)</f>
        <v/>
      </c>
      <c r="K236" s="17" t="n"/>
    </row>
    <row r="237">
      <c r="A237" s="17" t="n"/>
      <c r="B237" s="17" t="n"/>
      <c r="C237" s="17" t="n"/>
      <c r="D237" s="17" t="n"/>
      <c r="E237" s="15" t="n"/>
      <c r="F237" s="15" t="n"/>
      <c r="G237" s="17" t="n"/>
      <c r="H237" s="15">
        <f>IF(OR(E237="",F237="",G237=""),"", (F237-E237)*G237)</f>
        <v/>
      </c>
      <c r="I237" s="16">
        <f>IF(OR(E237="",F237=""),"", (F237/E237)-1)</f>
        <v/>
      </c>
      <c r="J237" s="17">
        <f>IF(OR(C237="",D237=""),"", D237-C237)</f>
        <v/>
      </c>
      <c r="K237" s="17" t="n"/>
    </row>
    <row r="238">
      <c r="A238" s="17" t="n"/>
      <c r="B238" s="17" t="n"/>
      <c r="C238" s="17" t="n"/>
      <c r="D238" s="17" t="n"/>
      <c r="E238" s="15" t="n"/>
      <c r="F238" s="15" t="n"/>
      <c r="G238" s="17" t="n"/>
      <c r="H238" s="15">
        <f>IF(OR(E238="",F238="",G238=""),"", (F238-E238)*G238)</f>
        <v/>
      </c>
      <c r="I238" s="16">
        <f>IF(OR(E238="",F238=""),"", (F238/E238)-1)</f>
        <v/>
      </c>
      <c r="J238" s="17">
        <f>IF(OR(C238="",D238=""),"", D238-C238)</f>
        <v/>
      </c>
      <c r="K238" s="17" t="n"/>
    </row>
    <row r="239">
      <c r="A239" s="17" t="n"/>
      <c r="B239" s="17" t="n"/>
      <c r="C239" s="17" t="n"/>
      <c r="D239" s="17" t="n"/>
      <c r="E239" s="15" t="n"/>
      <c r="F239" s="15" t="n"/>
      <c r="G239" s="17" t="n"/>
      <c r="H239" s="15">
        <f>IF(OR(E239="",F239="",G239=""),"", (F239-E239)*G239)</f>
        <v/>
      </c>
      <c r="I239" s="16">
        <f>IF(OR(E239="",F239=""),"", (F239/E239)-1)</f>
        <v/>
      </c>
      <c r="J239" s="17">
        <f>IF(OR(C239="",D239=""),"", D239-C239)</f>
        <v/>
      </c>
      <c r="K239" s="17" t="n"/>
    </row>
    <row r="240">
      <c r="A240" s="17" t="n"/>
      <c r="B240" s="17" t="n"/>
      <c r="C240" s="17" t="n"/>
      <c r="D240" s="17" t="n"/>
      <c r="E240" s="15" t="n"/>
      <c r="F240" s="15" t="n"/>
      <c r="G240" s="17" t="n"/>
      <c r="H240" s="15">
        <f>IF(OR(E240="",F240="",G240=""),"", (F240-E240)*G240)</f>
        <v/>
      </c>
      <c r="I240" s="16">
        <f>IF(OR(E240="",F240=""),"", (F240/E240)-1)</f>
        <v/>
      </c>
      <c r="J240" s="17">
        <f>IF(OR(C240="",D240=""),"", D240-C240)</f>
        <v/>
      </c>
      <c r="K240" s="17" t="n"/>
    </row>
    <row r="241">
      <c r="A241" s="17" t="n"/>
      <c r="B241" s="17" t="n"/>
      <c r="C241" s="17" t="n"/>
      <c r="D241" s="17" t="n"/>
      <c r="E241" s="15" t="n"/>
      <c r="F241" s="15" t="n"/>
      <c r="G241" s="17" t="n"/>
      <c r="H241" s="15">
        <f>IF(OR(E241="",F241="",G241=""),"", (F241-E241)*G241)</f>
        <v/>
      </c>
      <c r="I241" s="16">
        <f>IF(OR(E241="",F241=""),"", (F241/E241)-1)</f>
        <v/>
      </c>
      <c r="J241" s="17">
        <f>IF(OR(C241="",D241=""),"", D241-C241)</f>
        <v/>
      </c>
      <c r="K241" s="17" t="n"/>
    </row>
    <row r="242">
      <c r="A242" s="17" t="n"/>
      <c r="B242" s="17" t="n"/>
      <c r="C242" s="17" t="n"/>
      <c r="D242" s="17" t="n"/>
      <c r="E242" s="15" t="n"/>
      <c r="F242" s="15" t="n"/>
      <c r="G242" s="17" t="n"/>
      <c r="H242" s="15">
        <f>IF(OR(E242="",F242="",G242=""),"", (F242-E242)*G242)</f>
        <v/>
      </c>
      <c r="I242" s="16">
        <f>IF(OR(E242="",F242=""),"", (F242/E242)-1)</f>
        <v/>
      </c>
      <c r="J242" s="17">
        <f>IF(OR(C242="",D242=""),"", D242-C242)</f>
        <v/>
      </c>
      <c r="K242" s="17" t="n"/>
    </row>
    <row r="243">
      <c r="A243" s="17" t="n"/>
      <c r="B243" s="17" t="n"/>
      <c r="C243" s="17" t="n"/>
      <c r="D243" s="17" t="n"/>
      <c r="E243" s="15" t="n"/>
      <c r="F243" s="15" t="n"/>
      <c r="G243" s="17" t="n"/>
      <c r="H243" s="15">
        <f>IF(OR(E243="",F243="",G243=""),"", (F243-E243)*G243)</f>
        <v/>
      </c>
      <c r="I243" s="16">
        <f>IF(OR(E243="",F243=""),"", (F243/E243)-1)</f>
        <v/>
      </c>
      <c r="J243" s="17">
        <f>IF(OR(C243="",D243=""),"", D243-C243)</f>
        <v/>
      </c>
      <c r="K243" s="17" t="n"/>
    </row>
    <row r="244">
      <c r="A244" s="17" t="n"/>
      <c r="B244" s="17" t="n"/>
      <c r="C244" s="17" t="n"/>
      <c r="D244" s="17" t="n"/>
      <c r="E244" s="15" t="n"/>
      <c r="F244" s="15" t="n"/>
      <c r="G244" s="17" t="n"/>
      <c r="H244" s="15">
        <f>IF(OR(E244="",F244="",G244=""),"", (F244-E244)*G244)</f>
        <v/>
      </c>
      <c r="I244" s="16">
        <f>IF(OR(E244="",F244=""),"", (F244/E244)-1)</f>
        <v/>
      </c>
      <c r="J244" s="17">
        <f>IF(OR(C244="",D244=""),"", D244-C244)</f>
        <v/>
      </c>
      <c r="K244" s="17" t="n"/>
    </row>
    <row r="245">
      <c r="A245" s="17" t="n"/>
      <c r="B245" s="17" t="n"/>
      <c r="C245" s="17" t="n"/>
      <c r="D245" s="17" t="n"/>
      <c r="E245" s="15" t="n"/>
      <c r="F245" s="15" t="n"/>
      <c r="G245" s="17" t="n"/>
      <c r="H245" s="15">
        <f>IF(OR(E245="",F245="",G245=""),"", (F245-E245)*G245)</f>
        <v/>
      </c>
      <c r="I245" s="16">
        <f>IF(OR(E245="",F245=""),"", (F245/E245)-1)</f>
        <v/>
      </c>
      <c r="J245" s="17">
        <f>IF(OR(C245="",D245=""),"", D245-C245)</f>
        <v/>
      </c>
      <c r="K245" s="17" t="n"/>
    </row>
    <row r="246">
      <c r="A246" s="17" t="n"/>
      <c r="B246" s="17" t="n"/>
      <c r="C246" s="17" t="n"/>
      <c r="D246" s="17" t="n"/>
      <c r="E246" s="15" t="n"/>
      <c r="F246" s="15" t="n"/>
      <c r="G246" s="17" t="n"/>
      <c r="H246" s="15">
        <f>IF(OR(E246="",F246="",G246=""),"", (F246-E246)*G246)</f>
        <v/>
      </c>
      <c r="I246" s="16">
        <f>IF(OR(E246="",F246=""),"", (F246/E246)-1)</f>
        <v/>
      </c>
      <c r="J246" s="17">
        <f>IF(OR(C246="",D246=""),"", D246-C246)</f>
        <v/>
      </c>
      <c r="K246" s="17" t="n"/>
    </row>
    <row r="247">
      <c r="A247" s="17" t="n"/>
      <c r="B247" s="17" t="n"/>
      <c r="C247" s="17" t="n"/>
      <c r="D247" s="17" t="n"/>
      <c r="E247" s="15" t="n"/>
      <c r="F247" s="15" t="n"/>
      <c r="G247" s="17" t="n"/>
      <c r="H247" s="15">
        <f>IF(OR(E247="",F247="",G247=""),"", (F247-E247)*G247)</f>
        <v/>
      </c>
      <c r="I247" s="16">
        <f>IF(OR(E247="",F247=""),"", (F247/E247)-1)</f>
        <v/>
      </c>
      <c r="J247" s="17">
        <f>IF(OR(C247="",D247=""),"", D247-C247)</f>
        <v/>
      </c>
      <c r="K247" s="17" t="n"/>
    </row>
    <row r="248">
      <c r="A248" s="17" t="n"/>
      <c r="B248" s="17" t="n"/>
      <c r="C248" s="17" t="n"/>
      <c r="D248" s="17" t="n"/>
      <c r="E248" s="15" t="n"/>
      <c r="F248" s="15" t="n"/>
      <c r="G248" s="17" t="n"/>
      <c r="H248" s="15">
        <f>IF(OR(E248="",F248="",G248=""),"", (F248-E248)*G248)</f>
        <v/>
      </c>
      <c r="I248" s="16">
        <f>IF(OR(E248="",F248=""),"", (F248/E248)-1)</f>
        <v/>
      </c>
      <c r="J248" s="17">
        <f>IF(OR(C248="",D248=""),"", D248-C248)</f>
        <v/>
      </c>
      <c r="K248" s="17" t="n"/>
    </row>
    <row r="249">
      <c r="A249" s="17" t="n"/>
      <c r="B249" s="17" t="n"/>
      <c r="C249" s="17" t="n"/>
      <c r="D249" s="17" t="n"/>
      <c r="E249" s="15" t="n"/>
      <c r="F249" s="15" t="n"/>
      <c r="G249" s="17" t="n"/>
      <c r="H249" s="15">
        <f>IF(OR(E249="",F249="",G249=""),"", (F249-E249)*G249)</f>
        <v/>
      </c>
      <c r="I249" s="16">
        <f>IF(OR(E249="",F249=""),"", (F249/E249)-1)</f>
        <v/>
      </c>
      <c r="J249" s="17">
        <f>IF(OR(C249="",D249=""),"", D249-C249)</f>
        <v/>
      </c>
      <c r="K249" s="17" t="n"/>
    </row>
    <row r="250">
      <c r="A250" s="17" t="n"/>
      <c r="B250" s="17" t="n"/>
      <c r="C250" s="17" t="n"/>
      <c r="D250" s="17" t="n"/>
      <c r="E250" s="15" t="n"/>
      <c r="F250" s="15" t="n"/>
      <c r="G250" s="17" t="n"/>
      <c r="H250" s="15">
        <f>IF(OR(E250="",F250="",G250=""),"", (F250-E250)*G250)</f>
        <v/>
      </c>
      <c r="I250" s="16">
        <f>IF(OR(E250="",F250=""),"", (F250/E250)-1)</f>
        <v/>
      </c>
      <c r="J250" s="17">
        <f>IF(OR(C250="",D250=""),"", D250-C250)</f>
        <v/>
      </c>
      <c r="K250" s="17" t="n"/>
    </row>
    <row r="251">
      <c r="A251" s="17" t="n"/>
      <c r="B251" s="17" t="n"/>
      <c r="C251" s="17" t="n"/>
      <c r="D251" s="17" t="n"/>
      <c r="E251" s="15" t="n"/>
      <c r="F251" s="15" t="n"/>
      <c r="G251" s="17" t="n"/>
      <c r="H251" s="15">
        <f>IF(OR(E251="",F251="",G251=""),"", (F251-E251)*G251)</f>
        <v/>
      </c>
      <c r="I251" s="16">
        <f>IF(OR(E251="",F251=""),"", (F251/E251)-1)</f>
        <v/>
      </c>
      <c r="J251" s="17">
        <f>IF(OR(C251="",D251=""),"", D251-C251)</f>
        <v/>
      </c>
      <c r="K251" s="17" t="n"/>
    </row>
    <row r="252">
      <c r="A252" s="17" t="n"/>
      <c r="B252" s="17" t="n"/>
      <c r="C252" s="17" t="n"/>
      <c r="D252" s="17" t="n"/>
      <c r="E252" s="15" t="n"/>
      <c r="F252" s="15" t="n"/>
      <c r="G252" s="17" t="n"/>
      <c r="H252" s="15">
        <f>IF(OR(E252="",F252="",G252=""),"", (F252-E252)*G252)</f>
        <v/>
      </c>
      <c r="I252" s="16">
        <f>IF(OR(E252="",F252=""),"", (F252/E252)-1)</f>
        <v/>
      </c>
      <c r="J252" s="17">
        <f>IF(OR(C252="",D252=""),"", D252-C252)</f>
        <v/>
      </c>
      <c r="K252" s="17" t="n"/>
    </row>
    <row r="253">
      <c r="A253" s="17" t="n"/>
      <c r="B253" s="17" t="n"/>
      <c r="C253" s="17" t="n"/>
      <c r="D253" s="17" t="n"/>
      <c r="E253" s="15" t="n"/>
      <c r="F253" s="15" t="n"/>
      <c r="G253" s="17" t="n"/>
      <c r="H253" s="15">
        <f>IF(OR(E253="",F253="",G253=""),"", (F253-E253)*G253)</f>
        <v/>
      </c>
      <c r="I253" s="16">
        <f>IF(OR(E253="",F253=""),"", (F253/E253)-1)</f>
        <v/>
      </c>
      <c r="J253" s="17">
        <f>IF(OR(C253="",D253=""),"", D253-C253)</f>
        <v/>
      </c>
      <c r="K253" s="17" t="n"/>
    </row>
    <row r="254">
      <c r="A254" s="17" t="n"/>
      <c r="B254" s="17" t="n"/>
      <c r="C254" s="17" t="n"/>
      <c r="D254" s="17" t="n"/>
      <c r="E254" s="15" t="n"/>
      <c r="F254" s="15" t="n"/>
      <c r="G254" s="17" t="n"/>
      <c r="H254" s="15">
        <f>IF(OR(E254="",F254="",G254=""),"", (F254-E254)*G254)</f>
        <v/>
      </c>
      <c r="I254" s="16">
        <f>IF(OR(E254="",F254=""),"", (F254/E254)-1)</f>
        <v/>
      </c>
      <c r="J254" s="17">
        <f>IF(OR(C254="",D254=""),"", D254-C254)</f>
        <v/>
      </c>
      <c r="K254" s="17" t="n"/>
    </row>
    <row r="255">
      <c r="A255" s="17" t="n"/>
      <c r="B255" s="17" t="n"/>
      <c r="C255" s="17" t="n"/>
      <c r="D255" s="17" t="n"/>
      <c r="E255" s="15" t="n"/>
      <c r="F255" s="15" t="n"/>
      <c r="G255" s="17" t="n"/>
      <c r="H255" s="15">
        <f>IF(OR(E255="",F255="",G255=""),"", (F255-E255)*G255)</f>
        <v/>
      </c>
      <c r="I255" s="16">
        <f>IF(OR(E255="",F255=""),"", (F255/E255)-1)</f>
        <v/>
      </c>
      <c r="J255" s="17">
        <f>IF(OR(C255="",D255=""),"", D255-C255)</f>
        <v/>
      </c>
      <c r="K255" s="17" t="n"/>
    </row>
    <row r="256">
      <c r="A256" s="17" t="n"/>
      <c r="B256" s="17" t="n"/>
      <c r="C256" s="17" t="n"/>
      <c r="D256" s="17" t="n"/>
      <c r="E256" s="15" t="n"/>
      <c r="F256" s="15" t="n"/>
      <c r="G256" s="17" t="n"/>
      <c r="H256" s="15">
        <f>IF(OR(E256="",F256="",G256=""),"", (F256-E256)*G256)</f>
        <v/>
      </c>
      <c r="I256" s="16">
        <f>IF(OR(E256="",F256=""),"", (F256/E256)-1)</f>
        <v/>
      </c>
      <c r="J256" s="17">
        <f>IF(OR(C256="",D256=""),"", D256-C256)</f>
        <v/>
      </c>
      <c r="K256" s="17" t="n"/>
    </row>
    <row r="257">
      <c r="A257" s="17" t="n"/>
      <c r="B257" s="17" t="n"/>
      <c r="C257" s="17" t="n"/>
      <c r="D257" s="17" t="n"/>
      <c r="E257" s="15" t="n"/>
      <c r="F257" s="15" t="n"/>
      <c r="G257" s="17" t="n"/>
      <c r="H257" s="15">
        <f>IF(OR(E257="",F257="",G257=""),"", (F257-E257)*G257)</f>
        <v/>
      </c>
      <c r="I257" s="16">
        <f>IF(OR(E257="",F257=""),"", (F257/E257)-1)</f>
        <v/>
      </c>
      <c r="J257" s="17">
        <f>IF(OR(C257="",D257=""),"", D257-C257)</f>
        <v/>
      </c>
      <c r="K257" s="17" t="n"/>
    </row>
    <row r="258">
      <c r="A258" s="17" t="n"/>
      <c r="B258" s="17" t="n"/>
      <c r="C258" s="17" t="n"/>
      <c r="D258" s="17" t="n"/>
      <c r="E258" s="15" t="n"/>
      <c r="F258" s="15" t="n"/>
      <c r="G258" s="17" t="n"/>
      <c r="H258" s="15">
        <f>IF(OR(E258="",F258="",G258=""),"", (F258-E258)*G258)</f>
        <v/>
      </c>
      <c r="I258" s="16">
        <f>IF(OR(E258="",F258=""),"", (F258/E258)-1)</f>
        <v/>
      </c>
      <c r="J258" s="17">
        <f>IF(OR(C258="",D258=""),"", D258-C258)</f>
        <v/>
      </c>
      <c r="K258" s="17" t="n"/>
    </row>
    <row r="259">
      <c r="A259" s="17" t="n"/>
      <c r="B259" s="17" t="n"/>
      <c r="C259" s="17" t="n"/>
      <c r="D259" s="17" t="n"/>
      <c r="E259" s="15" t="n"/>
      <c r="F259" s="15" t="n"/>
      <c r="G259" s="17" t="n"/>
      <c r="H259" s="15">
        <f>IF(OR(E259="",F259="",G259=""),"", (F259-E259)*G259)</f>
        <v/>
      </c>
      <c r="I259" s="16">
        <f>IF(OR(E259="",F259=""),"", (F259/E259)-1)</f>
        <v/>
      </c>
      <c r="J259" s="17">
        <f>IF(OR(C259="",D259=""),"", D259-C259)</f>
        <v/>
      </c>
      <c r="K259" s="17" t="n"/>
    </row>
    <row r="260">
      <c r="A260" s="17" t="n"/>
      <c r="B260" s="17" t="n"/>
      <c r="C260" s="17" t="n"/>
      <c r="D260" s="17" t="n"/>
      <c r="E260" s="15" t="n"/>
      <c r="F260" s="15" t="n"/>
      <c r="G260" s="17" t="n"/>
      <c r="H260" s="15">
        <f>IF(OR(E260="",F260="",G260=""),"", (F260-E260)*G260)</f>
        <v/>
      </c>
      <c r="I260" s="16">
        <f>IF(OR(E260="",F260=""),"", (F260/E260)-1)</f>
        <v/>
      </c>
      <c r="J260" s="17">
        <f>IF(OR(C260="",D260=""),"", D260-C260)</f>
        <v/>
      </c>
      <c r="K260" s="17" t="n"/>
    </row>
    <row r="261">
      <c r="A261" s="17" t="n"/>
      <c r="B261" s="17" t="n"/>
      <c r="C261" s="17" t="n"/>
      <c r="D261" s="17" t="n"/>
      <c r="E261" s="15" t="n"/>
      <c r="F261" s="15" t="n"/>
      <c r="G261" s="17" t="n"/>
      <c r="H261" s="15">
        <f>IF(OR(E261="",F261="",G261=""),"", (F261-E261)*G261)</f>
        <v/>
      </c>
      <c r="I261" s="16">
        <f>IF(OR(E261="",F261=""),"", (F261/E261)-1)</f>
        <v/>
      </c>
      <c r="J261" s="17">
        <f>IF(OR(C261="",D261=""),"", D261-C261)</f>
        <v/>
      </c>
      <c r="K261" s="17" t="n"/>
    </row>
    <row r="262">
      <c r="A262" s="17" t="n"/>
      <c r="B262" s="17" t="n"/>
      <c r="C262" s="17" t="n"/>
      <c r="D262" s="17" t="n"/>
      <c r="E262" s="15" t="n"/>
      <c r="F262" s="15" t="n"/>
      <c r="G262" s="17" t="n"/>
      <c r="H262" s="15">
        <f>IF(OR(E262="",F262="",G262=""),"", (F262-E262)*G262)</f>
        <v/>
      </c>
      <c r="I262" s="16">
        <f>IF(OR(E262="",F262=""),"", (F262/E262)-1)</f>
        <v/>
      </c>
      <c r="J262" s="17">
        <f>IF(OR(C262="",D262=""),"", D262-C262)</f>
        <v/>
      </c>
      <c r="K262" s="17" t="n"/>
    </row>
    <row r="263">
      <c r="A263" s="17" t="n"/>
      <c r="B263" s="17" t="n"/>
      <c r="C263" s="17" t="n"/>
      <c r="D263" s="17" t="n"/>
      <c r="E263" s="15" t="n"/>
      <c r="F263" s="15" t="n"/>
      <c r="G263" s="17" t="n"/>
      <c r="H263" s="15">
        <f>IF(OR(E263="",F263="",G263=""),"", (F263-E263)*G263)</f>
        <v/>
      </c>
      <c r="I263" s="16">
        <f>IF(OR(E263="",F263=""),"", (F263/E263)-1)</f>
        <v/>
      </c>
      <c r="J263" s="17">
        <f>IF(OR(C263="",D263=""),"", D263-C263)</f>
        <v/>
      </c>
      <c r="K263" s="17" t="n"/>
    </row>
    <row r="264">
      <c r="A264" s="17" t="n"/>
      <c r="B264" s="17" t="n"/>
      <c r="C264" s="17" t="n"/>
      <c r="D264" s="17" t="n"/>
      <c r="E264" s="15" t="n"/>
      <c r="F264" s="15" t="n"/>
      <c r="G264" s="17" t="n"/>
      <c r="H264" s="15">
        <f>IF(OR(E264="",F264="",G264=""),"", (F264-E264)*G264)</f>
        <v/>
      </c>
      <c r="I264" s="16">
        <f>IF(OR(E264="",F264=""),"", (F264/E264)-1)</f>
        <v/>
      </c>
      <c r="J264" s="17">
        <f>IF(OR(C264="",D264=""),"", D264-C264)</f>
        <v/>
      </c>
      <c r="K264" s="17" t="n"/>
    </row>
    <row r="265">
      <c r="A265" s="17" t="n"/>
      <c r="B265" s="17" t="n"/>
      <c r="C265" s="17" t="n"/>
      <c r="D265" s="17" t="n"/>
      <c r="E265" s="15" t="n"/>
      <c r="F265" s="15" t="n"/>
      <c r="G265" s="17" t="n"/>
      <c r="H265" s="15">
        <f>IF(OR(E265="",F265="",G265=""),"", (F265-E265)*G265)</f>
        <v/>
      </c>
      <c r="I265" s="16">
        <f>IF(OR(E265="",F265=""),"", (F265/E265)-1)</f>
        <v/>
      </c>
      <c r="J265" s="17">
        <f>IF(OR(C265="",D265=""),"", D265-C265)</f>
        <v/>
      </c>
      <c r="K265" s="17" t="n"/>
    </row>
    <row r="266">
      <c r="A266" s="17" t="n"/>
      <c r="B266" s="17" t="n"/>
      <c r="C266" s="17" t="n"/>
      <c r="D266" s="17" t="n"/>
      <c r="E266" s="15" t="n"/>
      <c r="F266" s="15" t="n"/>
      <c r="G266" s="17" t="n"/>
      <c r="H266" s="15">
        <f>IF(OR(E266="",F266="",G266=""),"", (F266-E266)*G266)</f>
        <v/>
      </c>
      <c r="I266" s="16">
        <f>IF(OR(E266="",F266=""),"", (F266/E266)-1)</f>
        <v/>
      </c>
      <c r="J266" s="17">
        <f>IF(OR(C266="",D266=""),"", D266-C266)</f>
        <v/>
      </c>
      <c r="K266" s="17" t="n"/>
    </row>
    <row r="267">
      <c r="A267" s="17" t="n"/>
      <c r="B267" s="17" t="n"/>
      <c r="C267" s="17" t="n"/>
      <c r="D267" s="17" t="n"/>
      <c r="E267" s="15" t="n"/>
      <c r="F267" s="15" t="n"/>
      <c r="G267" s="17" t="n"/>
      <c r="H267" s="15">
        <f>IF(OR(E267="",F267="",G267=""),"", (F267-E267)*G267)</f>
        <v/>
      </c>
      <c r="I267" s="16">
        <f>IF(OR(E267="",F267=""),"", (F267/E267)-1)</f>
        <v/>
      </c>
      <c r="J267" s="17">
        <f>IF(OR(C267="",D267=""),"", D267-C267)</f>
        <v/>
      </c>
      <c r="K267" s="17" t="n"/>
    </row>
    <row r="268">
      <c r="A268" s="17" t="n"/>
      <c r="B268" s="17" t="n"/>
      <c r="C268" s="17" t="n"/>
      <c r="D268" s="17" t="n"/>
      <c r="E268" s="15" t="n"/>
      <c r="F268" s="15" t="n"/>
      <c r="G268" s="17" t="n"/>
      <c r="H268" s="15">
        <f>IF(OR(E268="",F268="",G268=""),"", (F268-E268)*G268)</f>
        <v/>
      </c>
      <c r="I268" s="16">
        <f>IF(OR(E268="",F268=""),"", (F268/E268)-1)</f>
        <v/>
      </c>
      <c r="J268" s="17">
        <f>IF(OR(C268="",D268=""),"", D268-C268)</f>
        <v/>
      </c>
      <c r="K268" s="17" t="n"/>
    </row>
    <row r="269">
      <c r="A269" s="17" t="n"/>
      <c r="B269" s="17" t="n"/>
      <c r="C269" s="17" t="n"/>
      <c r="D269" s="17" t="n"/>
      <c r="E269" s="15" t="n"/>
      <c r="F269" s="15" t="n"/>
      <c r="G269" s="17" t="n"/>
      <c r="H269" s="15">
        <f>IF(OR(E269="",F269="",G269=""),"", (F269-E269)*G269)</f>
        <v/>
      </c>
      <c r="I269" s="16">
        <f>IF(OR(E269="",F269=""),"", (F269/E269)-1)</f>
        <v/>
      </c>
      <c r="J269" s="17">
        <f>IF(OR(C269="",D269=""),"", D269-C269)</f>
        <v/>
      </c>
      <c r="K269" s="17" t="n"/>
    </row>
    <row r="270">
      <c r="A270" s="17" t="n"/>
      <c r="B270" s="17" t="n"/>
      <c r="C270" s="17" t="n"/>
      <c r="D270" s="17" t="n"/>
      <c r="E270" s="15" t="n"/>
      <c r="F270" s="15" t="n"/>
      <c r="G270" s="17" t="n"/>
      <c r="H270" s="15">
        <f>IF(OR(E270="",F270="",G270=""),"", (F270-E270)*G270)</f>
        <v/>
      </c>
      <c r="I270" s="16">
        <f>IF(OR(E270="",F270=""),"", (F270/E270)-1)</f>
        <v/>
      </c>
      <c r="J270" s="17">
        <f>IF(OR(C270="",D270=""),"", D270-C270)</f>
        <v/>
      </c>
      <c r="K270" s="17" t="n"/>
    </row>
    <row r="271">
      <c r="A271" s="17" t="n"/>
      <c r="B271" s="17" t="n"/>
      <c r="C271" s="17" t="n"/>
      <c r="D271" s="17" t="n"/>
      <c r="E271" s="15" t="n"/>
      <c r="F271" s="15" t="n"/>
      <c r="G271" s="17" t="n"/>
      <c r="H271" s="15">
        <f>IF(OR(E271="",F271="",G271=""),"", (F271-E271)*G271)</f>
        <v/>
      </c>
      <c r="I271" s="16">
        <f>IF(OR(E271="",F271=""),"", (F271/E271)-1)</f>
        <v/>
      </c>
      <c r="J271" s="17">
        <f>IF(OR(C271="",D271=""),"", D271-C271)</f>
        <v/>
      </c>
      <c r="K271" s="17" t="n"/>
    </row>
    <row r="272">
      <c r="A272" s="17" t="n"/>
      <c r="B272" s="17" t="n"/>
      <c r="C272" s="17" t="n"/>
      <c r="D272" s="17" t="n"/>
      <c r="E272" s="15" t="n"/>
      <c r="F272" s="15" t="n"/>
      <c r="G272" s="17" t="n"/>
      <c r="H272" s="15">
        <f>IF(OR(E272="",F272="",G272=""),"", (F272-E272)*G272)</f>
        <v/>
      </c>
      <c r="I272" s="16">
        <f>IF(OR(E272="",F272=""),"", (F272/E272)-1)</f>
        <v/>
      </c>
      <c r="J272" s="17">
        <f>IF(OR(C272="",D272=""),"", D272-C272)</f>
        <v/>
      </c>
      <c r="K272" s="17" t="n"/>
    </row>
    <row r="273">
      <c r="A273" s="17" t="n"/>
      <c r="B273" s="17" t="n"/>
      <c r="C273" s="17" t="n"/>
      <c r="D273" s="17" t="n"/>
      <c r="E273" s="15" t="n"/>
      <c r="F273" s="15" t="n"/>
      <c r="G273" s="17" t="n"/>
      <c r="H273" s="15">
        <f>IF(OR(E273="",F273="",G273=""),"", (F273-E273)*G273)</f>
        <v/>
      </c>
      <c r="I273" s="16">
        <f>IF(OR(E273="",F273=""),"", (F273/E273)-1)</f>
        <v/>
      </c>
      <c r="J273" s="17">
        <f>IF(OR(C273="",D273=""),"", D273-C273)</f>
        <v/>
      </c>
      <c r="K273" s="17" t="n"/>
    </row>
    <row r="274">
      <c r="A274" s="17" t="n"/>
      <c r="B274" s="17" t="n"/>
      <c r="C274" s="17" t="n"/>
      <c r="D274" s="17" t="n"/>
      <c r="E274" s="15" t="n"/>
      <c r="F274" s="15" t="n"/>
      <c r="G274" s="17" t="n"/>
      <c r="H274" s="15">
        <f>IF(OR(E274="",F274="",G274=""),"", (F274-E274)*G274)</f>
        <v/>
      </c>
      <c r="I274" s="16">
        <f>IF(OR(E274="",F274=""),"", (F274/E274)-1)</f>
        <v/>
      </c>
      <c r="J274" s="17">
        <f>IF(OR(C274="",D274=""),"", D274-C274)</f>
        <v/>
      </c>
      <c r="K274" s="17" t="n"/>
    </row>
    <row r="275">
      <c r="A275" s="17" t="n"/>
      <c r="B275" s="17" t="n"/>
      <c r="C275" s="17" t="n"/>
      <c r="D275" s="17" t="n"/>
      <c r="E275" s="15" t="n"/>
      <c r="F275" s="15" t="n"/>
      <c r="G275" s="17" t="n"/>
      <c r="H275" s="15">
        <f>IF(OR(E275="",F275="",G275=""),"", (F275-E275)*G275)</f>
        <v/>
      </c>
      <c r="I275" s="16">
        <f>IF(OR(E275="",F275=""),"", (F275/E275)-1)</f>
        <v/>
      </c>
      <c r="J275" s="17">
        <f>IF(OR(C275="",D275=""),"", D275-C275)</f>
        <v/>
      </c>
      <c r="K275" s="17" t="n"/>
    </row>
    <row r="276">
      <c r="A276" s="17" t="n"/>
      <c r="B276" s="17" t="n"/>
      <c r="C276" s="17" t="n"/>
      <c r="D276" s="17" t="n"/>
      <c r="E276" s="15" t="n"/>
      <c r="F276" s="15" t="n"/>
      <c r="G276" s="17" t="n"/>
      <c r="H276" s="15">
        <f>IF(OR(E276="",F276="",G276=""),"", (F276-E276)*G276)</f>
        <v/>
      </c>
      <c r="I276" s="16">
        <f>IF(OR(E276="",F276=""),"", (F276/E276)-1)</f>
        <v/>
      </c>
      <c r="J276" s="17">
        <f>IF(OR(C276="",D276=""),"", D276-C276)</f>
        <v/>
      </c>
      <c r="K276" s="17" t="n"/>
    </row>
    <row r="277">
      <c r="A277" s="17" t="n"/>
      <c r="B277" s="17" t="n"/>
      <c r="C277" s="17" t="n"/>
      <c r="D277" s="17" t="n"/>
      <c r="E277" s="15" t="n"/>
      <c r="F277" s="15" t="n"/>
      <c r="G277" s="17" t="n"/>
      <c r="H277" s="15">
        <f>IF(OR(E277="",F277="",G277=""),"", (F277-E277)*G277)</f>
        <v/>
      </c>
      <c r="I277" s="16">
        <f>IF(OR(E277="",F277=""),"", (F277/E277)-1)</f>
        <v/>
      </c>
      <c r="J277" s="17">
        <f>IF(OR(C277="",D277=""),"", D277-C277)</f>
        <v/>
      </c>
      <c r="K277" s="17" t="n"/>
    </row>
    <row r="278">
      <c r="A278" s="17" t="n"/>
      <c r="B278" s="17" t="n"/>
      <c r="C278" s="17" t="n"/>
      <c r="D278" s="17" t="n"/>
      <c r="E278" s="15" t="n"/>
      <c r="F278" s="15" t="n"/>
      <c r="G278" s="17" t="n"/>
      <c r="H278" s="15">
        <f>IF(OR(E278="",F278="",G278=""),"", (F278-E278)*G278)</f>
        <v/>
      </c>
      <c r="I278" s="16">
        <f>IF(OR(E278="",F278=""),"", (F278/E278)-1)</f>
        <v/>
      </c>
      <c r="J278" s="17">
        <f>IF(OR(C278="",D278=""),"", D278-C278)</f>
        <v/>
      </c>
      <c r="K278" s="17" t="n"/>
    </row>
    <row r="279">
      <c r="A279" s="17" t="n"/>
      <c r="B279" s="17" t="n"/>
      <c r="C279" s="17" t="n"/>
      <c r="D279" s="17" t="n"/>
      <c r="E279" s="15" t="n"/>
      <c r="F279" s="15" t="n"/>
      <c r="G279" s="17" t="n"/>
      <c r="H279" s="15">
        <f>IF(OR(E279="",F279="",G279=""),"", (F279-E279)*G279)</f>
        <v/>
      </c>
      <c r="I279" s="16">
        <f>IF(OR(E279="",F279=""),"", (F279/E279)-1)</f>
        <v/>
      </c>
      <c r="J279" s="17">
        <f>IF(OR(C279="",D279=""),"", D279-C279)</f>
        <v/>
      </c>
      <c r="K279" s="17" t="n"/>
    </row>
    <row r="280">
      <c r="A280" s="17" t="n"/>
      <c r="B280" s="17" t="n"/>
      <c r="C280" s="17" t="n"/>
      <c r="D280" s="17" t="n"/>
      <c r="E280" s="15" t="n"/>
      <c r="F280" s="15" t="n"/>
      <c r="G280" s="17" t="n"/>
      <c r="H280" s="15">
        <f>IF(OR(E280="",F280="",G280=""),"", (F280-E280)*G280)</f>
        <v/>
      </c>
      <c r="I280" s="16">
        <f>IF(OR(E280="",F280=""),"", (F280/E280)-1)</f>
        <v/>
      </c>
      <c r="J280" s="17">
        <f>IF(OR(C280="",D280=""),"", D280-C280)</f>
        <v/>
      </c>
      <c r="K280" s="17" t="n"/>
    </row>
    <row r="281">
      <c r="A281" s="17" t="n"/>
      <c r="B281" s="17" t="n"/>
      <c r="C281" s="17" t="n"/>
      <c r="D281" s="17" t="n"/>
      <c r="E281" s="15" t="n"/>
      <c r="F281" s="15" t="n"/>
      <c r="G281" s="17" t="n"/>
      <c r="H281" s="15">
        <f>IF(OR(E281="",F281="",G281=""),"", (F281-E281)*G281)</f>
        <v/>
      </c>
      <c r="I281" s="16">
        <f>IF(OR(E281="",F281=""),"", (F281/E281)-1)</f>
        <v/>
      </c>
      <c r="J281" s="17">
        <f>IF(OR(C281="",D281=""),"", D281-C281)</f>
        <v/>
      </c>
      <c r="K281" s="17" t="n"/>
    </row>
    <row r="282">
      <c r="A282" s="17" t="n"/>
      <c r="B282" s="17" t="n"/>
      <c r="C282" s="17" t="n"/>
      <c r="D282" s="17" t="n"/>
      <c r="E282" s="15" t="n"/>
      <c r="F282" s="15" t="n"/>
      <c r="G282" s="17" t="n"/>
      <c r="H282" s="15">
        <f>IF(OR(E282="",F282="",G282=""),"", (F282-E282)*G282)</f>
        <v/>
      </c>
      <c r="I282" s="16">
        <f>IF(OR(E282="",F282=""),"", (F282/E282)-1)</f>
        <v/>
      </c>
      <c r="J282" s="17">
        <f>IF(OR(C282="",D282=""),"", D282-C282)</f>
        <v/>
      </c>
      <c r="K282" s="17" t="n"/>
    </row>
    <row r="283">
      <c r="A283" s="17" t="n"/>
      <c r="B283" s="17" t="n"/>
      <c r="C283" s="17" t="n"/>
      <c r="D283" s="17" t="n"/>
      <c r="E283" s="15" t="n"/>
      <c r="F283" s="15" t="n"/>
      <c r="G283" s="17" t="n"/>
      <c r="H283" s="15">
        <f>IF(OR(E283="",F283="",G283=""),"", (F283-E283)*G283)</f>
        <v/>
      </c>
      <c r="I283" s="16">
        <f>IF(OR(E283="",F283=""),"", (F283/E283)-1)</f>
        <v/>
      </c>
      <c r="J283" s="17">
        <f>IF(OR(C283="",D283=""),"", D283-C283)</f>
        <v/>
      </c>
      <c r="K283" s="17" t="n"/>
    </row>
    <row r="284">
      <c r="A284" s="17" t="n"/>
      <c r="B284" s="17" t="n"/>
      <c r="C284" s="17" t="n"/>
      <c r="D284" s="17" t="n"/>
      <c r="E284" s="15" t="n"/>
      <c r="F284" s="15" t="n"/>
      <c r="G284" s="17" t="n"/>
      <c r="H284" s="15">
        <f>IF(OR(E284="",F284="",G284=""),"", (F284-E284)*G284)</f>
        <v/>
      </c>
      <c r="I284" s="16">
        <f>IF(OR(E284="",F284=""),"", (F284/E284)-1)</f>
        <v/>
      </c>
      <c r="J284" s="17">
        <f>IF(OR(C284="",D284=""),"", D284-C284)</f>
        <v/>
      </c>
      <c r="K284" s="17" t="n"/>
    </row>
    <row r="285">
      <c r="A285" s="17" t="n"/>
      <c r="B285" s="17" t="n"/>
      <c r="C285" s="17" t="n"/>
      <c r="D285" s="17" t="n"/>
      <c r="E285" s="15" t="n"/>
      <c r="F285" s="15" t="n"/>
      <c r="G285" s="17" t="n"/>
      <c r="H285" s="15">
        <f>IF(OR(E285="",F285="",G285=""),"", (F285-E285)*G285)</f>
        <v/>
      </c>
      <c r="I285" s="16">
        <f>IF(OR(E285="",F285=""),"", (F285/E285)-1)</f>
        <v/>
      </c>
      <c r="J285" s="17">
        <f>IF(OR(C285="",D285=""),"", D285-C285)</f>
        <v/>
      </c>
      <c r="K285" s="17" t="n"/>
    </row>
    <row r="286">
      <c r="A286" s="17" t="n"/>
      <c r="B286" s="17" t="n"/>
      <c r="C286" s="17" t="n"/>
      <c r="D286" s="17" t="n"/>
      <c r="E286" s="15" t="n"/>
      <c r="F286" s="15" t="n"/>
      <c r="G286" s="17" t="n"/>
      <c r="H286" s="15">
        <f>IF(OR(E286="",F286="",G286=""),"", (F286-E286)*G286)</f>
        <v/>
      </c>
      <c r="I286" s="16">
        <f>IF(OR(E286="",F286=""),"", (F286/E286)-1)</f>
        <v/>
      </c>
      <c r="J286" s="17">
        <f>IF(OR(C286="",D286=""),"", D286-C286)</f>
        <v/>
      </c>
      <c r="K286" s="17" t="n"/>
    </row>
    <row r="287">
      <c r="A287" s="17" t="n"/>
      <c r="B287" s="17" t="n"/>
      <c r="C287" s="17" t="n"/>
      <c r="D287" s="17" t="n"/>
      <c r="E287" s="15" t="n"/>
      <c r="F287" s="15" t="n"/>
      <c r="G287" s="17" t="n"/>
      <c r="H287" s="15">
        <f>IF(OR(E287="",F287="",G287=""),"", (F287-E287)*G287)</f>
        <v/>
      </c>
      <c r="I287" s="16">
        <f>IF(OR(E287="",F287=""),"", (F287/E287)-1)</f>
        <v/>
      </c>
      <c r="J287" s="17">
        <f>IF(OR(C287="",D287=""),"", D287-C287)</f>
        <v/>
      </c>
      <c r="K287" s="17" t="n"/>
    </row>
    <row r="288">
      <c r="A288" s="17" t="n"/>
      <c r="B288" s="17" t="n"/>
      <c r="C288" s="17" t="n"/>
      <c r="D288" s="17" t="n"/>
      <c r="E288" s="15" t="n"/>
      <c r="F288" s="15" t="n"/>
      <c r="G288" s="17" t="n"/>
      <c r="H288" s="15">
        <f>IF(OR(E288="",F288="",G288=""),"", (F288-E288)*G288)</f>
        <v/>
      </c>
      <c r="I288" s="16">
        <f>IF(OR(E288="",F288=""),"", (F288/E288)-1)</f>
        <v/>
      </c>
      <c r="J288" s="17">
        <f>IF(OR(C288="",D288=""),"", D288-C288)</f>
        <v/>
      </c>
      <c r="K288" s="17" t="n"/>
    </row>
    <row r="289">
      <c r="A289" s="17" t="n"/>
      <c r="B289" s="17" t="n"/>
      <c r="C289" s="17" t="n"/>
      <c r="D289" s="17" t="n"/>
      <c r="E289" s="15" t="n"/>
      <c r="F289" s="15" t="n"/>
      <c r="G289" s="17" t="n"/>
      <c r="H289" s="15">
        <f>IF(OR(E289="",F289="",G289=""),"", (F289-E289)*G289)</f>
        <v/>
      </c>
      <c r="I289" s="16">
        <f>IF(OR(E289="",F289=""),"", (F289/E289)-1)</f>
        <v/>
      </c>
      <c r="J289" s="17">
        <f>IF(OR(C289="",D289=""),"", D289-C289)</f>
        <v/>
      </c>
      <c r="K289" s="17" t="n"/>
    </row>
    <row r="290">
      <c r="A290" s="17" t="n"/>
      <c r="B290" s="17" t="n"/>
      <c r="C290" s="17" t="n"/>
      <c r="D290" s="17" t="n"/>
      <c r="E290" s="15" t="n"/>
      <c r="F290" s="15" t="n"/>
      <c r="G290" s="17" t="n"/>
      <c r="H290" s="15">
        <f>IF(OR(E290="",F290="",G290=""),"", (F290-E290)*G290)</f>
        <v/>
      </c>
      <c r="I290" s="16">
        <f>IF(OR(E290="",F290=""),"", (F290/E290)-1)</f>
        <v/>
      </c>
      <c r="J290" s="17">
        <f>IF(OR(C290="",D290=""),"", D290-C290)</f>
        <v/>
      </c>
      <c r="K290" s="17" t="n"/>
    </row>
    <row r="291">
      <c r="A291" s="17" t="n"/>
      <c r="B291" s="17" t="n"/>
      <c r="C291" s="17" t="n"/>
      <c r="D291" s="17" t="n"/>
      <c r="E291" s="15" t="n"/>
      <c r="F291" s="15" t="n"/>
      <c r="G291" s="17" t="n"/>
      <c r="H291" s="15">
        <f>IF(OR(E291="",F291="",G291=""),"", (F291-E291)*G291)</f>
        <v/>
      </c>
      <c r="I291" s="16">
        <f>IF(OR(E291="",F291=""),"", (F291/E291)-1)</f>
        <v/>
      </c>
      <c r="J291" s="17">
        <f>IF(OR(C291="",D291=""),"", D291-C291)</f>
        <v/>
      </c>
      <c r="K291" s="17" t="n"/>
    </row>
    <row r="292">
      <c r="A292" s="17" t="n"/>
      <c r="B292" s="17" t="n"/>
      <c r="C292" s="17" t="n"/>
      <c r="D292" s="17" t="n"/>
      <c r="E292" s="15" t="n"/>
      <c r="F292" s="15" t="n"/>
      <c r="G292" s="17" t="n"/>
      <c r="H292" s="15">
        <f>IF(OR(E292="",F292="",G292=""),"", (F292-E292)*G292)</f>
        <v/>
      </c>
      <c r="I292" s="16">
        <f>IF(OR(E292="",F292=""),"", (F292/E292)-1)</f>
        <v/>
      </c>
      <c r="J292" s="17">
        <f>IF(OR(C292="",D292=""),"", D292-C292)</f>
        <v/>
      </c>
      <c r="K292" s="17" t="n"/>
    </row>
    <row r="293">
      <c r="A293" s="17" t="n"/>
      <c r="B293" s="17" t="n"/>
      <c r="C293" s="17" t="n"/>
      <c r="D293" s="17" t="n"/>
      <c r="E293" s="15" t="n"/>
      <c r="F293" s="15" t="n"/>
      <c r="G293" s="17" t="n"/>
      <c r="H293" s="15">
        <f>IF(OR(E293="",F293="",G293=""),"", (F293-E293)*G293)</f>
        <v/>
      </c>
      <c r="I293" s="16">
        <f>IF(OR(E293="",F293=""),"", (F293/E293)-1)</f>
        <v/>
      </c>
      <c r="J293" s="17">
        <f>IF(OR(C293="",D293=""),"", D293-C293)</f>
        <v/>
      </c>
      <c r="K293" s="17" t="n"/>
    </row>
    <row r="294">
      <c r="A294" s="17" t="n"/>
      <c r="B294" s="17" t="n"/>
      <c r="C294" s="17" t="n"/>
      <c r="D294" s="17" t="n"/>
      <c r="E294" s="15" t="n"/>
      <c r="F294" s="15" t="n"/>
      <c r="G294" s="17" t="n"/>
      <c r="H294" s="15">
        <f>IF(OR(E294="",F294="",G294=""),"", (F294-E294)*G294)</f>
        <v/>
      </c>
      <c r="I294" s="16">
        <f>IF(OR(E294="",F294=""),"", (F294/E294)-1)</f>
        <v/>
      </c>
      <c r="J294" s="17">
        <f>IF(OR(C294="",D294=""),"", D294-C294)</f>
        <v/>
      </c>
      <c r="K294" s="17" t="n"/>
    </row>
    <row r="295">
      <c r="A295" s="17" t="n"/>
      <c r="B295" s="17" t="n"/>
      <c r="C295" s="17" t="n"/>
      <c r="D295" s="17" t="n"/>
      <c r="E295" s="15" t="n"/>
      <c r="F295" s="15" t="n"/>
      <c r="G295" s="17" t="n"/>
      <c r="H295" s="15">
        <f>IF(OR(E295="",F295="",G295=""),"", (F295-E295)*G295)</f>
        <v/>
      </c>
      <c r="I295" s="16">
        <f>IF(OR(E295="",F295=""),"", (F295/E295)-1)</f>
        <v/>
      </c>
      <c r="J295" s="17">
        <f>IF(OR(C295="",D295=""),"", D295-C295)</f>
        <v/>
      </c>
      <c r="K295" s="17" t="n"/>
    </row>
    <row r="296">
      <c r="A296" s="17" t="n"/>
      <c r="B296" s="17" t="n"/>
      <c r="C296" s="17" t="n"/>
      <c r="D296" s="17" t="n"/>
      <c r="E296" s="15" t="n"/>
      <c r="F296" s="15" t="n"/>
      <c r="G296" s="17" t="n"/>
      <c r="H296" s="15">
        <f>IF(OR(E296="",F296="",G296=""),"", (F296-E296)*G296)</f>
        <v/>
      </c>
      <c r="I296" s="16">
        <f>IF(OR(E296="",F296=""),"", (F296/E296)-1)</f>
        <v/>
      </c>
      <c r="J296" s="17">
        <f>IF(OR(C296="",D296=""),"", D296-C296)</f>
        <v/>
      </c>
      <c r="K296" s="17" t="n"/>
    </row>
    <row r="297">
      <c r="A297" s="17" t="n"/>
      <c r="B297" s="17" t="n"/>
      <c r="C297" s="17" t="n"/>
      <c r="D297" s="17" t="n"/>
      <c r="E297" s="15" t="n"/>
      <c r="F297" s="15" t="n"/>
      <c r="G297" s="17" t="n"/>
      <c r="H297" s="15">
        <f>IF(OR(E297="",F297="",G297=""),"", (F297-E297)*G297)</f>
        <v/>
      </c>
      <c r="I297" s="16">
        <f>IF(OR(E297="",F297=""),"", (F297/E297)-1)</f>
        <v/>
      </c>
      <c r="J297" s="17">
        <f>IF(OR(C297="",D297=""),"", D297-C297)</f>
        <v/>
      </c>
      <c r="K297" s="17" t="n"/>
    </row>
    <row r="298">
      <c r="A298" s="17" t="n"/>
      <c r="B298" s="17" t="n"/>
      <c r="C298" s="17" t="n"/>
      <c r="D298" s="17" t="n"/>
      <c r="E298" s="15" t="n"/>
      <c r="F298" s="15" t="n"/>
      <c r="G298" s="17" t="n"/>
      <c r="H298" s="15">
        <f>IF(OR(E298="",F298="",G298=""),"", (F298-E298)*G298)</f>
        <v/>
      </c>
      <c r="I298" s="16">
        <f>IF(OR(E298="",F298=""),"", (F298/E298)-1)</f>
        <v/>
      </c>
      <c r="J298" s="17">
        <f>IF(OR(C298="",D298=""),"", D298-C298)</f>
        <v/>
      </c>
      <c r="K298" s="17" t="n"/>
    </row>
    <row r="299">
      <c r="A299" s="17" t="n"/>
      <c r="B299" s="17" t="n"/>
      <c r="C299" s="17" t="n"/>
      <c r="D299" s="17" t="n"/>
      <c r="E299" s="15" t="n"/>
      <c r="F299" s="15" t="n"/>
      <c r="G299" s="17" t="n"/>
      <c r="H299" s="15">
        <f>IF(OR(E299="",F299="",G299=""),"", (F299-E299)*G299)</f>
        <v/>
      </c>
      <c r="I299" s="16">
        <f>IF(OR(E299="",F299=""),"", (F299/E299)-1)</f>
        <v/>
      </c>
      <c r="J299" s="17">
        <f>IF(OR(C299="",D299=""),"", D299-C299)</f>
        <v/>
      </c>
      <c r="K299" s="17" t="n"/>
    </row>
    <row r="300">
      <c r="A300" s="17" t="n"/>
      <c r="B300" s="17" t="n"/>
      <c r="C300" s="17" t="n"/>
      <c r="D300" s="17" t="n"/>
      <c r="E300" s="15" t="n"/>
      <c r="F300" s="15" t="n"/>
      <c r="G300" s="17" t="n"/>
      <c r="H300" s="15">
        <f>IF(OR(E300="",F300="",G300=""),"", (F300-E300)*G300)</f>
        <v/>
      </c>
      <c r="I300" s="16">
        <f>IF(OR(E300="",F300=""),"", (F300/E300)-1)</f>
        <v/>
      </c>
      <c r="J300" s="17">
        <f>IF(OR(C300="",D300=""),"", D300-C300)</f>
        <v/>
      </c>
      <c r="K300" s="17" t="n"/>
    </row>
    <row r="301">
      <c r="A301" s="17" t="n"/>
      <c r="B301" s="17" t="n"/>
      <c r="C301" s="17" t="n"/>
      <c r="D301" s="17" t="n"/>
      <c r="E301" s="15" t="n"/>
      <c r="F301" s="15" t="n"/>
      <c r="G301" s="17" t="n"/>
      <c r="H301" s="15">
        <f>IF(OR(E301="",F301="",G301=""),"", (F301-E301)*G301)</f>
        <v/>
      </c>
      <c r="I301" s="16">
        <f>IF(OR(E301="",F301=""),"", (F301/E301)-1)</f>
        <v/>
      </c>
      <c r="J301" s="17">
        <f>IF(OR(C301="",D301=""),"", D301-C301)</f>
        <v/>
      </c>
      <c r="K301" s="17" t="n"/>
    </row>
    <row r="302">
      <c r="A302" s="17" t="n"/>
      <c r="B302" s="17" t="n"/>
      <c r="C302" s="17" t="n"/>
      <c r="D302" s="17" t="n"/>
      <c r="E302" s="15" t="n"/>
      <c r="F302" s="15" t="n"/>
      <c r="G302" s="17" t="n"/>
      <c r="H302" s="15">
        <f>IF(OR(E302="",F302="",G302=""),"", (F302-E302)*G302)</f>
        <v/>
      </c>
      <c r="I302" s="16">
        <f>IF(OR(E302="",F302=""),"", (F302/E302)-1)</f>
        <v/>
      </c>
      <c r="J302" s="17">
        <f>IF(OR(C302="",D302=""),"", D302-C302)</f>
        <v/>
      </c>
      <c r="K302" s="17" t="n"/>
    </row>
    <row r="303">
      <c r="A303" s="17" t="n"/>
      <c r="B303" s="17" t="n"/>
      <c r="C303" s="17" t="n"/>
      <c r="D303" s="17" t="n"/>
      <c r="E303" s="15" t="n"/>
      <c r="F303" s="15" t="n"/>
      <c r="G303" s="17" t="n"/>
      <c r="H303" s="15">
        <f>IF(OR(E303="",F303="",G303=""),"", (F303-E303)*G303)</f>
        <v/>
      </c>
      <c r="I303" s="16">
        <f>IF(OR(E303="",F303=""),"", (F303/E303)-1)</f>
        <v/>
      </c>
      <c r="J303" s="17">
        <f>IF(OR(C303="",D303=""),"", D303-C303)</f>
        <v/>
      </c>
      <c r="K303" s="17" t="n"/>
    </row>
    <row r="304">
      <c r="A304" s="17" t="n"/>
      <c r="B304" s="17" t="n"/>
      <c r="C304" s="17" t="n"/>
      <c r="D304" s="17" t="n"/>
      <c r="E304" s="15" t="n"/>
      <c r="F304" s="15" t="n"/>
      <c r="G304" s="17" t="n"/>
      <c r="H304" s="15">
        <f>IF(OR(E304="",F304="",G304=""),"", (F304-E304)*G304)</f>
        <v/>
      </c>
      <c r="I304" s="16">
        <f>IF(OR(E304="",F304=""),"", (F304/E304)-1)</f>
        <v/>
      </c>
      <c r="J304" s="17">
        <f>IF(OR(C304="",D304=""),"", D304-C304)</f>
        <v/>
      </c>
      <c r="K304" s="17" t="n"/>
    </row>
    <row r="305">
      <c r="A305" s="17" t="n"/>
      <c r="B305" s="17" t="n"/>
      <c r="C305" s="17" t="n"/>
      <c r="D305" s="17" t="n"/>
      <c r="E305" s="15" t="n"/>
      <c r="F305" s="15" t="n"/>
      <c r="G305" s="17" t="n"/>
      <c r="H305" s="15">
        <f>IF(OR(E305="",F305="",G305=""),"", (F305-E305)*G305)</f>
        <v/>
      </c>
      <c r="I305" s="16">
        <f>IF(OR(E305="",F305=""),"", (F305/E305)-1)</f>
        <v/>
      </c>
      <c r="J305" s="17">
        <f>IF(OR(C305="",D305=""),"", D305-C305)</f>
        <v/>
      </c>
      <c r="K305" s="17" t="n"/>
    </row>
    <row r="306">
      <c r="A306" s="17" t="n"/>
      <c r="B306" s="17" t="n"/>
      <c r="C306" s="17" t="n"/>
      <c r="D306" s="17" t="n"/>
      <c r="E306" s="15" t="n"/>
      <c r="F306" s="15" t="n"/>
      <c r="G306" s="17" t="n"/>
      <c r="H306" s="15">
        <f>IF(OR(E306="",F306="",G306=""),"", (F306-E306)*G306)</f>
        <v/>
      </c>
      <c r="I306" s="16">
        <f>IF(OR(E306="",F306=""),"", (F306/E306)-1)</f>
        <v/>
      </c>
      <c r="J306" s="17">
        <f>IF(OR(C306="",D306=""),"", D306-C306)</f>
        <v/>
      </c>
      <c r="K306" s="17" t="n"/>
    </row>
    <row r="307">
      <c r="A307" s="17" t="n"/>
      <c r="B307" s="17" t="n"/>
      <c r="C307" s="17" t="n"/>
      <c r="D307" s="17" t="n"/>
      <c r="E307" s="15" t="n"/>
      <c r="F307" s="15" t="n"/>
      <c r="G307" s="17" t="n"/>
      <c r="H307" s="15">
        <f>IF(OR(E307="",F307="",G307=""),"", (F307-E307)*G307)</f>
        <v/>
      </c>
      <c r="I307" s="16">
        <f>IF(OR(E307="",F307=""),"", (F307/E307)-1)</f>
        <v/>
      </c>
      <c r="J307" s="17">
        <f>IF(OR(C307="",D307=""),"", D307-C307)</f>
        <v/>
      </c>
      <c r="K307" s="17" t="n"/>
    </row>
    <row r="308">
      <c r="A308" s="17" t="n"/>
      <c r="B308" s="17" t="n"/>
      <c r="C308" s="17" t="n"/>
      <c r="D308" s="17" t="n"/>
      <c r="E308" s="15" t="n"/>
      <c r="F308" s="15" t="n"/>
      <c r="G308" s="17" t="n"/>
      <c r="H308" s="15">
        <f>IF(OR(E308="",F308="",G308=""),"", (F308-E308)*G308)</f>
        <v/>
      </c>
      <c r="I308" s="16">
        <f>IF(OR(E308="",F308=""),"", (F308/E308)-1)</f>
        <v/>
      </c>
      <c r="J308" s="17">
        <f>IF(OR(C308="",D308=""),"", D308-C308)</f>
        <v/>
      </c>
      <c r="K308" s="17" t="n"/>
    </row>
    <row r="309">
      <c r="A309" s="17" t="n"/>
      <c r="B309" s="17" t="n"/>
      <c r="C309" s="17" t="n"/>
      <c r="D309" s="17" t="n"/>
      <c r="E309" s="15" t="n"/>
      <c r="F309" s="15" t="n"/>
      <c r="G309" s="17" t="n"/>
      <c r="H309" s="15">
        <f>IF(OR(E309="",F309="",G309=""),"", (F309-E309)*G309)</f>
        <v/>
      </c>
      <c r="I309" s="16">
        <f>IF(OR(E309="",F309=""),"", (F309/E309)-1)</f>
        <v/>
      </c>
      <c r="J309" s="17">
        <f>IF(OR(C309="",D309=""),"", D309-C309)</f>
        <v/>
      </c>
      <c r="K309" s="17" t="n"/>
    </row>
    <row r="310">
      <c r="A310" s="17" t="n"/>
      <c r="B310" s="17" t="n"/>
      <c r="C310" s="17" t="n"/>
      <c r="D310" s="17" t="n"/>
      <c r="E310" s="15" t="n"/>
      <c r="F310" s="15" t="n"/>
      <c r="G310" s="17" t="n"/>
      <c r="H310" s="15">
        <f>IF(OR(E310="",F310="",G310=""),"", (F310-E310)*G310)</f>
        <v/>
      </c>
      <c r="I310" s="16">
        <f>IF(OR(E310="",F310=""),"", (F310/E310)-1)</f>
        <v/>
      </c>
      <c r="J310" s="17">
        <f>IF(OR(C310="",D310=""),"", D310-C310)</f>
        <v/>
      </c>
      <c r="K310" s="17" t="n"/>
    </row>
    <row r="311">
      <c r="A311" s="17" t="n"/>
      <c r="B311" s="17" t="n"/>
      <c r="C311" s="17" t="n"/>
      <c r="D311" s="17" t="n"/>
      <c r="E311" s="15" t="n"/>
      <c r="F311" s="15" t="n"/>
      <c r="G311" s="17" t="n"/>
      <c r="H311" s="15">
        <f>IF(OR(E311="",F311="",G311=""),"", (F311-E311)*G311)</f>
        <v/>
      </c>
      <c r="I311" s="16">
        <f>IF(OR(E311="",F311=""),"", (F311/E311)-1)</f>
        <v/>
      </c>
      <c r="J311" s="17">
        <f>IF(OR(C311="",D311=""),"", D311-C311)</f>
        <v/>
      </c>
      <c r="K311" s="17" t="n"/>
    </row>
    <row r="312">
      <c r="A312" s="17" t="n"/>
      <c r="B312" s="17" t="n"/>
      <c r="C312" s="17" t="n"/>
      <c r="D312" s="17" t="n"/>
      <c r="E312" s="15" t="n"/>
      <c r="F312" s="15" t="n"/>
      <c r="G312" s="17" t="n"/>
      <c r="H312" s="15">
        <f>IF(OR(E312="",F312="",G312=""),"", (F312-E312)*G312)</f>
        <v/>
      </c>
      <c r="I312" s="16">
        <f>IF(OR(E312="",F312=""),"", (F312/E312)-1)</f>
        <v/>
      </c>
      <c r="J312" s="17">
        <f>IF(OR(C312="",D312=""),"", D312-C312)</f>
        <v/>
      </c>
      <c r="K312" s="17" t="n"/>
    </row>
    <row r="313">
      <c r="A313" s="17" t="n"/>
      <c r="B313" s="17" t="n"/>
      <c r="C313" s="17" t="n"/>
      <c r="D313" s="17" t="n"/>
      <c r="E313" s="15" t="n"/>
      <c r="F313" s="15" t="n"/>
      <c r="G313" s="17" t="n"/>
      <c r="H313" s="15">
        <f>IF(OR(E313="",F313="",G313=""),"", (F313-E313)*G313)</f>
        <v/>
      </c>
      <c r="I313" s="16">
        <f>IF(OR(E313="",F313=""),"", (F313/E313)-1)</f>
        <v/>
      </c>
      <c r="J313" s="17">
        <f>IF(OR(C313="",D313=""),"", D313-C313)</f>
        <v/>
      </c>
      <c r="K313" s="17" t="n"/>
    </row>
    <row r="314">
      <c r="A314" s="17" t="n"/>
      <c r="B314" s="17" t="n"/>
      <c r="C314" s="17" t="n"/>
      <c r="D314" s="17" t="n"/>
      <c r="E314" s="15" t="n"/>
      <c r="F314" s="15" t="n"/>
      <c r="G314" s="17" t="n"/>
      <c r="H314" s="15">
        <f>IF(OR(E314="",F314="",G314=""),"", (F314-E314)*G314)</f>
        <v/>
      </c>
      <c r="I314" s="16">
        <f>IF(OR(E314="",F314=""),"", (F314/E314)-1)</f>
        <v/>
      </c>
      <c r="J314" s="17">
        <f>IF(OR(C314="",D314=""),"", D314-C314)</f>
        <v/>
      </c>
      <c r="K314" s="17" t="n"/>
    </row>
    <row r="315">
      <c r="A315" s="17" t="n"/>
      <c r="B315" s="17" t="n"/>
      <c r="C315" s="17" t="n"/>
      <c r="D315" s="17" t="n"/>
      <c r="E315" s="15" t="n"/>
      <c r="F315" s="15" t="n"/>
      <c r="G315" s="17" t="n"/>
      <c r="H315" s="15">
        <f>IF(OR(E315="",F315="",G315=""),"", (F315-E315)*G315)</f>
        <v/>
      </c>
      <c r="I315" s="16">
        <f>IF(OR(E315="",F315=""),"", (F315/E315)-1)</f>
        <v/>
      </c>
      <c r="J315" s="17">
        <f>IF(OR(C315="",D315=""),"", D315-C315)</f>
        <v/>
      </c>
      <c r="K315" s="17" t="n"/>
    </row>
    <row r="316">
      <c r="A316" s="17" t="n"/>
      <c r="B316" s="17" t="n"/>
      <c r="C316" s="17" t="n"/>
      <c r="D316" s="17" t="n"/>
      <c r="E316" s="15" t="n"/>
      <c r="F316" s="15" t="n"/>
      <c r="G316" s="17" t="n"/>
      <c r="H316" s="15">
        <f>IF(OR(E316="",F316="",G316=""),"", (F316-E316)*G316)</f>
        <v/>
      </c>
      <c r="I316" s="16">
        <f>IF(OR(E316="",F316=""),"", (F316/E316)-1)</f>
        <v/>
      </c>
      <c r="J316" s="17">
        <f>IF(OR(C316="",D316=""),"", D316-C316)</f>
        <v/>
      </c>
      <c r="K316" s="17" t="n"/>
    </row>
    <row r="317">
      <c r="A317" s="17" t="n"/>
      <c r="B317" s="17" t="n"/>
      <c r="C317" s="17" t="n"/>
      <c r="D317" s="17" t="n"/>
      <c r="E317" s="15" t="n"/>
      <c r="F317" s="15" t="n"/>
      <c r="G317" s="17" t="n"/>
      <c r="H317" s="15">
        <f>IF(OR(E317="",F317="",G317=""),"", (F317-E317)*G317)</f>
        <v/>
      </c>
      <c r="I317" s="16">
        <f>IF(OR(E317="",F317=""),"", (F317/E317)-1)</f>
        <v/>
      </c>
      <c r="J317" s="17">
        <f>IF(OR(C317="",D317=""),"", D317-C317)</f>
        <v/>
      </c>
      <c r="K317" s="17" t="n"/>
    </row>
    <row r="318">
      <c r="A318" s="17" t="n"/>
      <c r="B318" s="17" t="n"/>
      <c r="C318" s="17" t="n"/>
      <c r="D318" s="17" t="n"/>
      <c r="E318" s="15" t="n"/>
      <c r="F318" s="15" t="n"/>
      <c r="G318" s="17" t="n"/>
      <c r="H318" s="15">
        <f>IF(OR(E318="",F318="",G318=""),"", (F318-E318)*G318)</f>
        <v/>
      </c>
      <c r="I318" s="16">
        <f>IF(OR(E318="",F318=""),"", (F318/E318)-1)</f>
        <v/>
      </c>
      <c r="J318" s="17">
        <f>IF(OR(C318="",D318=""),"", D318-C318)</f>
        <v/>
      </c>
      <c r="K318" s="17" t="n"/>
    </row>
    <row r="319">
      <c r="A319" s="17" t="n"/>
      <c r="B319" s="17" t="n"/>
      <c r="C319" s="17" t="n"/>
      <c r="D319" s="17" t="n"/>
      <c r="E319" s="15" t="n"/>
      <c r="F319" s="15" t="n"/>
      <c r="G319" s="17" t="n"/>
      <c r="H319" s="15">
        <f>IF(OR(E319="",F319="",G319=""),"", (F319-E319)*G319)</f>
        <v/>
      </c>
      <c r="I319" s="16">
        <f>IF(OR(E319="",F319=""),"", (F319/E319)-1)</f>
        <v/>
      </c>
      <c r="J319" s="17">
        <f>IF(OR(C319="",D319=""),"", D319-C319)</f>
        <v/>
      </c>
      <c r="K319" s="17" t="n"/>
    </row>
    <row r="320">
      <c r="A320" s="17" t="n"/>
      <c r="B320" s="17" t="n"/>
      <c r="C320" s="17" t="n"/>
      <c r="D320" s="17" t="n"/>
      <c r="E320" s="15" t="n"/>
      <c r="F320" s="15" t="n"/>
      <c r="G320" s="17" t="n"/>
      <c r="H320" s="15">
        <f>IF(OR(E320="",F320="",G320=""),"", (F320-E320)*G320)</f>
        <v/>
      </c>
      <c r="I320" s="16">
        <f>IF(OR(E320="",F320=""),"", (F320/E320)-1)</f>
        <v/>
      </c>
      <c r="J320" s="17">
        <f>IF(OR(C320="",D320=""),"", D320-C320)</f>
        <v/>
      </c>
      <c r="K320" s="17" t="n"/>
    </row>
    <row r="321">
      <c r="A321" s="17" t="n"/>
      <c r="B321" s="17" t="n"/>
      <c r="C321" s="17" t="n"/>
      <c r="D321" s="17" t="n"/>
      <c r="E321" s="15" t="n"/>
      <c r="F321" s="15" t="n"/>
      <c r="G321" s="17" t="n"/>
      <c r="H321" s="15">
        <f>IF(OR(E321="",F321="",G321=""),"", (F321-E321)*G321)</f>
        <v/>
      </c>
      <c r="I321" s="16">
        <f>IF(OR(E321="",F321=""),"", (F321/E321)-1)</f>
        <v/>
      </c>
      <c r="J321" s="17">
        <f>IF(OR(C321="",D321=""),"", D321-C321)</f>
        <v/>
      </c>
      <c r="K321" s="17" t="n"/>
    </row>
    <row r="322">
      <c r="A322" s="17" t="n"/>
      <c r="B322" s="17" t="n"/>
      <c r="C322" s="17" t="n"/>
      <c r="D322" s="17" t="n"/>
      <c r="E322" s="15" t="n"/>
      <c r="F322" s="15" t="n"/>
      <c r="G322" s="17" t="n"/>
      <c r="H322" s="15">
        <f>IF(OR(E322="",F322="",G322=""),"", (F322-E322)*G322)</f>
        <v/>
      </c>
      <c r="I322" s="16">
        <f>IF(OR(E322="",F322=""),"", (F322/E322)-1)</f>
        <v/>
      </c>
      <c r="J322" s="17">
        <f>IF(OR(C322="",D322=""),"", D322-C322)</f>
        <v/>
      </c>
      <c r="K322" s="17" t="n"/>
    </row>
    <row r="323">
      <c r="A323" s="17" t="n"/>
      <c r="B323" s="17" t="n"/>
      <c r="C323" s="17" t="n"/>
      <c r="D323" s="17" t="n"/>
      <c r="E323" s="15" t="n"/>
      <c r="F323" s="15" t="n"/>
      <c r="G323" s="17" t="n"/>
      <c r="H323" s="15">
        <f>IF(OR(E323="",F323="",G323=""),"", (F323-E323)*G323)</f>
        <v/>
      </c>
      <c r="I323" s="16">
        <f>IF(OR(E323="",F323=""),"", (F323/E323)-1)</f>
        <v/>
      </c>
      <c r="J323" s="17">
        <f>IF(OR(C323="",D323=""),"", D323-C323)</f>
        <v/>
      </c>
      <c r="K323" s="17" t="n"/>
    </row>
    <row r="324">
      <c r="A324" s="17" t="n"/>
      <c r="B324" s="17" t="n"/>
      <c r="C324" s="17" t="n"/>
      <c r="D324" s="17" t="n"/>
      <c r="E324" s="15" t="n"/>
      <c r="F324" s="15" t="n"/>
      <c r="G324" s="17" t="n"/>
      <c r="H324" s="15">
        <f>IF(OR(E324="",F324="",G324=""),"", (F324-E324)*G324)</f>
        <v/>
      </c>
      <c r="I324" s="16">
        <f>IF(OR(E324="",F324=""),"", (F324/E324)-1)</f>
        <v/>
      </c>
      <c r="J324" s="17">
        <f>IF(OR(C324="",D324=""),"", D324-C324)</f>
        <v/>
      </c>
      <c r="K324" s="17" t="n"/>
    </row>
    <row r="325">
      <c r="A325" s="17" t="n"/>
      <c r="B325" s="17" t="n"/>
      <c r="C325" s="17" t="n"/>
      <c r="D325" s="17" t="n"/>
      <c r="E325" s="15" t="n"/>
      <c r="F325" s="15" t="n"/>
      <c r="G325" s="17" t="n"/>
      <c r="H325" s="15">
        <f>IF(OR(E325="",F325="",G325=""),"", (F325-E325)*G325)</f>
        <v/>
      </c>
      <c r="I325" s="16">
        <f>IF(OR(E325="",F325=""),"", (F325/E325)-1)</f>
        <v/>
      </c>
      <c r="J325" s="17">
        <f>IF(OR(C325="",D325=""),"", D325-C325)</f>
        <v/>
      </c>
      <c r="K325" s="17" t="n"/>
    </row>
    <row r="326">
      <c r="A326" s="17" t="n"/>
      <c r="B326" s="17" t="n"/>
      <c r="C326" s="17" t="n"/>
      <c r="D326" s="17" t="n"/>
      <c r="E326" s="15" t="n"/>
      <c r="F326" s="15" t="n"/>
      <c r="G326" s="17" t="n"/>
      <c r="H326" s="15">
        <f>IF(OR(E326="",F326="",G326=""),"", (F326-E326)*G326)</f>
        <v/>
      </c>
      <c r="I326" s="16">
        <f>IF(OR(E326="",F326=""),"", (F326/E326)-1)</f>
        <v/>
      </c>
      <c r="J326" s="17">
        <f>IF(OR(C326="",D326=""),"", D326-C326)</f>
        <v/>
      </c>
      <c r="K326" s="17" t="n"/>
    </row>
    <row r="327">
      <c r="A327" s="17" t="n"/>
      <c r="B327" s="17" t="n"/>
      <c r="C327" s="17" t="n"/>
      <c r="D327" s="17" t="n"/>
      <c r="E327" s="15" t="n"/>
      <c r="F327" s="15" t="n"/>
      <c r="G327" s="17" t="n"/>
      <c r="H327" s="15">
        <f>IF(OR(E327="",F327="",G327=""),"", (F327-E327)*G327)</f>
        <v/>
      </c>
      <c r="I327" s="16">
        <f>IF(OR(E327="",F327=""),"", (F327/E327)-1)</f>
        <v/>
      </c>
      <c r="J327" s="17">
        <f>IF(OR(C327="",D327=""),"", D327-C327)</f>
        <v/>
      </c>
      <c r="K327" s="17" t="n"/>
    </row>
    <row r="328">
      <c r="A328" s="17" t="n"/>
      <c r="B328" s="17" t="n"/>
      <c r="C328" s="17" t="n"/>
      <c r="D328" s="17" t="n"/>
      <c r="E328" s="15" t="n"/>
      <c r="F328" s="15" t="n"/>
      <c r="G328" s="17" t="n"/>
      <c r="H328" s="15">
        <f>IF(OR(E328="",F328="",G328=""),"", (F328-E328)*G328)</f>
        <v/>
      </c>
      <c r="I328" s="16">
        <f>IF(OR(E328="",F328=""),"", (F328/E328)-1)</f>
        <v/>
      </c>
      <c r="J328" s="17">
        <f>IF(OR(C328="",D328=""),"", D328-C328)</f>
        <v/>
      </c>
      <c r="K328" s="17" t="n"/>
    </row>
    <row r="329">
      <c r="A329" s="17" t="n"/>
      <c r="B329" s="17" t="n"/>
      <c r="C329" s="17" t="n"/>
      <c r="D329" s="17" t="n"/>
      <c r="E329" s="15" t="n"/>
      <c r="F329" s="15" t="n"/>
      <c r="G329" s="17" t="n"/>
      <c r="H329" s="15">
        <f>IF(OR(E329="",F329="",G329=""),"", (F329-E329)*G329)</f>
        <v/>
      </c>
      <c r="I329" s="16">
        <f>IF(OR(E329="",F329=""),"", (F329/E329)-1)</f>
        <v/>
      </c>
      <c r="J329" s="17">
        <f>IF(OR(C329="",D329=""),"", D329-C329)</f>
        <v/>
      </c>
      <c r="K329" s="17" t="n"/>
    </row>
    <row r="330">
      <c r="A330" s="17" t="n"/>
      <c r="B330" s="17" t="n"/>
      <c r="C330" s="17" t="n"/>
      <c r="D330" s="17" t="n"/>
      <c r="E330" s="15" t="n"/>
      <c r="F330" s="15" t="n"/>
      <c r="G330" s="17" t="n"/>
      <c r="H330" s="15">
        <f>IF(OR(E330="",F330="",G330=""),"", (F330-E330)*G330)</f>
        <v/>
      </c>
      <c r="I330" s="16">
        <f>IF(OR(E330="",F330=""),"", (F330/E330)-1)</f>
        <v/>
      </c>
      <c r="J330" s="17">
        <f>IF(OR(C330="",D330=""),"", D330-C330)</f>
        <v/>
      </c>
      <c r="K330" s="17" t="n"/>
    </row>
    <row r="331">
      <c r="A331" s="17" t="n"/>
      <c r="B331" s="17" t="n"/>
      <c r="C331" s="17" t="n"/>
      <c r="D331" s="17" t="n"/>
      <c r="E331" s="15" t="n"/>
      <c r="F331" s="15" t="n"/>
      <c r="G331" s="17" t="n"/>
      <c r="H331" s="15">
        <f>IF(OR(E331="",F331="",G331=""),"", (F331-E331)*G331)</f>
        <v/>
      </c>
      <c r="I331" s="16">
        <f>IF(OR(E331="",F331=""),"", (F331/E331)-1)</f>
        <v/>
      </c>
      <c r="J331" s="17">
        <f>IF(OR(C331="",D331=""),"", D331-C331)</f>
        <v/>
      </c>
      <c r="K331" s="17" t="n"/>
    </row>
    <row r="332">
      <c r="A332" s="17" t="n"/>
      <c r="B332" s="17" t="n"/>
      <c r="C332" s="17" t="n"/>
      <c r="D332" s="17" t="n"/>
      <c r="E332" s="15" t="n"/>
      <c r="F332" s="15" t="n"/>
      <c r="G332" s="17" t="n"/>
      <c r="H332" s="15">
        <f>IF(OR(E332="",F332="",G332=""),"", (F332-E332)*G332)</f>
        <v/>
      </c>
      <c r="I332" s="16">
        <f>IF(OR(E332="",F332=""),"", (F332/E332)-1)</f>
        <v/>
      </c>
      <c r="J332" s="17">
        <f>IF(OR(C332="",D332=""),"", D332-C332)</f>
        <v/>
      </c>
      <c r="K332" s="17" t="n"/>
    </row>
    <row r="333">
      <c r="A333" s="17" t="n"/>
      <c r="B333" s="17" t="n"/>
      <c r="C333" s="17" t="n"/>
      <c r="D333" s="17" t="n"/>
      <c r="E333" s="15" t="n"/>
      <c r="F333" s="15" t="n"/>
      <c r="G333" s="17" t="n"/>
      <c r="H333" s="15">
        <f>IF(OR(E333="",F333="",G333=""),"", (F333-E333)*G333)</f>
        <v/>
      </c>
      <c r="I333" s="16">
        <f>IF(OR(E333="",F333=""),"", (F333/E333)-1)</f>
        <v/>
      </c>
      <c r="J333" s="17">
        <f>IF(OR(C333="",D333=""),"", D333-C333)</f>
        <v/>
      </c>
      <c r="K333" s="17" t="n"/>
    </row>
    <row r="334">
      <c r="A334" s="17" t="n"/>
      <c r="B334" s="17" t="n"/>
      <c r="C334" s="17" t="n"/>
      <c r="D334" s="17" t="n"/>
      <c r="E334" s="15" t="n"/>
      <c r="F334" s="15" t="n"/>
      <c r="G334" s="17" t="n"/>
      <c r="H334" s="15">
        <f>IF(OR(E334="",F334="",G334=""),"", (F334-E334)*G334)</f>
        <v/>
      </c>
      <c r="I334" s="16">
        <f>IF(OR(E334="",F334=""),"", (F334/E334)-1)</f>
        <v/>
      </c>
      <c r="J334" s="17">
        <f>IF(OR(C334="",D334=""),"", D334-C334)</f>
        <v/>
      </c>
      <c r="K334" s="17" t="n"/>
    </row>
    <row r="335">
      <c r="A335" s="17" t="n"/>
      <c r="B335" s="17" t="n"/>
      <c r="C335" s="17" t="n"/>
      <c r="D335" s="17" t="n"/>
      <c r="E335" s="15" t="n"/>
      <c r="F335" s="15" t="n"/>
      <c r="G335" s="17" t="n"/>
      <c r="H335" s="15">
        <f>IF(OR(E335="",F335="",G335=""),"", (F335-E335)*G335)</f>
        <v/>
      </c>
      <c r="I335" s="16">
        <f>IF(OR(E335="",F335=""),"", (F335/E335)-1)</f>
        <v/>
      </c>
      <c r="J335" s="17">
        <f>IF(OR(C335="",D335=""),"", D335-C335)</f>
        <v/>
      </c>
      <c r="K335" s="17" t="n"/>
    </row>
    <row r="336">
      <c r="A336" s="17" t="n"/>
      <c r="B336" s="17" t="n"/>
      <c r="C336" s="17" t="n"/>
      <c r="D336" s="17" t="n"/>
      <c r="E336" s="15" t="n"/>
      <c r="F336" s="15" t="n"/>
      <c r="G336" s="17" t="n"/>
      <c r="H336" s="15">
        <f>IF(OR(E336="",F336="",G336=""),"", (F336-E336)*G336)</f>
        <v/>
      </c>
      <c r="I336" s="16">
        <f>IF(OR(E336="",F336=""),"", (F336/E336)-1)</f>
        <v/>
      </c>
      <c r="J336" s="17">
        <f>IF(OR(C336="",D336=""),"", D336-C336)</f>
        <v/>
      </c>
      <c r="K336" s="17" t="n"/>
    </row>
    <row r="337">
      <c r="A337" s="17" t="n"/>
      <c r="B337" s="17" t="n"/>
      <c r="C337" s="17" t="n"/>
      <c r="D337" s="17" t="n"/>
      <c r="E337" s="15" t="n"/>
      <c r="F337" s="15" t="n"/>
      <c r="G337" s="17" t="n"/>
      <c r="H337" s="15">
        <f>IF(OR(E337="",F337="",G337=""),"", (F337-E337)*G337)</f>
        <v/>
      </c>
      <c r="I337" s="16">
        <f>IF(OR(E337="",F337=""),"", (F337/E337)-1)</f>
        <v/>
      </c>
      <c r="J337" s="17">
        <f>IF(OR(C337="",D337=""),"", D337-C337)</f>
        <v/>
      </c>
      <c r="K337" s="17" t="n"/>
    </row>
    <row r="338">
      <c r="A338" s="17" t="n"/>
      <c r="B338" s="17" t="n"/>
      <c r="C338" s="17" t="n"/>
      <c r="D338" s="17" t="n"/>
      <c r="E338" s="15" t="n"/>
      <c r="F338" s="15" t="n"/>
      <c r="G338" s="17" t="n"/>
      <c r="H338" s="15">
        <f>IF(OR(E338="",F338="",G338=""),"", (F338-E338)*G338)</f>
        <v/>
      </c>
      <c r="I338" s="16">
        <f>IF(OR(E338="",F338=""),"", (F338/E338)-1)</f>
        <v/>
      </c>
      <c r="J338" s="17">
        <f>IF(OR(C338="",D338=""),"", D338-C338)</f>
        <v/>
      </c>
      <c r="K338" s="17" t="n"/>
    </row>
    <row r="339">
      <c r="A339" s="17" t="n"/>
      <c r="B339" s="17" t="n"/>
      <c r="C339" s="17" t="n"/>
      <c r="D339" s="17" t="n"/>
      <c r="E339" s="15" t="n"/>
      <c r="F339" s="15" t="n"/>
      <c r="G339" s="17" t="n"/>
      <c r="H339" s="15">
        <f>IF(OR(E339="",F339="",G339=""),"", (F339-E339)*G339)</f>
        <v/>
      </c>
      <c r="I339" s="16">
        <f>IF(OR(E339="",F339=""),"", (F339/E339)-1)</f>
        <v/>
      </c>
      <c r="J339" s="17">
        <f>IF(OR(C339="",D339=""),"", D339-C339)</f>
        <v/>
      </c>
      <c r="K339" s="17" t="n"/>
    </row>
    <row r="340">
      <c r="A340" s="17" t="n"/>
      <c r="B340" s="17" t="n"/>
      <c r="C340" s="17" t="n"/>
      <c r="D340" s="17" t="n"/>
      <c r="E340" s="15" t="n"/>
      <c r="F340" s="15" t="n"/>
      <c r="G340" s="17" t="n"/>
      <c r="H340" s="15">
        <f>IF(OR(E340="",F340="",G340=""),"", (F340-E340)*G340)</f>
        <v/>
      </c>
      <c r="I340" s="16">
        <f>IF(OR(E340="",F340=""),"", (F340/E340)-1)</f>
        <v/>
      </c>
      <c r="J340" s="17">
        <f>IF(OR(C340="",D340=""),"", D340-C340)</f>
        <v/>
      </c>
      <c r="K340" s="17" t="n"/>
    </row>
    <row r="341">
      <c r="A341" s="17" t="n"/>
      <c r="B341" s="17" t="n"/>
      <c r="C341" s="17" t="n"/>
      <c r="D341" s="17" t="n"/>
      <c r="E341" s="15" t="n"/>
      <c r="F341" s="15" t="n"/>
      <c r="G341" s="17" t="n"/>
      <c r="H341" s="15">
        <f>IF(OR(E341="",F341="",G341=""),"", (F341-E341)*G341)</f>
        <v/>
      </c>
      <c r="I341" s="16">
        <f>IF(OR(E341="",F341=""),"", (F341/E341)-1)</f>
        <v/>
      </c>
      <c r="J341" s="17">
        <f>IF(OR(C341="",D341=""),"", D341-C341)</f>
        <v/>
      </c>
      <c r="K341" s="17" t="n"/>
    </row>
    <row r="342">
      <c r="A342" s="17" t="n"/>
      <c r="B342" s="17" t="n"/>
      <c r="C342" s="17" t="n"/>
      <c r="D342" s="17" t="n"/>
      <c r="E342" s="15" t="n"/>
      <c r="F342" s="15" t="n"/>
      <c r="G342" s="17" t="n"/>
      <c r="H342" s="15">
        <f>IF(OR(E342="",F342="",G342=""),"", (F342-E342)*G342)</f>
        <v/>
      </c>
      <c r="I342" s="16">
        <f>IF(OR(E342="",F342=""),"", (F342/E342)-1)</f>
        <v/>
      </c>
      <c r="J342" s="17">
        <f>IF(OR(C342="",D342=""),"", D342-C342)</f>
        <v/>
      </c>
      <c r="K342" s="17" t="n"/>
    </row>
    <row r="343">
      <c r="A343" s="17" t="n"/>
      <c r="B343" s="17" t="n"/>
      <c r="C343" s="17" t="n"/>
      <c r="D343" s="17" t="n"/>
      <c r="E343" s="15" t="n"/>
      <c r="F343" s="15" t="n"/>
      <c r="G343" s="17" t="n"/>
      <c r="H343" s="15">
        <f>IF(OR(E343="",F343="",G343=""),"", (F343-E343)*G343)</f>
        <v/>
      </c>
      <c r="I343" s="16">
        <f>IF(OR(E343="",F343=""),"", (F343/E343)-1)</f>
        <v/>
      </c>
      <c r="J343" s="17">
        <f>IF(OR(C343="",D343=""),"", D343-C343)</f>
        <v/>
      </c>
      <c r="K343" s="17" t="n"/>
    </row>
    <row r="344">
      <c r="A344" s="17" t="n"/>
      <c r="B344" s="17" t="n"/>
      <c r="C344" s="17" t="n"/>
      <c r="D344" s="17" t="n"/>
      <c r="E344" s="15" t="n"/>
      <c r="F344" s="15" t="n"/>
      <c r="G344" s="17" t="n"/>
      <c r="H344" s="15">
        <f>IF(OR(E344="",F344="",G344=""),"", (F344-E344)*G344)</f>
        <v/>
      </c>
      <c r="I344" s="16">
        <f>IF(OR(E344="",F344=""),"", (F344/E344)-1)</f>
        <v/>
      </c>
      <c r="J344" s="17">
        <f>IF(OR(C344="",D344=""),"", D344-C344)</f>
        <v/>
      </c>
      <c r="K344" s="17" t="n"/>
    </row>
    <row r="345">
      <c r="A345" s="17" t="n"/>
      <c r="B345" s="17" t="n"/>
      <c r="C345" s="17" t="n"/>
      <c r="D345" s="17" t="n"/>
      <c r="E345" s="15" t="n"/>
      <c r="F345" s="15" t="n"/>
      <c r="G345" s="17" t="n"/>
      <c r="H345" s="15">
        <f>IF(OR(E345="",F345="",G345=""),"", (F345-E345)*G345)</f>
        <v/>
      </c>
      <c r="I345" s="16">
        <f>IF(OR(E345="",F345=""),"", (F345/E345)-1)</f>
        <v/>
      </c>
      <c r="J345" s="17">
        <f>IF(OR(C345="",D345=""),"", D345-C345)</f>
        <v/>
      </c>
      <c r="K345" s="17" t="n"/>
    </row>
    <row r="346">
      <c r="A346" s="17" t="n"/>
      <c r="B346" s="17" t="n"/>
      <c r="C346" s="17" t="n"/>
      <c r="D346" s="17" t="n"/>
      <c r="E346" s="15" t="n"/>
      <c r="F346" s="15" t="n"/>
      <c r="G346" s="17" t="n"/>
      <c r="H346" s="15">
        <f>IF(OR(E346="",F346="",G346=""),"", (F346-E346)*G346)</f>
        <v/>
      </c>
      <c r="I346" s="16">
        <f>IF(OR(E346="",F346=""),"", (F346/E346)-1)</f>
        <v/>
      </c>
      <c r="J346" s="17">
        <f>IF(OR(C346="",D346=""),"", D346-C346)</f>
        <v/>
      </c>
      <c r="K346" s="17" t="n"/>
    </row>
    <row r="347">
      <c r="A347" s="17" t="n"/>
      <c r="B347" s="17" t="n"/>
      <c r="C347" s="17" t="n"/>
      <c r="D347" s="17" t="n"/>
      <c r="E347" s="15" t="n"/>
      <c r="F347" s="15" t="n"/>
      <c r="G347" s="17" t="n"/>
      <c r="H347" s="15">
        <f>IF(OR(E347="",F347="",G347=""),"", (F347-E347)*G347)</f>
        <v/>
      </c>
      <c r="I347" s="16">
        <f>IF(OR(E347="",F347=""),"", (F347/E347)-1)</f>
        <v/>
      </c>
      <c r="J347" s="17">
        <f>IF(OR(C347="",D347=""),"", D347-C347)</f>
        <v/>
      </c>
      <c r="K347" s="17" t="n"/>
    </row>
    <row r="348">
      <c r="A348" s="17" t="n"/>
      <c r="B348" s="17" t="n"/>
      <c r="C348" s="17" t="n"/>
      <c r="D348" s="17" t="n"/>
      <c r="E348" s="15" t="n"/>
      <c r="F348" s="15" t="n"/>
      <c r="G348" s="17" t="n"/>
      <c r="H348" s="15">
        <f>IF(OR(E348="",F348="",G348=""),"", (F348-E348)*G348)</f>
        <v/>
      </c>
      <c r="I348" s="16">
        <f>IF(OR(E348="",F348=""),"", (F348/E348)-1)</f>
        <v/>
      </c>
      <c r="J348" s="17">
        <f>IF(OR(C348="",D348=""),"", D348-C348)</f>
        <v/>
      </c>
      <c r="K348" s="17" t="n"/>
    </row>
    <row r="349">
      <c r="A349" s="17" t="n"/>
      <c r="B349" s="17" t="n"/>
      <c r="C349" s="17" t="n"/>
      <c r="D349" s="17" t="n"/>
      <c r="E349" s="15" t="n"/>
      <c r="F349" s="15" t="n"/>
      <c r="G349" s="17" t="n"/>
      <c r="H349" s="15">
        <f>IF(OR(E349="",F349="",G349=""),"", (F349-E349)*G349)</f>
        <v/>
      </c>
      <c r="I349" s="16">
        <f>IF(OR(E349="",F349=""),"", (F349/E349)-1)</f>
        <v/>
      </c>
      <c r="J349" s="17">
        <f>IF(OR(C349="",D349=""),"", D349-C349)</f>
        <v/>
      </c>
      <c r="K349" s="17" t="n"/>
    </row>
    <row r="350">
      <c r="A350" s="17" t="n"/>
      <c r="B350" s="17" t="n"/>
      <c r="C350" s="17" t="n"/>
      <c r="D350" s="17" t="n"/>
      <c r="E350" s="15" t="n"/>
      <c r="F350" s="15" t="n"/>
      <c r="G350" s="17" t="n"/>
      <c r="H350" s="15">
        <f>IF(OR(E350="",F350="",G350=""),"", (F350-E350)*G350)</f>
        <v/>
      </c>
      <c r="I350" s="16">
        <f>IF(OR(E350="",F350=""),"", (F350/E350)-1)</f>
        <v/>
      </c>
      <c r="J350" s="17">
        <f>IF(OR(C350="",D350=""),"", D350-C350)</f>
        <v/>
      </c>
      <c r="K350" s="17" t="n"/>
    </row>
    <row r="351">
      <c r="A351" s="17" t="n"/>
      <c r="B351" s="17" t="n"/>
      <c r="C351" s="17" t="n"/>
      <c r="D351" s="17" t="n"/>
      <c r="E351" s="15" t="n"/>
      <c r="F351" s="15" t="n"/>
      <c r="G351" s="17" t="n"/>
      <c r="H351" s="15">
        <f>IF(OR(E351="",F351="",G351=""),"", (F351-E351)*G351)</f>
        <v/>
      </c>
      <c r="I351" s="16">
        <f>IF(OR(E351="",F351=""),"", (F351/E351)-1)</f>
        <v/>
      </c>
      <c r="J351" s="17">
        <f>IF(OR(C351="",D351=""),"", D351-C351)</f>
        <v/>
      </c>
      <c r="K351" s="17" t="n"/>
    </row>
    <row r="352">
      <c r="A352" s="17" t="n"/>
      <c r="B352" s="17" t="n"/>
      <c r="C352" s="17" t="n"/>
      <c r="D352" s="17" t="n"/>
      <c r="E352" s="15" t="n"/>
      <c r="F352" s="15" t="n"/>
      <c r="G352" s="17" t="n"/>
      <c r="H352" s="15">
        <f>IF(OR(E352="",F352="",G352=""),"", (F352-E352)*G352)</f>
        <v/>
      </c>
      <c r="I352" s="16">
        <f>IF(OR(E352="",F352=""),"", (F352/E352)-1)</f>
        <v/>
      </c>
      <c r="J352" s="17">
        <f>IF(OR(C352="",D352=""),"", D352-C352)</f>
        <v/>
      </c>
      <c r="K352" s="17" t="n"/>
    </row>
    <row r="353">
      <c r="A353" s="17" t="n"/>
      <c r="B353" s="17" t="n"/>
      <c r="C353" s="17" t="n"/>
      <c r="D353" s="17" t="n"/>
      <c r="E353" s="15" t="n"/>
      <c r="F353" s="15" t="n"/>
      <c r="G353" s="17" t="n"/>
      <c r="H353" s="15">
        <f>IF(OR(E353="",F353="",G353=""),"", (F353-E353)*G353)</f>
        <v/>
      </c>
      <c r="I353" s="16">
        <f>IF(OR(E353="",F353=""),"", (F353/E353)-1)</f>
        <v/>
      </c>
      <c r="J353" s="17">
        <f>IF(OR(C353="",D353=""),"", D353-C353)</f>
        <v/>
      </c>
      <c r="K353" s="17" t="n"/>
    </row>
    <row r="354">
      <c r="A354" s="17" t="n"/>
      <c r="B354" s="17" t="n"/>
      <c r="C354" s="17" t="n"/>
      <c r="D354" s="17" t="n"/>
      <c r="E354" s="15" t="n"/>
      <c r="F354" s="15" t="n"/>
      <c r="G354" s="17" t="n"/>
      <c r="H354" s="15">
        <f>IF(OR(E354="",F354="",G354=""),"", (F354-E354)*G354)</f>
        <v/>
      </c>
      <c r="I354" s="16">
        <f>IF(OR(E354="",F354=""),"", (F354/E354)-1)</f>
        <v/>
      </c>
      <c r="J354" s="17">
        <f>IF(OR(C354="",D354=""),"", D354-C354)</f>
        <v/>
      </c>
      <c r="K354" s="17" t="n"/>
    </row>
    <row r="355">
      <c r="A355" s="17" t="n"/>
      <c r="B355" s="17" t="n"/>
      <c r="C355" s="17" t="n"/>
      <c r="D355" s="17" t="n"/>
      <c r="E355" s="15" t="n"/>
      <c r="F355" s="15" t="n"/>
      <c r="G355" s="17" t="n"/>
      <c r="H355" s="15">
        <f>IF(OR(E355="",F355="",G355=""),"", (F355-E355)*G355)</f>
        <v/>
      </c>
      <c r="I355" s="16">
        <f>IF(OR(E355="",F355=""),"", (F355/E355)-1)</f>
        <v/>
      </c>
      <c r="J355" s="17">
        <f>IF(OR(C355="",D355=""),"", D355-C355)</f>
        <v/>
      </c>
      <c r="K355" s="17" t="n"/>
    </row>
    <row r="356">
      <c r="A356" s="17" t="n"/>
      <c r="B356" s="17" t="n"/>
      <c r="C356" s="17" t="n"/>
      <c r="D356" s="17" t="n"/>
      <c r="E356" s="15" t="n"/>
      <c r="F356" s="15" t="n"/>
      <c r="G356" s="17" t="n"/>
      <c r="H356" s="15">
        <f>IF(OR(E356="",F356="",G356=""),"", (F356-E356)*G356)</f>
        <v/>
      </c>
      <c r="I356" s="16">
        <f>IF(OR(E356="",F356=""),"", (F356/E356)-1)</f>
        <v/>
      </c>
      <c r="J356" s="17">
        <f>IF(OR(C356="",D356=""),"", D356-C356)</f>
        <v/>
      </c>
      <c r="K356" s="17" t="n"/>
    </row>
    <row r="357">
      <c r="A357" s="17" t="n"/>
      <c r="B357" s="17" t="n"/>
      <c r="C357" s="17" t="n"/>
      <c r="D357" s="17" t="n"/>
      <c r="E357" s="15" t="n"/>
      <c r="F357" s="15" t="n"/>
      <c r="G357" s="17" t="n"/>
      <c r="H357" s="15">
        <f>IF(OR(E357="",F357="",G357=""),"", (F357-E357)*G357)</f>
        <v/>
      </c>
      <c r="I357" s="16">
        <f>IF(OR(E357="",F357=""),"", (F357/E357)-1)</f>
        <v/>
      </c>
      <c r="J357" s="17">
        <f>IF(OR(C357="",D357=""),"", D357-C357)</f>
        <v/>
      </c>
      <c r="K357" s="17" t="n"/>
    </row>
    <row r="358">
      <c r="A358" s="17" t="n"/>
      <c r="B358" s="17" t="n"/>
      <c r="C358" s="17" t="n"/>
      <c r="D358" s="17" t="n"/>
      <c r="E358" s="15" t="n"/>
      <c r="F358" s="15" t="n"/>
      <c r="G358" s="17" t="n"/>
      <c r="H358" s="15">
        <f>IF(OR(E358="",F358="",G358=""),"", (F358-E358)*G358)</f>
        <v/>
      </c>
      <c r="I358" s="16">
        <f>IF(OR(E358="",F358=""),"", (F358/E358)-1)</f>
        <v/>
      </c>
      <c r="J358" s="17">
        <f>IF(OR(C358="",D358=""),"", D358-C358)</f>
        <v/>
      </c>
      <c r="K358" s="17" t="n"/>
    </row>
    <row r="359">
      <c r="A359" s="17" t="n"/>
      <c r="B359" s="17" t="n"/>
      <c r="C359" s="17" t="n"/>
      <c r="D359" s="17" t="n"/>
      <c r="E359" s="15" t="n"/>
      <c r="F359" s="15" t="n"/>
      <c r="G359" s="17" t="n"/>
      <c r="H359" s="15">
        <f>IF(OR(E359="",F359="",G359=""),"", (F359-E359)*G359)</f>
        <v/>
      </c>
      <c r="I359" s="16">
        <f>IF(OR(E359="",F359=""),"", (F359/E359)-1)</f>
        <v/>
      </c>
      <c r="J359" s="17">
        <f>IF(OR(C359="",D359=""),"", D359-C359)</f>
        <v/>
      </c>
      <c r="K359" s="17" t="n"/>
    </row>
    <row r="360">
      <c r="A360" s="17" t="n"/>
      <c r="B360" s="17" t="n"/>
      <c r="C360" s="17" t="n"/>
      <c r="D360" s="17" t="n"/>
      <c r="E360" s="15" t="n"/>
      <c r="F360" s="15" t="n"/>
      <c r="G360" s="17" t="n"/>
      <c r="H360" s="15">
        <f>IF(OR(E360="",F360="",G360=""),"", (F360-E360)*G360)</f>
        <v/>
      </c>
      <c r="I360" s="16">
        <f>IF(OR(E360="",F360=""),"", (F360/E360)-1)</f>
        <v/>
      </c>
      <c r="J360" s="17">
        <f>IF(OR(C360="",D360=""),"", D360-C360)</f>
        <v/>
      </c>
      <c r="K360" s="17" t="n"/>
    </row>
    <row r="361">
      <c r="A361" s="17" t="n"/>
      <c r="B361" s="17" t="n"/>
      <c r="C361" s="17" t="n"/>
      <c r="D361" s="17" t="n"/>
      <c r="E361" s="15" t="n"/>
      <c r="F361" s="15" t="n"/>
      <c r="G361" s="17" t="n"/>
      <c r="H361" s="15">
        <f>IF(OR(E361="",F361="",G361=""),"", (F361-E361)*G361)</f>
        <v/>
      </c>
      <c r="I361" s="16">
        <f>IF(OR(E361="",F361=""),"", (F361/E361)-1)</f>
        <v/>
      </c>
      <c r="J361" s="17">
        <f>IF(OR(C361="",D361=""),"", D361-C361)</f>
        <v/>
      </c>
      <c r="K361" s="17" t="n"/>
    </row>
    <row r="362">
      <c r="A362" s="17" t="n"/>
      <c r="B362" s="17" t="n"/>
      <c r="C362" s="17" t="n"/>
      <c r="D362" s="17" t="n"/>
      <c r="E362" s="15" t="n"/>
      <c r="F362" s="15" t="n"/>
      <c r="G362" s="17" t="n"/>
      <c r="H362" s="15">
        <f>IF(OR(E362="",F362="",G362=""),"", (F362-E362)*G362)</f>
        <v/>
      </c>
      <c r="I362" s="16">
        <f>IF(OR(E362="",F362=""),"", (F362/E362)-1)</f>
        <v/>
      </c>
      <c r="J362" s="17">
        <f>IF(OR(C362="",D362=""),"", D362-C362)</f>
        <v/>
      </c>
      <c r="K362" s="17" t="n"/>
    </row>
    <row r="363">
      <c r="A363" s="17" t="n"/>
      <c r="B363" s="17" t="n"/>
      <c r="C363" s="17" t="n"/>
      <c r="D363" s="17" t="n"/>
      <c r="E363" s="15" t="n"/>
      <c r="F363" s="15" t="n"/>
      <c r="G363" s="17" t="n"/>
      <c r="H363" s="15">
        <f>IF(OR(E363="",F363="",G363=""),"", (F363-E363)*G363)</f>
        <v/>
      </c>
      <c r="I363" s="16">
        <f>IF(OR(E363="",F363=""),"", (F363/E363)-1)</f>
        <v/>
      </c>
      <c r="J363" s="17">
        <f>IF(OR(C363="",D363=""),"", D363-C363)</f>
        <v/>
      </c>
      <c r="K363" s="17" t="n"/>
    </row>
    <row r="364">
      <c r="A364" s="17" t="n"/>
      <c r="B364" s="17" t="n"/>
      <c r="C364" s="17" t="n"/>
      <c r="D364" s="17" t="n"/>
      <c r="E364" s="15" t="n"/>
      <c r="F364" s="15" t="n"/>
      <c r="G364" s="17" t="n"/>
      <c r="H364" s="15">
        <f>IF(OR(E364="",F364="",G364=""),"", (F364-E364)*G364)</f>
        <v/>
      </c>
      <c r="I364" s="16">
        <f>IF(OR(E364="",F364=""),"", (F364/E364)-1)</f>
        <v/>
      </c>
      <c r="J364" s="17">
        <f>IF(OR(C364="",D364=""),"", D364-C364)</f>
        <v/>
      </c>
      <c r="K364" s="17" t="n"/>
    </row>
    <row r="365">
      <c r="A365" s="17" t="n"/>
      <c r="B365" s="17" t="n"/>
      <c r="C365" s="17" t="n"/>
      <c r="D365" s="17" t="n"/>
      <c r="E365" s="15" t="n"/>
      <c r="F365" s="15" t="n"/>
      <c r="G365" s="17" t="n"/>
      <c r="H365" s="15">
        <f>IF(OR(E365="",F365="",G365=""),"", (F365-E365)*G365)</f>
        <v/>
      </c>
      <c r="I365" s="16">
        <f>IF(OR(E365="",F365=""),"", (F365/E365)-1)</f>
        <v/>
      </c>
      <c r="J365" s="17">
        <f>IF(OR(C365="",D365=""),"", D365-C365)</f>
        <v/>
      </c>
      <c r="K365" s="17" t="n"/>
    </row>
    <row r="366">
      <c r="A366" s="17" t="n"/>
      <c r="B366" s="17" t="n"/>
      <c r="C366" s="17" t="n"/>
      <c r="D366" s="17" t="n"/>
      <c r="E366" s="15" t="n"/>
      <c r="F366" s="15" t="n"/>
      <c r="G366" s="17" t="n"/>
      <c r="H366" s="15">
        <f>IF(OR(E366="",F366="",G366=""),"", (F366-E366)*G366)</f>
        <v/>
      </c>
      <c r="I366" s="16">
        <f>IF(OR(E366="",F366=""),"", (F366/E366)-1)</f>
        <v/>
      </c>
      <c r="J366" s="17">
        <f>IF(OR(C366="",D366=""),"", D366-C366)</f>
        <v/>
      </c>
      <c r="K366" s="17" t="n"/>
    </row>
    <row r="367">
      <c r="A367" s="17" t="n"/>
      <c r="B367" s="17" t="n"/>
      <c r="C367" s="17" t="n"/>
      <c r="D367" s="17" t="n"/>
      <c r="E367" s="15" t="n"/>
      <c r="F367" s="15" t="n"/>
      <c r="G367" s="17" t="n"/>
      <c r="H367" s="15">
        <f>IF(OR(E367="",F367="",G367=""),"", (F367-E367)*G367)</f>
        <v/>
      </c>
      <c r="I367" s="16">
        <f>IF(OR(E367="",F367=""),"", (F367/E367)-1)</f>
        <v/>
      </c>
      <c r="J367" s="17">
        <f>IF(OR(C367="",D367=""),"", D367-C367)</f>
        <v/>
      </c>
      <c r="K367" s="17" t="n"/>
    </row>
    <row r="368">
      <c r="A368" s="17" t="n"/>
      <c r="B368" s="17" t="n"/>
      <c r="C368" s="17" t="n"/>
      <c r="D368" s="17" t="n"/>
      <c r="E368" s="15" t="n"/>
      <c r="F368" s="15" t="n"/>
      <c r="G368" s="17" t="n"/>
      <c r="H368" s="15">
        <f>IF(OR(E368="",F368="",G368=""),"", (F368-E368)*G368)</f>
        <v/>
      </c>
      <c r="I368" s="16">
        <f>IF(OR(E368="",F368=""),"", (F368/E368)-1)</f>
        <v/>
      </c>
      <c r="J368" s="17">
        <f>IF(OR(C368="",D368=""),"", D368-C368)</f>
        <v/>
      </c>
      <c r="K368" s="17" t="n"/>
    </row>
    <row r="369">
      <c r="A369" s="17" t="n"/>
      <c r="B369" s="17" t="n"/>
      <c r="C369" s="17" t="n"/>
      <c r="D369" s="17" t="n"/>
      <c r="E369" s="15" t="n"/>
      <c r="F369" s="15" t="n"/>
      <c r="G369" s="17" t="n"/>
      <c r="H369" s="15">
        <f>IF(OR(E369="",F369="",G369=""),"", (F369-E369)*G369)</f>
        <v/>
      </c>
      <c r="I369" s="16">
        <f>IF(OR(E369="",F369=""),"", (F369/E369)-1)</f>
        <v/>
      </c>
      <c r="J369" s="17">
        <f>IF(OR(C369="",D369=""),"", D369-C369)</f>
        <v/>
      </c>
      <c r="K369" s="17" t="n"/>
    </row>
    <row r="370">
      <c r="A370" s="17" t="n"/>
      <c r="B370" s="17" t="n"/>
      <c r="C370" s="17" t="n"/>
      <c r="D370" s="17" t="n"/>
      <c r="E370" s="15" t="n"/>
      <c r="F370" s="15" t="n"/>
      <c r="G370" s="17" t="n"/>
      <c r="H370" s="15">
        <f>IF(OR(E370="",F370="",G370=""),"", (F370-E370)*G370)</f>
        <v/>
      </c>
      <c r="I370" s="16">
        <f>IF(OR(E370="",F370=""),"", (F370/E370)-1)</f>
        <v/>
      </c>
      <c r="J370" s="17">
        <f>IF(OR(C370="",D370=""),"", D370-C370)</f>
        <v/>
      </c>
      <c r="K370" s="17" t="n"/>
    </row>
    <row r="371">
      <c r="A371" s="17" t="n"/>
      <c r="B371" s="17" t="n"/>
      <c r="C371" s="17" t="n"/>
      <c r="D371" s="17" t="n"/>
      <c r="E371" s="15" t="n"/>
      <c r="F371" s="15" t="n"/>
      <c r="G371" s="17" t="n"/>
      <c r="H371" s="15">
        <f>IF(OR(E371="",F371="",G371=""),"", (F371-E371)*G371)</f>
        <v/>
      </c>
      <c r="I371" s="16">
        <f>IF(OR(E371="",F371=""),"", (F371/E371)-1)</f>
        <v/>
      </c>
      <c r="J371" s="17">
        <f>IF(OR(C371="",D371=""),"", D371-C371)</f>
        <v/>
      </c>
      <c r="K371" s="17" t="n"/>
    </row>
    <row r="372">
      <c r="A372" s="17" t="n"/>
      <c r="B372" s="17" t="n"/>
      <c r="C372" s="17" t="n"/>
      <c r="D372" s="17" t="n"/>
      <c r="E372" s="15" t="n"/>
      <c r="F372" s="15" t="n"/>
      <c r="G372" s="17" t="n"/>
      <c r="H372" s="15">
        <f>IF(OR(E372="",F372="",G372=""),"", (F372-E372)*G372)</f>
        <v/>
      </c>
      <c r="I372" s="16">
        <f>IF(OR(E372="",F372=""),"", (F372/E372)-1)</f>
        <v/>
      </c>
      <c r="J372" s="17">
        <f>IF(OR(C372="",D372=""),"", D372-C372)</f>
        <v/>
      </c>
      <c r="K372" s="17" t="n"/>
    </row>
    <row r="373">
      <c r="A373" s="17" t="n"/>
      <c r="B373" s="17" t="n"/>
      <c r="C373" s="17" t="n"/>
      <c r="D373" s="17" t="n"/>
      <c r="E373" s="15" t="n"/>
      <c r="F373" s="15" t="n"/>
      <c r="G373" s="17" t="n"/>
      <c r="H373" s="15">
        <f>IF(OR(E373="",F373="",G373=""),"", (F373-E373)*G373)</f>
        <v/>
      </c>
      <c r="I373" s="16">
        <f>IF(OR(E373="",F373=""),"", (F373/E373)-1)</f>
        <v/>
      </c>
      <c r="J373" s="17">
        <f>IF(OR(C373="",D373=""),"", D373-C373)</f>
        <v/>
      </c>
      <c r="K373" s="17" t="n"/>
    </row>
    <row r="374">
      <c r="A374" s="17" t="n"/>
      <c r="B374" s="17" t="n"/>
      <c r="C374" s="17" t="n"/>
      <c r="D374" s="17" t="n"/>
      <c r="E374" s="15" t="n"/>
      <c r="F374" s="15" t="n"/>
      <c r="G374" s="17" t="n"/>
      <c r="H374" s="15">
        <f>IF(OR(E374="",F374="",G374=""),"", (F374-E374)*G374)</f>
        <v/>
      </c>
      <c r="I374" s="16">
        <f>IF(OR(E374="",F374=""),"", (F374/E374)-1)</f>
        <v/>
      </c>
      <c r="J374" s="17">
        <f>IF(OR(C374="",D374=""),"", D374-C374)</f>
        <v/>
      </c>
      <c r="K374" s="17" t="n"/>
    </row>
    <row r="375">
      <c r="A375" s="17" t="n"/>
      <c r="B375" s="17" t="n"/>
      <c r="C375" s="17" t="n"/>
      <c r="D375" s="17" t="n"/>
      <c r="E375" s="15" t="n"/>
      <c r="F375" s="15" t="n"/>
      <c r="G375" s="17" t="n"/>
      <c r="H375" s="15">
        <f>IF(OR(E375="",F375="",G375=""),"", (F375-E375)*G375)</f>
        <v/>
      </c>
      <c r="I375" s="16">
        <f>IF(OR(E375="",F375=""),"", (F375/E375)-1)</f>
        <v/>
      </c>
      <c r="J375" s="17">
        <f>IF(OR(C375="",D375=""),"", D375-C375)</f>
        <v/>
      </c>
      <c r="K375" s="17" t="n"/>
    </row>
    <row r="376">
      <c r="A376" s="17" t="n"/>
      <c r="B376" s="17" t="n"/>
      <c r="C376" s="17" t="n"/>
      <c r="D376" s="17" t="n"/>
      <c r="E376" s="15" t="n"/>
      <c r="F376" s="15" t="n"/>
      <c r="G376" s="17" t="n"/>
      <c r="H376" s="15">
        <f>IF(OR(E376="",F376="",G376=""),"", (F376-E376)*G376)</f>
        <v/>
      </c>
      <c r="I376" s="16">
        <f>IF(OR(E376="",F376=""),"", (F376/E376)-1)</f>
        <v/>
      </c>
      <c r="J376" s="17">
        <f>IF(OR(C376="",D376=""),"", D376-C376)</f>
        <v/>
      </c>
      <c r="K376" s="17" t="n"/>
    </row>
    <row r="377">
      <c r="A377" s="17" t="n"/>
      <c r="B377" s="17" t="n"/>
      <c r="C377" s="17" t="n"/>
      <c r="D377" s="17" t="n"/>
      <c r="E377" s="15" t="n"/>
      <c r="F377" s="15" t="n"/>
      <c r="G377" s="17" t="n"/>
      <c r="H377" s="15">
        <f>IF(OR(E377="",F377="",G377=""),"", (F377-E377)*G377)</f>
        <v/>
      </c>
      <c r="I377" s="16">
        <f>IF(OR(E377="",F377=""),"", (F377/E377)-1)</f>
        <v/>
      </c>
      <c r="J377" s="17">
        <f>IF(OR(C377="",D377=""),"", D377-C377)</f>
        <v/>
      </c>
      <c r="K377" s="17" t="n"/>
    </row>
    <row r="378">
      <c r="A378" s="17" t="n"/>
      <c r="B378" s="17" t="n"/>
      <c r="C378" s="17" t="n"/>
      <c r="D378" s="17" t="n"/>
      <c r="E378" s="15" t="n"/>
      <c r="F378" s="15" t="n"/>
      <c r="G378" s="17" t="n"/>
      <c r="H378" s="15">
        <f>IF(OR(E378="",F378="",G378=""),"", (F378-E378)*G378)</f>
        <v/>
      </c>
      <c r="I378" s="16">
        <f>IF(OR(E378="",F378=""),"", (F378/E378)-1)</f>
        <v/>
      </c>
      <c r="J378" s="17">
        <f>IF(OR(C378="",D378=""),"", D378-C378)</f>
        <v/>
      </c>
      <c r="K378" s="17" t="n"/>
    </row>
    <row r="379">
      <c r="A379" s="17" t="n"/>
      <c r="B379" s="17" t="n"/>
      <c r="C379" s="17" t="n"/>
      <c r="D379" s="17" t="n"/>
      <c r="E379" s="15" t="n"/>
      <c r="F379" s="15" t="n"/>
      <c r="G379" s="17" t="n"/>
      <c r="H379" s="15">
        <f>IF(OR(E379="",F379="",G379=""),"", (F379-E379)*G379)</f>
        <v/>
      </c>
      <c r="I379" s="16">
        <f>IF(OR(E379="",F379=""),"", (F379/E379)-1)</f>
        <v/>
      </c>
      <c r="J379" s="17">
        <f>IF(OR(C379="",D379=""),"", D379-C379)</f>
        <v/>
      </c>
      <c r="K379" s="17" t="n"/>
    </row>
    <row r="380">
      <c r="A380" s="17" t="n"/>
      <c r="B380" s="17" t="n"/>
      <c r="C380" s="17" t="n"/>
      <c r="D380" s="17" t="n"/>
      <c r="E380" s="15" t="n"/>
      <c r="F380" s="15" t="n"/>
      <c r="G380" s="17" t="n"/>
      <c r="H380" s="15">
        <f>IF(OR(E380="",F380="",G380=""),"", (F380-E380)*G380)</f>
        <v/>
      </c>
      <c r="I380" s="16">
        <f>IF(OR(E380="",F380=""),"", (F380/E380)-1)</f>
        <v/>
      </c>
      <c r="J380" s="17">
        <f>IF(OR(C380="",D380=""),"", D380-C380)</f>
        <v/>
      </c>
      <c r="K380" s="17" t="n"/>
    </row>
    <row r="381">
      <c r="A381" s="17" t="n"/>
      <c r="B381" s="17" t="n"/>
      <c r="C381" s="17" t="n"/>
      <c r="D381" s="17" t="n"/>
      <c r="E381" s="15" t="n"/>
      <c r="F381" s="15" t="n"/>
      <c r="G381" s="17" t="n"/>
      <c r="H381" s="15">
        <f>IF(OR(E381="",F381="",G381=""),"", (F381-E381)*G381)</f>
        <v/>
      </c>
      <c r="I381" s="16">
        <f>IF(OR(E381="",F381=""),"", (F381/E381)-1)</f>
        <v/>
      </c>
      <c r="J381" s="17">
        <f>IF(OR(C381="",D381=""),"", D381-C381)</f>
        <v/>
      </c>
      <c r="K381" s="17" t="n"/>
    </row>
    <row r="382">
      <c r="A382" s="17" t="n"/>
      <c r="B382" s="17" t="n"/>
      <c r="C382" s="17" t="n"/>
      <c r="D382" s="17" t="n"/>
      <c r="E382" s="15" t="n"/>
      <c r="F382" s="15" t="n"/>
      <c r="G382" s="17" t="n"/>
      <c r="H382" s="15">
        <f>IF(OR(E382="",F382="",G382=""),"", (F382-E382)*G382)</f>
        <v/>
      </c>
      <c r="I382" s="16">
        <f>IF(OR(E382="",F382=""),"", (F382/E382)-1)</f>
        <v/>
      </c>
      <c r="J382" s="17">
        <f>IF(OR(C382="",D382=""),"", D382-C382)</f>
        <v/>
      </c>
      <c r="K382" s="17" t="n"/>
    </row>
    <row r="383">
      <c r="A383" s="17" t="n"/>
      <c r="B383" s="17" t="n"/>
      <c r="C383" s="17" t="n"/>
      <c r="D383" s="17" t="n"/>
      <c r="E383" s="15" t="n"/>
      <c r="F383" s="15" t="n"/>
      <c r="G383" s="17" t="n"/>
      <c r="H383" s="15">
        <f>IF(OR(E383="",F383="",G383=""),"", (F383-E383)*G383)</f>
        <v/>
      </c>
      <c r="I383" s="16">
        <f>IF(OR(E383="",F383=""),"", (F383/E383)-1)</f>
        <v/>
      </c>
      <c r="J383" s="17">
        <f>IF(OR(C383="",D383=""),"", D383-C383)</f>
        <v/>
      </c>
      <c r="K383" s="17" t="n"/>
    </row>
    <row r="384">
      <c r="A384" s="17" t="n"/>
      <c r="B384" s="17" t="n"/>
      <c r="C384" s="17" t="n"/>
      <c r="D384" s="17" t="n"/>
      <c r="E384" s="15" t="n"/>
      <c r="F384" s="15" t="n"/>
      <c r="G384" s="17" t="n"/>
      <c r="H384" s="15">
        <f>IF(OR(E384="",F384="",G384=""),"", (F384-E384)*G384)</f>
        <v/>
      </c>
      <c r="I384" s="16">
        <f>IF(OR(E384="",F384=""),"", (F384/E384)-1)</f>
        <v/>
      </c>
      <c r="J384" s="17">
        <f>IF(OR(C384="",D384=""),"", D384-C384)</f>
        <v/>
      </c>
      <c r="K384" s="17" t="n"/>
    </row>
    <row r="385">
      <c r="A385" s="17" t="n"/>
      <c r="B385" s="17" t="n"/>
      <c r="C385" s="17" t="n"/>
      <c r="D385" s="17" t="n"/>
      <c r="E385" s="15" t="n"/>
      <c r="F385" s="15" t="n"/>
      <c r="G385" s="17" t="n"/>
      <c r="H385" s="15">
        <f>IF(OR(E385="",F385="",G385=""),"", (F385-E385)*G385)</f>
        <v/>
      </c>
      <c r="I385" s="16">
        <f>IF(OR(E385="",F385=""),"", (F385/E385)-1)</f>
        <v/>
      </c>
      <c r="J385" s="17">
        <f>IF(OR(C385="",D385=""),"", D385-C385)</f>
        <v/>
      </c>
      <c r="K385" s="17" t="n"/>
    </row>
    <row r="386">
      <c r="A386" s="17" t="n"/>
      <c r="B386" s="17" t="n"/>
      <c r="C386" s="17" t="n"/>
      <c r="D386" s="17" t="n"/>
      <c r="E386" s="15" t="n"/>
      <c r="F386" s="15" t="n"/>
      <c r="G386" s="17" t="n"/>
      <c r="H386" s="15">
        <f>IF(OR(E386="",F386="",G386=""),"", (F386-E386)*G386)</f>
        <v/>
      </c>
      <c r="I386" s="16">
        <f>IF(OR(E386="",F386=""),"", (F386/E386)-1)</f>
        <v/>
      </c>
      <c r="J386" s="17">
        <f>IF(OR(C386="",D386=""),"", D386-C386)</f>
        <v/>
      </c>
      <c r="K386" s="17" t="n"/>
    </row>
    <row r="387">
      <c r="A387" s="17" t="n"/>
      <c r="B387" s="17" t="n"/>
      <c r="C387" s="17" t="n"/>
      <c r="D387" s="17" t="n"/>
      <c r="E387" s="15" t="n"/>
      <c r="F387" s="15" t="n"/>
      <c r="G387" s="17" t="n"/>
      <c r="H387" s="15">
        <f>IF(OR(E387="",F387="",G387=""),"", (F387-E387)*G387)</f>
        <v/>
      </c>
      <c r="I387" s="16">
        <f>IF(OR(E387="",F387=""),"", (F387/E387)-1)</f>
        <v/>
      </c>
      <c r="J387" s="17">
        <f>IF(OR(C387="",D387=""),"", D387-C387)</f>
        <v/>
      </c>
      <c r="K387" s="17" t="n"/>
    </row>
    <row r="388">
      <c r="A388" s="17" t="n"/>
      <c r="B388" s="17" t="n"/>
      <c r="C388" s="17" t="n"/>
      <c r="D388" s="17" t="n"/>
      <c r="E388" s="15" t="n"/>
      <c r="F388" s="15" t="n"/>
      <c r="G388" s="17" t="n"/>
      <c r="H388" s="15">
        <f>IF(OR(E388="",F388="",G388=""),"", (F388-E388)*G388)</f>
        <v/>
      </c>
      <c r="I388" s="16">
        <f>IF(OR(E388="",F388=""),"", (F388/E388)-1)</f>
        <v/>
      </c>
      <c r="J388" s="17">
        <f>IF(OR(C388="",D388=""),"", D388-C388)</f>
        <v/>
      </c>
      <c r="K388" s="17" t="n"/>
    </row>
    <row r="389">
      <c r="A389" s="17" t="n"/>
      <c r="B389" s="17" t="n"/>
      <c r="C389" s="17" t="n"/>
      <c r="D389" s="17" t="n"/>
      <c r="E389" s="15" t="n"/>
      <c r="F389" s="15" t="n"/>
      <c r="G389" s="17" t="n"/>
      <c r="H389" s="15">
        <f>IF(OR(E389="",F389="",G389=""),"", (F389-E389)*G389)</f>
        <v/>
      </c>
      <c r="I389" s="16">
        <f>IF(OR(E389="",F389=""),"", (F389/E389)-1)</f>
        <v/>
      </c>
      <c r="J389" s="17">
        <f>IF(OR(C389="",D389=""),"", D389-C389)</f>
        <v/>
      </c>
      <c r="K389" s="17" t="n"/>
    </row>
    <row r="390">
      <c r="A390" s="17" t="n"/>
      <c r="B390" s="17" t="n"/>
      <c r="C390" s="17" t="n"/>
      <c r="D390" s="17" t="n"/>
      <c r="E390" s="15" t="n"/>
      <c r="F390" s="15" t="n"/>
      <c r="G390" s="17" t="n"/>
      <c r="H390" s="15">
        <f>IF(OR(E390="",F390="",G390=""),"", (F390-E390)*G390)</f>
        <v/>
      </c>
      <c r="I390" s="16">
        <f>IF(OR(E390="",F390=""),"", (F390/E390)-1)</f>
        <v/>
      </c>
      <c r="J390" s="17">
        <f>IF(OR(C390="",D390=""),"", D390-C390)</f>
        <v/>
      </c>
      <c r="K390" s="17" t="n"/>
    </row>
    <row r="391">
      <c r="A391" s="17" t="n"/>
      <c r="B391" s="17" t="n"/>
      <c r="C391" s="17" t="n"/>
      <c r="D391" s="17" t="n"/>
      <c r="E391" s="15" t="n"/>
      <c r="F391" s="15" t="n"/>
      <c r="G391" s="17" t="n"/>
      <c r="H391" s="15">
        <f>IF(OR(E391="",F391="",G391=""),"", (F391-E391)*G391)</f>
        <v/>
      </c>
      <c r="I391" s="16">
        <f>IF(OR(E391="",F391=""),"", (F391/E391)-1)</f>
        <v/>
      </c>
      <c r="J391" s="17">
        <f>IF(OR(C391="",D391=""),"", D391-C391)</f>
        <v/>
      </c>
      <c r="K391" s="17" t="n"/>
    </row>
    <row r="392">
      <c r="A392" s="17" t="n"/>
      <c r="B392" s="17" t="n"/>
      <c r="C392" s="17" t="n"/>
      <c r="D392" s="17" t="n"/>
      <c r="E392" s="15" t="n"/>
      <c r="F392" s="15" t="n"/>
      <c r="G392" s="17" t="n"/>
      <c r="H392" s="15">
        <f>IF(OR(E392="",F392="",G392=""),"", (F392-E392)*G392)</f>
        <v/>
      </c>
      <c r="I392" s="16">
        <f>IF(OR(E392="",F392=""),"", (F392/E392)-1)</f>
        <v/>
      </c>
      <c r="J392" s="17">
        <f>IF(OR(C392="",D392=""),"", D392-C392)</f>
        <v/>
      </c>
      <c r="K392" s="17" t="n"/>
    </row>
    <row r="393">
      <c r="A393" s="17" t="n"/>
      <c r="B393" s="17" t="n"/>
      <c r="C393" s="17" t="n"/>
      <c r="D393" s="17" t="n"/>
      <c r="E393" s="15" t="n"/>
      <c r="F393" s="15" t="n"/>
      <c r="G393" s="17" t="n"/>
      <c r="H393" s="15">
        <f>IF(OR(E393="",F393="",G393=""),"", (F393-E393)*G393)</f>
        <v/>
      </c>
      <c r="I393" s="16">
        <f>IF(OR(E393="",F393=""),"", (F393/E393)-1)</f>
        <v/>
      </c>
      <c r="J393" s="17">
        <f>IF(OR(C393="",D393=""),"", D393-C393)</f>
        <v/>
      </c>
      <c r="K393" s="17" t="n"/>
    </row>
    <row r="394">
      <c r="A394" s="17" t="n"/>
      <c r="B394" s="17" t="n"/>
      <c r="C394" s="17" t="n"/>
      <c r="D394" s="17" t="n"/>
      <c r="E394" s="15" t="n"/>
      <c r="F394" s="15" t="n"/>
      <c r="G394" s="17" t="n"/>
      <c r="H394" s="15">
        <f>IF(OR(E394="",F394="",G394=""),"", (F394-E394)*G394)</f>
        <v/>
      </c>
      <c r="I394" s="16">
        <f>IF(OR(E394="",F394=""),"", (F394/E394)-1)</f>
        <v/>
      </c>
      <c r="J394" s="17">
        <f>IF(OR(C394="",D394=""),"", D394-C394)</f>
        <v/>
      </c>
      <c r="K394" s="17" t="n"/>
    </row>
    <row r="395">
      <c r="A395" s="17" t="n"/>
      <c r="B395" s="17" t="n"/>
      <c r="C395" s="17" t="n"/>
      <c r="D395" s="17" t="n"/>
      <c r="E395" s="15" t="n"/>
      <c r="F395" s="15" t="n"/>
      <c r="G395" s="17" t="n"/>
      <c r="H395" s="15">
        <f>IF(OR(E395="",F395="",G395=""),"", (F395-E395)*G395)</f>
        <v/>
      </c>
      <c r="I395" s="16">
        <f>IF(OR(E395="",F395=""),"", (F395/E395)-1)</f>
        <v/>
      </c>
      <c r="J395" s="17">
        <f>IF(OR(C395="",D395=""),"", D395-C395)</f>
        <v/>
      </c>
      <c r="K395" s="17" t="n"/>
    </row>
    <row r="396">
      <c r="A396" s="17" t="n"/>
      <c r="B396" s="17" t="n"/>
      <c r="C396" s="17" t="n"/>
      <c r="D396" s="17" t="n"/>
      <c r="E396" s="15" t="n"/>
      <c r="F396" s="15" t="n"/>
      <c r="G396" s="17" t="n"/>
      <c r="H396" s="15">
        <f>IF(OR(E396="",F396="",G396=""),"", (F396-E396)*G396)</f>
        <v/>
      </c>
      <c r="I396" s="16">
        <f>IF(OR(E396="",F396=""),"", (F396/E396)-1)</f>
        <v/>
      </c>
      <c r="J396" s="17">
        <f>IF(OR(C396="",D396=""),"", D396-C396)</f>
        <v/>
      </c>
      <c r="K396" s="17" t="n"/>
    </row>
    <row r="397">
      <c r="A397" s="17" t="n"/>
      <c r="B397" s="17" t="n"/>
      <c r="C397" s="17" t="n"/>
      <c r="D397" s="17" t="n"/>
      <c r="E397" s="15" t="n"/>
      <c r="F397" s="15" t="n"/>
      <c r="G397" s="17" t="n"/>
      <c r="H397" s="15">
        <f>IF(OR(E397="",F397="",G397=""),"", (F397-E397)*G397)</f>
        <v/>
      </c>
      <c r="I397" s="16">
        <f>IF(OR(E397="",F397=""),"", (F397/E397)-1)</f>
        <v/>
      </c>
      <c r="J397" s="17">
        <f>IF(OR(C397="",D397=""),"", D397-C397)</f>
        <v/>
      </c>
      <c r="K397" s="17" t="n"/>
    </row>
    <row r="398">
      <c r="A398" s="17" t="n"/>
      <c r="B398" s="17" t="n"/>
      <c r="C398" s="17" t="n"/>
      <c r="D398" s="17" t="n"/>
      <c r="E398" s="15" t="n"/>
      <c r="F398" s="15" t="n"/>
      <c r="G398" s="17" t="n"/>
      <c r="H398" s="15">
        <f>IF(OR(E398="",F398="",G398=""),"", (F398-E398)*G398)</f>
        <v/>
      </c>
      <c r="I398" s="16">
        <f>IF(OR(E398="",F398=""),"", (F398/E398)-1)</f>
        <v/>
      </c>
      <c r="J398" s="17">
        <f>IF(OR(C398="",D398=""),"", D398-C398)</f>
        <v/>
      </c>
      <c r="K398" s="17" t="n"/>
    </row>
    <row r="399">
      <c r="A399" s="17" t="n"/>
      <c r="B399" s="17" t="n"/>
      <c r="C399" s="17" t="n"/>
      <c r="D399" s="17" t="n"/>
      <c r="E399" s="15" t="n"/>
      <c r="F399" s="15" t="n"/>
      <c r="G399" s="17" t="n"/>
      <c r="H399" s="15">
        <f>IF(OR(E399="",F399="",G399=""),"", (F399-E399)*G399)</f>
        <v/>
      </c>
      <c r="I399" s="16">
        <f>IF(OR(E399="",F399=""),"", (F399/E399)-1)</f>
        <v/>
      </c>
      <c r="J399" s="17">
        <f>IF(OR(C399="",D399=""),"", D399-C399)</f>
        <v/>
      </c>
      <c r="K399" s="17" t="n"/>
    </row>
    <row r="400">
      <c r="A400" s="17" t="n"/>
      <c r="B400" s="17" t="n"/>
      <c r="C400" s="17" t="n"/>
      <c r="D400" s="17" t="n"/>
      <c r="E400" s="15" t="n"/>
      <c r="F400" s="15" t="n"/>
      <c r="G400" s="17" t="n"/>
      <c r="H400" s="15">
        <f>IF(OR(E400="",F400="",G400=""),"", (F400-E400)*G400)</f>
        <v/>
      </c>
      <c r="I400" s="16">
        <f>IF(OR(E400="",F400=""),"", (F400/E400)-1)</f>
        <v/>
      </c>
      <c r="J400" s="17">
        <f>IF(OR(C400="",D400=""),"", D400-C400)</f>
        <v/>
      </c>
      <c r="K400" s="17" t="n"/>
    </row>
    <row r="401">
      <c r="A401" s="17" t="n"/>
      <c r="B401" s="17" t="n"/>
      <c r="C401" s="17" t="n"/>
      <c r="D401" s="17" t="n"/>
      <c r="E401" s="15" t="n"/>
      <c r="F401" s="15" t="n"/>
      <c r="G401" s="17" t="n"/>
      <c r="H401" s="15">
        <f>IF(OR(E401="",F401="",G401=""),"", (F401-E401)*G401)</f>
        <v/>
      </c>
      <c r="I401" s="16">
        <f>IF(OR(E401="",F401=""),"", (F401/E401)-1)</f>
        <v/>
      </c>
      <c r="J401" s="17">
        <f>IF(OR(C401="",D401=""),"", D401-C401)</f>
        <v/>
      </c>
      <c r="K401" s="17" t="n"/>
    </row>
    <row r="402">
      <c r="A402" s="17" t="n"/>
      <c r="B402" s="17" t="n"/>
      <c r="C402" s="17" t="n"/>
      <c r="D402" s="17" t="n"/>
      <c r="E402" s="15" t="n"/>
      <c r="F402" s="15" t="n"/>
      <c r="G402" s="17" t="n"/>
      <c r="H402" s="15">
        <f>IF(OR(E402="",F402="",G402=""),"", (F402-E402)*G402)</f>
        <v/>
      </c>
      <c r="I402" s="16">
        <f>IF(OR(E402="",F402=""),"", (F402/E402)-1)</f>
        <v/>
      </c>
      <c r="J402" s="17">
        <f>IF(OR(C402="",D402=""),"", D402-C402)</f>
        <v/>
      </c>
      <c r="K402" s="17" t="n"/>
    </row>
    <row r="403">
      <c r="A403" s="17" t="n"/>
      <c r="B403" s="17" t="n"/>
      <c r="C403" s="17" t="n"/>
      <c r="D403" s="17" t="n"/>
      <c r="E403" s="15" t="n"/>
      <c r="F403" s="15" t="n"/>
      <c r="G403" s="17" t="n"/>
      <c r="H403" s="15">
        <f>IF(OR(E403="",F403="",G403=""),"", (F403-E403)*G403)</f>
        <v/>
      </c>
      <c r="I403" s="16">
        <f>IF(OR(E403="",F403=""),"", (F403/E403)-1)</f>
        <v/>
      </c>
      <c r="J403" s="17">
        <f>IF(OR(C403="",D403=""),"", D403-C403)</f>
        <v/>
      </c>
      <c r="K403" s="17" t="n"/>
    </row>
    <row r="404">
      <c r="A404" s="17" t="n"/>
      <c r="B404" s="17" t="n"/>
      <c r="C404" s="17" t="n"/>
      <c r="D404" s="17" t="n"/>
      <c r="E404" s="15" t="n"/>
      <c r="F404" s="15" t="n"/>
      <c r="G404" s="17" t="n"/>
      <c r="H404" s="15">
        <f>IF(OR(E404="",F404="",G404=""),"", (F404-E404)*G404)</f>
        <v/>
      </c>
      <c r="I404" s="16">
        <f>IF(OR(E404="",F404=""),"", (F404/E404)-1)</f>
        <v/>
      </c>
      <c r="J404" s="17">
        <f>IF(OR(C404="",D404=""),"", D404-C404)</f>
        <v/>
      </c>
      <c r="K404" s="17" t="n"/>
    </row>
    <row r="405">
      <c r="A405" s="17" t="n"/>
      <c r="B405" s="17" t="n"/>
      <c r="C405" s="17" t="n"/>
      <c r="D405" s="17" t="n"/>
      <c r="E405" s="15" t="n"/>
      <c r="F405" s="15" t="n"/>
      <c r="G405" s="17" t="n"/>
      <c r="H405" s="15">
        <f>IF(OR(E405="",F405="",G405=""),"", (F405-E405)*G405)</f>
        <v/>
      </c>
      <c r="I405" s="16">
        <f>IF(OR(E405="",F405=""),"", (F405/E405)-1)</f>
        <v/>
      </c>
      <c r="J405" s="17">
        <f>IF(OR(C405="",D405=""),"", D405-C405)</f>
        <v/>
      </c>
      <c r="K405" s="17" t="n"/>
    </row>
    <row r="406">
      <c r="A406" s="17" t="n"/>
      <c r="B406" s="17" t="n"/>
      <c r="C406" s="17" t="n"/>
      <c r="D406" s="17" t="n"/>
      <c r="E406" s="15" t="n"/>
      <c r="F406" s="15" t="n"/>
      <c r="G406" s="17" t="n"/>
      <c r="H406" s="15">
        <f>IF(OR(E406="",F406="",G406=""),"", (F406-E406)*G406)</f>
        <v/>
      </c>
      <c r="I406" s="16">
        <f>IF(OR(E406="",F406=""),"", (F406/E406)-1)</f>
        <v/>
      </c>
      <c r="J406" s="17">
        <f>IF(OR(C406="",D406=""),"", D406-C406)</f>
        <v/>
      </c>
      <c r="K406" s="17" t="n"/>
    </row>
    <row r="407">
      <c r="A407" s="17" t="n"/>
      <c r="B407" s="17" t="n"/>
      <c r="C407" s="17" t="n"/>
      <c r="D407" s="17" t="n"/>
      <c r="E407" s="15" t="n"/>
      <c r="F407" s="15" t="n"/>
      <c r="G407" s="17" t="n"/>
      <c r="H407" s="15">
        <f>IF(OR(E407="",F407="",G407=""),"", (F407-E407)*G407)</f>
        <v/>
      </c>
      <c r="I407" s="16">
        <f>IF(OR(E407="",F407=""),"", (F407/E407)-1)</f>
        <v/>
      </c>
      <c r="J407" s="17">
        <f>IF(OR(C407="",D407=""),"", D407-C407)</f>
        <v/>
      </c>
      <c r="K407" s="17" t="n"/>
    </row>
    <row r="408">
      <c r="A408" s="17" t="n"/>
      <c r="B408" s="17" t="n"/>
      <c r="C408" s="17" t="n"/>
      <c r="D408" s="17" t="n"/>
      <c r="E408" s="15" t="n"/>
      <c r="F408" s="15" t="n"/>
      <c r="G408" s="17" t="n"/>
      <c r="H408" s="15">
        <f>IF(OR(E408="",F408="",G408=""),"", (F408-E408)*G408)</f>
        <v/>
      </c>
      <c r="I408" s="16">
        <f>IF(OR(E408="",F408=""),"", (F408/E408)-1)</f>
        <v/>
      </c>
      <c r="J408" s="17">
        <f>IF(OR(C408="",D408=""),"", D408-C408)</f>
        <v/>
      </c>
      <c r="K408" s="17" t="n"/>
    </row>
    <row r="409">
      <c r="A409" s="17" t="n"/>
      <c r="B409" s="17" t="n"/>
      <c r="C409" s="17" t="n"/>
      <c r="D409" s="17" t="n"/>
      <c r="E409" s="15" t="n"/>
      <c r="F409" s="15" t="n"/>
      <c r="G409" s="17" t="n"/>
      <c r="H409" s="15">
        <f>IF(OR(E409="",F409="",G409=""),"", (F409-E409)*G409)</f>
        <v/>
      </c>
      <c r="I409" s="16">
        <f>IF(OR(E409="",F409=""),"", (F409/E409)-1)</f>
        <v/>
      </c>
      <c r="J409" s="17">
        <f>IF(OR(C409="",D409=""),"", D409-C409)</f>
        <v/>
      </c>
      <c r="K409" s="17" t="n"/>
    </row>
    <row r="410">
      <c r="A410" s="17" t="n"/>
      <c r="B410" s="17" t="n"/>
      <c r="C410" s="17" t="n"/>
      <c r="D410" s="17" t="n"/>
      <c r="E410" s="15" t="n"/>
      <c r="F410" s="15" t="n"/>
      <c r="G410" s="17" t="n"/>
      <c r="H410" s="15">
        <f>IF(OR(E410="",F410="",G410=""),"", (F410-E410)*G410)</f>
        <v/>
      </c>
      <c r="I410" s="16">
        <f>IF(OR(E410="",F410=""),"", (F410/E410)-1)</f>
        <v/>
      </c>
      <c r="J410" s="17">
        <f>IF(OR(C410="",D410=""),"", D410-C410)</f>
        <v/>
      </c>
      <c r="K410" s="17" t="n"/>
    </row>
    <row r="411">
      <c r="A411" s="17" t="n"/>
      <c r="B411" s="17" t="n"/>
      <c r="C411" s="17" t="n"/>
      <c r="D411" s="17" t="n"/>
      <c r="E411" s="15" t="n"/>
      <c r="F411" s="15" t="n"/>
      <c r="G411" s="17" t="n"/>
      <c r="H411" s="15">
        <f>IF(OR(E411="",F411="",G411=""),"", (F411-E411)*G411)</f>
        <v/>
      </c>
      <c r="I411" s="16">
        <f>IF(OR(E411="",F411=""),"", (F411/E411)-1)</f>
        <v/>
      </c>
      <c r="J411" s="17">
        <f>IF(OR(C411="",D411=""),"", D411-C411)</f>
        <v/>
      </c>
      <c r="K411" s="17" t="n"/>
    </row>
    <row r="412">
      <c r="A412" s="17" t="n"/>
      <c r="B412" s="17" t="n"/>
      <c r="C412" s="17" t="n"/>
      <c r="D412" s="17" t="n"/>
      <c r="E412" s="15" t="n"/>
      <c r="F412" s="15" t="n"/>
      <c r="G412" s="17" t="n"/>
      <c r="H412" s="15">
        <f>IF(OR(E412="",F412="",G412=""),"", (F412-E412)*G412)</f>
        <v/>
      </c>
      <c r="I412" s="16">
        <f>IF(OR(E412="",F412=""),"", (F412/E412)-1)</f>
        <v/>
      </c>
      <c r="J412" s="17">
        <f>IF(OR(C412="",D412=""),"", D412-C412)</f>
        <v/>
      </c>
      <c r="K412" s="17" t="n"/>
    </row>
    <row r="413">
      <c r="A413" s="17" t="n"/>
      <c r="B413" s="17" t="n"/>
      <c r="C413" s="17" t="n"/>
      <c r="D413" s="17" t="n"/>
      <c r="E413" s="15" t="n"/>
      <c r="F413" s="15" t="n"/>
      <c r="G413" s="17" t="n"/>
      <c r="H413" s="15">
        <f>IF(OR(E413="",F413="",G413=""),"", (F413-E413)*G413)</f>
        <v/>
      </c>
      <c r="I413" s="16">
        <f>IF(OR(E413="",F413=""),"", (F413/E413)-1)</f>
        <v/>
      </c>
      <c r="J413" s="17">
        <f>IF(OR(C413="",D413=""),"", D413-C413)</f>
        <v/>
      </c>
      <c r="K413" s="17" t="n"/>
    </row>
    <row r="414">
      <c r="A414" s="17" t="n"/>
      <c r="B414" s="17" t="n"/>
      <c r="C414" s="17" t="n"/>
      <c r="D414" s="17" t="n"/>
      <c r="E414" s="15" t="n"/>
      <c r="F414" s="15" t="n"/>
      <c r="G414" s="17" t="n"/>
      <c r="H414" s="15">
        <f>IF(OR(E414="",F414="",G414=""),"", (F414-E414)*G414)</f>
        <v/>
      </c>
      <c r="I414" s="16">
        <f>IF(OR(E414="",F414=""),"", (F414/E414)-1)</f>
        <v/>
      </c>
      <c r="J414" s="17">
        <f>IF(OR(C414="",D414=""),"", D414-C414)</f>
        <v/>
      </c>
      <c r="K414" s="17" t="n"/>
    </row>
    <row r="415">
      <c r="A415" s="17" t="n"/>
      <c r="B415" s="17" t="n"/>
      <c r="C415" s="17" t="n"/>
      <c r="D415" s="17" t="n"/>
      <c r="E415" s="15" t="n"/>
      <c r="F415" s="15" t="n"/>
      <c r="G415" s="17" t="n"/>
      <c r="H415" s="15">
        <f>IF(OR(E415="",F415="",G415=""),"", (F415-E415)*G415)</f>
        <v/>
      </c>
      <c r="I415" s="16">
        <f>IF(OR(E415="",F415=""),"", (F415/E415)-1)</f>
        <v/>
      </c>
      <c r="J415" s="17">
        <f>IF(OR(C415="",D415=""),"", D415-C415)</f>
        <v/>
      </c>
      <c r="K415" s="17" t="n"/>
    </row>
    <row r="416">
      <c r="A416" s="17" t="n"/>
      <c r="B416" s="17" t="n"/>
      <c r="C416" s="17" t="n"/>
      <c r="D416" s="17" t="n"/>
      <c r="E416" s="15" t="n"/>
      <c r="F416" s="15" t="n"/>
      <c r="G416" s="17" t="n"/>
      <c r="H416" s="15">
        <f>IF(OR(E416="",F416="",G416=""),"", (F416-E416)*G416)</f>
        <v/>
      </c>
      <c r="I416" s="16">
        <f>IF(OR(E416="",F416=""),"", (F416/E416)-1)</f>
        <v/>
      </c>
      <c r="J416" s="17">
        <f>IF(OR(C416="",D416=""),"", D416-C416)</f>
        <v/>
      </c>
      <c r="K416" s="17" t="n"/>
    </row>
    <row r="417">
      <c r="A417" s="17" t="n"/>
      <c r="B417" s="17" t="n"/>
      <c r="C417" s="17" t="n"/>
      <c r="D417" s="17" t="n"/>
      <c r="E417" s="15" t="n"/>
      <c r="F417" s="15" t="n"/>
      <c r="G417" s="17" t="n"/>
      <c r="H417" s="15">
        <f>IF(OR(E417="",F417="",G417=""),"", (F417-E417)*G417)</f>
        <v/>
      </c>
      <c r="I417" s="16">
        <f>IF(OR(E417="",F417=""),"", (F417/E417)-1)</f>
        <v/>
      </c>
      <c r="J417" s="17">
        <f>IF(OR(C417="",D417=""),"", D417-C417)</f>
        <v/>
      </c>
      <c r="K417" s="17" t="n"/>
    </row>
    <row r="418">
      <c r="A418" s="17" t="n"/>
      <c r="B418" s="17" t="n"/>
      <c r="C418" s="17" t="n"/>
      <c r="D418" s="17" t="n"/>
      <c r="E418" s="15" t="n"/>
      <c r="F418" s="15" t="n"/>
      <c r="G418" s="17" t="n"/>
      <c r="H418" s="15">
        <f>IF(OR(E418="",F418="",G418=""),"", (F418-E418)*G418)</f>
        <v/>
      </c>
      <c r="I418" s="16">
        <f>IF(OR(E418="",F418=""),"", (F418/E418)-1)</f>
        <v/>
      </c>
      <c r="J418" s="17">
        <f>IF(OR(C418="",D418=""),"", D418-C418)</f>
        <v/>
      </c>
      <c r="K418" s="17" t="n"/>
    </row>
    <row r="419">
      <c r="A419" s="17" t="n"/>
      <c r="B419" s="17" t="n"/>
      <c r="C419" s="17" t="n"/>
      <c r="D419" s="17" t="n"/>
      <c r="E419" s="15" t="n"/>
      <c r="F419" s="15" t="n"/>
      <c r="G419" s="17" t="n"/>
      <c r="H419" s="15">
        <f>IF(OR(E419="",F419="",G419=""),"", (F419-E419)*G419)</f>
        <v/>
      </c>
      <c r="I419" s="16">
        <f>IF(OR(E419="",F419=""),"", (F419/E419)-1)</f>
        <v/>
      </c>
      <c r="J419" s="17">
        <f>IF(OR(C419="",D419=""),"", D419-C419)</f>
        <v/>
      </c>
      <c r="K419" s="17" t="n"/>
    </row>
    <row r="420">
      <c r="A420" s="17" t="n"/>
      <c r="B420" s="17" t="n"/>
      <c r="C420" s="17" t="n"/>
      <c r="D420" s="17" t="n"/>
      <c r="E420" s="15" t="n"/>
      <c r="F420" s="15" t="n"/>
      <c r="G420" s="17" t="n"/>
      <c r="H420" s="15">
        <f>IF(OR(E420="",F420="",G420=""),"", (F420-E420)*G420)</f>
        <v/>
      </c>
      <c r="I420" s="16">
        <f>IF(OR(E420="",F420=""),"", (F420/E420)-1)</f>
        <v/>
      </c>
      <c r="J420" s="17">
        <f>IF(OR(C420="",D420=""),"", D420-C420)</f>
        <v/>
      </c>
      <c r="K420" s="17" t="n"/>
    </row>
    <row r="421">
      <c r="A421" s="17" t="n"/>
      <c r="B421" s="17" t="n"/>
      <c r="C421" s="17" t="n"/>
      <c r="D421" s="17" t="n"/>
      <c r="E421" s="15" t="n"/>
      <c r="F421" s="15" t="n"/>
      <c r="G421" s="17" t="n"/>
      <c r="H421" s="15">
        <f>IF(OR(E421="",F421="",G421=""),"", (F421-E421)*G421)</f>
        <v/>
      </c>
      <c r="I421" s="16">
        <f>IF(OR(E421="",F421=""),"", (F421/E421)-1)</f>
        <v/>
      </c>
      <c r="J421" s="17">
        <f>IF(OR(C421="",D421=""),"", D421-C421)</f>
        <v/>
      </c>
      <c r="K421" s="17" t="n"/>
    </row>
    <row r="422">
      <c r="A422" s="17" t="n"/>
      <c r="B422" s="17" t="n"/>
      <c r="C422" s="17" t="n"/>
      <c r="D422" s="17" t="n"/>
      <c r="E422" s="15" t="n"/>
      <c r="F422" s="15" t="n"/>
      <c r="G422" s="17" t="n"/>
      <c r="H422" s="15">
        <f>IF(OR(E422="",F422="",G422=""),"", (F422-E422)*G422)</f>
        <v/>
      </c>
      <c r="I422" s="16">
        <f>IF(OR(E422="",F422=""),"", (F422/E422)-1)</f>
        <v/>
      </c>
      <c r="J422" s="17">
        <f>IF(OR(C422="",D422=""),"", D422-C422)</f>
        <v/>
      </c>
      <c r="K422" s="17" t="n"/>
    </row>
    <row r="423">
      <c r="A423" s="17" t="n"/>
      <c r="B423" s="17" t="n"/>
      <c r="C423" s="17" t="n"/>
      <c r="D423" s="17" t="n"/>
      <c r="E423" s="15" t="n"/>
      <c r="F423" s="15" t="n"/>
      <c r="G423" s="17" t="n"/>
      <c r="H423" s="15">
        <f>IF(OR(E423="",F423="",G423=""),"", (F423-E423)*G423)</f>
        <v/>
      </c>
      <c r="I423" s="16">
        <f>IF(OR(E423="",F423=""),"", (F423/E423)-1)</f>
        <v/>
      </c>
      <c r="J423" s="17">
        <f>IF(OR(C423="",D423=""),"", D423-C423)</f>
        <v/>
      </c>
      <c r="K423" s="17" t="n"/>
    </row>
    <row r="424">
      <c r="A424" s="17" t="n"/>
      <c r="B424" s="17" t="n"/>
      <c r="C424" s="17" t="n"/>
      <c r="D424" s="17" t="n"/>
      <c r="E424" s="15" t="n"/>
      <c r="F424" s="15" t="n"/>
      <c r="G424" s="17" t="n"/>
      <c r="H424" s="15">
        <f>IF(OR(E424="",F424="",G424=""),"", (F424-E424)*G424)</f>
        <v/>
      </c>
      <c r="I424" s="16">
        <f>IF(OR(E424="",F424=""),"", (F424/E424)-1)</f>
        <v/>
      </c>
      <c r="J424" s="17">
        <f>IF(OR(C424="",D424=""),"", D424-C424)</f>
        <v/>
      </c>
      <c r="K424" s="17" t="n"/>
    </row>
    <row r="425">
      <c r="A425" s="17" t="n"/>
      <c r="B425" s="17" t="n"/>
      <c r="C425" s="17" t="n"/>
      <c r="D425" s="17" t="n"/>
      <c r="E425" s="15" t="n"/>
      <c r="F425" s="15" t="n"/>
      <c r="G425" s="17" t="n"/>
      <c r="H425" s="15">
        <f>IF(OR(E425="",F425="",G425=""),"", (F425-E425)*G425)</f>
        <v/>
      </c>
      <c r="I425" s="16">
        <f>IF(OR(E425="",F425=""),"", (F425/E425)-1)</f>
        <v/>
      </c>
      <c r="J425" s="17">
        <f>IF(OR(C425="",D425=""),"", D425-C425)</f>
        <v/>
      </c>
      <c r="K425" s="17" t="n"/>
    </row>
    <row r="426">
      <c r="A426" s="17" t="n"/>
      <c r="B426" s="17" t="n"/>
      <c r="C426" s="17" t="n"/>
      <c r="D426" s="17" t="n"/>
      <c r="E426" s="15" t="n"/>
      <c r="F426" s="15" t="n"/>
      <c r="G426" s="17" t="n"/>
      <c r="H426" s="15">
        <f>IF(OR(E426="",F426="",G426=""),"", (F426-E426)*G426)</f>
        <v/>
      </c>
      <c r="I426" s="16">
        <f>IF(OR(E426="",F426=""),"", (F426/E426)-1)</f>
        <v/>
      </c>
      <c r="J426" s="17">
        <f>IF(OR(C426="",D426=""),"", D426-C426)</f>
        <v/>
      </c>
      <c r="K426" s="17" t="n"/>
    </row>
    <row r="427">
      <c r="A427" s="17" t="n"/>
      <c r="B427" s="17" t="n"/>
      <c r="C427" s="17" t="n"/>
      <c r="D427" s="17" t="n"/>
      <c r="E427" s="15" t="n"/>
      <c r="F427" s="15" t="n"/>
      <c r="G427" s="17" t="n"/>
      <c r="H427" s="15">
        <f>IF(OR(E427="",F427="",G427=""),"", (F427-E427)*G427)</f>
        <v/>
      </c>
      <c r="I427" s="16">
        <f>IF(OR(E427="",F427=""),"", (F427/E427)-1)</f>
        <v/>
      </c>
      <c r="J427" s="17">
        <f>IF(OR(C427="",D427=""),"", D427-C427)</f>
        <v/>
      </c>
      <c r="K427" s="17" t="n"/>
    </row>
    <row r="428">
      <c r="A428" s="17" t="n"/>
      <c r="B428" s="17" t="n"/>
      <c r="C428" s="17" t="n"/>
      <c r="D428" s="17" t="n"/>
      <c r="E428" s="15" t="n"/>
      <c r="F428" s="15" t="n"/>
      <c r="G428" s="17" t="n"/>
      <c r="H428" s="15">
        <f>IF(OR(E428="",F428="",G428=""),"", (F428-E428)*G428)</f>
        <v/>
      </c>
      <c r="I428" s="16">
        <f>IF(OR(E428="",F428=""),"", (F428/E428)-1)</f>
        <v/>
      </c>
      <c r="J428" s="17">
        <f>IF(OR(C428="",D428=""),"", D428-C428)</f>
        <v/>
      </c>
      <c r="K428" s="17" t="n"/>
    </row>
    <row r="429">
      <c r="A429" s="17" t="n"/>
      <c r="B429" s="17" t="n"/>
      <c r="C429" s="17" t="n"/>
      <c r="D429" s="17" t="n"/>
      <c r="E429" s="15" t="n"/>
      <c r="F429" s="15" t="n"/>
      <c r="G429" s="17" t="n"/>
      <c r="H429" s="15">
        <f>IF(OR(E429="",F429="",G429=""),"", (F429-E429)*G429)</f>
        <v/>
      </c>
      <c r="I429" s="16">
        <f>IF(OR(E429="",F429=""),"", (F429/E429)-1)</f>
        <v/>
      </c>
      <c r="J429" s="17">
        <f>IF(OR(C429="",D429=""),"", D429-C429)</f>
        <v/>
      </c>
      <c r="K429" s="17" t="n"/>
    </row>
    <row r="430">
      <c r="A430" s="17" t="n"/>
      <c r="B430" s="17" t="n"/>
      <c r="C430" s="17" t="n"/>
      <c r="D430" s="17" t="n"/>
      <c r="E430" s="15" t="n"/>
      <c r="F430" s="15" t="n"/>
      <c r="G430" s="17" t="n"/>
      <c r="H430" s="15">
        <f>IF(OR(E430="",F430="",G430=""),"", (F430-E430)*G430)</f>
        <v/>
      </c>
      <c r="I430" s="16">
        <f>IF(OR(E430="",F430=""),"", (F430/E430)-1)</f>
        <v/>
      </c>
      <c r="J430" s="17">
        <f>IF(OR(C430="",D430=""),"", D430-C430)</f>
        <v/>
      </c>
      <c r="K430" s="17" t="n"/>
    </row>
    <row r="431">
      <c r="A431" s="17" t="n"/>
      <c r="B431" s="17" t="n"/>
      <c r="C431" s="17" t="n"/>
      <c r="D431" s="17" t="n"/>
      <c r="E431" s="15" t="n"/>
      <c r="F431" s="15" t="n"/>
      <c r="G431" s="17" t="n"/>
      <c r="H431" s="15">
        <f>IF(OR(E431="",F431="",G431=""),"", (F431-E431)*G431)</f>
        <v/>
      </c>
      <c r="I431" s="16">
        <f>IF(OR(E431="",F431=""),"", (F431/E431)-1)</f>
        <v/>
      </c>
      <c r="J431" s="17">
        <f>IF(OR(C431="",D431=""),"", D431-C431)</f>
        <v/>
      </c>
      <c r="K431" s="17" t="n"/>
    </row>
    <row r="432">
      <c r="A432" s="17" t="n"/>
      <c r="B432" s="17" t="n"/>
      <c r="C432" s="17" t="n"/>
      <c r="D432" s="17" t="n"/>
      <c r="E432" s="15" t="n"/>
      <c r="F432" s="15" t="n"/>
      <c r="G432" s="17" t="n"/>
      <c r="H432" s="15">
        <f>IF(OR(E432="",F432="",G432=""),"", (F432-E432)*G432)</f>
        <v/>
      </c>
      <c r="I432" s="16">
        <f>IF(OR(E432="",F432=""),"", (F432/E432)-1)</f>
        <v/>
      </c>
      <c r="J432" s="17">
        <f>IF(OR(C432="",D432=""),"", D432-C432)</f>
        <v/>
      </c>
      <c r="K432" s="17" t="n"/>
    </row>
    <row r="433">
      <c r="A433" s="17" t="n"/>
      <c r="B433" s="17" t="n"/>
      <c r="C433" s="17" t="n"/>
      <c r="D433" s="17" t="n"/>
      <c r="E433" s="15" t="n"/>
      <c r="F433" s="15" t="n"/>
      <c r="G433" s="17" t="n"/>
      <c r="H433" s="15">
        <f>IF(OR(E433="",F433="",G433=""),"", (F433-E433)*G433)</f>
        <v/>
      </c>
      <c r="I433" s="16">
        <f>IF(OR(E433="",F433=""),"", (F433/E433)-1)</f>
        <v/>
      </c>
      <c r="J433" s="17">
        <f>IF(OR(C433="",D433=""),"", D433-C433)</f>
        <v/>
      </c>
      <c r="K433" s="17" t="n"/>
    </row>
    <row r="434">
      <c r="A434" s="17" t="n"/>
      <c r="B434" s="17" t="n"/>
      <c r="C434" s="17" t="n"/>
      <c r="D434" s="17" t="n"/>
      <c r="E434" s="15" t="n"/>
      <c r="F434" s="15" t="n"/>
      <c r="G434" s="17" t="n"/>
      <c r="H434" s="15">
        <f>IF(OR(E434="",F434="",G434=""),"", (F434-E434)*G434)</f>
        <v/>
      </c>
      <c r="I434" s="16">
        <f>IF(OR(E434="",F434=""),"", (F434/E434)-1)</f>
        <v/>
      </c>
      <c r="J434" s="17">
        <f>IF(OR(C434="",D434=""),"", D434-C434)</f>
        <v/>
      </c>
      <c r="K434" s="17" t="n"/>
    </row>
    <row r="435">
      <c r="A435" s="17" t="n"/>
      <c r="B435" s="17" t="n"/>
      <c r="C435" s="17" t="n"/>
      <c r="D435" s="17" t="n"/>
      <c r="E435" s="15" t="n"/>
      <c r="F435" s="15" t="n"/>
      <c r="G435" s="17" t="n"/>
      <c r="H435" s="15">
        <f>IF(OR(E435="",F435="",G435=""),"", (F435-E435)*G435)</f>
        <v/>
      </c>
      <c r="I435" s="16">
        <f>IF(OR(E435="",F435=""),"", (F435/E435)-1)</f>
        <v/>
      </c>
      <c r="J435" s="17">
        <f>IF(OR(C435="",D435=""),"", D435-C435)</f>
        <v/>
      </c>
      <c r="K435" s="17" t="n"/>
    </row>
    <row r="436">
      <c r="A436" s="17" t="n"/>
      <c r="B436" s="17" t="n"/>
      <c r="C436" s="17" t="n"/>
      <c r="D436" s="17" t="n"/>
      <c r="E436" s="15" t="n"/>
      <c r="F436" s="15" t="n"/>
      <c r="G436" s="17" t="n"/>
      <c r="H436" s="15">
        <f>IF(OR(E436="",F436="",G436=""),"", (F436-E436)*G436)</f>
        <v/>
      </c>
      <c r="I436" s="16">
        <f>IF(OR(E436="",F436=""),"", (F436/E436)-1)</f>
        <v/>
      </c>
      <c r="J436" s="17">
        <f>IF(OR(C436="",D436=""),"", D436-C436)</f>
        <v/>
      </c>
      <c r="K436" s="17" t="n"/>
    </row>
    <row r="437">
      <c r="A437" s="17" t="n"/>
      <c r="B437" s="17" t="n"/>
      <c r="C437" s="17" t="n"/>
      <c r="D437" s="17" t="n"/>
      <c r="E437" s="15" t="n"/>
      <c r="F437" s="15" t="n"/>
      <c r="G437" s="17" t="n"/>
      <c r="H437" s="15">
        <f>IF(OR(E437="",F437="",G437=""),"", (F437-E437)*G437)</f>
        <v/>
      </c>
      <c r="I437" s="16">
        <f>IF(OR(E437="",F437=""),"", (F437/E437)-1)</f>
        <v/>
      </c>
      <c r="J437" s="17">
        <f>IF(OR(C437="",D437=""),"", D437-C437)</f>
        <v/>
      </c>
      <c r="K437" s="17" t="n"/>
    </row>
    <row r="438">
      <c r="A438" s="17" t="n"/>
      <c r="B438" s="17" t="n"/>
      <c r="C438" s="17" t="n"/>
      <c r="D438" s="17" t="n"/>
      <c r="E438" s="15" t="n"/>
      <c r="F438" s="15" t="n"/>
      <c r="G438" s="17" t="n"/>
      <c r="H438" s="15">
        <f>IF(OR(E438="",F438="",G438=""),"", (F438-E438)*G438)</f>
        <v/>
      </c>
      <c r="I438" s="16">
        <f>IF(OR(E438="",F438=""),"", (F438/E438)-1)</f>
        <v/>
      </c>
      <c r="J438" s="17">
        <f>IF(OR(C438="",D438=""),"", D438-C438)</f>
        <v/>
      </c>
      <c r="K438" s="17" t="n"/>
    </row>
    <row r="439">
      <c r="A439" s="17" t="n"/>
      <c r="B439" s="17" t="n"/>
      <c r="C439" s="17" t="n"/>
      <c r="D439" s="17" t="n"/>
      <c r="E439" s="15" t="n"/>
      <c r="F439" s="15" t="n"/>
      <c r="G439" s="17" t="n"/>
      <c r="H439" s="15">
        <f>IF(OR(E439="",F439="",G439=""),"", (F439-E439)*G439)</f>
        <v/>
      </c>
      <c r="I439" s="16">
        <f>IF(OR(E439="",F439=""),"", (F439/E439)-1)</f>
        <v/>
      </c>
      <c r="J439" s="17">
        <f>IF(OR(C439="",D439=""),"", D439-C439)</f>
        <v/>
      </c>
      <c r="K439" s="17" t="n"/>
    </row>
    <row r="440">
      <c r="A440" s="17" t="n"/>
      <c r="B440" s="17" t="n"/>
      <c r="C440" s="17" t="n"/>
      <c r="D440" s="17" t="n"/>
      <c r="E440" s="15" t="n"/>
      <c r="F440" s="15" t="n"/>
      <c r="G440" s="17" t="n"/>
      <c r="H440" s="15">
        <f>IF(OR(E440="",F440="",G440=""),"", (F440-E440)*G440)</f>
        <v/>
      </c>
      <c r="I440" s="16">
        <f>IF(OR(E440="",F440=""),"", (F440/E440)-1)</f>
        <v/>
      </c>
      <c r="J440" s="17">
        <f>IF(OR(C440="",D440=""),"", D440-C440)</f>
        <v/>
      </c>
      <c r="K440" s="17" t="n"/>
    </row>
    <row r="441">
      <c r="A441" s="17" t="n"/>
      <c r="B441" s="17" t="n"/>
      <c r="C441" s="17" t="n"/>
      <c r="D441" s="17" t="n"/>
      <c r="E441" s="15" t="n"/>
      <c r="F441" s="15" t="n"/>
      <c r="G441" s="17" t="n"/>
      <c r="H441" s="15">
        <f>IF(OR(E441="",F441="",G441=""),"", (F441-E441)*G441)</f>
        <v/>
      </c>
      <c r="I441" s="16">
        <f>IF(OR(E441="",F441=""),"", (F441/E441)-1)</f>
        <v/>
      </c>
      <c r="J441" s="17">
        <f>IF(OR(C441="",D441=""),"", D441-C441)</f>
        <v/>
      </c>
      <c r="K441" s="17" t="n"/>
    </row>
    <row r="442">
      <c r="A442" s="17" t="n"/>
      <c r="B442" s="17" t="n"/>
      <c r="C442" s="17" t="n"/>
      <c r="D442" s="17" t="n"/>
      <c r="E442" s="15" t="n"/>
      <c r="F442" s="15" t="n"/>
      <c r="G442" s="17" t="n"/>
      <c r="H442" s="15">
        <f>IF(OR(E442="",F442="",G442=""),"", (F442-E442)*G442)</f>
        <v/>
      </c>
      <c r="I442" s="16">
        <f>IF(OR(E442="",F442=""),"", (F442/E442)-1)</f>
        <v/>
      </c>
      <c r="J442" s="17">
        <f>IF(OR(C442="",D442=""),"", D442-C442)</f>
        <v/>
      </c>
      <c r="K442" s="17" t="n"/>
    </row>
    <row r="443">
      <c r="A443" s="17" t="n"/>
      <c r="B443" s="17" t="n"/>
      <c r="C443" s="17" t="n"/>
      <c r="D443" s="17" t="n"/>
      <c r="E443" s="15" t="n"/>
      <c r="F443" s="15" t="n"/>
      <c r="G443" s="17" t="n"/>
      <c r="H443" s="15">
        <f>IF(OR(E443="",F443="",G443=""),"", (F443-E443)*G443)</f>
        <v/>
      </c>
      <c r="I443" s="16">
        <f>IF(OR(E443="",F443=""),"", (F443/E443)-1)</f>
        <v/>
      </c>
      <c r="J443" s="17">
        <f>IF(OR(C443="",D443=""),"", D443-C443)</f>
        <v/>
      </c>
      <c r="K443" s="17" t="n"/>
    </row>
    <row r="444">
      <c r="A444" s="17" t="n"/>
      <c r="B444" s="17" t="n"/>
      <c r="C444" s="17" t="n"/>
      <c r="D444" s="17" t="n"/>
      <c r="E444" s="15" t="n"/>
      <c r="F444" s="15" t="n"/>
      <c r="G444" s="17" t="n"/>
      <c r="H444" s="15">
        <f>IF(OR(E444="",F444="",G444=""),"", (F444-E444)*G444)</f>
        <v/>
      </c>
      <c r="I444" s="16">
        <f>IF(OR(E444="",F444=""),"", (F444/E444)-1)</f>
        <v/>
      </c>
      <c r="J444" s="17">
        <f>IF(OR(C444="",D444=""),"", D444-C444)</f>
        <v/>
      </c>
      <c r="K444" s="17" t="n"/>
    </row>
    <row r="445">
      <c r="A445" s="17" t="n"/>
      <c r="B445" s="17" t="n"/>
      <c r="C445" s="17" t="n"/>
      <c r="D445" s="17" t="n"/>
      <c r="E445" s="15" t="n"/>
      <c r="F445" s="15" t="n"/>
      <c r="G445" s="17" t="n"/>
      <c r="H445" s="15">
        <f>IF(OR(E445="",F445="",G445=""),"", (F445-E445)*G445)</f>
        <v/>
      </c>
      <c r="I445" s="16">
        <f>IF(OR(E445="",F445=""),"", (F445/E445)-1)</f>
        <v/>
      </c>
      <c r="J445" s="17">
        <f>IF(OR(C445="",D445=""),"", D445-C445)</f>
        <v/>
      </c>
      <c r="K445" s="17" t="n"/>
    </row>
    <row r="446">
      <c r="A446" s="17" t="n"/>
      <c r="B446" s="17" t="n"/>
      <c r="C446" s="17" t="n"/>
      <c r="D446" s="17" t="n"/>
      <c r="E446" s="15" t="n"/>
      <c r="F446" s="15" t="n"/>
      <c r="G446" s="17" t="n"/>
      <c r="H446" s="15">
        <f>IF(OR(E446="",F446="",G446=""),"", (F446-E446)*G446)</f>
        <v/>
      </c>
      <c r="I446" s="16">
        <f>IF(OR(E446="",F446=""),"", (F446/E446)-1)</f>
        <v/>
      </c>
      <c r="J446" s="17">
        <f>IF(OR(C446="",D446=""),"", D446-C446)</f>
        <v/>
      </c>
      <c r="K446" s="17" t="n"/>
    </row>
    <row r="447">
      <c r="A447" s="17" t="n"/>
      <c r="B447" s="17" t="n"/>
      <c r="C447" s="17" t="n"/>
      <c r="D447" s="17" t="n"/>
      <c r="E447" s="15" t="n"/>
      <c r="F447" s="15" t="n"/>
      <c r="G447" s="17" t="n"/>
      <c r="H447" s="15">
        <f>IF(OR(E447="",F447="",G447=""),"", (F447-E447)*G447)</f>
        <v/>
      </c>
      <c r="I447" s="16">
        <f>IF(OR(E447="",F447=""),"", (F447/E447)-1)</f>
        <v/>
      </c>
      <c r="J447" s="17">
        <f>IF(OR(C447="",D447=""),"", D447-C447)</f>
        <v/>
      </c>
      <c r="K447" s="17" t="n"/>
    </row>
    <row r="448">
      <c r="A448" s="17" t="n"/>
      <c r="B448" s="17" t="n"/>
      <c r="C448" s="17" t="n"/>
      <c r="D448" s="17" t="n"/>
      <c r="E448" s="15" t="n"/>
      <c r="F448" s="15" t="n"/>
      <c r="G448" s="17" t="n"/>
      <c r="H448" s="15">
        <f>IF(OR(E448="",F448="",G448=""),"", (F448-E448)*G448)</f>
        <v/>
      </c>
      <c r="I448" s="16">
        <f>IF(OR(E448="",F448=""),"", (F448/E448)-1)</f>
        <v/>
      </c>
      <c r="J448" s="17">
        <f>IF(OR(C448="",D448=""),"", D448-C448)</f>
        <v/>
      </c>
      <c r="K448" s="17" t="n"/>
    </row>
    <row r="449">
      <c r="A449" s="17" t="n"/>
      <c r="B449" s="17" t="n"/>
      <c r="C449" s="17" t="n"/>
      <c r="D449" s="17" t="n"/>
      <c r="E449" s="15" t="n"/>
      <c r="F449" s="15" t="n"/>
      <c r="G449" s="17" t="n"/>
      <c r="H449" s="15">
        <f>IF(OR(E449="",F449="",G449=""),"", (F449-E449)*G449)</f>
        <v/>
      </c>
      <c r="I449" s="16">
        <f>IF(OR(E449="",F449=""),"", (F449/E449)-1)</f>
        <v/>
      </c>
      <c r="J449" s="17">
        <f>IF(OR(C449="",D449=""),"", D449-C449)</f>
        <v/>
      </c>
      <c r="K449" s="17" t="n"/>
    </row>
    <row r="450">
      <c r="A450" s="17" t="n"/>
      <c r="B450" s="17" t="n"/>
      <c r="C450" s="17" t="n"/>
      <c r="D450" s="17" t="n"/>
      <c r="E450" s="15" t="n"/>
      <c r="F450" s="15" t="n"/>
      <c r="G450" s="17" t="n"/>
      <c r="H450" s="15">
        <f>IF(OR(E450="",F450="",G450=""),"", (F450-E450)*G450)</f>
        <v/>
      </c>
      <c r="I450" s="16">
        <f>IF(OR(E450="",F450=""),"", (F450/E450)-1)</f>
        <v/>
      </c>
      <c r="J450" s="17">
        <f>IF(OR(C450="",D450=""),"", D450-C450)</f>
        <v/>
      </c>
      <c r="K450" s="17" t="n"/>
    </row>
    <row r="451">
      <c r="A451" s="17" t="n"/>
      <c r="B451" s="17" t="n"/>
      <c r="C451" s="17" t="n"/>
      <c r="D451" s="17" t="n"/>
      <c r="E451" s="15" t="n"/>
      <c r="F451" s="15" t="n"/>
      <c r="G451" s="17" t="n"/>
      <c r="H451" s="15">
        <f>IF(OR(E451="",F451="",G451=""),"", (F451-E451)*G451)</f>
        <v/>
      </c>
      <c r="I451" s="16">
        <f>IF(OR(E451="",F451=""),"", (F451/E451)-1)</f>
        <v/>
      </c>
      <c r="J451" s="17">
        <f>IF(OR(C451="",D451=""),"", D451-C451)</f>
        <v/>
      </c>
      <c r="K451" s="17" t="n"/>
    </row>
    <row r="452">
      <c r="A452" s="17" t="n"/>
      <c r="B452" s="17" t="n"/>
      <c r="C452" s="17" t="n"/>
      <c r="D452" s="17" t="n"/>
      <c r="E452" s="15" t="n"/>
      <c r="F452" s="15" t="n"/>
      <c r="G452" s="17" t="n"/>
      <c r="H452" s="15">
        <f>IF(OR(E452="",F452="",G452=""),"", (F452-E452)*G452)</f>
        <v/>
      </c>
      <c r="I452" s="16">
        <f>IF(OR(E452="",F452=""),"", (F452/E452)-1)</f>
        <v/>
      </c>
      <c r="J452" s="17">
        <f>IF(OR(C452="",D452=""),"", D452-C452)</f>
        <v/>
      </c>
      <c r="K452" s="17" t="n"/>
    </row>
    <row r="453">
      <c r="A453" s="17" t="n"/>
      <c r="B453" s="17" t="n"/>
      <c r="C453" s="17" t="n"/>
      <c r="D453" s="17" t="n"/>
      <c r="E453" s="15" t="n"/>
      <c r="F453" s="15" t="n"/>
      <c r="G453" s="17" t="n"/>
      <c r="H453" s="15">
        <f>IF(OR(E453="",F453="",G453=""),"", (F453-E453)*G453)</f>
        <v/>
      </c>
      <c r="I453" s="16">
        <f>IF(OR(E453="",F453=""),"", (F453/E453)-1)</f>
        <v/>
      </c>
      <c r="J453" s="17">
        <f>IF(OR(C453="",D453=""),"", D453-C453)</f>
        <v/>
      </c>
      <c r="K453" s="17" t="n"/>
    </row>
    <row r="454">
      <c r="A454" s="17" t="n"/>
      <c r="B454" s="17" t="n"/>
      <c r="C454" s="17" t="n"/>
      <c r="D454" s="17" t="n"/>
      <c r="E454" s="15" t="n"/>
      <c r="F454" s="15" t="n"/>
      <c r="G454" s="17" t="n"/>
      <c r="H454" s="15">
        <f>IF(OR(E454="",F454="",G454=""),"", (F454-E454)*G454)</f>
        <v/>
      </c>
      <c r="I454" s="16">
        <f>IF(OR(E454="",F454=""),"", (F454/E454)-1)</f>
        <v/>
      </c>
      <c r="J454" s="17">
        <f>IF(OR(C454="",D454=""),"", D454-C454)</f>
        <v/>
      </c>
      <c r="K454" s="17" t="n"/>
    </row>
    <row r="455">
      <c r="A455" s="17" t="n"/>
      <c r="B455" s="17" t="n"/>
      <c r="C455" s="17" t="n"/>
      <c r="D455" s="17" t="n"/>
      <c r="E455" s="15" t="n"/>
      <c r="F455" s="15" t="n"/>
      <c r="G455" s="17" t="n"/>
      <c r="H455" s="15">
        <f>IF(OR(E455="",F455="",G455=""),"", (F455-E455)*G455)</f>
        <v/>
      </c>
      <c r="I455" s="16">
        <f>IF(OR(E455="",F455=""),"", (F455/E455)-1)</f>
        <v/>
      </c>
      <c r="J455" s="17">
        <f>IF(OR(C455="",D455=""),"", D455-C455)</f>
        <v/>
      </c>
      <c r="K455" s="17" t="n"/>
    </row>
    <row r="456">
      <c r="A456" s="17" t="n"/>
      <c r="B456" s="17" t="n"/>
      <c r="C456" s="17" t="n"/>
      <c r="D456" s="17" t="n"/>
      <c r="E456" s="15" t="n"/>
      <c r="F456" s="15" t="n"/>
      <c r="G456" s="17" t="n"/>
      <c r="H456" s="15">
        <f>IF(OR(E456="",F456="",G456=""),"", (F456-E456)*G456)</f>
        <v/>
      </c>
      <c r="I456" s="16">
        <f>IF(OR(E456="",F456=""),"", (F456/E456)-1)</f>
        <v/>
      </c>
      <c r="J456" s="17">
        <f>IF(OR(C456="",D456=""),"", D456-C456)</f>
        <v/>
      </c>
      <c r="K456" s="17" t="n"/>
    </row>
    <row r="457">
      <c r="A457" s="17" t="n"/>
      <c r="B457" s="17" t="n"/>
      <c r="C457" s="17" t="n"/>
      <c r="D457" s="17" t="n"/>
      <c r="E457" s="15" t="n"/>
      <c r="F457" s="15" t="n"/>
      <c r="G457" s="17" t="n"/>
      <c r="H457" s="15">
        <f>IF(OR(E457="",F457="",G457=""),"", (F457-E457)*G457)</f>
        <v/>
      </c>
      <c r="I457" s="16">
        <f>IF(OR(E457="",F457=""),"", (F457/E457)-1)</f>
        <v/>
      </c>
      <c r="J457" s="17">
        <f>IF(OR(C457="",D457=""),"", D457-C457)</f>
        <v/>
      </c>
      <c r="K457" s="17" t="n"/>
    </row>
    <row r="458">
      <c r="A458" s="17" t="n"/>
      <c r="B458" s="17" t="n"/>
      <c r="C458" s="17" t="n"/>
      <c r="D458" s="17" t="n"/>
      <c r="E458" s="15" t="n"/>
      <c r="F458" s="15" t="n"/>
      <c r="G458" s="17" t="n"/>
      <c r="H458" s="15">
        <f>IF(OR(E458="",F458="",G458=""),"", (F458-E458)*G458)</f>
        <v/>
      </c>
      <c r="I458" s="16">
        <f>IF(OR(E458="",F458=""),"", (F458/E458)-1)</f>
        <v/>
      </c>
      <c r="J458" s="17">
        <f>IF(OR(C458="",D458=""),"", D458-C458)</f>
        <v/>
      </c>
      <c r="K458" s="17" t="n"/>
    </row>
    <row r="459">
      <c r="A459" s="17" t="n"/>
      <c r="B459" s="17" t="n"/>
      <c r="C459" s="17" t="n"/>
      <c r="D459" s="17" t="n"/>
      <c r="E459" s="15" t="n"/>
      <c r="F459" s="15" t="n"/>
      <c r="G459" s="17" t="n"/>
      <c r="H459" s="15">
        <f>IF(OR(E459="",F459="",G459=""),"", (F459-E459)*G459)</f>
        <v/>
      </c>
      <c r="I459" s="16">
        <f>IF(OR(E459="",F459=""),"", (F459/E459)-1)</f>
        <v/>
      </c>
      <c r="J459" s="17">
        <f>IF(OR(C459="",D459=""),"", D459-C459)</f>
        <v/>
      </c>
      <c r="K459" s="17" t="n"/>
    </row>
    <row r="460">
      <c r="A460" s="17" t="n"/>
      <c r="B460" s="17" t="n"/>
      <c r="C460" s="17" t="n"/>
      <c r="D460" s="17" t="n"/>
      <c r="E460" s="15" t="n"/>
      <c r="F460" s="15" t="n"/>
      <c r="G460" s="17" t="n"/>
      <c r="H460" s="15">
        <f>IF(OR(E460="",F460="",G460=""),"", (F460-E460)*G460)</f>
        <v/>
      </c>
      <c r="I460" s="16">
        <f>IF(OR(E460="",F460=""),"", (F460/E460)-1)</f>
        <v/>
      </c>
      <c r="J460" s="17">
        <f>IF(OR(C460="",D460=""),"", D460-C460)</f>
        <v/>
      </c>
      <c r="K460" s="17" t="n"/>
    </row>
    <row r="461">
      <c r="A461" s="17" t="n"/>
      <c r="B461" s="17" t="n"/>
      <c r="C461" s="17" t="n"/>
      <c r="D461" s="17" t="n"/>
      <c r="E461" s="15" t="n"/>
      <c r="F461" s="15" t="n"/>
      <c r="G461" s="17" t="n"/>
      <c r="H461" s="15">
        <f>IF(OR(E461="",F461="",G461=""),"", (F461-E461)*G461)</f>
        <v/>
      </c>
      <c r="I461" s="16">
        <f>IF(OR(E461="",F461=""),"", (F461/E461)-1)</f>
        <v/>
      </c>
      <c r="J461" s="17">
        <f>IF(OR(C461="",D461=""),"", D461-C461)</f>
        <v/>
      </c>
      <c r="K461" s="17" t="n"/>
    </row>
    <row r="462">
      <c r="A462" s="17" t="n"/>
      <c r="B462" s="17" t="n"/>
      <c r="C462" s="17" t="n"/>
      <c r="D462" s="17" t="n"/>
      <c r="E462" s="15" t="n"/>
      <c r="F462" s="15" t="n"/>
      <c r="G462" s="17" t="n"/>
      <c r="H462" s="15">
        <f>IF(OR(E462="",F462="",G462=""),"", (F462-E462)*G462)</f>
        <v/>
      </c>
      <c r="I462" s="16">
        <f>IF(OR(E462="",F462=""),"", (F462/E462)-1)</f>
        <v/>
      </c>
      <c r="J462" s="17">
        <f>IF(OR(C462="",D462=""),"", D462-C462)</f>
        <v/>
      </c>
      <c r="K462" s="17" t="n"/>
    </row>
    <row r="463">
      <c r="A463" s="17" t="n"/>
      <c r="B463" s="17" t="n"/>
      <c r="C463" s="17" t="n"/>
      <c r="D463" s="17" t="n"/>
      <c r="E463" s="15" t="n"/>
      <c r="F463" s="15" t="n"/>
      <c r="G463" s="17" t="n"/>
      <c r="H463" s="15">
        <f>IF(OR(E463="",F463="",G463=""),"", (F463-E463)*G463)</f>
        <v/>
      </c>
      <c r="I463" s="16">
        <f>IF(OR(E463="",F463=""),"", (F463/E463)-1)</f>
        <v/>
      </c>
      <c r="J463" s="17">
        <f>IF(OR(C463="",D463=""),"", D463-C463)</f>
        <v/>
      </c>
      <c r="K463" s="17" t="n"/>
    </row>
    <row r="464">
      <c r="A464" s="17" t="n"/>
      <c r="B464" s="17" t="n"/>
      <c r="C464" s="17" t="n"/>
      <c r="D464" s="17" t="n"/>
      <c r="E464" s="15" t="n"/>
      <c r="F464" s="15" t="n"/>
      <c r="G464" s="17" t="n"/>
      <c r="H464" s="15">
        <f>IF(OR(E464="",F464="",G464=""),"", (F464-E464)*G464)</f>
        <v/>
      </c>
      <c r="I464" s="16">
        <f>IF(OR(E464="",F464=""),"", (F464/E464)-1)</f>
        <v/>
      </c>
      <c r="J464" s="17">
        <f>IF(OR(C464="",D464=""),"", D464-C464)</f>
        <v/>
      </c>
      <c r="K464" s="17" t="n"/>
    </row>
    <row r="465">
      <c r="A465" s="17" t="n"/>
      <c r="B465" s="17" t="n"/>
      <c r="C465" s="17" t="n"/>
      <c r="D465" s="17" t="n"/>
      <c r="E465" s="15" t="n"/>
      <c r="F465" s="15" t="n"/>
      <c r="G465" s="17" t="n"/>
      <c r="H465" s="15">
        <f>IF(OR(E465="",F465="",G465=""),"", (F465-E465)*G465)</f>
        <v/>
      </c>
      <c r="I465" s="16">
        <f>IF(OR(E465="",F465=""),"", (F465/E465)-1)</f>
        <v/>
      </c>
      <c r="J465" s="17">
        <f>IF(OR(C465="",D465=""),"", D465-C465)</f>
        <v/>
      </c>
      <c r="K465" s="17" t="n"/>
    </row>
    <row r="466">
      <c r="A466" s="17" t="n"/>
      <c r="B466" s="17" t="n"/>
      <c r="C466" s="17" t="n"/>
      <c r="D466" s="17" t="n"/>
      <c r="E466" s="15" t="n"/>
      <c r="F466" s="15" t="n"/>
      <c r="G466" s="17" t="n"/>
      <c r="H466" s="15">
        <f>IF(OR(E466="",F466="",G466=""),"", (F466-E466)*G466)</f>
        <v/>
      </c>
      <c r="I466" s="16">
        <f>IF(OR(E466="",F466=""),"", (F466/E466)-1)</f>
        <v/>
      </c>
      <c r="J466" s="17">
        <f>IF(OR(C466="",D466=""),"", D466-C466)</f>
        <v/>
      </c>
      <c r="K466" s="17" t="n"/>
    </row>
    <row r="467">
      <c r="A467" s="17" t="n"/>
      <c r="B467" s="17" t="n"/>
      <c r="C467" s="17" t="n"/>
      <c r="D467" s="17" t="n"/>
      <c r="E467" s="15" t="n"/>
      <c r="F467" s="15" t="n"/>
      <c r="G467" s="17" t="n"/>
      <c r="H467" s="15">
        <f>IF(OR(E467="",F467="",G467=""),"", (F467-E467)*G467)</f>
        <v/>
      </c>
      <c r="I467" s="16">
        <f>IF(OR(E467="",F467=""),"", (F467/E467)-1)</f>
        <v/>
      </c>
      <c r="J467" s="17">
        <f>IF(OR(C467="",D467=""),"", D467-C467)</f>
        <v/>
      </c>
      <c r="K467" s="17" t="n"/>
    </row>
    <row r="468">
      <c r="A468" s="17" t="n"/>
      <c r="B468" s="17" t="n"/>
      <c r="C468" s="17" t="n"/>
      <c r="D468" s="17" t="n"/>
      <c r="E468" s="15" t="n"/>
      <c r="F468" s="15" t="n"/>
      <c r="G468" s="17" t="n"/>
      <c r="H468" s="15">
        <f>IF(OR(E468="",F468="",G468=""),"", (F468-E468)*G468)</f>
        <v/>
      </c>
      <c r="I468" s="16">
        <f>IF(OR(E468="",F468=""),"", (F468/E468)-1)</f>
        <v/>
      </c>
      <c r="J468" s="17">
        <f>IF(OR(C468="",D468=""),"", D468-C468)</f>
        <v/>
      </c>
      <c r="K468" s="17" t="n"/>
    </row>
    <row r="469">
      <c r="A469" s="17" t="n"/>
      <c r="B469" s="17" t="n"/>
      <c r="C469" s="17" t="n"/>
      <c r="D469" s="17" t="n"/>
      <c r="E469" s="15" t="n"/>
      <c r="F469" s="15" t="n"/>
      <c r="G469" s="17" t="n"/>
      <c r="H469" s="15">
        <f>IF(OR(E469="",F469="",G469=""),"", (F469-E469)*G469)</f>
        <v/>
      </c>
      <c r="I469" s="16">
        <f>IF(OR(E469="",F469=""),"", (F469/E469)-1)</f>
        <v/>
      </c>
      <c r="J469" s="17">
        <f>IF(OR(C469="",D469=""),"", D469-C469)</f>
        <v/>
      </c>
      <c r="K469" s="17" t="n"/>
    </row>
    <row r="470">
      <c r="A470" s="17" t="n"/>
      <c r="B470" s="17" t="n"/>
      <c r="C470" s="17" t="n"/>
      <c r="D470" s="17" t="n"/>
      <c r="E470" s="15" t="n"/>
      <c r="F470" s="15" t="n"/>
      <c r="G470" s="17" t="n"/>
      <c r="H470" s="15">
        <f>IF(OR(E470="",F470="",G470=""),"", (F470-E470)*G470)</f>
        <v/>
      </c>
      <c r="I470" s="16">
        <f>IF(OR(E470="",F470=""),"", (F470/E470)-1)</f>
        <v/>
      </c>
      <c r="J470" s="17">
        <f>IF(OR(C470="",D470=""),"", D470-C470)</f>
        <v/>
      </c>
      <c r="K470" s="17" t="n"/>
    </row>
    <row r="471">
      <c r="A471" s="17" t="n"/>
      <c r="B471" s="17" t="n"/>
      <c r="C471" s="17" t="n"/>
      <c r="D471" s="17" t="n"/>
      <c r="E471" s="15" t="n"/>
      <c r="F471" s="15" t="n"/>
      <c r="G471" s="17" t="n"/>
      <c r="H471" s="15">
        <f>IF(OR(E471="",F471="",G471=""),"", (F471-E471)*G471)</f>
        <v/>
      </c>
      <c r="I471" s="16">
        <f>IF(OR(E471="",F471=""),"", (F471/E471)-1)</f>
        <v/>
      </c>
      <c r="J471" s="17">
        <f>IF(OR(C471="",D471=""),"", D471-C471)</f>
        <v/>
      </c>
      <c r="K471" s="17" t="n"/>
    </row>
    <row r="472">
      <c r="A472" s="17" t="n"/>
      <c r="B472" s="17" t="n"/>
      <c r="C472" s="17" t="n"/>
      <c r="D472" s="17" t="n"/>
      <c r="E472" s="15" t="n"/>
      <c r="F472" s="15" t="n"/>
      <c r="G472" s="17" t="n"/>
      <c r="H472" s="15">
        <f>IF(OR(E472="",F472="",G472=""),"", (F472-E472)*G472)</f>
        <v/>
      </c>
      <c r="I472" s="16">
        <f>IF(OR(E472="",F472=""),"", (F472/E472)-1)</f>
        <v/>
      </c>
      <c r="J472" s="17">
        <f>IF(OR(C472="",D472=""),"", D472-C472)</f>
        <v/>
      </c>
      <c r="K472" s="17" t="n"/>
    </row>
    <row r="473">
      <c r="A473" s="17" t="n"/>
      <c r="B473" s="17" t="n"/>
      <c r="C473" s="17" t="n"/>
      <c r="D473" s="17" t="n"/>
      <c r="E473" s="15" t="n"/>
      <c r="F473" s="15" t="n"/>
      <c r="G473" s="17" t="n"/>
      <c r="H473" s="15">
        <f>IF(OR(E473="",F473="",G473=""),"", (F473-E473)*G473)</f>
        <v/>
      </c>
      <c r="I473" s="16">
        <f>IF(OR(E473="",F473=""),"", (F473/E473)-1)</f>
        <v/>
      </c>
      <c r="J473" s="17">
        <f>IF(OR(C473="",D473=""),"", D473-C473)</f>
        <v/>
      </c>
      <c r="K473" s="17" t="n"/>
    </row>
    <row r="474">
      <c r="A474" s="17" t="n"/>
      <c r="B474" s="17" t="n"/>
      <c r="C474" s="17" t="n"/>
      <c r="D474" s="17" t="n"/>
      <c r="E474" s="15" t="n"/>
      <c r="F474" s="15" t="n"/>
      <c r="G474" s="17" t="n"/>
      <c r="H474" s="15">
        <f>IF(OR(E474="",F474="",G474=""),"", (F474-E474)*G474)</f>
        <v/>
      </c>
      <c r="I474" s="16">
        <f>IF(OR(E474="",F474=""),"", (F474/E474)-1)</f>
        <v/>
      </c>
      <c r="J474" s="17">
        <f>IF(OR(C474="",D474=""),"", D474-C474)</f>
        <v/>
      </c>
      <c r="K474" s="17" t="n"/>
    </row>
    <row r="475">
      <c r="A475" s="17" t="n"/>
      <c r="B475" s="17" t="n"/>
      <c r="C475" s="17" t="n"/>
      <c r="D475" s="17" t="n"/>
      <c r="E475" s="15" t="n"/>
      <c r="F475" s="15" t="n"/>
      <c r="G475" s="17" t="n"/>
      <c r="H475" s="15">
        <f>IF(OR(E475="",F475="",G475=""),"", (F475-E475)*G475)</f>
        <v/>
      </c>
      <c r="I475" s="16">
        <f>IF(OR(E475="",F475=""),"", (F475/E475)-1)</f>
        <v/>
      </c>
      <c r="J475" s="17">
        <f>IF(OR(C475="",D475=""),"", D475-C475)</f>
        <v/>
      </c>
      <c r="K475" s="17" t="n"/>
    </row>
    <row r="476">
      <c r="A476" s="17" t="n"/>
      <c r="B476" s="17" t="n"/>
      <c r="C476" s="17" t="n"/>
      <c r="D476" s="17" t="n"/>
      <c r="E476" s="15" t="n"/>
      <c r="F476" s="15" t="n"/>
      <c r="G476" s="17" t="n"/>
      <c r="H476" s="15">
        <f>IF(OR(E476="",F476="",G476=""),"", (F476-E476)*G476)</f>
        <v/>
      </c>
      <c r="I476" s="16">
        <f>IF(OR(E476="",F476=""),"", (F476/E476)-1)</f>
        <v/>
      </c>
      <c r="J476" s="17">
        <f>IF(OR(C476="",D476=""),"", D476-C476)</f>
        <v/>
      </c>
      <c r="K476" s="17" t="n"/>
    </row>
    <row r="477">
      <c r="A477" s="17" t="n"/>
      <c r="B477" s="17" t="n"/>
      <c r="C477" s="17" t="n"/>
      <c r="D477" s="17" t="n"/>
      <c r="E477" s="15" t="n"/>
      <c r="F477" s="15" t="n"/>
      <c r="G477" s="17" t="n"/>
      <c r="H477" s="15">
        <f>IF(OR(E477="",F477="",G477=""),"", (F477-E477)*G477)</f>
        <v/>
      </c>
      <c r="I477" s="16">
        <f>IF(OR(E477="",F477=""),"", (F477/E477)-1)</f>
        <v/>
      </c>
      <c r="J477" s="17">
        <f>IF(OR(C477="",D477=""),"", D477-C477)</f>
        <v/>
      </c>
      <c r="K477" s="17" t="n"/>
    </row>
    <row r="478">
      <c r="A478" s="17" t="n"/>
      <c r="B478" s="17" t="n"/>
      <c r="C478" s="17" t="n"/>
      <c r="D478" s="17" t="n"/>
      <c r="E478" s="15" t="n"/>
      <c r="F478" s="15" t="n"/>
      <c r="G478" s="17" t="n"/>
      <c r="H478" s="15">
        <f>IF(OR(E478="",F478="",G478=""),"", (F478-E478)*G478)</f>
        <v/>
      </c>
      <c r="I478" s="16">
        <f>IF(OR(E478="",F478=""),"", (F478/E478)-1)</f>
        <v/>
      </c>
      <c r="J478" s="17">
        <f>IF(OR(C478="",D478=""),"", D478-C478)</f>
        <v/>
      </c>
      <c r="K478" s="17" t="n"/>
    </row>
    <row r="479">
      <c r="A479" s="17" t="n"/>
      <c r="B479" s="17" t="n"/>
      <c r="C479" s="17" t="n"/>
      <c r="D479" s="17" t="n"/>
      <c r="E479" s="15" t="n"/>
      <c r="F479" s="15" t="n"/>
      <c r="G479" s="17" t="n"/>
      <c r="H479" s="15">
        <f>IF(OR(E479="",F479="",G479=""),"", (F479-E479)*G479)</f>
        <v/>
      </c>
      <c r="I479" s="16">
        <f>IF(OR(E479="",F479=""),"", (F479/E479)-1)</f>
        <v/>
      </c>
      <c r="J479" s="17">
        <f>IF(OR(C479="",D479=""),"", D479-C479)</f>
        <v/>
      </c>
      <c r="K479" s="17" t="n"/>
    </row>
    <row r="480">
      <c r="A480" s="17" t="n"/>
      <c r="B480" s="17" t="n"/>
      <c r="C480" s="17" t="n"/>
      <c r="D480" s="17" t="n"/>
      <c r="E480" s="15" t="n"/>
      <c r="F480" s="15" t="n"/>
      <c r="G480" s="17" t="n"/>
      <c r="H480" s="15">
        <f>IF(OR(E480="",F480="",G480=""),"", (F480-E480)*G480)</f>
        <v/>
      </c>
      <c r="I480" s="16">
        <f>IF(OR(E480="",F480=""),"", (F480/E480)-1)</f>
        <v/>
      </c>
      <c r="J480" s="17">
        <f>IF(OR(C480="",D480=""),"", D480-C480)</f>
        <v/>
      </c>
      <c r="K480" s="17" t="n"/>
    </row>
    <row r="481">
      <c r="A481" s="17" t="n"/>
      <c r="B481" s="17" t="n"/>
      <c r="C481" s="17" t="n"/>
      <c r="D481" s="17" t="n"/>
      <c r="E481" s="15" t="n"/>
      <c r="F481" s="15" t="n"/>
      <c r="G481" s="17" t="n"/>
      <c r="H481" s="15">
        <f>IF(OR(E481="",F481="",G481=""),"", (F481-E481)*G481)</f>
        <v/>
      </c>
      <c r="I481" s="16">
        <f>IF(OR(E481="",F481=""),"", (F481/E481)-1)</f>
        <v/>
      </c>
      <c r="J481" s="17">
        <f>IF(OR(C481="",D481=""),"", D481-C481)</f>
        <v/>
      </c>
      <c r="K481" s="17" t="n"/>
    </row>
    <row r="482">
      <c r="A482" s="17" t="n"/>
      <c r="B482" s="17" t="n"/>
      <c r="C482" s="17" t="n"/>
      <c r="D482" s="17" t="n"/>
      <c r="E482" s="15" t="n"/>
      <c r="F482" s="15" t="n"/>
      <c r="G482" s="17" t="n"/>
      <c r="H482" s="15">
        <f>IF(OR(E482="",F482="",G482=""),"", (F482-E482)*G482)</f>
        <v/>
      </c>
      <c r="I482" s="16">
        <f>IF(OR(E482="",F482=""),"", (F482/E482)-1)</f>
        <v/>
      </c>
      <c r="J482" s="17">
        <f>IF(OR(C482="",D482=""),"", D482-C482)</f>
        <v/>
      </c>
      <c r="K482" s="17" t="n"/>
    </row>
    <row r="483">
      <c r="A483" s="17" t="n"/>
      <c r="B483" s="17" t="n"/>
      <c r="C483" s="17" t="n"/>
      <c r="D483" s="17" t="n"/>
      <c r="E483" s="15" t="n"/>
      <c r="F483" s="15" t="n"/>
      <c r="G483" s="17" t="n"/>
      <c r="H483" s="15">
        <f>IF(OR(E483="",F483="",G483=""),"", (F483-E483)*G483)</f>
        <v/>
      </c>
      <c r="I483" s="16">
        <f>IF(OR(E483="",F483=""),"", (F483/E483)-1)</f>
        <v/>
      </c>
      <c r="J483" s="17">
        <f>IF(OR(C483="",D483=""),"", D483-C483)</f>
        <v/>
      </c>
      <c r="K483" s="17" t="n"/>
    </row>
    <row r="484">
      <c r="A484" s="17" t="n"/>
      <c r="B484" s="17" t="n"/>
      <c r="C484" s="17" t="n"/>
      <c r="D484" s="17" t="n"/>
      <c r="E484" s="15" t="n"/>
      <c r="F484" s="15" t="n"/>
      <c r="G484" s="17" t="n"/>
      <c r="H484" s="15">
        <f>IF(OR(E484="",F484="",G484=""),"", (F484-E484)*G484)</f>
        <v/>
      </c>
      <c r="I484" s="16">
        <f>IF(OR(E484="",F484=""),"", (F484/E484)-1)</f>
        <v/>
      </c>
      <c r="J484" s="17">
        <f>IF(OR(C484="",D484=""),"", D484-C484)</f>
        <v/>
      </c>
      <c r="K484" s="17" t="n"/>
    </row>
    <row r="485">
      <c r="A485" s="17" t="n"/>
      <c r="B485" s="17" t="n"/>
      <c r="C485" s="17" t="n"/>
      <c r="D485" s="17" t="n"/>
      <c r="E485" s="15" t="n"/>
      <c r="F485" s="15" t="n"/>
      <c r="G485" s="17" t="n"/>
      <c r="H485" s="15">
        <f>IF(OR(E485="",F485="",G485=""),"", (F485-E485)*G485)</f>
        <v/>
      </c>
      <c r="I485" s="16">
        <f>IF(OR(E485="",F485=""),"", (F485/E485)-1)</f>
        <v/>
      </c>
      <c r="J485" s="17">
        <f>IF(OR(C485="",D485=""),"", D485-C485)</f>
        <v/>
      </c>
      <c r="K485" s="17" t="n"/>
    </row>
    <row r="486">
      <c r="A486" s="17" t="n"/>
      <c r="B486" s="17" t="n"/>
      <c r="C486" s="17" t="n"/>
      <c r="D486" s="17" t="n"/>
      <c r="E486" s="15" t="n"/>
      <c r="F486" s="15" t="n"/>
      <c r="G486" s="17" t="n"/>
      <c r="H486" s="15">
        <f>IF(OR(E486="",F486="",G486=""),"", (F486-E486)*G486)</f>
        <v/>
      </c>
      <c r="I486" s="16">
        <f>IF(OR(E486="",F486=""),"", (F486/E486)-1)</f>
        <v/>
      </c>
      <c r="J486" s="17">
        <f>IF(OR(C486="",D486=""),"", D486-C486)</f>
        <v/>
      </c>
      <c r="K486" s="17" t="n"/>
    </row>
    <row r="487">
      <c r="A487" s="17" t="n"/>
      <c r="B487" s="17" t="n"/>
      <c r="C487" s="17" t="n"/>
      <c r="D487" s="17" t="n"/>
      <c r="E487" s="15" t="n"/>
      <c r="F487" s="15" t="n"/>
      <c r="G487" s="17" t="n"/>
      <c r="H487" s="15">
        <f>IF(OR(E487="",F487="",G487=""),"", (F487-E487)*G487)</f>
        <v/>
      </c>
      <c r="I487" s="16">
        <f>IF(OR(E487="",F487=""),"", (F487/E487)-1)</f>
        <v/>
      </c>
      <c r="J487" s="17">
        <f>IF(OR(C487="",D487=""),"", D487-C487)</f>
        <v/>
      </c>
      <c r="K487" s="17" t="n"/>
    </row>
    <row r="488">
      <c r="A488" s="17" t="n"/>
      <c r="B488" s="17" t="n"/>
      <c r="C488" s="17" t="n"/>
      <c r="D488" s="17" t="n"/>
      <c r="E488" s="15" t="n"/>
      <c r="F488" s="15" t="n"/>
      <c r="G488" s="17" t="n"/>
      <c r="H488" s="15">
        <f>IF(OR(E488="",F488="",G488=""),"", (F488-E488)*G488)</f>
        <v/>
      </c>
      <c r="I488" s="16">
        <f>IF(OR(E488="",F488=""),"", (F488/E488)-1)</f>
        <v/>
      </c>
      <c r="J488" s="17">
        <f>IF(OR(C488="",D488=""),"", D488-C488)</f>
        <v/>
      </c>
      <c r="K488" s="17" t="n"/>
    </row>
    <row r="489">
      <c r="A489" s="17" t="n"/>
      <c r="B489" s="17" t="n"/>
      <c r="C489" s="17" t="n"/>
      <c r="D489" s="17" t="n"/>
      <c r="E489" s="15" t="n"/>
      <c r="F489" s="15" t="n"/>
      <c r="G489" s="17" t="n"/>
      <c r="H489" s="15">
        <f>IF(OR(E489="",F489="",G489=""),"", (F489-E489)*G489)</f>
        <v/>
      </c>
      <c r="I489" s="16">
        <f>IF(OR(E489="",F489=""),"", (F489/E489)-1)</f>
        <v/>
      </c>
      <c r="J489" s="17">
        <f>IF(OR(C489="",D489=""),"", D489-C489)</f>
        <v/>
      </c>
      <c r="K489" s="17" t="n"/>
    </row>
    <row r="490">
      <c r="A490" s="17" t="n"/>
      <c r="B490" s="17" t="n"/>
      <c r="C490" s="17" t="n"/>
      <c r="D490" s="17" t="n"/>
      <c r="E490" s="15" t="n"/>
      <c r="F490" s="15" t="n"/>
      <c r="G490" s="17" t="n"/>
      <c r="H490" s="15">
        <f>IF(OR(E490="",F490="",G490=""),"", (F490-E490)*G490)</f>
        <v/>
      </c>
      <c r="I490" s="16">
        <f>IF(OR(E490="",F490=""),"", (F490/E490)-1)</f>
        <v/>
      </c>
      <c r="J490" s="17">
        <f>IF(OR(C490="",D490=""),"", D490-C490)</f>
        <v/>
      </c>
      <c r="K490" s="17" t="n"/>
    </row>
    <row r="491">
      <c r="A491" s="17" t="n"/>
      <c r="B491" s="17" t="n"/>
      <c r="C491" s="17" t="n"/>
      <c r="D491" s="17" t="n"/>
      <c r="E491" s="15" t="n"/>
      <c r="F491" s="15" t="n"/>
      <c r="G491" s="17" t="n"/>
      <c r="H491" s="15">
        <f>IF(OR(E491="",F491="",G491=""),"", (F491-E491)*G491)</f>
        <v/>
      </c>
      <c r="I491" s="16">
        <f>IF(OR(E491="",F491=""),"", (F491/E491)-1)</f>
        <v/>
      </c>
      <c r="J491" s="17">
        <f>IF(OR(C491="",D491=""),"", D491-C491)</f>
        <v/>
      </c>
      <c r="K491" s="17" t="n"/>
    </row>
    <row r="492">
      <c r="A492" s="17" t="n"/>
      <c r="B492" s="17" t="n"/>
      <c r="C492" s="17" t="n"/>
      <c r="D492" s="17" t="n"/>
      <c r="E492" s="15" t="n"/>
      <c r="F492" s="15" t="n"/>
      <c r="G492" s="17" t="n"/>
      <c r="H492" s="15">
        <f>IF(OR(E492="",F492="",G492=""),"", (F492-E492)*G492)</f>
        <v/>
      </c>
      <c r="I492" s="16">
        <f>IF(OR(E492="",F492=""),"", (F492/E492)-1)</f>
        <v/>
      </c>
      <c r="J492" s="17">
        <f>IF(OR(C492="",D492=""),"", D492-C492)</f>
        <v/>
      </c>
      <c r="K492" s="17" t="n"/>
    </row>
    <row r="493">
      <c r="A493" s="17" t="n"/>
      <c r="B493" s="17" t="n"/>
      <c r="C493" s="17" t="n"/>
      <c r="D493" s="17" t="n"/>
      <c r="E493" s="15" t="n"/>
      <c r="F493" s="15" t="n"/>
      <c r="G493" s="17" t="n"/>
      <c r="H493" s="15">
        <f>IF(OR(E493="",F493="",G493=""),"", (F493-E493)*G493)</f>
        <v/>
      </c>
      <c r="I493" s="16">
        <f>IF(OR(E493="",F493=""),"", (F493/E493)-1)</f>
        <v/>
      </c>
      <c r="J493" s="17">
        <f>IF(OR(C493="",D493=""),"", D493-C493)</f>
        <v/>
      </c>
      <c r="K493" s="17" t="n"/>
    </row>
    <row r="494">
      <c r="A494" s="17" t="n"/>
      <c r="B494" s="17" t="n"/>
      <c r="C494" s="17" t="n"/>
      <c r="D494" s="17" t="n"/>
      <c r="E494" s="15" t="n"/>
      <c r="F494" s="15" t="n"/>
      <c r="G494" s="17" t="n"/>
      <c r="H494" s="15">
        <f>IF(OR(E494="",F494="",G494=""),"", (F494-E494)*G494)</f>
        <v/>
      </c>
      <c r="I494" s="16">
        <f>IF(OR(E494="",F494=""),"", (F494/E494)-1)</f>
        <v/>
      </c>
      <c r="J494" s="17">
        <f>IF(OR(C494="",D494=""),"", D494-C494)</f>
        <v/>
      </c>
      <c r="K494" s="17" t="n"/>
    </row>
    <row r="495">
      <c r="A495" s="17" t="n"/>
      <c r="B495" s="17" t="n"/>
      <c r="C495" s="17" t="n"/>
      <c r="D495" s="17" t="n"/>
      <c r="E495" s="15" t="n"/>
      <c r="F495" s="15" t="n"/>
      <c r="G495" s="17" t="n"/>
      <c r="H495" s="15">
        <f>IF(OR(E495="",F495="",G495=""),"", (F495-E495)*G495)</f>
        <v/>
      </c>
      <c r="I495" s="16">
        <f>IF(OR(E495="",F495=""),"", (F495/E495)-1)</f>
        <v/>
      </c>
      <c r="J495" s="17">
        <f>IF(OR(C495="",D495=""),"", D495-C495)</f>
        <v/>
      </c>
      <c r="K495" s="17" t="n"/>
    </row>
    <row r="496">
      <c r="A496" s="17" t="n"/>
      <c r="B496" s="17" t="n"/>
      <c r="C496" s="17" t="n"/>
      <c r="D496" s="17" t="n"/>
      <c r="E496" s="15" t="n"/>
      <c r="F496" s="15" t="n"/>
      <c r="G496" s="17" t="n"/>
      <c r="H496" s="15">
        <f>IF(OR(E496="",F496="",G496=""),"", (F496-E496)*G496)</f>
        <v/>
      </c>
      <c r="I496" s="16">
        <f>IF(OR(E496="",F496=""),"", (F496/E496)-1)</f>
        <v/>
      </c>
      <c r="J496" s="17">
        <f>IF(OR(C496="",D496=""),"", D496-C496)</f>
        <v/>
      </c>
      <c r="K496" s="17" t="n"/>
    </row>
    <row r="497">
      <c r="A497" s="17" t="n"/>
      <c r="B497" s="17" t="n"/>
      <c r="C497" s="17" t="n"/>
      <c r="D497" s="17" t="n"/>
      <c r="E497" s="15" t="n"/>
      <c r="F497" s="15" t="n"/>
      <c r="G497" s="17" t="n"/>
      <c r="H497" s="15">
        <f>IF(OR(E497="",F497="",G497=""),"", (F497-E497)*G497)</f>
        <v/>
      </c>
      <c r="I497" s="16">
        <f>IF(OR(E497="",F497=""),"", (F497/E497)-1)</f>
        <v/>
      </c>
      <c r="J497" s="17">
        <f>IF(OR(C497="",D497=""),"", D497-C497)</f>
        <v/>
      </c>
      <c r="K497" s="17" t="n"/>
    </row>
    <row r="498">
      <c r="A498" s="17" t="n"/>
      <c r="B498" s="17" t="n"/>
      <c r="C498" s="17" t="n"/>
      <c r="D498" s="17" t="n"/>
      <c r="E498" s="15" t="n"/>
      <c r="F498" s="15" t="n"/>
      <c r="G498" s="17" t="n"/>
      <c r="H498" s="15">
        <f>IF(OR(E498="",F498="",G498=""),"", (F498-E498)*G498)</f>
        <v/>
      </c>
      <c r="I498" s="16">
        <f>IF(OR(E498="",F498=""),"", (F498/E498)-1)</f>
        <v/>
      </c>
      <c r="J498" s="17">
        <f>IF(OR(C498="",D498=""),"", D498-C498)</f>
        <v/>
      </c>
      <c r="K498" s="17" t="n"/>
    </row>
    <row r="499">
      <c r="A499" s="17" t="n"/>
      <c r="B499" s="17" t="n"/>
      <c r="C499" s="17" t="n"/>
      <c r="D499" s="17" t="n"/>
      <c r="E499" s="15" t="n"/>
      <c r="F499" s="15" t="n"/>
      <c r="G499" s="17" t="n"/>
      <c r="H499" s="15">
        <f>IF(OR(E499="",F499="",G499=""),"", (F499-E499)*G499)</f>
        <v/>
      </c>
      <c r="I499" s="16">
        <f>IF(OR(E499="",F499=""),"", (F499/E499)-1)</f>
        <v/>
      </c>
      <c r="J499" s="17">
        <f>IF(OR(C499="",D499=""),"", D499-C499)</f>
        <v/>
      </c>
      <c r="K499" s="17" t="n"/>
    </row>
    <row r="500">
      <c r="A500" s="17" t="n"/>
      <c r="B500" s="17" t="n"/>
      <c r="C500" s="17" t="n"/>
      <c r="D500" s="17" t="n"/>
      <c r="E500" s="15" t="n"/>
      <c r="F500" s="15" t="n"/>
      <c r="G500" s="17" t="n"/>
      <c r="H500" s="15">
        <f>IF(OR(E500="",F500="",G500=""),"", (F500-E500)*G500)</f>
        <v/>
      </c>
      <c r="I500" s="16">
        <f>IF(OR(E500="",F500=""),"", (F500/E500)-1)</f>
        <v/>
      </c>
      <c r="J500" s="17">
        <f>IF(OR(C500="",D500=""),"", D500-C500)</f>
        <v/>
      </c>
      <c r="K500" s="17" t="n"/>
    </row>
    <row r="501">
      <c r="A501" s="17" t="n"/>
      <c r="B501" s="17" t="n"/>
      <c r="C501" s="17" t="n"/>
      <c r="D501" s="17" t="n"/>
      <c r="E501" s="15" t="n"/>
      <c r="F501" s="15" t="n"/>
      <c r="G501" s="17" t="n"/>
      <c r="H501" s="15">
        <f>IF(OR(E501="",F501="",G501=""),"", (F501-E501)*G501)</f>
        <v/>
      </c>
      <c r="I501" s="16">
        <f>IF(OR(E501="",F501=""),"", (F501/E501)-1)</f>
        <v/>
      </c>
      <c r="J501" s="17">
        <f>IF(OR(C501="",D501=""),"", D501-C501)</f>
        <v/>
      </c>
      <c r="K501" s="17" t="n"/>
    </row>
    <row r="502">
      <c r="A502" s="17" t="n"/>
      <c r="B502" s="17" t="n"/>
      <c r="C502" s="17" t="n"/>
      <c r="D502" s="17" t="n"/>
      <c r="E502" s="15" t="n"/>
      <c r="F502" s="15" t="n"/>
      <c r="G502" s="17" t="n"/>
      <c r="H502" s="15">
        <f>IF(OR(E502="",F502="",G502=""),"", (F502-E502)*G502)</f>
        <v/>
      </c>
      <c r="I502" s="16">
        <f>IF(OR(E502="",F502=""),"", (F502/E502)-1)</f>
        <v/>
      </c>
      <c r="J502" s="17">
        <f>IF(OR(C502="",D502=""),"", D502-C502)</f>
        <v/>
      </c>
      <c r="K502" s="17" t="n"/>
    </row>
    <row r="503">
      <c r="A503" s="17" t="n"/>
      <c r="B503" s="17" t="n"/>
      <c r="C503" s="17" t="n"/>
      <c r="D503" s="17" t="n"/>
      <c r="E503" s="15" t="n"/>
      <c r="F503" s="15" t="n"/>
      <c r="G503" s="17" t="n"/>
      <c r="H503" s="15">
        <f>IF(OR(E503="",F503="",G503=""),"", (F503-E503)*G503)</f>
        <v/>
      </c>
      <c r="I503" s="16">
        <f>IF(OR(E503="",F503=""),"", (F503/E503)-1)</f>
        <v/>
      </c>
      <c r="J503" s="17">
        <f>IF(OR(C503="",D503=""),"", D503-C503)</f>
        <v/>
      </c>
      <c r="K503" s="17" t="n"/>
    </row>
    <row r="504">
      <c r="A504" s="17" t="n"/>
      <c r="B504" s="17" t="n"/>
      <c r="C504" s="17" t="n"/>
      <c r="D504" s="17" t="n"/>
      <c r="E504" s="15" t="n"/>
      <c r="F504" s="15" t="n"/>
      <c r="G504" s="17" t="n"/>
      <c r="H504" s="15">
        <f>IF(OR(E504="",F504="",G504=""),"", (F504-E504)*G504)</f>
        <v/>
      </c>
      <c r="I504" s="16">
        <f>IF(OR(E504="",F504=""),"", (F504/E504)-1)</f>
        <v/>
      </c>
      <c r="J504" s="17">
        <f>IF(OR(C504="",D504=""),"", D504-C504)</f>
        <v/>
      </c>
      <c r="K504" s="17" t="n"/>
    </row>
    <row r="505">
      <c r="A505" s="17" t="n"/>
      <c r="B505" s="17" t="n"/>
      <c r="C505" s="17" t="n"/>
      <c r="D505" s="17" t="n"/>
      <c r="E505" s="15" t="n"/>
      <c r="F505" s="15" t="n"/>
      <c r="G505" s="17" t="n"/>
      <c r="H505" s="15">
        <f>IF(OR(E505="",F505="",G505=""),"", (F505-E505)*G505)</f>
        <v/>
      </c>
      <c r="I505" s="16">
        <f>IF(OR(E505="",F505=""),"", (F505/E505)-1)</f>
        <v/>
      </c>
      <c r="J505" s="17">
        <f>IF(OR(C505="",D505=""),"", D505-C505)</f>
        <v/>
      </c>
      <c r="K505" s="17" t="n"/>
    </row>
    <row r="506">
      <c r="A506" s="17" t="n"/>
      <c r="B506" s="17" t="n"/>
      <c r="C506" s="17" t="n"/>
      <c r="D506" s="17" t="n"/>
      <c r="E506" s="15" t="n"/>
      <c r="F506" s="15" t="n"/>
      <c r="G506" s="17" t="n"/>
      <c r="H506" s="15">
        <f>IF(OR(E506="",F506="",G506=""),"", (F506-E506)*G506)</f>
        <v/>
      </c>
      <c r="I506" s="16">
        <f>IF(OR(E506="",F506=""),"", (F506/E506)-1)</f>
        <v/>
      </c>
      <c r="J506" s="17">
        <f>IF(OR(C506="",D506=""),"", D506-C506)</f>
        <v/>
      </c>
      <c r="K506" s="17" t="n"/>
    </row>
    <row r="507">
      <c r="A507" s="17" t="n"/>
      <c r="B507" s="17" t="n"/>
      <c r="C507" s="17" t="n"/>
      <c r="D507" s="17" t="n"/>
      <c r="E507" s="15" t="n"/>
      <c r="F507" s="15" t="n"/>
      <c r="G507" s="17" t="n"/>
      <c r="H507" s="15">
        <f>IF(OR(E507="",F507="",G507=""),"", (F507-E507)*G507)</f>
        <v/>
      </c>
      <c r="I507" s="16">
        <f>IF(OR(E507="",F507=""),"", (F507/E507)-1)</f>
        <v/>
      </c>
      <c r="J507" s="17">
        <f>IF(OR(C507="",D507=""),"", D507-C507)</f>
        <v/>
      </c>
      <c r="K507" s="17" t="n"/>
    </row>
    <row r="508">
      <c r="A508" s="17" t="n"/>
      <c r="B508" s="17" t="n"/>
      <c r="C508" s="17" t="n"/>
      <c r="D508" s="17" t="n"/>
      <c r="E508" s="15" t="n"/>
      <c r="F508" s="15" t="n"/>
      <c r="G508" s="17" t="n"/>
      <c r="H508" s="15">
        <f>IF(OR(E508="",F508="",G508=""),"", (F508-E508)*G508)</f>
        <v/>
      </c>
      <c r="I508" s="16">
        <f>IF(OR(E508="",F508=""),"", (F508/E508)-1)</f>
        <v/>
      </c>
      <c r="J508" s="17">
        <f>IF(OR(C508="",D508=""),"", D508-C508)</f>
        <v/>
      </c>
      <c r="K508" s="17" t="n"/>
    </row>
    <row r="509">
      <c r="A509" s="17" t="n"/>
      <c r="B509" s="17" t="n"/>
      <c r="C509" s="17" t="n"/>
      <c r="D509" s="17" t="n"/>
      <c r="E509" s="15" t="n"/>
      <c r="F509" s="15" t="n"/>
      <c r="G509" s="17" t="n"/>
      <c r="H509" s="15">
        <f>IF(OR(E509="",F509="",G509=""),"", (F509-E509)*G509)</f>
        <v/>
      </c>
      <c r="I509" s="16">
        <f>IF(OR(E509="",F509=""),"", (F509/E509)-1)</f>
        <v/>
      </c>
      <c r="J509" s="17">
        <f>IF(OR(C509="",D509=""),"", D509-C509)</f>
        <v/>
      </c>
      <c r="K509" s="17" t="n"/>
    </row>
    <row r="510">
      <c r="A510" s="17" t="n"/>
      <c r="B510" s="17" t="n"/>
      <c r="C510" s="17" t="n"/>
      <c r="D510" s="17" t="n"/>
      <c r="E510" s="15" t="n"/>
      <c r="F510" s="15" t="n"/>
      <c r="G510" s="17" t="n"/>
      <c r="H510" s="15">
        <f>IF(OR(E510="",F510="",G510=""),"", (F510-E510)*G510)</f>
        <v/>
      </c>
      <c r="I510" s="16">
        <f>IF(OR(E510="",F510=""),"", (F510/E510)-1)</f>
        <v/>
      </c>
      <c r="J510" s="17">
        <f>IF(OR(C510="",D510=""),"", D510-C510)</f>
        <v/>
      </c>
      <c r="K510" s="17" t="n"/>
    </row>
    <row r="511">
      <c r="A511" s="17" t="n"/>
      <c r="B511" s="17" t="n"/>
      <c r="C511" s="17" t="n"/>
      <c r="D511" s="17" t="n"/>
      <c r="E511" s="15" t="n"/>
      <c r="F511" s="15" t="n"/>
      <c r="G511" s="17" t="n"/>
      <c r="H511" s="15">
        <f>IF(OR(E511="",F511="",G511=""),"", (F511-E511)*G511)</f>
        <v/>
      </c>
      <c r="I511" s="16">
        <f>IF(OR(E511="",F511=""),"", (F511/E511)-1)</f>
        <v/>
      </c>
      <c r="J511" s="17">
        <f>IF(OR(C511="",D511=""),"", D511-C511)</f>
        <v/>
      </c>
      <c r="K511" s="17" t="n"/>
    </row>
    <row r="512">
      <c r="A512" s="17" t="n"/>
      <c r="B512" s="17" t="n"/>
      <c r="C512" s="17" t="n"/>
      <c r="D512" s="17" t="n"/>
      <c r="E512" s="15" t="n"/>
      <c r="F512" s="15" t="n"/>
      <c r="G512" s="17" t="n"/>
      <c r="H512" s="15">
        <f>IF(OR(E512="",F512="",G512=""),"", (F512-E512)*G512)</f>
        <v/>
      </c>
      <c r="I512" s="16">
        <f>IF(OR(E512="",F512=""),"", (F512/E512)-1)</f>
        <v/>
      </c>
      <c r="J512" s="17">
        <f>IF(OR(C512="",D512=""),"", D512-C512)</f>
        <v/>
      </c>
      <c r="K512" s="17" t="n"/>
    </row>
    <row r="513">
      <c r="A513" s="17" t="n"/>
      <c r="B513" s="17" t="n"/>
      <c r="C513" s="17" t="n"/>
      <c r="D513" s="17" t="n"/>
      <c r="E513" s="15" t="n"/>
      <c r="F513" s="15" t="n"/>
      <c r="G513" s="17" t="n"/>
      <c r="H513" s="15">
        <f>IF(OR(E513="",F513="",G513=""),"", (F513-E513)*G513)</f>
        <v/>
      </c>
      <c r="I513" s="16">
        <f>IF(OR(E513="",F513=""),"", (F513/E513)-1)</f>
        <v/>
      </c>
      <c r="J513" s="17">
        <f>IF(OR(C513="",D513=""),"", D513-C513)</f>
        <v/>
      </c>
      <c r="K513" s="17" t="n"/>
    </row>
    <row r="514">
      <c r="A514" s="17" t="n"/>
      <c r="B514" s="17" t="n"/>
      <c r="C514" s="17" t="n"/>
      <c r="D514" s="17" t="n"/>
      <c r="E514" s="15" t="n"/>
      <c r="F514" s="15" t="n"/>
      <c r="G514" s="17" t="n"/>
      <c r="H514" s="15">
        <f>IF(OR(E514="",F514="",G514=""),"", (F514-E514)*G514)</f>
        <v/>
      </c>
      <c r="I514" s="16">
        <f>IF(OR(E514="",F514=""),"", (F514/E514)-1)</f>
        <v/>
      </c>
      <c r="J514" s="17">
        <f>IF(OR(C514="",D514=""),"", D514-C514)</f>
        <v/>
      </c>
      <c r="K514" s="17" t="n"/>
    </row>
    <row r="515">
      <c r="A515" s="17" t="n"/>
      <c r="B515" s="17" t="n"/>
      <c r="C515" s="17" t="n"/>
      <c r="D515" s="17" t="n"/>
      <c r="E515" s="15" t="n"/>
      <c r="F515" s="15" t="n"/>
      <c r="G515" s="17" t="n"/>
      <c r="H515" s="15">
        <f>IF(OR(E515="",F515="",G515=""),"", (F515-E515)*G515)</f>
        <v/>
      </c>
      <c r="I515" s="16">
        <f>IF(OR(E515="",F515=""),"", (F515/E515)-1)</f>
        <v/>
      </c>
      <c r="J515" s="17">
        <f>IF(OR(C515="",D515=""),"", D515-C515)</f>
        <v/>
      </c>
      <c r="K515" s="17" t="n"/>
    </row>
    <row r="516">
      <c r="A516" s="17" t="n"/>
      <c r="B516" s="17" t="n"/>
      <c r="C516" s="17" t="n"/>
      <c r="D516" s="17" t="n"/>
      <c r="E516" s="15" t="n"/>
      <c r="F516" s="15" t="n"/>
      <c r="G516" s="17" t="n"/>
      <c r="H516" s="15">
        <f>IF(OR(E516="",F516="",G516=""),"", (F516-E516)*G516)</f>
        <v/>
      </c>
      <c r="I516" s="16">
        <f>IF(OR(E516="",F516=""),"", (F516/E516)-1)</f>
        <v/>
      </c>
      <c r="J516" s="17">
        <f>IF(OR(C516="",D516=""),"", D516-C516)</f>
        <v/>
      </c>
      <c r="K516" s="17" t="n"/>
    </row>
    <row r="517">
      <c r="A517" s="17" t="n"/>
      <c r="B517" s="17" t="n"/>
      <c r="C517" s="17" t="n"/>
      <c r="D517" s="17" t="n"/>
      <c r="E517" s="15" t="n"/>
      <c r="F517" s="15" t="n"/>
      <c r="G517" s="17" t="n"/>
      <c r="H517" s="15">
        <f>IF(OR(E517="",F517="",G517=""),"", (F517-E517)*G517)</f>
        <v/>
      </c>
      <c r="I517" s="16">
        <f>IF(OR(E517="",F517=""),"", (F517/E517)-1)</f>
        <v/>
      </c>
      <c r="J517" s="17">
        <f>IF(OR(C517="",D517=""),"", D517-C517)</f>
        <v/>
      </c>
      <c r="K517" s="17" t="n"/>
    </row>
    <row r="518">
      <c r="A518" s="17" t="n"/>
      <c r="B518" s="17" t="n"/>
      <c r="C518" s="17" t="n"/>
      <c r="D518" s="17" t="n"/>
      <c r="E518" s="15" t="n"/>
      <c r="F518" s="15" t="n"/>
      <c r="G518" s="17" t="n"/>
      <c r="H518" s="15">
        <f>IF(OR(E518="",F518="",G518=""),"", (F518-E518)*G518)</f>
        <v/>
      </c>
      <c r="I518" s="16">
        <f>IF(OR(E518="",F518=""),"", (F518/E518)-1)</f>
        <v/>
      </c>
      <c r="J518" s="17">
        <f>IF(OR(C518="",D518=""),"", D518-C518)</f>
        <v/>
      </c>
      <c r="K518" s="17" t="n"/>
    </row>
    <row r="519">
      <c r="A519" s="17" t="n"/>
      <c r="B519" s="17" t="n"/>
      <c r="C519" s="17" t="n"/>
      <c r="D519" s="17" t="n"/>
      <c r="E519" s="15" t="n"/>
      <c r="F519" s="15" t="n"/>
      <c r="G519" s="17" t="n"/>
      <c r="H519" s="15">
        <f>IF(OR(E519="",F519="",G519=""),"", (F519-E519)*G519)</f>
        <v/>
      </c>
      <c r="I519" s="16">
        <f>IF(OR(E519="",F519=""),"", (F519/E519)-1)</f>
        <v/>
      </c>
      <c r="J519" s="17">
        <f>IF(OR(C519="",D519=""),"", D519-C519)</f>
        <v/>
      </c>
      <c r="K519" s="17" t="n"/>
    </row>
    <row r="520">
      <c r="A520" s="17" t="n"/>
      <c r="B520" s="17" t="n"/>
      <c r="C520" s="17" t="n"/>
      <c r="D520" s="17" t="n"/>
      <c r="E520" s="15" t="n"/>
      <c r="F520" s="15" t="n"/>
      <c r="G520" s="17" t="n"/>
      <c r="H520" s="15">
        <f>IF(OR(E520="",F520="",G520=""),"", (F520-E520)*G520)</f>
        <v/>
      </c>
      <c r="I520" s="16">
        <f>IF(OR(E520="",F520=""),"", (F520/E520)-1)</f>
        <v/>
      </c>
      <c r="J520" s="17">
        <f>IF(OR(C520="",D520=""),"", D520-C520)</f>
        <v/>
      </c>
      <c r="K520" s="17" t="n"/>
    </row>
    <row r="521">
      <c r="A521" s="17" t="n"/>
      <c r="B521" s="17" t="n"/>
      <c r="C521" s="17" t="n"/>
      <c r="D521" s="17" t="n"/>
      <c r="E521" s="15" t="n"/>
      <c r="F521" s="15" t="n"/>
      <c r="G521" s="17" t="n"/>
      <c r="H521" s="15">
        <f>IF(OR(E521="",F521="",G521=""),"", (F521-E521)*G521)</f>
        <v/>
      </c>
      <c r="I521" s="16">
        <f>IF(OR(E521="",F521=""),"", (F521/E521)-1)</f>
        <v/>
      </c>
      <c r="J521" s="17">
        <f>IF(OR(C521="",D521=""),"", D521-C521)</f>
        <v/>
      </c>
      <c r="K521" s="17" t="n"/>
    </row>
    <row r="522">
      <c r="A522" s="17" t="n"/>
      <c r="B522" s="17" t="n"/>
      <c r="C522" s="17" t="n"/>
      <c r="D522" s="17" t="n"/>
      <c r="E522" s="15" t="n"/>
      <c r="F522" s="15" t="n"/>
      <c r="G522" s="17" t="n"/>
      <c r="H522" s="15">
        <f>IF(OR(E522="",F522="",G522=""),"", (F522-E522)*G522)</f>
        <v/>
      </c>
      <c r="I522" s="16">
        <f>IF(OR(E522="",F522=""),"", (F522/E522)-1)</f>
        <v/>
      </c>
      <c r="J522" s="17">
        <f>IF(OR(C522="",D522=""),"", D522-C522)</f>
        <v/>
      </c>
      <c r="K522" s="17" t="n"/>
    </row>
    <row r="523">
      <c r="A523" s="17" t="n"/>
      <c r="B523" s="17" t="n"/>
      <c r="C523" s="17" t="n"/>
      <c r="D523" s="17" t="n"/>
      <c r="E523" s="15" t="n"/>
      <c r="F523" s="15" t="n"/>
      <c r="G523" s="17" t="n"/>
      <c r="H523" s="15">
        <f>IF(OR(E523="",F523="",G523=""),"", (F523-E523)*G523)</f>
        <v/>
      </c>
      <c r="I523" s="16">
        <f>IF(OR(E523="",F523=""),"", (F523/E523)-1)</f>
        <v/>
      </c>
      <c r="J523" s="17">
        <f>IF(OR(C523="",D523=""),"", D523-C523)</f>
        <v/>
      </c>
      <c r="K523" s="17" t="n"/>
    </row>
    <row r="524">
      <c r="A524" s="17" t="n"/>
      <c r="B524" s="17" t="n"/>
      <c r="C524" s="17" t="n"/>
      <c r="D524" s="17" t="n"/>
      <c r="E524" s="15" t="n"/>
      <c r="F524" s="15" t="n"/>
      <c r="G524" s="17" t="n"/>
      <c r="H524" s="15">
        <f>IF(OR(E524="",F524="",G524=""),"", (F524-E524)*G524)</f>
        <v/>
      </c>
      <c r="I524" s="16">
        <f>IF(OR(E524="",F524=""),"", (F524/E524)-1)</f>
        <v/>
      </c>
      <c r="J524" s="17">
        <f>IF(OR(C524="",D524=""),"", D524-C524)</f>
        <v/>
      </c>
      <c r="K524" s="17" t="n"/>
    </row>
    <row r="525">
      <c r="A525" s="17" t="n"/>
      <c r="B525" s="17" t="n"/>
      <c r="C525" s="17" t="n"/>
      <c r="D525" s="17" t="n"/>
      <c r="E525" s="15" t="n"/>
      <c r="F525" s="15" t="n"/>
      <c r="G525" s="17" t="n"/>
      <c r="H525" s="15">
        <f>IF(OR(E525="",F525="",G525=""),"", (F525-E525)*G525)</f>
        <v/>
      </c>
      <c r="I525" s="16">
        <f>IF(OR(E525="",F525=""),"", (F525/E525)-1)</f>
        <v/>
      </c>
      <c r="J525" s="17">
        <f>IF(OR(C525="",D525=""),"", D525-C525)</f>
        <v/>
      </c>
      <c r="K525" s="17" t="n"/>
    </row>
    <row r="526">
      <c r="A526" s="17" t="n"/>
      <c r="B526" s="17" t="n"/>
      <c r="C526" s="17" t="n"/>
      <c r="D526" s="17" t="n"/>
      <c r="E526" s="15" t="n"/>
      <c r="F526" s="15" t="n"/>
      <c r="G526" s="17" t="n"/>
      <c r="H526" s="15">
        <f>IF(OR(E526="",F526="",G526=""),"", (F526-E526)*G526)</f>
        <v/>
      </c>
      <c r="I526" s="16">
        <f>IF(OR(E526="",F526=""),"", (F526/E526)-1)</f>
        <v/>
      </c>
      <c r="J526" s="17">
        <f>IF(OR(C526="",D526=""),"", D526-C526)</f>
        <v/>
      </c>
      <c r="K526" s="17" t="n"/>
    </row>
    <row r="527">
      <c r="A527" s="17" t="n"/>
      <c r="B527" s="17" t="n"/>
      <c r="C527" s="17" t="n"/>
      <c r="D527" s="17" t="n"/>
      <c r="E527" s="15" t="n"/>
      <c r="F527" s="15" t="n"/>
      <c r="G527" s="17" t="n"/>
      <c r="H527" s="15">
        <f>IF(OR(E527="",F527="",G527=""),"", (F527-E527)*G527)</f>
        <v/>
      </c>
      <c r="I527" s="16">
        <f>IF(OR(E527="",F527=""),"", (F527/E527)-1)</f>
        <v/>
      </c>
      <c r="J527" s="17">
        <f>IF(OR(C527="",D527=""),"", D527-C527)</f>
        <v/>
      </c>
      <c r="K527" s="17" t="n"/>
    </row>
    <row r="528">
      <c r="A528" s="17" t="n"/>
      <c r="B528" s="17" t="n"/>
      <c r="C528" s="17" t="n"/>
      <c r="D528" s="17" t="n"/>
      <c r="E528" s="15" t="n"/>
      <c r="F528" s="15" t="n"/>
      <c r="G528" s="17" t="n"/>
      <c r="H528" s="15">
        <f>IF(OR(E528="",F528="",G528=""),"", (F528-E528)*G528)</f>
        <v/>
      </c>
      <c r="I528" s="16">
        <f>IF(OR(E528="",F528=""),"", (F528/E528)-1)</f>
        <v/>
      </c>
      <c r="J528" s="17">
        <f>IF(OR(C528="",D528=""),"", D528-C528)</f>
        <v/>
      </c>
      <c r="K528" s="17" t="n"/>
    </row>
    <row r="529">
      <c r="A529" s="17" t="n"/>
      <c r="B529" s="17" t="n"/>
      <c r="C529" s="17" t="n"/>
      <c r="D529" s="17" t="n"/>
      <c r="E529" s="15" t="n"/>
      <c r="F529" s="15" t="n"/>
      <c r="G529" s="17" t="n"/>
      <c r="H529" s="15">
        <f>IF(OR(E529="",F529="",G529=""),"", (F529-E529)*G529)</f>
        <v/>
      </c>
      <c r="I529" s="16">
        <f>IF(OR(E529="",F529=""),"", (F529/E529)-1)</f>
        <v/>
      </c>
      <c r="J529" s="17">
        <f>IF(OR(C529="",D529=""),"", D529-C529)</f>
        <v/>
      </c>
      <c r="K529" s="17" t="n"/>
    </row>
    <row r="530">
      <c r="A530" s="17" t="n"/>
      <c r="B530" s="17" t="n"/>
      <c r="C530" s="17" t="n"/>
      <c r="D530" s="17" t="n"/>
      <c r="E530" s="15" t="n"/>
      <c r="F530" s="15" t="n"/>
      <c r="G530" s="17" t="n"/>
      <c r="H530" s="15">
        <f>IF(OR(E530="",F530="",G530=""),"", (F530-E530)*G530)</f>
        <v/>
      </c>
      <c r="I530" s="16">
        <f>IF(OR(E530="",F530=""),"", (F530/E530)-1)</f>
        <v/>
      </c>
      <c r="J530" s="17">
        <f>IF(OR(C530="",D530=""),"", D530-C530)</f>
        <v/>
      </c>
      <c r="K530" s="17" t="n"/>
    </row>
    <row r="531">
      <c r="A531" s="17" t="n"/>
      <c r="B531" s="17" t="n"/>
      <c r="C531" s="17" t="n"/>
      <c r="D531" s="17" t="n"/>
      <c r="E531" s="15" t="n"/>
      <c r="F531" s="15" t="n"/>
      <c r="G531" s="17" t="n"/>
      <c r="H531" s="15">
        <f>IF(OR(E531="",F531="",G531=""),"", (F531-E531)*G531)</f>
        <v/>
      </c>
      <c r="I531" s="16">
        <f>IF(OR(E531="",F531=""),"", (F531/E531)-1)</f>
        <v/>
      </c>
      <c r="J531" s="17">
        <f>IF(OR(C531="",D531=""),"", D531-C531)</f>
        <v/>
      </c>
      <c r="K531" s="17" t="n"/>
    </row>
    <row r="532">
      <c r="A532" s="17" t="n"/>
      <c r="B532" s="17" t="n"/>
      <c r="C532" s="17" t="n"/>
      <c r="D532" s="17" t="n"/>
      <c r="E532" s="15" t="n"/>
      <c r="F532" s="15" t="n"/>
      <c r="G532" s="17" t="n"/>
      <c r="H532" s="15">
        <f>IF(OR(E532="",F532="",G532=""),"", (F532-E532)*G532)</f>
        <v/>
      </c>
      <c r="I532" s="16">
        <f>IF(OR(E532="",F532=""),"", (F532/E532)-1)</f>
        <v/>
      </c>
      <c r="J532" s="17">
        <f>IF(OR(C532="",D532=""),"", D532-C532)</f>
        <v/>
      </c>
      <c r="K532" s="17" t="n"/>
    </row>
    <row r="533">
      <c r="A533" s="17" t="n"/>
      <c r="B533" s="17" t="n"/>
      <c r="C533" s="17" t="n"/>
      <c r="D533" s="17" t="n"/>
      <c r="E533" s="15" t="n"/>
      <c r="F533" s="15" t="n"/>
      <c r="G533" s="17" t="n"/>
      <c r="H533" s="15">
        <f>IF(OR(E533="",F533="",G533=""),"", (F533-E533)*G533)</f>
        <v/>
      </c>
      <c r="I533" s="16">
        <f>IF(OR(E533="",F533=""),"", (F533/E533)-1)</f>
        <v/>
      </c>
      <c r="J533" s="17">
        <f>IF(OR(C533="",D533=""),"", D533-C533)</f>
        <v/>
      </c>
      <c r="K533" s="17" t="n"/>
    </row>
    <row r="534">
      <c r="A534" s="17" t="n"/>
      <c r="B534" s="17" t="n"/>
      <c r="C534" s="17" t="n"/>
      <c r="D534" s="17" t="n"/>
      <c r="E534" s="15" t="n"/>
      <c r="F534" s="15" t="n"/>
      <c r="G534" s="17" t="n"/>
      <c r="H534" s="15">
        <f>IF(OR(E534="",F534="",G534=""),"", (F534-E534)*G534)</f>
        <v/>
      </c>
      <c r="I534" s="16">
        <f>IF(OR(E534="",F534=""),"", (F534/E534)-1)</f>
        <v/>
      </c>
      <c r="J534" s="17">
        <f>IF(OR(C534="",D534=""),"", D534-C534)</f>
        <v/>
      </c>
      <c r="K534" s="17" t="n"/>
    </row>
    <row r="535">
      <c r="A535" s="17" t="n"/>
      <c r="B535" s="17" t="n"/>
      <c r="C535" s="17" t="n"/>
      <c r="D535" s="17" t="n"/>
      <c r="E535" s="15" t="n"/>
      <c r="F535" s="15" t="n"/>
      <c r="G535" s="17" t="n"/>
      <c r="H535" s="15">
        <f>IF(OR(E535="",F535="",G535=""),"", (F535-E535)*G535)</f>
        <v/>
      </c>
      <c r="I535" s="16">
        <f>IF(OR(E535="",F535=""),"", (F535/E535)-1)</f>
        <v/>
      </c>
      <c r="J535" s="17">
        <f>IF(OR(C535="",D535=""),"", D535-C535)</f>
        <v/>
      </c>
      <c r="K535" s="17" t="n"/>
    </row>
    <row r="536">
      <c r="A536" s="17" t="n"/>
      <c r="B536" s="17" t="n"/>
      <c r="C536" s="17" t="n"/>
      <c r="D536" s="17" t="n"/>
      <c r="E536" s="15" t="n"/>
      <c r="F536" s="15" t="n"/>
      <c r="G536" s="17" t="n"/>
      <c r="H536" s="15">
        <f>IF(OR(E536="",F536="",G536=""),"", (F536-E536)*G536)</f>
        <v/>
      </c>
      <c r="I536" s="16">
        <f>IF(OR(E536="",F536=""),"", (F536/E536)-1)</f>
        <v/>
      </c>
      <c r="J536" s="17">
        <f>IF(OR(C536="",D536=""),"", D536-C536)</f>
        <v/>
      </c>
      <c r="K536" s="17" t="n"/>
    </row>
    <row r="537">
      <c r="A537" s="17" t="n"/>
      <c r="B537" s="17" t="n"/>
      <c r="C537" s="17" t="n"/>
      <c r="D537" s="17" t="n"/>
      <c r="E537" s="15" t="n"/>
      <c r="F537" s="15" t="n"/>
      <c r="G537" s="17" t="n"/>
      <c r="H537" s="15">
        <f>IF(OR(E537="",F537="",G537=""),"", (F537-E537)*G537)</f>
        <v/>
      </c>
      <c r="I537" s="16">
        <f>IF(OR(E537="",F537=""),"", (F537/E537)-1)</f>
        <v/>
      </c>
      <c r="J537" s="17">
        <f>IF(OR(C537="",D537=""),"", D537-C537)</f>
        <v/>
      </c>
      <c r="K537" s="17" t="n"/>
    </row>
    <row r="538">
      <c r="A538" s="17" t="n"/>
      <c r="B538" s="17" t="n"/>
      <c r="C538" s="17" t="n"/>
      <c r="D538" s="17" t="n"/>
      <c r="E538" s="15" t="n"/>
      <c r="F538" s="15" t="n"/>
      <c r="G538" s="17" t="n"/>
      <c r="H538" s="15">
        <f>IF(OR(E538="",F538="",G538=""),"", (F538-E538)*G538)</f>
        <v/>
      </c>
      <c r="I538" s="16">
        <f>IF(OR(E538="",F538=""),"", (F538/E538)-1)</f>
        <v/>
      </c>
      <c r="J538" s="17">
        <f>IF(OR(C538="",D538=""),"", D538-C538)</f>
        <v/>
      </c>
      <c r="K538" s="17" t="n"/>
    </row>
    <row r="539">
      <c r="A539" s="17" t="n"/>
      <c r="B539" s="17" t="n"/>
      <c r="C539" s="17" t="n"/>
      <c r="D539" s="17" t="n"/>
      <c r="E539" s="15" t="n"/>
      <c r="F539" s="15" t="n"/>
      <c r="G539" s="17" t="n"/>
      <c r="H539" s="15">
        <f>IF(OR(E539="",F539="",G539=""),"", (F539-E539)*G539)</f>
        <v/>
      </c>
      <c r="I539" s="16">
        <f>IF(OR(E539="",F539=""),"", (F539/E539)-1)</f>
        <v/>
      </c>
      <c r="J539" s="17">
        <f>IF(OR(C539="",D539=""),"", D539-C539)</f>
        <v/>
      </c>
      <c r="K539" s="17" t="n"/>
    </row>
    <row r="540">
      <c r="A540" s="17" t="n"/>
      <c r="B540" s="17" t="n"/>
      <c r="C540" s="17" t="n"/>
      <c r="D540" s="17" t="n"/>
      <c r="E540" s="15" t="n"/>
      <c r="F540" s="15" t="n"/>
      <c r="G540" s="17" t="n"/>
      <c r="H540" s="15">
        <f>IF(OR(E540="",F540="",G540=""),"", (F540-E540)*G540)</f>
        <v/>
      </c>
      <c r="I540" s="16">
        <f>IF(OR(E540="",F540=""),"", (F540/E540)-1)</f>
        <v/>
      </c>
      <c r="J540" s="17">
        <f>IF(OR(C540="",D540=""),"", D540-C540)</f>
        <v/>
      </c>
      <c r="K540" s="17" t="n"/>
    </row>
    <row r="541">
      <c r="A541" s="17" t="n"/>
      <c r="B541" s="17" t="n"/>
      <c r="C541" s="17" t="n"/>
      <c r="D541" s="17" t="n"/>
      <c r="E541" s="15" t="n"/>
      <c r="F541" s="15" t="n"/>
      <c r="G541" s="17" t="n"/>
      <c r="H541" s="15">
        <f>IF(OR(E541="",F541="",G541=""),"", (F541-E541)*G541)</f>
        <v/>
      </c>
      <c r="I541" s="16">
        <f>IF(OR(E541="",F541=""),"", (F541/E541)-1)</f>
        <v/>
      </c>
      <c r="J541" s="17">
        <f>IF(OR(C541="",D541=""),"", D541-C541)</f>
        <v/>
      </c>
      <c r="K541" s="17" t="n"/>
    </row>
    <row r="542">
      <c r="A542" s="17" t="n"/>
      <c r="B542" s="17" t="n"/>
      <c r="C542" s="17" t="n"/>
      <c r="D542" s="17" t="n"/>
      <c r="E542" s="15" t="n"/>
      <c r="F542" s="15" t="n"/>
      <c r="G542" s="17" t="n"/>
      <c r="H542" s="15">
        <f>IF(OR(E542="",F542="",G542=""),"", (F542-E542)*G542)</f>
        <v/>
      </c>
      <c r="I542" s="16">
        <f>IF(OR(E542="",F542=""),"", (F542/E542)-1)</f>
        <v/>
      </c>
      <c r="J542" s="17">
        <f>IF(OR(C542="",D542=""),"", D542-C542)</f>
        <v/>
      </c>
      <c r="K542" s="17" t="n"/>
    </row>
    <row r="543">
      <c r="A543" s="17" t="n"/>
      <c r="B543" s="17" t="n"/>
      <c r="C543" s="17" t="n"/>
      <c r="D543" s="17" t="n"/>
      <c r="E543" s="15" t="n"/>
      <c r="F543" s="15" t="n"/>
      <c r="G543" s="17" t="n"/>
      <c r="H543" s="15">
        <f>IF(OR(E543="",F543="",G543=""),"", (F543-E543)*G543)</f>
        <v/>
      </c>
      <c r="I543" s="16">
        <f>IF(OR(E543="",F543=""),"", (F543/E543)-1)</f>
        <v/>
      </c>
      <c r="J543" s="17">
        <f>IF(OR(C543="",D543=""),"", D543-C543)</f>
        <v/>
      </c>
      <c r="K543" s="17" t="n"/>
    </row>
    <row r="544">
      <c r="A544" s="17" t="n"/>
      <c r="B544" s="17" t="n"/>
      <c r="C544" s="17" t="n"/>
      <c r="D544" s="17" t="n"/>
      <c r="E544" s="15" t="n"/>
      <c r="F544" s="15" t="n"/>
      <c r="G544" s="17" t="n"/>
      <c r="H544" s="15">
        <f>IF(OR(E544="",F544="",G544=""),"", (F544-E544)*G544)</f>
        <v/>
      </c>
      <c r="I544" s="16">
        <f>IF(OR(E544="",F544=""),"", (F544/E544)-1)</f>
        <v/>
      </c>
      <c r="J544" s="17">
        <f>IF(OR(C544="",D544=""),"", D544-C544)</f>
        <v/>
      </c>
      <c r="K544" s="17" t="n"/>
    </row>
    <row r="545">
      <c r="A545" s="17" t="n"/>
      <c r="B545" s="17" t="n"/>
      <c r="C545" s="17" t="n"/>
      <c r="D545" s="17" t="n"/>
      <c r="E545" s="15" t="n"/>
      <c r="F545" s="15" t="n"/>
      <c r="G545" s="17" t="n"/>
      <c r="H545" s="15">
        <f>IF(OR(E545="",F545="",G545=""),"", (F545-E545)*G545)</f>
        <v/>
      </c>
      <c r="I545" s="16">
        <f>IF(OR(E545="",F545=""),"", (F545/E545)-1)</f>
        <v/>
      </c>
      <c r="J545" s="17">
        <f>IF(OR(C545="",D545=""),"", D545-C545)</f>
        <v/>
      </c>
      <c r="K545" s="17" t="n"/>
    </row>
    <row r="546">
      <c r="A546" s="17" t="n"/>
      <c r="B546" s="17" t="n"/>
      <c r="C546" s="17" t="n"/>
      <c r="D546" s="17" t="n"/>
      <c r="E546" s="15" t="n"/>
      <c r="F546" s="15" t="n"/>
      <c r="G546" s="17" t="n"/>
      <c r="H546" s="15">
        <f>IF(OR(E546="",F546="",G546=""),"", (F546-E546)*G546)</f>
        <v/>
      </c>
      <c r="I546" s="16">
        <f>IF(OR(E546="",F546=""),"", (F546/E546)-1)</f>
        <v/>
      </c>
      <c r="J546" s="17">
        <f>IF(OR(C546="",D546=""),"", D546-C546)</f>
        <v/>
      </c>
      <c r="K546" s="17" t="n"/>
    </row>
    <row r="547">
      <c r="A547" s="17" t="n"/>
      <c r="B547" s="17" t="n"/>
      <c r="C547" s="17" t="n"/>
      <c r="D547" s="17" t="n"/>
      <c r="E547" s="15" t="n"/>
      <c r="F547" s="15" t="n"/>
      <c r="G547" s="17" t="n"/>
      <c r="H547" s="15">
        <f>IF(OR(E547="",F547="",G547=""),"", (F547-E547)*G547)</f>
        <v/>
      </c>
      <c r="I547" s="16">
        <f>IF(OR(E547="",F547=""),"", (F547/E547)-1)</f>
        <v/>
      </c>
      <c r="J547" s="17">
        <f>IF(OR(C547="",D547=""),"", D547-C547)</f>
        <v/>
      </c>
      <c r="K547" s="17" t="n"/>
    </row>
    <row r="548">
      <c r="A548" s="17" t="n"/>
      <c r="B548" s="17" t="n"/>
      <c r="C548" s="17" t="n"/>
      <c r="D548" s="17" t="n"/>
      <c r="E548" s="15" t="n"/>
      <c r="F548" s="15" t="n"/>
      <c r="G548" s="17" t="n"/>
      <c r="H548" s="15">
        <f>IF(OR(E548="",F548="",G548=""),"", (F548-E548)*G548)</f>
        <v/>
      </c>
      <c r="I548" s="16">
        <f>IF(OR(E548="",F548=""),"", (F548/E548)-1)</f>
        <v/>
      </c>
      <c r="J548" s="17">
        <f>IF(OR(C548="",D548=""),"", D548-C548)</f>
        <v/>
      </c>
      <c r="K548" s="17" t="n"/>
    </row>
    <row r="549">
      <c r="A549" s="17" t="n"/>
      <c r="B549" s="17" t="n"/>
      <c r="C549" s="17" t="n"/>
      <c r="D549" s="17" t="n"/>
      <c r="E549" s="15" t="n"/>
      <c r="F549" s="15" t="n"/>
      <c r="G549" s="17" t="n"/>
      <c r="H549" s="15">
        <f>IF(OR(E549="",F549="",G549=""),"", (F549-E549)*G549)</f>
        <v/>
      </c>
      <c r="I549" s="16">
        <f>IF(OR(E549="",F549=""),"", (F549/E549)-1)</f>
        <v/>
      </c>
      <c r="J549" s="17">
        <f>IF(OR(C549="",D549=""),"", D549-C549)</f>
        <v/>
      </c>
      <c r="K549" s="17" t="n"/>
    </row>
    <row r="550">
      <c r="A550" s="17" t="n"/>
      <c r="B550" s="17" t="n"/>
      <c r="C550" s="17" t="n"/>
      <c r="D550" s="17" t="n"/>
      <c r="E550" s="15" t="n"/>
      <c r="F550" s="15" t="n"/>
      <c r="G550" s="17" t="n"/>
      <c r="H550" s="15">
        <f>IF(OR(E550="",F550="",G550=""),"", (F550-E550)*G550)</f>
        <v/>
      </c>
      <c r="I550" s="16">
        <f>IF(OR(E550="",F550=""),"", (F550/E550)-1)</f>
        <v/>
      </c>
      <c r="J550" s="17">
        <f>IF(OR(C550="",D550=""),"", D550-C550)</f>
        <v/>
      </c>
      <c r="K550" s="17" t="n"/>
    </row>
    <row r="551">
      <c r="A551" s="17" t="n"/>
      <c r="B551" s="17" t="n"/>
      <c r="C551" s="17" t="n"/>
      <c r="D551" s="17" t="n"/>
      <c r="E551" s="15" t="n"/>
      <c r="F551" s="15" t="n"/>
      <c r="G551" s="17" t="n"/>
      <c r="H551" s="15">
        <f>IF(OR(E551="",F551="",G551=""),"", (F551-E551)*G551)</f>
        <v/>
      </c>
      <c r="I551" s="16">
        <f>IF(OR(E551="",F551=""),"", (F551/E551)-1)</f>
        <v/>
      </c>
      <c r="J551" s="17">
        <f>IF(OR(C551="",D551=""),"", D551-C551)</f>
        <v/>
      </c>
      <c r="K551" s="17" t="n"/>
    </row>
    <row r="552">
      <c r="A552" s="17" t="n"/>
      <c r="B552" s="17" t="n"/>
      <c r="C552" s="17" t="n"/>
      <c r="D552" s="17" t="n"/>
      <c r="E552" s="15" t="n"/>
      <c r="F552" s="15" t="n"/>
      <c r="G552" s="17" t="n"/>
      <c r="H552" s="15">
        <f>IF(OR(E552="",F552="",G552=""),"", (F552-E552)*G552)</f>
        <v/>
      </c>
      <c r="I552" s="16">
        <f>IF(OR(E552="",F552=""),"", (F552/E552)-1)</f>
        <v/>
      </c>
      <c r="J552" s="17">
        <f>IF(OR(C552="",D552=""),"", D552-C552)</f>
        <v/>
      </c>
      <c r="K552" s="17" t="n"/>
    </row>
    <row r="553">
      <c r="A553" s="17" t="n"/>
      <c r="B553" s="17" t="n"/>
      <c r="C553" s="17" t="n"/>
      <c r="D553" s="17" t="n"/>
      <c r="E553" s="15" t="n"/>
      <c r="F553" s="15" t="n"/>
      <c r="G553" s="17" t="n"/>
      <c r="H553" s="15">
        <f>IF(OR(E553="",F553="",G553=""),"", (F553-E553)*G553)</f>
        <v/>
      </c>
      <c r="I553" s="16">
        <f>IF(OR(E553="",F553=""),"", (F553/E553)-1)</f>
        <v/>
      </c>
      <c r="J553" s="17">
        <f>IF(OR(C553="",D553=""),"", D553-C553)</f>
        <v/>
      </c>
      <c r="K553" s="17" t="n"/>
    </row>
    <row r="554">
      <c r="A554" s="17" t="n"/>
      <c r="B554" s="17" t="n"/>
      <c r="C554" s="17" t="n"/>
      <c r="D554" s="17" t="n"/>
      <c r="E554" s="15" t="n"/>
      <c r="F554" s="15" t="n"/>
      <c r="G554" s="17" t="n"/>
      <c r="H554" s="15">
        <f>IF(OR(E554="",F554="",G554=""),"", (F554-E554)*G554)</f>
        <v/>
      </c>
      <c r="I554" s="16">
        <f>IF(OR(E554="",F554=""),"", (F554/E554)-1)</f>
        <v/>
      </c>
      <c r="J554" s="17">
        <f>IF(OR(C554="",D554=""),"", D554-C554)</f>
        <v/>
      </c>
      <c r="K554" s="17" t="n"/>
    </row>
    <row r="555">
      <c r="A555" s="17" t="n"/>
      <c r="B555" s="17" t="n"/>
      <c r="C555" s="17" t="n"/>
      <c r="D555" s="17" t="n"/>
      <c r="E555" s="15" t="n"/>
      <c r="F555" s="15" t="n"/>
      <c r="G555" s="17" t="n"/>
      <c r="H555" s="15">
        <f>IF(OR(E555="",F555="",G555=""),"", (F555-E555)*G555)</f>
        <v/>
      </c>
      <c r="I555" s="16">
        <f>IF(OR(E555="",F555=""),"", (F555/E555)-1)</f>
        <v/>
      </c>
      <c r="J555" s="17">
        <f>IF(OR(C555="",D555=""),"", D555-C555)</f>
        <v/>
      </c>
      <c r="K555" s="17" t="n"/>
    </row>
    <row r="556">
      <c r="A556" s="17" t="n"/>
      <c r="B556" s="17" t="n"/>
      <c r="C556" s="17" t="n"/>
      <c r="D556" s="17" t="n"/>
      <c r="E556" s="15" t="n"/>
      <c r="F556" s="15" t="n"/>
      <c r="G556" s="17" t="n"/>
      <c r="H556" s="15">
        <f>IF(OR(E556="",F556="",G556=""),"", (F556-E556)*G556)</f>
        <v/>
      </c>
      <c r="I556" s="16">
        <f>IF(OR(E556="",F556=""),"", (F556/E556)-1)</f>
        <v/>
      </c>
      <c r="J556" s="17">
        <f>IF(OR(C556="",D556=""),"", D556-C556)</f>
        <v/>
      </c>
      <c r="K556" s="17" t="n"/>
    </row>
    <row r="557">
      <c r="A557" s="17" t="n"/>
      <c r="B557" s="17" t="n"/>
      <c r="C557" s="17" t="n"/>
      <c r="D557" s="17" t="n"/>
      <c r="E557" s="15" t="n"/>
      <c r="F557" s="15" t="n"/>
      <c r="G557" s="17" t="n"/>
      <c r="H557" s="15">
        <f>IF(OR(E557="",F557="",G557=""),"", (F557-E557)*G557)</f>
        <v/>
      </c>
      <c r="I557" s="16">
        <f>IF(OR(E557="",F557=""),"", (F557/E557)-1)</f>
        <v/>
      </c>
      <c r="J557" s="17">
        <f>IF(OR(C557="",D557=""),"", D557-C557)</f>
        <v/>
      </c>
      <c r="K557" s="17" t="n"/>
    </row>
    <row r="558">
      <c r="A558" s="17" t="n"/>
      <c r="B558" s="17" t="n"/>
      <c r="C558" s="17" t="n"/>
      <c r="D558" s="17" t="n"/>
      <c r="E558" s="15" t="n"/>
      <c r="F558" s="15" t="n"/>
      <c r="G558" s="17" t="n"/>
      <c r="H558" s="15">
        <f>IF(OR(E558="",F558="",G558=""),"", (F558-E558)*G558)</f>
        <v/>
      </c>
      <c r="I558" s="16">
        <f>IF(OR(E558="",F558=""),"", (F558/E558)-1)</f>
        <v/>
      </c>
      <c r="J558" s="17">
        <f>IF(OR(C558="",D558=""),"", D558-C558)</f>
        <v/>
      </c>
      <c r="K558" s="17" t="n"/>
    </row>
    <row r="559">
      <c r="A559" s="17" t="n"/>
      <c r="B559" s="17" t="n"/>
      <c r="C559" s="17" t="n"/>
      <c r="D559" s="17" t="n"/>
      <c r="E559" s="15" t="n"/>
      <c r="F559" s="15" t="n"/>
      <c r="G559" s="17" t="n"/>
      <c r="H559" s="15">
        <f>IF(OR(E559="",F559="",G559=""),"", (F559-E559)*G559)</f>
        <v/>
      </c>
      <c r="I559" s="16">
        <f>IF(OR(E559="",F559=""),"", (F559/E559)-1)</f>
        <v/>
      </c>
      <c r="J559" s="17">
        <f>IF(OR(C559="",D559=""),"", D559-C559)</f>
        <v/>
      </c>
      <c r="K559" s="17" t="n"/>
    </row>
    <row r="560">
      <c r="A560" s="17" t="n"/>
      <c r="B560" s="17" t="n"/>
      <c r="C560" s="17" t="n"/>
      <c r="D560" s="17" t="n"/>
      <c r="E560" s="15" t="n"/>
      <c r="F560" s="15" t="n"/>
      <c r="G560" s="17" t="n"/>
      <c r="H560" s="15">
        <f>IF(OR(E560="",F560="",G560=""),"", (F560-E560)*G560)</f>
        <v/>
      </c>
      <c r="I560" s="16">
        <f>IF(OR(E560="",F560=""),"", (F560/E560)-1)</f>
        <v/>
      </c>
      <c r="J560" s="17">
        <f>IF(OR(C560="",D560=""),"", D560-C560)</f>
        <v/>
      </c>
      <c r="K560" s="17" t="n"/>
    </row>
    <row r="561">
      <c r="A561" s="17" t="n"/>
      <c r="B561" s="17" t="n"/>
      <c r="C561" s="17" t="n"/>
      <c r="D561" s="17" t="n"/>
      <c r="E561" s="15" t="n"/>
      <c r="F561" s="15" t="n"/>
      <c r="G561" s="17" t="n"/>
      <c r="H561" s="15">
        <f>IF(OR(E561="",F561="",G561=""),"", (F561-E561)*G561)</f>
        <v/>
      </c>
      <c r="I561" s="16">
        <f>IF(OR(E561="",F561=""),"", (F561/E561)-1)</f>
        <v/>
      </c>
      <c r="J561" s="17">
        <f>IF(OR(C561="",D561=""),"", D561-C561)</f>
        <v/>
      </c>
      <c r="K561" s="17" t="n"/>
    </row>
    <row r="562">
      <c r="A562" s="17" t="n"/>
      <c r="B562" s="17" t="n"/>
      <c r="C562" s="17" t="n"/>
      <c r="D562" s="17" t="n"/>
      <c r="E562" s="15" t="n"/>
      <c r="F562" s="15" t="n"/>
      <c r="G562" s="17" t="n"/>
      <c r="H562" s="15">
        <f>IF(OR(E562="",F562="",G562=""),"", (F562-E562)*G562)</f>
        <v/>
      </c>
      <c r="I562" s="16">
        <f>IF(OR(E562="",F562=""),"", (F562/E562)-1)</f>
        <v/>
      </c>
      <c r="J562" s="17">
        <f>IF(OR(C562="",D562=""),"", D562-C562)</f>
        <v/>
      </c>
      <c r="K562" s="17" t="n"/>
    </row>
    <row r="563">
      <c r="A563" s="17" t="n"/>
      <c r="B563" s="17" t="n"/>
      <c r="C563" s="17" t="n"/>
      <c r="D563" s="17" t="n"/>
      <c r="E563" s="15" t="n"/>
      <c r="F563" s="15" t="n"/>
      <c r="G563" s="17" t="n"/>
      <c r="H563" s="15">
        <f>IF(OR(E563="",F563="",G563=""),"", (F563-E563)*G563)</f>
        <v/>
      </c>
      <c r="I563" s="16">
        <f>IF(OR(E563="",F563=""),"", (F563/E563)-1)</f>
        <v/>
      </c>
      <c r="J563" s="17">
        <f>IF(OR(C563="",D563=""),"", D563-C563)</f>
        <v/>
      </c>
      <c r="K563" s="17" t="n"/>
    </row>
    <row r="564">
      <c r="A564" s="17" t="n"/>
      <c r="B564" s="17" t="n"/>
      <c r="C564" s="17" t="n"/>
      <c r="D564" s="17" t="n"/>
      <c r="E564" s="15" t="n"/>
      <c r="F564" s="15" t="n"/>
      <c r="G564" s="17" t="n"/>
      <c r="H564" s="15">
        <f>IF(OR(E564="",F564="",G564=""),"", (F564-E564)*G564)</f>
        <v/>
      </c>
      <c r="I564" s="16">
        <f>IF(OR(E564="",F564=""),"", (F564/E564)-1)</f>
        <v/>
      </c>
      <c r="J564" s="17">
        <f>IF(OR(C564="",D564=""),"", D564-C564)</f>
        <v/>
      </c>
      <c r="K564" s="17" t="n"/>
    </row>
    <row r="565">
      <c r="A565" s="17" t="n"/>
      <c r="B565" s="17" t="n"/>
      <c r="C565" s="17" t="n"/>
      <c r="D565" s="17" t="n"/>
      <c r="E565" s="15" t="n"/>
      <c r="F565" s="15" t="n"/>
      <c r="G565" s="17" t="n"/>
      <c r="H565" s="15">
        <f>IF(OR(E565="",F565="",G565=""),"", (F565-E565)*G565)</f>
        <v/>
      </c>
      <c r="I565" s="16">
        <f>IF(OR(E565="",F565=""),"", (F565/E565)-1)</f>
        <v/>
      </c>
      <c r="J565" s="17">
        <f>IF(OR(C565="",D565=""),"", D565-C565)</f>
        <v/>
      </c>
      <c r="K565" s="17" t="n"/>
    </row>
    <row r="566">
      <c r="A566" s="17" t="n"/>
      <c r="B566" s="17" t="n"/>
      <c r="C566" s="17" t="n"/>
      <c r="D566" s="17" t="n"/>
      <c r="E566" s="15" t="n"/>
      <c r="F566" s="15" t="n"/>
      <c r="G566" s="17" t="n"/>
      <c r="H566" s="15">
        <f>IF(OR(E566="",F566="",G566=""),"", (F566-E566)*G566)</f>
        <v/>
      </c>
      <c r="I566" s="16">
        <f>IF(OR(E566="",F566=""),"", (F566/E566)-1)</f>
        <v/>
      </c>
      <c r="J566" s="17">
        <f>IF(OR(C566="",D566=""),"", D566-C566)</f>
        <v/>
      </c>
      <c r="K566" s="17" t="n"/>
    </row>
    <row r="567">
      <c r="A567" s="17" t="n"/>
      <c r="B567" s="17" t="n"/>
      <c r="C567" s="17" t="n"/>
      <c r="D567" s="17" t="n"/>
      <c r="E567" s="15" t="n"/>
      <c r="F567" s="15" t="n"/>
      <c r="G567" s="17" t="n"/>
      <c r="H567" s="15">
        <f>IF(OR(E567="",F567="",G567=""),"", (F567-E567)*G567)</f>
        <v/>
      </c>
      <c r="I567" s="16">
        <f>IF(OR(E567="",F567=""),"", (F567/E567)-1)</f>
        <v/>
      </c>
      <c r="J567" s="17">
        <f>IF(OR(C567="",D567=""),"", D567-C567)</f>
        <v/>
      </c>
      <c r="K567" s="17" t="n"/>
    </row>
    <row r="568">
      <c r="A568" s="17" t="n"/>
      <c r="B568" s="17" t="n"/>
      <c r="C568" s="17" t="n"/>
      <c r="D568" s="17" t="n"/>
      <c r="E568" s="15" t="n"/>
      <c r="F568" s="15" t="n"/>
      <c r="G568" s="17" t="n"/>
      <c r="H568" s="15">
        <f>IF(OR(E568="",F568="",G568=""),"", (F568-E568)*G568)</f>
        <v/>
      </c>
      <c r="I568" s="16">
        <f>IF(OR(E568="",F568=""),"", (F568/E568)-1)</f>
        <v/>
      </c>
      <c r="J568" s="17">
        <f>IF(OR(C568="",D568=""),"", D568-C568)</f>
        <v/>
      </c>
      <c r="K568" s="17" t="n"/>
    </row>
    <row r="569">
      <c r="A569" s="17" t="n"/>
      <c r="B569" s="17" t="n"/>
      <c r="C569" s="17" t="n"/>
      <c r="D569" s="17" t="n"/>
      <c r="E569" s="15" t="n"/>
      <c r="F569" s="15" t="n"/>
      <c r="G569" s="17" t="n"/>
      <c r="H569" s="15">
        <f>IF(OR(E569="",F569="",G569=""),"", (F569-E569)*G569)</f>
        <v/>
      </c>
      <c r="I569" s="16">
        <f>IF(OR(E569="",F569=""),"", (F569/E569)-1)</f>
        <v/>
      </c>
      <c r="J569" s="17">
        <f>IF(OR(C569="",D569=""),"", D569-C569)</f>
        <v/>
      </c>
      <c r="K569" s="17" t="n"/>
    </row>
    <row r="570">
      <c r="A570" s="17" t="n"/>
      <c r="B570" s="17" t="n"/>
      <c r="C570" s="17" t="n"/>
      <c r="D570" s="17" t="n"/>
      <c r="E570" s="15" t="n"/>
      <c r="F570" s="15" t="n"/>
      <c r="G570" s="17" t="n"/>
      <c r="H570" s="15">
        <f>IF(OR(E570="",F570="",G570=""),"", (F570-E570)*G570)</f>
        <v/>
      </c>
      <c r="I570" s="16">
        <f>IF(OR(E570="",F570=""),"", (F570/E570)-1)</f>
        <v/>
      </c>
      <c r="J570" s="17">
        <f>IF(OR(C570="",D570=""),"", D570-C570)</f>
        <v/>
      </c>
      <c r="K570" s="17" t="n"/>
    </row>
    <row r="571">
      <c r="A571" s="17" t="n"/>
      <c r="B571" s="17" t="n"/>
      <c r="C571" s="17" t="n"/>
      <c r="D571" s="17" t="n"/>
      <c r="E571" s="15" t="n"/>
      <c r="F571" s="15" t="n"/>
      <c r="G571" s="17" t="n"/>
      <c r="H571" s="15">
        <f>IF(OR(E571="",F571="",G571=""),"", (F571-E571)*G571)</f>
        <v/>
      </c>
      <c r="I571" s="16">
        <f>IF(OR(E571="",F571=""),"", (F571/E571)-1)</f>
        <v/>
      </c>
      <c r="J571" s="17">
        <f>IF(OR(C571="",D571=""),"", D571-C571)</f>
        <v/>
      </c>
      <c r="K571" s="17" t="n"/>
    </row>
    <row r="572">
      <c r="A572" s="17" t="n"/>
      <c r="B572" s="17" t="n"/>
      <c r="C572" s="17" t="n"/>
      <c r="D572" s="17" t="n"/>
      <c r="E572" s="15" t="n"/>
      <c r="F572" s="15" t="n"/>
      <c r="G572" s="17" t="n"/>
      <c r="H572" s="15">
        <f>IF(OR(E572="",F572="",G572=""),"", (F572-E572)*G572)</f>
        <v/>
      </c>
      <c r="I572" s="16">
        <f>IF(OR(E572="",F572=""),"", (F572/E572)-1)</f>
        <v/>
      </c>
      <c r="J572" s="17">
        <f>IF(OR(C572="",D572=""),"", D572-C572)</f>
        <v/>
      </c>
      <c r="K572" s="17" t="n"/>
    </row>
    <row r="573">
      <c r="A573" s="17" t="n"/>
      <c r="B573" s="17" t="n"/>
      <c r="C573" s="17" t="n"/>
      <c r="D573" s="17" t="n"/>
      <c r="E573" s="15" t="n"/>
      <c r="F573" s="15" t="n"/>
      <c r="G573" s="17" t="n"/>
      <c r="H573" s="15">
        <f>IF(OR(E573="",F573="",G573=""),"", (F573-E573)*G573)</f>
        <v/>
      </c>
      <c r="I573" s="16">
        <f>IF(OR(E573="",F573=""),"", (F573/E573)-1)</f>
        <v/>
      </c>
      <c r="J573" s="17">
        <f>IF(OR(C573="",D573=""),"", D573-C573)</f>
        <v/>
      </c>
      <c r="K573" s="17" t="n"/>
    </row>
    <row r="574">
      <c r="A574" s="17" t="n"/>
      <c r="B574" s="17" t="n"/>
      <c r="C574" s="17" t="n"/>
      <c r="D574" s="17" t="n"/>
      <c r="E574" s="15" t="n"/>
      <c r="F574" s="15" t="n"/>
      <c r="G574" s="17" t="n"/>
      <c r="H574" s="15">
        <f>IF(OR(E574="",F574="",G574=""),"", (F574-E574)*G574)</f>
        <v/>
      </c>
      <c r="I574" s="16">
        <f>IF(OR(E574="",F574=""),"", (F574/E574)-1)</f>
        <v/>
      </c>
      <c r="J574" s="17">
        <f>IF(OR(C574="",D574=""),"", D574-C574)</f>
        <v/>
      </c>
      <c r="K574" s="17" t="n"/>
    </row>
    <row r="575">
      <c r="A575" s="17" t="n"/>
      <c r="B575" s="17" t="n"/>
      <c r="C575" s="17" t="n"/>
      <c r="D575" s="17" t="n"/>
      <c r="E575" s="15" t="n"/>
      <c r="F575" s="15" t="n"/>
      <c r="G575" s="17" t="n"/>
      <c r="H575" s="15">
        <f>IF(OR(E575="",F575="",G575=""),"", (F575-E575)*G575)</f>
        <v/>
      </c>
      <c r="I575" s="16">
        <f>IF(OR(E575="",F575=""),"", (F575/E575)-1)</f>
        <v/>
      </c>
      <c r="J575" s="17">
        <f>IF(OR(C575="",D575=""),"", D575-C575)</f>
        <v/>
      </c>
      <c r="K575" s="17" t="n"/>
    </row>
    <row r="576">
      <c r="A576" s="17" t="n"/>
      <c r="B576" s="17" t="n"/>
      <c r="C576" s="17" t="n"/>
      <c r="D576" s="17" t="n"/>
      <c r="E576" s="15" t="n"/>
      <c r="F576" s="15" t="n"/>
      <c r="G576" s="17" t="n"/>
      <c r="H576" s="15">
        <f>IF(OR(E576="",F576="",G576=""),"", (F576-E576)*G576)</f>
        <v/>
      </c>
      <c r="I576" s="16">
        <f>IF(OR(E576="",F576=""),"", (F576/E576)-1)</f>
        <v/>
      </c>
      <c r="J576" s="17">
        <f>IF(OR(C576="",D576=""),"", D576-C576)</f>
        <v/>
      </c>
      <c r="K576" s="17" t="n"/>
    </row>
    <row r="577">
      <c r="A577" s="17" t="n"/>
      <c r="B577" s="17" t="n"/>
      <c r="C577" s="17" t="n"/>
      <c r="D577" s="17" t="n"/>
      <c r="E577" s="15" t="n"/>
      <c r="F577" s="15" t="n"/>
      <c r="G577" s="17" t="n"/>
      <c r="H577" s="15">
        <f>IF(OR(E577="",F577="",G577=""),"", (F577-E577)*G577)</f>
        <v/>
      </c>
      <c r="I577" s="16">
        <f>IF(OR(E577="",F577=""),"", (F577/E577)-1)</f>
        <v/>
      </c>
      <c r="J577" s="17">
        <f>IF(OR(C577="",D577=""),"", D577-C577)</f>
        <v/>
      </c>
      <c r="K577" s="17" t="n"/>
    </row>
    <row r="578">
      <c r="A578" s="17" t="n"/>
      <c r="B578" s="17" t="n"/>
      <c r="C578" s="17" t="n"/>
      <c r="D578" s="17" t="n"/>
      <c r="E578" s="15" t="n"/>
      <c r="F578" s="15" t="n"/>
      <c r="G578" s="17" t="n"/>
      <c r="H578" s="15">
        <f>IF(OR(E578="",F578="",G578=""),"", (F578-E578)*G578)</f>
        <v/>
      </c>
      <c r="I578" s="16">
        <f>IF(OR(E578="",F578=""),"", (F578/E578)-1)</f>
        <v/>
      </c>
      <c r="J578" s="17">
        <f>IF(OR(C578="",D578=""),"", D578-C578)</f>
        <v/>
      </c>
      <c r="K578" s="17" t="n"/>
    </row>
    <row r="579">
      <c r="A579" s="17" t="n"/>
      <c r="B579" s="17" t="n"/>
      <c r="C579" s="17" t="n"/>
      <c r="D579" s="17" t="n"/>
      <c r="E579" s="15" t="n"/>
      <c r="F579" s="15" t="n"/>
      <c r="G579" s="17" t="n"/>
      <c r="H579" s="15">
        <f>IF(OR(E579="",F579="",G579=""),"", (F579-E579)*G579)</f>
        <v/>
      </c>
      <c r="I579" s="16">
        <f>IF(OR(E579="",F579=""),"", (F579/E579)-1)</f>
        <v/>
      </c>
      <c r="J579" s="17">
        <f>IF(OR(C579="",D579=""),"", D579-C579)</f>
        <v/>
      </c>
      <c r="K579" s="17" t="n"/>
    </row>
    <row r="580">
      <c r="A580" s="17" t="n"/>
      <c r="B580" s="17" t="n"/>
      <c r="C580" s="17" t="n"/>
      <c r="D580" s="17" t="n"/>
      <c r="E580" s="15" t="n"/>
      <c r="F580" s="15" t="n"/>
      <c r="G580" s="17" t="n"/>
      <c r="H580" s="15">
        <f>IF(OR(E580="",F580="",G580=""),"", (F580-E580)*G580)</f>
        <v/>
      </c>
      <c r="I580" s="16">
        <f>IF(OR(E580="",F580=""),"", (F580/E580)-1)</f>
        <v/>
      </c>
      <c r="J580" s="17">
        <f>IF(OR(C580="",D580=""),"", D580-C580)</f>
        <v/>
      </c>
      <c r="K580" s="17" t="n"/>
    </row>
    <row r="581">
      <c r="A581" s="17" t="n"/>
      <c r="B581" s="17" t="n"/>
      <c r="C581" s="17" t="n"/>
      <c r="D581" s="17" t="n"/>
      <c r="E581" s="15" t="n"/>
      <c r="F581" s="15" t="n"/>
      <c r="G581" s="17" t="n"/>
      <c r="H581" s="15">
        <f>IF(OR(E581="",F581="",G581=""),"", (F581-E581)*G581)</f>
        <v/>
      </c>
      <c r="I581" s="16">
        <f>IF(OR(E581="",F581=""),"", (F581/E581)-1)</f>
        <v/>
      </c>
      <c r="J581" s="17">
        <f>IF(OR(C581="",D581=""),"", D581-C581)</f>
        <v/>
      </c>
      <c r="K581" s="17" t="n"/>
    </row>
    <row r="582">
      <c r="A582" s="17" t="n"/>
      <c r="B582" s="17" t="n"/>
      <c r="C582" s="17" t="n"/>
      <c r="D582" s="17" t="n"/>
      <c r="E582" s="15" t="n"/>
      <c r="F582" s="15" t="n"/>
      <c r="G582" s="17" t="n"/>
      <c r="H582" s="15">
        <f>IF(OR(E582="",F582="",G582=""),"", (F582-E582)*G582)</f>
        <v/>
      </c>
      <c r="I582" s="16">
        <f>IF(OR(E582="",F582=""),"", (F582/E582)-1)</f>
        <v/>
      </c>
      <c r="J582" s="17">
        <f>IF(OR(C582="",D582=""),"", D582-C582)</f>
        <v/>
      </c>
      <c r="K582" s="17" t="n"/>
    </row>
    <row r="583">
      <c r="A583" s="17" t="n"/>
      <c r="B583" s="17" t="n"/>
      <c r="C583" s="17" t="n"/>
      <c r="D583" s="17" t="n"/>
      <c r="E583" s="15" t="n"/>
      <c r="F583" s="15" t="n"/>
      <c r="G583" s="17" t="n"/>
      <c r="H583" s="15">
        <f>IF(OR(E583="",F583="",G583=""),"", (F583-E583)*G583)</f>
        <v/>
      </c>
      <c r="I583" s="16">
        <f>IF(OR(E583="",F583=""),"", (F583/E583)-1)</f>
        <v/>
      </c>
      <c r="J583" s="17">
        <f>IF(OR(C583="",D583=""),"", D583-C583)</f>
        <v/>
      </c>
      <c r="K583" s="17" t="n"/>
    </row>
    <row r="584">
      <c r="A584" s="17" t="n"/>
      <c r="B584" s="17" t="n"/>
      <c r="C584" s="17" t="n"/>
      <c r="D584" s="17" t="n"/>
      <c r="E584" s="15" t="n"/>
      <c r="F584" s="15" t="n"/>
      <c r="G584" s="17" t="n"/>
      <c r="H584" s="15">
        <f>IF(OR(E584="",F584="",G584=""),"", (F584-E584)*G584)</f>
        <v/>
      </c>
      <c r="I584" s="16">
        <f>IF(OR(E584="",F584=""),"", (F584/E584)-1)</f>
        <v/>
      </c>
      <c r="J584" s="17">
        <f>IF(OR(C584="",D584=""),"", D584-C584)</f>
        <v/>
      </c>
      <c r="K584" s="17" t="n"/>
    </row>
    <row r="585">
      <c r="A585" s="17" t="n"/>
      <c r="B585" s="17" t="n"/>
      <c r="C585" s="17" t="n"/>
      <c r="D585" s="17" t="n"/>
      <c r="E585" s="15" t="n"/>
      <c r="F585" s="15" t="n"/>
      <c r="G585" s="17" t="n"/>
      <c r="H585" s="15">
        <f>IF(OR(E585="",F585="",G585=""),"", (F585-E585)*G585)</f>
        <v/>
      </c>
      <c r="I585" s="16">
        <f>IF(OR(E585="",F585=""),"", (F585/E585)-1)</f>
        <v/>
      </c>
      <c r="J585" s="17">
        <f>IF(OR(C585="",D585=""),"", D585-C585)</f>
        <v/>
      </c>
      <c r="K585" s="17" t="n"/>
    </row>
    <row r="586">
      <c r="A586" s="17" t="n"/>
      <c r="B586" s="17" t="n"/>
      <c r="C586" s="17" t="n"/>
      <c r="D586" s="17" t="n"/>
      <c r="E586" s="15" t="n"/>
      <c r="F586" s="15" t="n"/>
      <c r="G586" s="17" t="n"/>
      <c r="H586" s="15">
        <f>IF(OR(E586="",F586="",G586=""),"", (F586-E586)*G586)</f>
        <v/>
      </c>
      <c r="I586" s="16">
        <f>IF(OR(E586="",F586=""),"", (F586/E586)-1)</f>
        <v/>
      </c>
      <c r="J586" s="17">
        <f>IF(OR(C586="",D586=""),"", D586-C586)</f>
        <v/>
      </c>
      <c r="K586" s="17" t="n"/>
    </row>
    <row r="587">
      <c r="A587" s="17" t="n"/>
      <c r="B587" s="17" t="n"/>
      <c r="C587" s="17" t="n"/>
      <c r="D587" s="17" t="n"/>
      <c r="E587" s="15" t="n"/>
      <c r="F587" s="15" t="n"/>
      <c r="G587" s="17" t="n"/>
      <c r="H587" s="15">
        <f>IF(OR(E587="",F587="",G587=""),"", (F587-E587)*G587)</f>
        <v/>
      </c>
      <c r="I587" s="16">
        <f>IF(OR(E587="",F587=""),"", (F587/E587)-1)</f>
        <v/>
      </c>
      <c r="J587" s="17">
        <f>IF(OR(C587="",D587=""),"", D587-C587)</f>
        <v/>
      </c>
      <c r="K587" s="17" t="n"/>
    </row>
    <row r="588">
      <c r="A588" s="17" t="n"/>
      <c r="B588" s="17" t="n"/>
      <c r="C588" s="17" t="n"/>
      <c r="D588" s="17" t="n"/>
      <c r="E588" s="15" t="n"/>
      <c r="F588" s="15" t="n"/>
      <c r="G588" s="17" t="n"/>
      <c r="H588" s="15">
        <f>IF(OR(E588="",F588="",G588=""),"", (F588-E588)*G588)</f>
        <v/>
      </c>
      <c r="I588" s="16">
        <f>IF(OR(E588="",F588=""),"", (F588/E588)-1)</f>
        <v/>
      </c>
      <c r="J588" s="17">
        <f>IF(OR(C588="",D588=""),"", D588-C588)</f>
        <v/>
      </c>
      <c r="K588" s="17" t="n"/>
    </row>
    <row r="589">
      <c r="A589" s="17" t="n"/>
      <c r="B589" s="17" t="n"/>
      <c r="C589" s="17" t="n"/>
      <c r="D589" s="17" t="n"/>
      <c r="E589" s="15" t="n"/>
      <c r="F589" s="15" t="n"/>
      <c r="G589" s="17" t="n"/>
      <c r="H589" s="15">
        <f>IF(OR(E589="",F589="",G589=""),"", (F589-E589)*G589)</f>
        <v/>
      </c>
      <c r="I589" s="16">
        <f>IF(OR(E589="",F589=""),"", (F589/E589)-1)</f>
        <v/>
      </c>
      <c r="J589" s="17">
        <f>IF(OR(C589="",D589=""),"", D589-C589)</f>
        <v/>
      </c>
      <c r="K589" s="17" t="n"/>
    </row>
    <row r="590">
      <c r="A590" s="17" t="n"/>
      <c r="B590" s="17" t="n"/>
      <c r="C590" s="17" t="n"/>
      <c r="D590" s="17" t="n"/>
      <c r="E590" s="15" t="n"/>
      <c r="F590" s="15" t="n"/>
      <c r="G590" s="17" t="n"/>
      <c r="H590" s="15">
        <f>IF(OR(E590="",F590="",G590=""),"", (F590-E590)*G590)</f>
        <v/>
      </c>
      <c r="I590" s="16">
        <f>IF(OR(E590="",F590=""),"", (F590/E590)-1)</f>
        <v/>
      </c>
      <c r="J590" s="17">
        <f>IF(OR(C590="",D590=""),"", D590-C590)</f>
        <v/>
      </c>
      <c r="K590" s="17" t="n"/>
    </row>
    <row r="591">
      <c r="A591" s="17" t="n"/>
      <c r="B591" s="17" t="n"/>
      <c r="C591" s="17" t="n"/>
      <c r="D591" s="17" t="n"/>
      <c r="E591" s="15" t="n"/>
      <c r="F591" s="15" t="n"/>
      <c r="G591" s="17" t="n"/>
      <c r="H591" s="15">
        <f>IF(OR(E591="",F591="",G591=""),"", (F591-E591)*G591)</f>
        <v/>
      </c>
      <c r="I591" s="16">
        <f>IF(OR(E591="",F591=""),"", (F591/E591)-1)</f>
        <v/>
      </c>
      <c r="J591" s="17">
        <f>IF(OR(C591="",D591=""),"", D591-C591)</f>
        <v/>
      </c>
      <c r="K591" s="17" t="n"/>
    </row>
    <row r="592">
      <c r="A592" s="17" t="n"/>
      <c r="B592" s="17" t="n"/>
      <c r="C592" s="17" t="n"/>
      <c r="D592" s="17" t="n"/>
      <c r="E592" s="15" t="n"/>
      <c r="F592" s="15" t="n"/>
      <c r="G592" s="17" t="n"/>
      <c r="H592" s="15">
        <f>IF(OR(E592="",F592="",G592=""),"", (F592-E592)*G592)</f>
        <v/>
      </c>
      <c r="I592" s="16">
        <f>IF(OR(E592="",F592=""),"", (F592/E592)-1)</f>
        <v/>
      </c>
      <c r="J592" s="17">
        <f>IF(OR(C592="",D592=""),"", D592-C592)</f>
        <v/>
      </c>
      <c r="K592" s="17" t="n"/>
    </row>
    <row r="593">
      <c r="A593" s="17" t="n"/>
      <c r="B593" s="17" t="n"/>
      <c r="C593" s="17" t="n"/>
      <c r="D593" s="17" t="n"/>
      <c r="E593" s="15" t="n"/>
      <c r="F593" s="15" t="n"/>
      <c r="G593" s="17" t="n"/>
      <c r="H593" s="15">
        <f>IF(OR(E593="",F593="",G593=""),"", (F593-E593)*G593)</f>
        <v/>
      </c>
      <c r="I593" s="16">
        <f>IF(OR(E593="",F593=""),"", (F593/E593)-1)</f>
        <v/>
      </c>
      <c r="J593" s="17">
        <f>IF(OR(C593="",D593=""),"", D593-C593)</f>
        <v/>
      </c>
      <c r="K593" s="17" t="n"/>
    </row>
    <row r="594">
      <c r="A594" s="17" t="n"/>
      <c r="B594" s="17" t="n"/>
      <c r="C594" s="17" t="n"/>
      <c r="D594" s="17" t="n"/>
      <c r="E594" s="15" t="n"/>
      <c r="F594" s="15" t="n"/>
      <c r="G594" s="17" t="n"/>
      <c r="H594" s="15">
        <f>IF(OR(E594="",F594="",G594=""),"", (F594-E594)*G594)</f>
        <v/>
      </c>
      <c r="I594" s="16">
        <f>IF(OR(E594="",F594=""),"", (F594/E594)-1)</f>
        <v/>
      </c>
      <c r="J594" s="17">
        <f>IF(OR(C594="",D594=""),"", D594-C594)</f>
        <v/>
      </c>
      <c r="K594" s="17" t="n"/>
    </row>
    <row r="595">
      <c r="A595" s="17" t="n"/>
      <c r="B595" s="17" t="n"/>
      <c r="C595" s="17" t="n"/>
      <c r="D595" s="17" t="n"/>
      <c r="E595" s="15" t="n"/>
      <c r="F595" s="15" t="n"/>
      <c r="G595" s="17" t="n"/>
      <c r="H595" s="15">
        <f>IF(OR(E595="",F595="",G595=""),"", (F595-E595)*G595)</f>
        <v/>
      </c>
      <c r="I595" s="16">
        <f>IF(OR(E595="",F595=""),"", (F595/E595)-1)</f>
        <v/>
      </c>
      <c r="J595" s="17">
        <f>IF(OR(C595="",D595=""),"", D595-C595)</f>
        <v/>
      </c>
      <c r="K595" s="17" t="n"/>
    </row>
    <row r="596">
      <c r="A596" s="17" t="n"/>
      <c r="B596" s="17" t="n"/>
      <c r="C596" s="17" t="n"/>
      <c r="D596" s="17" t="n"/>
      <c r="E596" s="15" t="n"/>
      <c r="F596" s="15" t="n"/>
      <c r="G596" s="17" t="n"/>
      <c r="H596" s="15">
        <f>IF(OR(E596="",F596="",G596=""),"", (F596-E596)*G596)</f>
        <v/>
      </c>
      <c r="I596" s="16">
        <f>IF(OR(E596="",F596=""),"", (F596/E596)-1)</f>
        <v/>
      </c>
      <c r="J596" s="17">
        <f>IF(OR(C596="",D596=""),"", D596-C596)</f>
        <v/>
      </c>
      <c r="K596" s="17" t="n"/>
    </row>
    <row r="597">
      <c r="A597" s="17" t="n"/>
      <c r="B597" s="17" t="n"/>
      <c r="C597" s="17" t="n"/>
      <c r="D597" s="17" t="n"/>
      <c r="E597" s="15" t="n"/>
      <c r="F597" s="15" t="n"/>
      <c r="G597" s="17" t="n"/>
      <c r="H597" s="15">
        <f>IF(OR(E597="",F597="",G597=""),"", (F597-E597)*G597)</f>
        <v/>
      </c>
      <c r="I597" s="16">
        <f>IF(OR(E597="",F597=""),"", (F597/E597)-1)</f>
        <v/>
      </c>
      <c r="J597" s="17">
        <f>IF(OR(C597="",D597=""),"", D597-C597)</f>
        <v/>
      </c>
      <c r="K597" s="17" t="n"/>
    </row>
    <row r="598">
      <c r="A598" s="17" t="n"/>
      <c r="B598" s="17" t="n"/>
      <c r="C598" s="17" t="n"/>
      <c r="D598" s="17" t="n"/>
      <c r="E598" s="15" t="n"/>
      <c r="F598" s="15" t="n"/>
      <c r="G598" s="17" t="n"/>
      <c r="H598" s="15">
        <f>IF(OR(E598="",F598="",G598=""),"", (F598-E598)*G598)</f>
        <v/>
      </c>
      <c r="I598" s="16">
        <f>IF(OR(E598="",F598=""),"", (F598/E598)-1)</f>
        <v/>
      </c>
      <c r="J598" s="17">
        <f>IF(OR(C598="",D598=""),"", D598-C598)</f>
        <v/>
      </c>
      <c r="K598" s="17" t="n"/>
    </row>
    <row r="599">
      <c r="A599" s="17" t="n"/>
      <c r="B599" s="17" t="n"/>
      <c r="C599" s="17" t="n"/>
      <c r="D599" s="17" t="n"/>
      <c r="E599" s="15" t="n"/>
      <c r="F599" s="15" t="n"/>
      <c r="G599" s="17" t="n"/>
      <c r="H599" s="15">
        <f>IF(OR(E599="",F599="",G599=""),"", (F599-E599)*G599)</f>
        <v/>
      </c>
      <c r="I599" s="16">
        <f>IF(OR(E599="",F599=""),"", (F599/E599)-1)</f>
        <v/>
      </c>
      <c r="J599" s="17">
        <f>IF(OR(C599="",D599=""),"", D599-C599)</f>
        <v/>
      </c>
      <c r="K599" s="17" t="n"/>
    </row>
    <row r="600">
      <c r="A600" s="17" t="n"/>
      <c r="B600" s="17" t="n"/>
      <c r="C600" s="17" t="n"/>
      <c r="D600" s="17" t="n"/>
      <c r="E600" s="15" t="n"/>
      <c r="F600" s="15" t="n"/>
      <c r="G600" s="17" t="n"/>
      <c r="H600" s="15">
        <f>IF(OR(E600="",F600="",G600=""),"", (F600-E600)*G600)</f>
        <v/>
      </c>
      <c r="I600" s="16">
        <f>IF(OR(E600="",F600=""),"", (F600/E600)-1)</f>
        <v/>
      </c>
      <c r="J600" s="17">
        <f>IF(OR(C600="",D600=""),"", D600-C600)</f>
        <v/>
      </c>
      <c r="K600" s="17" t="n"/>
    </row>
    <row r="601">
      <c r="A601" s="17" t="n"/>
      <c r="B601" s="17" t="n"/>
      <c r="C601" s="17" t="n"/>
      <c r="D601" s="17" t="n"/>
      <c r="E601" s="15" t="n"/>
      <c r="F601" s="15" t="n"/>
      <c r="G601" s="17" t="n"/>
      <c r="H601" s="15">
        <f>IF(OR(E601="",F601="",G601=""),"", (F601-E601)*G601)</f>
        <v/>
      </c>
      <c r="I601" s="16">
        <f>IF(OR(E601="",F601=""),"", (F601/E601)-1)</f>
        <v/>
      </c>
      <c r="J601" s="17">
        <f>IF(OR(C601="",D601=""),"", D601-C601)</f>
        <v/>
      </c>
      <c r="K601" s="17" t="n"/>
    </row>
    <row r="602">
      <c r="A602" s="17" t="n"/>
      <c r="B602" s="17" t="n"/>
      <c r="C602" s="17" t="n"/>
      <c r="D602" s="17" t="n"/>
      <c r="E602" s="15" t="n"/>
      <c r="F602" s="15" t="n"/>
      <c r="G602" s="17" t="n"/>
      <c r="H602" s="15">
        <f>IF(OR(E602="",F602="",G602=""),"", (F602-E602)*G602)</f>
        <v/>
      </c>
      <c r="I602" s="16">
        <f>IF(OR(E602="",F602=""),"", (F602/E602)-1)</f>
        <v/>
      </c>
      <c r="J602" s="17">
        <f>IF(OR(C602="",D602=""),"", D602-C602)</f>
        <v/>
      </c>
      <c r="K602" s="17" t="n"/>
    </row>
    <row r="603">
      <c r="A603" s="17" t="n"/>
      <c r="B603" s="17" t="n"/>
      <c r="C603" s="17" t="n"/>
      <c r="D603" s="17" t="n"/>
      <c r="E603" s="15" t="n"/>
      <c r="F603" s="15" t="n"/>
      <c r="G603" s="17" t="n"/>
      <c r="H603" s="15">
        <f>IF(OR(E603="",F603="",G603=""),"", (F603-E603)*G603)</f>
        <v/>
      </c>
      <c r="I603" s="16">
        <f>IF(OR(E603="",F603=""),"", (F603/E603)-1)</f>
        <v/>
      </c>
      <c r="J603" s="17">
        <f>IF(OR(C603="",D603=""),"", D603-C603)</f>
        <v/>
      </c>
      <c r="K603" s="17" t="n"/>
    </row>
    <row r="604">
      <c r="A604" s="17" t="n"/>
      <c r="B604" s="17" t="n"/>
      <c r="C604" s="17" t="n"/>
      <c r="D604" s="17" t="n"/>
      <c r="E604" s="15" t="n"/>
      <c r="F604" s="15" t="n"/>
      <c r="G604" s="17" t="n"/>
      <c r="H604" s="15">
        <f>IF(OR(E604="",F604="",G604=""),"", (F604-E604)*G604)</f>
        <v/>
      </c>
      <c r="I604" s="16">
        <f>IF(OR(E604="",F604=""),"", (F604/E604)-1)</f>
        <v/>
      </c>
      <c r="J604" s="17">
        <f>IF(OR(C604="",D604=""),"", D604-C604)</f>
        <v/>
      </c>
      <c r="K604" s="17" t="n"/>
    </row>
    <row r="605">
      <c r="A605" s="17" t="n"/>
      <c r="B605" s="17" t="n"/>
      <c r="C605" s="17" t="n"/>
      <c r="D605" s="17" t="n"/>
      <c r="E605" s="15" t="n"/>
      <c r="F605" s="15" t="n"/>
      <c r="G605" s="17" t="n"/>
      <c r="H605" s="15">
        <f>IF(OR(E605="",F605="",G605=""),"", (F605-E605)*G605)</f>
        <v/>
      </c>
      <c r="I605" s="16">
        <f>IF(OR(E605="",F605=""),"", (F605/E605)-1)</f>
        <v/>
      </c>
      <c r="J605" s="17">
        <f>IF(OR(C605="",D605=""),"", D605-C605)</f>
        <v/>
      </c>
      <c r="K605" s="17" t="n"/>
    </row>
    <row r="606">
      <c r="A606" s="17" t="n"/>
      <c r="B606" s="17" t="n"/>
      <c r="C606" s="17" t="n"/>
      <c r="D606" s="17" t="n"/>
      <c r="E606" s="15" t="n"/>
      <c r="F606" s="15" t="n"/>
      <c r="G606" s="17" t="n"/>
      <c r="H606" s="15">
        <f>IF(OR(E606="",F606="",G606=""),"", (F606-E606)*G606)</f>
        <v/>
      </c>
      <c r="I606" s="16">
        <f>IF(OR(E606="",F606=""),"", (F606/E606)-1)</f>
        <v/>
      </c>
      <c r="J606" s="17">
        <f>IF(OR(C606="",D606=""),"", D606-C606)</f>
        <v/>
      </c>
      <c r="K606" s="17" t="n"/>
    </row>
    <row r="607">
      <c r="A607" s="17" t="n"/>
      <c r="B607" s="17" t="n"/>
      <c r="C607" s="17" t="n"/>
      <c r="D607" s="17" t="n"/>
      <c r="E607" s="15" t="n"/>
      <c r="F607" s="15" t="n"/>
      <c r="G607" s="17" t="n"/>
      <c r="H607" s="15">
        <f>IF(OR(E607="",F607="",G607=""),"", (F607-E607)*G607)</f>
        <v/>
      </c>
      <c r="I607" s="16">
        <f>IF(OR(E607="",F607=""),"", (F607/E607)-1)</f>
        <v/>
      </c>
      <c r="J607" s="17">
        <f>IF(OR(C607="",D607=""),"", D607-C607)</f>
        <v/>
      </c>
      <c r="K607" s="17" t="n"/>
    </row>
    <row r="608">
      <c r="A608" s="17" t="n"/>
      <c r="B608" s="17" t="n"/>
      <c r="C608" s="17" t="n"/>
      <c r="D608" s="17" t="n"/>
      <c r="E608" s="15" t="n"/>
      <c r="F608" s="15" t="n"/>
      <c r="G608" s="17" t="n"/>
      <c r="H608" s="15">
        <f>IF(OR(E608="",F608="",G608=""),"", (F608-E608)*G608)</f>
        <v/>
      </c>
      <c r="I608" s="16">
        <f>IF(OR(E608="",F608=""),"", (F608/E608)-1)</f>
        <v/>
      </c>
      <c r="J608" s="17">
        <f>IF(OR(C608="",D608=""),"", D608-C608)</f>
        <v/>
      </c>
      <c r="K608" s="17" t="n"/>
    </row>
    <row r="609">
      <c r="A609" s="17" t="n"/>
      <c r="B609" s="17" t="n"/>
      <c r="C609" s="17" t="n"/>
      <c r="D609" s="17" t="n"/>
      <c r="E609" s="15" t="n"/>
      <c r="F609" s="15" t="n"/>
      <c r="G609" s="17" t="n"/>
      <c r="H609" s="15">
        <f>IF(OR(E609="",F609="",G609=""),"", (F609-E609)*G609)</f>
        <v/>
      </c>
      <c r="I609" s="16">
        <f>IF(OR(E609="",F609=""),"", (F609/E609)-1)</f>
        <v/>
      </c>
      <c r="J609" s="17">
        <f>IF(OR(C609="",D609=""),"", D609-C609)</f>
        <v/>
      </c>
      <c r="K609" s="17" t="n"/>
    </row>
    <row r="610">
      <c r="A610" s="17" t="n"/>
      <c r="B610" s="17" t="n"/>
      <c r="C610" s="17" t="n"/>
      <c r="D610" s="17" t="n"/>
      <c r="E610" s="15" t="n"/>
      <c r="F610" s="15" t="n"/>
      <c r="G610" s="17" t="n"/>
      <c r="H610" s="15">
        <f>IF(OR(E610="",F610="",G610=""),"", (F610-E610)*G610)</f>
        <v/>
      </c>
      <c r="I610" s="16">
        <f>IF(OR(E610="",F610=""),"", (F610/E610)-1)</f>
        <v/>
      </c>
      <c r="J610" s="17">
        <f>IF(OR(C610="",D610=""),"", D610-C610)</f>
        <v/>
      </c>
      <c r="K610" s="17" t="n"/>
    </row>
    <row r="611">
      <c r="A611" s="17" t="n"/>
      <c r="B611" s="17" t="n"/>
      <c r="C611" s="17" t="n"/>
      <c r="D611" s="17" t="n"/>
      <c r="E611" s="15" t="n"/>
      <c r="F611" s="15" t="n"/>
      <c r="G611" s="17" t="n"/>
      <c r="H611" s="15">
        <f>IF(OR(E611="",F611="",G611=""),"", (F611-E611)*G611)</f>
        <v/>
      </c>
      <c r="I611" s="16">
        <f>IF(OR(E611="",F611=""),"", (F611/E611)-1)</f>
        <v/>
      </c>
      <c r="J611" s="17">
        <f>IF(OR(C611="",D611=""),"", D611-C611)</f>
        <v/>
      </c>
      <c r="K611" s="17" t="n"/>
    </row>
    <row r="612">
      <c r="A612" s="17" t="n"/>
      <c r="B612" s="17" t="n"/>
      <c r="C612" s="17" t="n"/>
      <c r="D612" s="17" t="n"/>
      <c r="E612" s="15" t="n"/>
      <c r="F612" s="15" t="n"/>
      <c r="G612" s="17" t="n"/>
      <c r="H612" s="15">
        <f>IF(OR(E612="",F612="",G612=""),"", (F612-E612)*G612)</f>
        <v/>
      </c>
      <c r="I612" s="16">
        <f>IF(OR(E612="",F612=""),"", (F612/E612)-1)</f>
        <v/>
      </c>
      <c r="J612" s="17">
        <f>IF(OR(C612="",D612=""),"", D612-C612)</f>
        <v/>
      </c>
      <c r="K612" s="17" t="n"/>
    </row>
    <row r="613">
      <c r="A613" s="17" t="n"/>
      <c r="B613" s="17" t="n"/>
      <c r="C613" s="17" t="n"/>
      <c r="D613" s="17" t="n"/>
      <c r="E613" s="15" t="n"/>
      <c r="F613" s="15" t="n"/>
      <c r="G613" s="17" t="n"/>
      <c r="H613" s="15">
        <f>IF(OR(E613="",F613="",G613=""),"", (F613-E613)*G613)</f>
        <v/>
      </c>
      <c r="I613" s="16">
        <f>IF(OR(E613="",F613=""),"", (F613/E613)-1)</f>
        <v/>
      </c>
      <c r="J613" s="17">
        <f>IF(OR(C613="",D613=""),"", D613-C613)</f>
        <v/>
      </c>
      <c r="K613" s="17" t="n"/>
    </row>
    <row r="614">
      <c r="A614" s="17" t="n"/>
      <c r="B614" s="17" t="n"/>
      <c r="C614" s="17" t="n"/>
      <c r="D614" s="17" t="n"/>
      <c r="E614" s="15" t="n"/>
      <c r="F614" s="15" t="n"/>
      <c r="G614" s="17" t="n"/>
      <c r="H614" s="15">
        <f>IF(OR(E614="",F614="",G614=""),"", (F614-E614)*G614)</f>
        <v/>
      </c>
      <c r="I614" s="16">
        <f>IF(OR(E614="",F614=""),"", (F614/E614)-1)</f>
        <v/>
      </c>
      <c r="J614" s="17">
        <f>IF(OR(C614="",D614=""),"", D614-C614)</f>
        <v/>
      </c>
      <c r="K614" s="17" t="n"/>
    </row>
    <row r="615">
      <c r="A615" s="17" t="n"/>
      <c r="B615" s="17" t="n"/>
      <c r="C615" s="17" t="n"/>
      <c r="D615" s="17" t="n"/>
      <c r="E615" s="15" t="n"/>
      <c r="F615" s="15" t="n"/>
      <c r="G615" s="17" t="n"/>
      <c r="H615" s="15">
        <f>IF(OR(E615="",F615="",G615=""),"", (F615-E615)*G615)</f>
        <v/>
      </c>
      <c r="I615" s="16">
        <f>IF(OR(E615="",F615=""),"", (F615/E615)-1)</f>
        <v/>
      </c>
      <c r="J615" s="17">
        <f>IF(OR(C615="",D615=""),"", D615-C615)</f>
        <v/>
      </c>
      <c r="K615" s="17" t="n"/>
    </row>
    <row r="616">
      <c r="A616" s="17" t="n"/>
      <c r="B616" s="17" t="n"/>
      <c r="C616" s="17" t="n"/>
      <c r="D616" s="17" t="n"/>
      <c r="E616" s="15" t="n"/>
      <c r="F616" s="15" t="n"/>
      <c r="G616" s="17" t="n"/>
      <c r="H616" s="15">
        <f>IF(OR(E616="",F616="",G616=""),"", (F616-E616)*G616)</f>
        <v/>
      </c>
      <c r="I616" s="16">
        <f>IF(OR(E616="",F616=""),"", (F616/E616)-1)</f>
        <v/>
      </c>
      <c r="J616" s="17">
        <f>IF(OR(C616="",D616=""),"", D616-C616)</f>
        <v/>
      </c>
      <c r="K616" s="17" t="n"/>
    </row>
    <row r="617">
      <c r="A617" s="17" t="n"/>
      <c r="B617" s="17" t="n"/>
      <c r="C617" s="17" t="n"/>
      <c r="D617" s="17" t="n"/>
      <c r="E617" s="15" t="n"/>
      <c r="F617" s="15" t="n"/>
      <c r="G617" s="17" t="n"/>
      <c r="H617" s="15">
        <f>IF(OR(E617="",F617="",G617=""),"", (F617-E617)*G617)</f>
        <v/>
      </c>
      <c r="I617" s="16">
        <f>IF(OR(E617="",F617=""),"", (F617/E617)-1)</f>
        <v/>
      </c>
      <c r="J617" s="17">
        <f>IF(OR(C617="",D617=""),"", D617-C617)</f>
        <v/>
      </c>
      <c r="K617" s="17" t="n"/>
    </row>
    <row r="618">
      <c r="A618" s="17" t="n"/>
      <c r="B618" s="17" t="n"/>
      <c r="C618" s="17" t="n"/>
      <c r="D618" s="17" t="n"/>
      <c r="E618" s="15" t="n"/>
      <c r="F618" s="15" t="n"/>
      <c r="G618" s="17" t="n"/>
      <c r="H618" s="15">
        <f>IF(OR(E618="",F618="",G618=""),"", (F618-E618)*G618)</f>
        <v/>
      </c>
      <c r="I618" s="16">
        <f>IF(OR(E618="",F618=""),"", (F618/E618)-1)</f>
        <v/>
      </c>
      <c r="J618" s="17">
        <f>IF(OR(C618="",D618=""),"", D618-C618)</f>
        <v/>
      </c>
      <c r="K618" s="17" t="n"/>
    </row>
    <row r="619">
      <c r="A619" s="17" t="n"/>
      <c r="B619" s="17" t="n"/>
      <c r="C619" s="17" t="n"/>
      <c r="D619" s="17" t="n"/>
      <c r="E619" s="15" t="n"/>
      <c r="F619" s="15" t="n"/>
      <c r="G619" s="17" t="n"/>
      <c r="H619" s="15">
        <f>IF(OR(E619="",F619="",G619=""),"", (F619-E619)*G619)</f>
        <v/>
      </c>
      <c r="I619" s="16">
        <f>IF(OR(E619="",F619=""),"", (F619/E619)-1)</f>
        <v/>
      </c>
      <c r="J619" s="17">
        <f>IF(OR(C619="",D619=""),"", D619-C619)</f>
        <v/>
      </c>
      <c r="K619" s="17" t="n"/>
    </row>
    <row r="620">
      <c r="A620" s="17" t="n"/>
      <c r="B620" s="17" t="n"/>
      <c r="C620" s="17" t="n"/>
      <c r="D620" s="17" t="n"/>
      <c r="E620" s="15" t="n"/>
      <c r="F620" s="15" t="n"/>
      <c r="G620" s="17" t="n"/>
      <c r="H620" s="15">
        <f>IF(OR(E620="",F620="",G620=""),"", (F620-E620)*G620)</f>
        <v/>
      </c>
      <c r="I620" s="16">
        <f>IF(OR(E620="",F620=""),"", (F620/E620)-1)</f>
        <v/>
      </c>
      <c r="J620" s="17">
        <f>IF(OR(C620="",D620=""),"", D620-C620)</f>
        <v/>
      </c>
      <c r="K620" s="17" t="n"/>
    </row>
    <row r="621">
      <c r="A621" s="17" t="n"/>
      <c r="B621" s="17" t="n"/>
      <c r="C621" s="17" t="n"/>
      <c r="D621" s="17" t="n"/>
      <c r="E621" s="15" t="n"/>
      <c r="F621" s="15" t="n"/>
      <c r="G621" s="17" t="n"/>
      <c r="H621" s="15">
        <f>IF(OR(E621="",F621="",G621=""),"", (F621-E621)*G621)</f>
        <v/>
      </c>
      <c r="I621" s="16">
        <f>IF(OR(E621="",F621=""),"", (F621/E621)-1)</f>
        <v/>
      </c>
      <c r="J621" s="17">
        <f>IF(OR(C621="",D621=""),"", D621-C621)</f>
        <v/>
      </c>
      <c r="K621" s="17" t="n"/>
    </row>
    <row r="622">
      <c r="A622" s="17" t="n"/>
      <c r="B622" s="17" t="n"/>
      <c r="C622" s="17" t="n"/>
      <c r="D622" s="17" t="n"/>
      <c r="E622" s="15" t="n"/>
      <c r="F622" s="15" t="n"/>
      <c r="G622" s="17" t="n"/>
      <c r="H622" s="15">
        <f>IF(OR(E622="",F622="",G622=""),"", (F622-E622)*G622)</f>
        <v/>
      </c>
      <c r="I622" s="16">
        <f>IF(OR(E622="",F622=""),"", (F622/E622)-1)</f>
        <v/>
      </c>
      <c r="J622" s="17">
        <f>IF(OR(C622="",D622=""),"", D622-C622)</f>
        <v/>
      </c>
      <c r="K622" s="17" t="n"/>
    </row>
    <row r="623">
      <c r="A623" s="17" t="n"/>
      <c r="B623" s="17" t="n"/>
      <c r="C623" s="17" t="n"/>
      <c r="D623" s="17" t="n"/>
      <c r="E623" s="15" t="n"/>
      <c r="F623" s="15" t="n"/>
      <c r="G623" s="17" t="n"/>
      <c r="H623" s="15">
        <f>IF(OR(E623="",F623="",G623=""),"", (F623-E623)*G623)</f>
        <v/>
      </c>
      <c r="I623" s="16">
        <f>IF(OR(E623="",F623=""),"", (F623/E623)-1)</f>
        <v/>
      </c>
      <c r="J623" s="17">
        <f>IF(OR(C623="",D623=""),"", D623-C623)</f>
        <v/>
      </c>
      <c r="K623" s="17" t="n"/>
    </row>
    <row r="624">
      <c r="A624" s="17" t="n"/>
      <c r="B624" s="17" t="n"/>
      <c r="C624" s="17" t="n"/>
      <c r="D624" s="17" t="n"/>
      <c r="E624" s="15" t="n"/>
      <c r="F624" s="15" t="n"/>
      <c r="G624" s="17" t="n"/>
      <c r="H624" s="15">
        <f>IF(OR(E624="",F624="",G624=""),"", (F624-E624)*G624)</f>
        <v/>
      </c>
      <c r="I624" s="16">
        <f>IF(OR(E624="",F624=""),"", (F624/E624)-1)</f>
        <v/>
      </c>
      <c r="J624" s="17">
        <f>IF(OR(C624="",D624=""),"", D624-C624)</f>
        <v/>
      </c>
      <c r="K624" s="17" t="n"/>
    </row>
    <row r="625">
      <c r="A625" s="17" t="n"/>
      <c r="B625" s="17" t="n"/>
      <c r="C625" s="17" t="n"/>
      <c r="D625" s="17" t="n"/>
      <c r="E625" s="15" t="n"/>
      <c r="F625" s="15" t="n"/>
      <c r="G625" s="17" t="n"/>
      <c r="H625" s="15">
        <f>IF(OR(E625="",F625="",G625=""),"", (F625-E625)*G625)</f>
        <v/>
      </c>
      <c r="I625" s="16">
        <f>IF(OR(E625="",F625=""),"", (F625/E625)-1)</f>
        <v/>
      </c>
      <c r="J625" s="17">
        <f>IF(OR(C625="",D625=""),"", D625-C625)</f>
        <v/>
      </c>
      <c r="K625" s="17" t="n"/>
    </row>
    <row r="626">
      <c r="A626" s="17" t="n"/>
      <c r="B626" s="17" t="n"/>
      <c r="C626" s="17" t="n"/>
      <c r="D626" s="17" t="n"/>
      <c r="E626" s="15" t="n"/>
      <c r="F626" s="15" t="n"/>
      <c r="G626" s="17" t="n"/>
      <c r="H626" s="15">
        <f>IF(OR(E626="",F626="",G626=""),"", (F626-E626)*G626)</f>
        <v/>
      </c>
      <c r="I626" s="16">
        <f>IF(OR(E626="",F626=""),"", (F626/E626)-1)</f>
        <v/>
      </c>
      <c r="J626" s="17">
        <f>IF(OR(C626="",D626=""),"", D626-C626)</f>
        <v/>
      </c>
      <c r="K626" s="17" t="n"/>
    </row>
    <row r="627">
      <c r="A627" s="17" t="n"/>
      <c r="B627" s="17" t="n"/>
      <c r="C627" s="17" t="n"/>
      <c r="D627" s="17" t="n"/>
      <c r="E627" s="15" t="n"/>
      <c r="F627" s="15" t="n"/>
      <c r="G627" s="17" t="n"/>
      <c r="H627" s="15">
        <f>IF(OR(E627="",F627="",G627=""),"", (F627-E627)*G627)</f>
        <v/>
      </c>
      <c r="I627" s="16">
        <f>IF(OR(E627="",F627=""),"", (F627/E627)-1)</f>
        <v/>
      </c>
      <c r="J627" s="17">
        <f>IF(OR(C627="",D627=""),"", D627-C627)</f>
        <v/>
      </c>
      <c r="K627" s="17" t="n"/>
    </row>
    <row r="628">
      <c r="A628" s="17" t="n"/>
      <c r="B628" s="17" t="n"/>
      <c r="C628" s="17" t="n"/>
      <c r="D628" s="17" t="n"/>
      <c r="E628" s="15" t="n"/>
      <c r="F628" s="15" t="n"/>
      <c r="G628" s="17" t="n"/>
      <c r="H628" s="15">
        <f>IF(OR(E628="",F628="",G628=""),"", (F628-E628)*G628)</f>
        <v/>
      </c>
      <c r="I628" s="16">
        <f>IF(OR(E628="",F628=""),"", (F628/E628)-1)</f>
        <v/>
      </c>
      <c r="J628" s="17">
        <f>IF(OR(C628="",D628=""),"", D628-C628)</f>
        <v/>
      </c>
      <c r="K628" s="17" t="n"/>
    </row>
    <row r="629">
      <c r="A629" s="17" t="n"/>
      <c r="B629" s="17" t="n"/>
      <c r="C629" s="17" t="n"/>
      <c r="D629" s="17" t="n"/>
      <c r="E629" s="15" t="n"/>
      <c r="F629" s="15" t="n"/>
      <c r="G629" s="17" t="n"/>
      <c r="H629" s="15">
        <f>IF(OR(E629="",F629="",G629=""),"", (F629-E629)*G629)</f>
        <v/>
      </c>
      <c r="I629" s="16">
        <f>IF(OR(E629="",F629=""),"", (F629/E629)-1)</f>
        <v/>
      </c>
      <c r="J629" s="17">
        <f>IF(OR(C629="",D629=""),"", D629-C629)</f>
        <v/>
      </c>
      <c r="K629" s="17" t="n"/>
    </row>
    <row r="630">
      <c r="A630" s="17" t="n"/>
      <c r="B630" s="17" t="n"/>
      <c r="C630" s="17" t="n"/>
      <c r="D630" s="17" t="n"/>
      <c r="E630" s="15" t="n"/>
      <c r="F630" s="15" t="n"/>
      <c r="G630" s="17" t="n"/>
      <c r="H630" s="15">
        <f>IF(OR(E630="",F630="",G630=""),"", (F630-E630)*G630)</f>
        <v/>
      </c>
      <c r="I630" s="16">
        <f>IF(OR(E630="",F630=""),"", (F630/E630)-1)</f>
        <v/>
      </c>
      <c r="J630" s="17">
        <f>IF(OR(C630="",D630=""),"", D630-C630)</f>
        <v/>
      </c>
      <c r="K630" s="17" t="n"/>
    </row>
    <row r="631">
      <c r="A631" s="17" t="n"/>
      <c r="B631" s="17" t="n"/>
      <c r="C631" s="17" t="n"/>
      <c r="D631" s="17" t="n"/>
      <c r="E631" s="15" t="n"/>
      <c r="F631" s="15" t="n"/>
      <c r="G631" s="17" t="n"/>
      <c r="H631" s="15">
        <f>IF(OR(E631="",F631="",G631=""),"", (F631-E631)*G631)</f>
        <v/>
      </c>
      <c r="I631" s="16">
        <f>IF(OR(E631="",F631=""),"", (F631/E631)-1)</f>
        <v/>
      </c>
      <c r="J631" s="17">
        <f>IF(OR(C631="",D631=""),"", D631-C631)</f>
        <v/>
      </c>
      <c r="K631" s="17" t="n"/>
    </row>
    <row r="632">
      <c r="A632" s="17" t="n"/>
      <c r="B632" s="17" t="n"/>
      <c r="C632" s="17" t="n"/>
      <c r="D632" s="17" t="n"/>
      <c r="E632" s="15" t="n"/>
      <c r="F632" s="15" t="n"/>
      <c r="G632" s="17" t="n"/>
      <c r="H632" s="15">
        <f>IF(OR(E632="",F632="",G632=""),"", (F632-E632)*G632)</f>
        <v/>
      </c>
      <c r="I632" s="16">
        <f>IF(OR(E632="",F632=""),"", (F632/E632)-1)</f>
        <v/>
      </c>
      <c r="J632" s="17">
        <f>IF(OR(C632="",D632=""),"", D632-C632)</f>
        <v/>
      </c>
      <c r="K632" s="17" t="n"/>
    </row>
    <row r="633">
      <c r="A633" s="17" t="n"/>
      <c r="B633" s="17" t="n"/>
      <c r="C633" s="17" t="n"/>
      <c r="D633" s="17" t="n"/>
      <c r="E633" s="15" t="n"/>
      <c r="F633" s="15" t="n"/>
      <c r="G633" s="17" t="n"/>
      <c r="H633" s="15">
        <f>IF(OR(E633="",F633="",G633=""),"", (F633-E633)*G633)</f>
        <v/>
      </c>
      <c r="I633" s="16">
        <f>IF(OR(E633="",F633=""),"", (F633/E633)-1)</f>
        <v/>
      </c>
      <c r="J633" s="17">
        <f>IF(OR(C633="",D633=""),"", D633-C633)</f>
        <v/>
      </c>
      <c r="K633" s="17" t="n"/>
    </row>
    <row r="634">
      <c r="A634" s="17" t="n"/>
      <c r="B634" s="17" t="n"/>
      <c r="C634" s="17" t="n"/>
      <c r="D634" s="17" t="n"/>
      <c r="E634" s="15" t="n"/>
      <c r="F634" s="15" t="n"/>
      <c r="G634" s="17" t="n"/>
      <c r="H634" s="15">
        <f>IF(OR(E634="",F634="",G634=""),"", (F634-E634)*G634)</f>
        <v/>
      </c>
      <c r="I634" s="16">
        <f>IF(OR(E634="",F634=""),"", (F634/E634)-1)</f>
        <v/>
      </c>
      <c r="J634" s="17">
        <f>IF(OR(C634="",D634=""),"", D634-C634)</f>
        <v/>
      </c>
      <c r="K634" s="17" t="n"/>
    </row>
    <row r="635">
      <c r="A635" s="17" t="n"/>
      <c r="B635" s="17" t="n"/>
      <c r="C635" s="17" t="n"/>
      <c r="D635" s="17" t="n"/>
      <c r="E635" s="15" t="n"/>
      <c r="F635" s="15" t="n"/>
      <c r="G635" s="17" t="n"/>
      <c r="H635" s="15">
        <f>IF(OR(E635="",F635="",G635=""),"", (F635-E635)*G635)</f>
        <v/>
      </c>
      <c r="I635" s="16">
        <f>IF(OR(E635="",F635=""),"", (F635/E635)-1)</f>
        <v/>
      </c>
      <c r="J635" s="17">
        <f>IF(OR(C635="",D635=""),"", D635-C635)</f>
        <v/>
      </c>
      <c r="K635" s="17" t="n"/>
    </row>
    <row r="636">
      <c r="A636" s="17" t="n"/>
      <c r="B636" s="17" t="n"/>
      <c r="C636" s="17" t="n"/>
      <c r="D636" s="17" t="n"/>
      <c r="E636" s="15" t="n"/>
      <c r="F636" s="15" t="n"/>
      <c r="G636" s="17" t="n"/>
      <c r="H636" s="15">
        <f>IF(OR(E636="",F636="",G636=""),"", (F636-E636)*G636)</f>
        <v/>
      </c>
      <c r="I636" s="16">
        <f>IF(OR(E636="",F636=""),"", (F636/E636)-1)</f>
        <v/>
      </c>
      <c r="J636" s="17">
        <f>IF(OR(C636="",D636=""),"", D636-C636)</f>
        <v/>
      </c>
      <c r="K636" s="17" t="n"/>
    </row>
    <row r="637">
      <c r="A637" s="17" t="n"/>
      <c r="B637" s="17" t="n"/>
      <c r="C637" s="17" t="n"/>
      <c r="D637" s="17" t="n"/>
      <c r="E637" s="15" t="n"/>
      <c r="F637" s="15" t="n"/>
      <c r="G637" s="17" t="n"/>
      <c r="H637" s="15">
        <f>IF(OR(E637="",F637="",G637=""),"", (F637-E637)*G637)</f>
        <v/>
      </c>
      <c r="I637" s="16">
        <f>IF(OR(E637="",F637=""),"", (F637/E637)-1)</f>
        <v/>
      </c>
      <c r="J637" s="17">
        <f>IF(OR(C637="",D637=""),"", D637-C637)</f>
        <v/>
      </c>
      <c r="K637" s="17" t="n"/>
    </row>
    <row r="638">
      <c r="A638" s="17" t="n"/>
      <c r="B638" s="17" t="n"/>
      <c r="C638" s="17" t="n"/>
      <c r="D638" s="17" t="n"/>
      <c r="E638" s="15" t="n"/>
      <c r="F638" s="15" t="n"/>
      <c r="G638" s="17" t="n"/>
      <c r="H638" s="15">
        <f>IF(OR(E638="",F638="",G638=""),"", (F638-E638)*G638)</f>
        <v/>
      </c>
      <c r="I638" s="16">
        <f>IF(OR(E638="",F638=""),"", (F638/E638)-1)</f>
        <v/>
      </c>
      <c r="J638" s="17">
        <f>IF(OR(C638="",D638=""),"", D638-C638)</f>
        <v/>
      </c>
      <c r="K638" s="17" t="n"/>
    </row>
    <row r="639">
      <c r="A639" s="17" t="n"/>
      <c r="B639" s="17" t="n"/>
      <c r="C639" s="17" t="n"/>
      <c r="D639" s="17" t="n"/>
      <c r="E639" s="15" t="n"/>
      <c r="F639" s="15" t="n"/>
      <c r="G639" s="17" t="n"/>
      <c r="H639" s="15">
        <f>IF(OR(E639="",F639="",G639=""),"", (F639-E639)*G639)</f>
        <v/>
      </c>
      <c r="I639" s="16">
        <f>IF(OR(E639="",F639=""),"", (F639/E639)-1)</f>
        <v/>
      </c>
      <c r="J639" s="17">
        <f>IF(OR(C639="",D639=""),"", D639-C639)</f>
        <v/>
      </c>
      <c r="K639" s="17" t="n"/>
    </row>
    <row r="640">
      <c r="A640" s="17" t="n"/>
      <c r="B640" s="17" t="n"/>
      <c r="C640" s="17" t="n"/>
      <c r="D640" s="17" t="n"/>
      <c r="E640" s="15" t="n"/>
      <c r="F640" s="15" t="n"/>
      <c r="G640" s="17" t="n"/>
      <c r="H640" s="15">
        <f>IF(OR(E640="",F640="",G640=""),"", (F640-E640)*G640)</f>
        <v/>
      </c>
      <c r="I640" s="16">
        <f>IF(OR(E640="",F640=""),"", (F640/E640)-1)</f>
        <v/>
      </c>
      <c r="J640" s="17">
        <f>IF(OR(C640="",D640=""),"", D640-C640)</f>
        <v/>
      </c>
      <c r="K640" s="17" t="n"/>
    </row>
    <row r="641">
      <c r="A641" s="17" t="n"/>
      <c r="B641" s="17" t="n"/>
      <c r="C641" s="17" t="n"/>
      <c r="D641" s="17" t="n"/>
      <c r="E641" s="15" t="n"/>
      <c r="F641" s="15" t="n"/>
      <c r="G641" s="17" t="n"/>
      <c r="H641" s="15">
        <f>IF(OR(E641="",F641="",G641=""),"", (F641-E641)*G641)</f>
        <v/>
      </c>
      <c r="I641" s="16">
        <f>IF(OR(E641="",F641=""),"", (F641/E641)-1)</f>
        <v/>
      </c>
      <c r="J641" s="17">
        <f>IF(OR(C641="",D641=""),"", D641-C641)</f>
        <v/>
      </c>
      <c r="K641" s="17" t="n"/>
    </row>
    <row r="642">
      <c r="A642" s="17" t="n"/>
      <c r="B642" s="17" t="n"/>
      <c r="C642" s="17" t="n"/>
      <c r="D642" s="17" t="n"/>
      <c r="E642" s="15" t="n"/>
      <c r="F642" s="15" t="n"/>
      <c r="G642" s="17" t="n"/>
      <c r="H642" s="15">
        <f>IF(OR(E642="",F642="",G642=""),"", (F642-E642)*G642)</f>
        <v/>
      </c>
      <c r="I642" s="16">
        <f>IF(OR(E642="",F642=""),"", (F642/E642)-1)</f>
        <v/>
      </c>
      <c r="J642" s="17">
        <f>IF(OR(C642="",D642=""),"", D642-C642)</f>
        <v/>
      </c>
      <c r="K642" s="17" t="n"/>
    </row>
    <row r="643">
      <c r="A643" s="17" t="n"/>
      <c r="B643" s="17" t="n"/>
      <c r="C643" s="17" t="n"/>
      <c r="D643" s="17" t="n"/>
      <c r="E643" s="15" t="n"/>
      <c r="F643" s="15" t="n"/>
      <c r="G643" s="17" t="n"/>
      <c r="H643" s="15">
        <f>IF(OR(E643="",F643="",G643=""),"", (F643-E643)*G643)</f>
        <v/>
      </c>
      <c r="I643" s="16">
        <f>IF(OR(E643="",F643=""),"", (F643/E643)-1)</f>
        <v/>
      </c>
      <c r="J643" s="17">
        <f>IF(OR(C643="",D643=""),"", D643-C643)</f>
        <v/>
      </c>
      <c r="K643" s="17" t="n"/>
    </row>
    <row r="644">
      <c r="A644" s="17" t="n"/>
      <c r="B644" s="17" t="n"/>
      <c r="C644" s="17" t="n"/>
      <c r="D644" s="17" t="n"/>
      <c r="E644" s="15" t="n"/>
      <c r="F644" s="15" t="n"/>
      <c r="G644" s="17" t="n"/>
      <c r="H644" s="15">
        <f>IF(OR(E644="",F644="",G644=""),"", (F644-E644)*G644)</f>
        <v/>
      </c>
      <c r="I644" s="16">
        <f>IF(OR(E644="",F644=""),"", (F644/E644)-1)</f>
        <v/>
      </c>
      <c r="J644" s="17">
        <f>IF(OR(C644="",D644=""),"", D644-C644)</f>
        <v/>
      </c>
      <c r="K644" s="17" t="n"/>
    </row>
    <row r="645">
      <c r="A645" s="17" t="n"/>
      <c r="B645" s="17" t="n"/>
      <c r="C645" s="17" t="n"/>
      <c r="D645" s="17" t="n"/>
      <c r="E645" s="15" t="n"/>
      <c r="F645" s="15" t="n"/>
      <c r="G645" s="17" t="n"/>
      <c r="H645" s="15">
        <f>IF(OR(E645="",F645="",G645=""),"", (F645-E645)*G645)</f>
        <v/>
      </c>
      <c r="I645" s="16">
        <f>IF(OR(E645="",F645=""),"", (F645/E645)-1)</f>
        <v/>
      </c>
      <c r="J645" s="17">
        <f>IF(OR(C645="",D645=""),"", D645-C645)</f>
        <v/>
      </c>
      <c r="K645" s="17" t="n"/>
    </row>
    <row r="646">
      <c r="A646" s="17" t="n"/>
      <c r="B646" s="17" t="n"/>
      <c r="C646" s="17" t="n"/>
      <c r="D646" s="17" t="n"/>
      <c r="E646" s="15" t="n"/>
      <c r="F646" s="15" t="n"/>
      <c r="G646" s="17" t="n"/>
      <c r="H646" s="15">
        <f>IF(OR(E646="",F646="",G646=""),"", (F646-E646)*G646)</f>
        <v/>
      </c>
      <c r="I646" s="16">
        <f>IF(OR(E646="",F646=""),"", (F646/E646)-1)</f>
        <v/>
      </c>
      <c r="J646" s="17">
        <f>IF(OR(C646="",D646=""),"", D646-C646)</f>
        <v/>
      </c>
      <c r="K646" s="17" t="n"/>
    </row>
    <row r="647">
      <c r="A647" s="17" t="n"/>
      <c r="B647" s="17" t="n"/>
      <c r="C647" s="17" t="n"/>
      <c r="D647" s="17" t="n"/>
      <c r="E647" s="15" t="n"/>
      <c r="F647" s="15" t="n"/>
      <c r="G647" s="17" t="n"/>
      <c r="H647" s="15">
        <f>IF(OR(E647="",F647="",G647=""),"", (F647-E647)*G647)</f>
        <v/>
      </c>
      <c r="I647" s="16">
        <f>IF(OR(E647="",F647=""),"", (F647/E647)-1)</f>
        <v/>
      </c>
      <c r="J647" s="17">
        <f>IF(OR(C647="",D647=""),"", D647-C647)</f>
        <v/>
      </c>
      <c r="K647" s="17" t="n"/>
    </row>
    <row r="648">
      <c r="A648" s="17" t="n"/>
      <c r="B648" s="17" t="n"/>
      <c r="C648" s="17" t="n"/>
      <c r="D648" s="17" t="n"/>
      <c r="E648" s="15" t="n"/>
      <c r="F648" s="15" t="n"/>
      <c r="G648" s="17" t="n"/>
      <c r="H648" s="15">
        <f>IF(OR(E648="",F648="",G648=""),"", (F648-E648)*G648)</f>
        <v/>
      </c>
      <c r="I648" s="16">
        <f>IF(OR(E648="",F648=""),"", (F648/E648)-1)</f>
        <v/>
      </c>
      <c r="J648" s="17">
        <f>IF(OR(C648="",D648=""),"", D648-C648)</f>
        <v/>
      </c>
      <c r="K648" s="17" t="n"/>
    </row>
    <row r="649">
      <c r="A649" s="17" t="n"/>
      <c r="B649" s="17" t="n"/>
      <c r="C649" s="17" t="n"/>
      <c r="D649" s="17" t="n"/>
      <c r="E649" s="15" t="n"/>
      <c r="F649" s="15" t="n"/>
      <c r="G649" s="17" t="n"/>
      <c r="H649" s="15">
        <f>IF(OR(E649="",F649="",G649=""),"", (F649-E649)*G649)</f>
        <v/>
      </c>
      <c r="I649" s="16">
        <f>IF(OR(E649="",F649=""),"", (F649/E649)-1)</f>
        <v/>
      </c>
      <c r="J649" s="17">
        <f>IF(OR(C649="",D649=""),"", D649-C649)</f>
        <v/>
      </c>
      <c r="K649" s="17" t="n"/>
    </row>
    <row r="650">
      <c r="A650" s="17" t="n"/>
      <c r="B650" s="17" t="n"/>
      <c r="C650" s="17" t="n"/>
      <c r="D650" s="17" t="n"/>
      <c r="E650" s="15" t="n"/>
      <c r="F650" s="15" t="n"/>
      <c r="G650" s="17" t="n"/>
      <c r="H650" s="15">
        <f>IF(OR(E650="",F650="",G650=""),"", (F650-E650)*G650)</f>
        <v/>
      </c>
      <c r="I650" s="16">
        <f>IF(OR(E650="",F650=""),"", (F650/E650)-1)</f>
        <v/>
      </c>
      <c r="J650" s="17">
        <f>IF(OR(C650="",D650=""),"", D650-C650)</f>
        <v/>
      </c>
      <c r="K650" s="17" t="n"/>
    </row>
    <row r="651">
      <c r="A651" s="17" t="n"/>
      <c r="B651" s="17" t="n"/>
      <c r="C651" s="17" t="n"/>
      <c r="D651" s="17" t="n"/>
      <c r="E651" s="15" t="n"/>
      <c r="F651" s="15" t="n"/>
      <c r="G651" s="17" t="n"/>
      <c r="H651" s="15">
        <f>IF(OR(E651="",F651="",G651=""),"", (F651-E651)*G651)</f>
        <v/>
      </c>
      <c r="I651" s="16">
        <f>IF(OR(E651="",F651=""),"", (F651/E651)-1)</f>
        <v/>
      </c>
      <c r="J651" s="17">
        <f>IF(OR(C651="",D651=""),"", D651-C651)</f>
        <v/>
      </c>
      <c r="K651" s="17" t="n"/>
    </row>
    <row r="652">
      <c r="A652" s="17" t="n"/>
      <c r="B652" s="17" t="n"/>
      <c r="C652" s="17" t="n"/>
      <c r="D652" s="17" t="n"/>
      <c r="E652" s="15" t="n"/>
      <c r="F652" s="15" t="n"/>
      <c r="G652" s="17" t="n"/>
      <c r="H652" s="15">
        <f>IF(OR(E652="",F652="",G652=""),"", (F652-E652)*G652)</f>
        <v/>
      </c>
      <c r="I652" s="16">
        <f>IF(OR(E652="",F652=""),"", (F652/E652)-1)</f>
        <v/>
      </c>
      <c r="J652" s="17">
        <f>IF(OR(C652="",D652=""),"", D652-C652)</f>
        <v/>
      </c>
      <c r="K652" s="17" t="n"/>
    </row>
    <row r="653">
      <c r="A653" s="17" t="n"/>
      <c r="B653" s="17" t="n"/>
      <c r="C653" s="17" t="n"/>
      <c r="D653" s="17" t="n"/>
      <c r="E653" s="15" t="n"/>
      <c r="F653" s="15" t="n"/>
      <c r="G653" s="17" t="n"/>
      <c r="H653" s="15">
        <f>IF(OR(E653="",F653="",G653=""),"", (F653-E653)*G653)</f>
        <v/>
      </c>
      <c r="I653" s="16">
        <f>IF(OR(E653="",F653=""),"", (F653/E653)-1)</f>
        <v/>
      </c>
      <c r="J653" s="17">
        <f>IF(OR(C653="",D653=""),"", D653-C653)</f>
        <v/>
      </c>
      <c r="K653" s="17" t="n"/>
    </row>
    <row r="654">
      <c r="A654" s="17" t="n"/>
      <c r="B654" s="17" t="n"/>
      <c r="C654" s="17" t="n"/>
      <c r="D654" s="17" t="n"/>
      <c r="E654" s="15" t="n"/>
      <c r="F654" s="15" t="n"/>
      <c r="G654" s="17" t="n"/>
      <c r="H654" s="15">
        <f>IF(OR(E654="",F654="",G654=""),"", (F654-E654)*G654)</f>
        <v/>
      </c>
      <c r="I654" s="16">
        <f>IF(OR(E654="",F654=""),"", (F654/E654)-1)</f>
        <v/>
      </c>
      <c r="J654" s="17">
        <f>IF(OR(C654="",D654=""),"", D654-C654)</f>
        <v/>
      </c>
      <c r="K654" s="17" t="n"/>
    </row>
    <row r="655">
      <c r="A655" s="17" t="n"/>
      <c r="B655" s="17" t="n"/>
      <c r="C655" s="17" t="n"/>
      <c r="D655" s="17" t="n"/>
      <c r="E655" s="15" t="n"/>
      <c r="F655" s="15" t="n"/>
      <c r="G655" s="17" t="n"/>
      <c r="H655" s="15">
        <f>IF(OR(E655="",F655="",G655=""),"", (F655-E655)*G655)</f>
        <v/>
      </c>
      <c r="I655" s="16">
        <f>IF(OR(E655="",F655=""),"", (F655/E655)-1)</f>
        <v/>
      </c>
      <c r="J655" s="17">
        <f>IF(OR(C655="",D655=""),"", D655-C655)</f>
        <v/>
      </c>
      <c r="K655" s="17" t="n"/>
    </row>
    <row r="656">
      <c r="A656" s="17" t="n"/>
      <c r="B656" s="17" t="n"/>
      <c r="C656" s="17" t="n"/>
      <c r="D656" s="17" t="n"/>
      <c r="E656" s="15" t="n"/>
      <c r="F656" s="15" t="n"/>
      <c r="G656" s="17" t="n"/>
      <c r="H656" s="15">
        <f>IF(OR(E656="",F656="",G656=""),"", (F656-E656)*G656)</f>
        <v/>
      </c>
      <c r="I656" s="16">
        <f>IF(OR(E656="",F656=""),"", (F656/E656)-1)</f>
        <v/>
      </c>
      <c r="J656" s="17">
        <f>IF(OR(C656="",D656=""),"", D656-C656)</f>
        <v/>
      </c>
      <c r="K656" s="17" t="n"/>
    </row>
    <row r="657">
      <c r="A657" s="17" t="n"/>
      <c r="B657" s="17" t="n"/>
      <c r="C657" s="17" t="n"/>
      <c r="D657" s="17" t="n"/>
      <c r="E657" s="15" t="n"/>
      <c r="F657" s="15" t="n"/>
      <c r="G657" s="17" t="n"/>
      <c r="H657" s="15">
        <f>IF(OR(E657="",F657="",G657=""),"", (F657-E657)*G657)</f>
        <v/>
      </c>
      <c r="I657" s="16">
        <f>IF(OR(E657="",F657=""),"", (F657/E657)-1)</f>
        <v/>
      </c>
      <c r="J657" s="17">
        <f>IF(OR(C657="",D657=""),"", D657-C657)</f>
        <v/>
      </c>
      <c r="K657" s="17" t="n"/>
    </row>
    <row r="658">
      <c r="A658" s="17" t="n"/>
      <c r="B658" s="17" t="n"/>
      <c r="C658" s="17" t="n"/>
      <c r="D658" s="17" t="n"/>
      <c r="E658" s="15" t="n"/>
      <c r="F658" s="15" t="n"/>
      <c r="G658" s="17" t="n"/>
      <c r="H658" s="15">
        <f>IF(OR(E658="",F658="",G658=""),"", (F658-E658)*G658)</f>
        <v/>
      </c>
      <c r="I658" s="16">
        <f>IF(OR(E658="",F658=""),"", (F658/E658)-1)</f>
        <v/>
      </c>
      <c r="J658" s="17">
        <f>IF(OR(C658="",D658=""),"", D658-C658)</f>
        <v/>
      </c>
      <c r="K658" s="17" t="n"/>
    </row>
    <row r="659">
      <c r="A659" s="17" t="n"/>
      <c r="B659" s="17" t="n"/>
      <c r="C659" s="17" t="n"/>
      <c r="D659" s="17" t="n"/>
      <c r="E659" s="15" t="n"/>
      <c r="F659" s="15" t="n"/>
      <c r="G659" s="17" t="n"/>
      <c r="H659" s="15">
        <f>IF(OR(E659="",F659="",G659=""),"", (F659-E659)*G659)</f>
        <v/>
      </c>
      <c r="I659" s="16">
        <f>IF(OR(E659="",F659=""),"", (F659/E659)-1)</f>
        <v/>
      </c>
      <c r="J659" s="17">
        <f>IF(OR(C659="",D659=""),"", D659-C659)</f>
        <v/>
      </c>
      <c r="K659" s="17" t="n"/>
    </row>
    <row r="660">
      <c r="A660" s="17" t="n"/>
      <c r="B660" s="17" t="n"/>
      <c r="C660" s="17" t="n"/>
      <c r="D660" s="17" t="n"/>
      <c r="E660" s="15" t="n"/>
      <c r="F660" s="15" t="n"/>
      <c r="G660" s="17" t="n"/>
      <c r="H660" s="15">
        <f>IF(OR(E660="",F660="",G660=""),"", (F660-E660)*G660)</f>
        <v/>
      </c>
      <c r="I660" s="16">
        <f>IF(OR(E660="",F660=""),"", (F660/E660)-1)</f>
        <v/>
      </c>
      <c r="J660" s="17">
        <f>IF(OR(C660="",D660=""),"", D660-C660)</f>
        <v/>
      </c>
      <c r="K660" s="17" t="n"/>
    </row>
    <row r="661">
      <c r="A661" s="17" t="n"/>
      <c r="B661" s="17" t="n"/>
      <c r="C661" s="17" t="n"/>
      <c r="D661" s="17" t="n"/>
      <c r="E661" s="15" t="n"/>
      <c r="F661" s="15" t="n"/>
      <c r="G661" s="17" t="n"/>
      <c r="H661" s="15">
        <f>IF(OR(E661="",F661="",G661=""),"", (F661-E661)*G661)</f>
        <v/>
      </c>
      <c r="I661" s="16">
        <f>IF(OR(E661="",F661=""),"", (F661/E661)-1)</f>
        <v/>
      </c>
      <c r="J661" s="17">
        <f>IF(OR(C661="",D661=""),"", D661-C661)</f>
        <v/>
      </c>
      <c r="K661" s="17" t="n"/>
    </row>
    <row r="662">
      <c r="A662" s="17" t="n"/>
      <c r="B662" s="17" t="n"/>
      <c r="C662" s="17" t="n"/>
      <c r="D662" s="17" t="n"/>
      <c r="E662" s="15" t="n"/>
      <c r="F662" s="15" t="n"/>
      <c r="G662" s="17" t="n"/>
      <c r="H662" s="15">
        <f>IF(OR(E662="",F662="",G662=""),"", (F662-E662)*G662)</f>
        <v/>
      </c>
      <c r="I662" s="16">
        <f>IF(OR(E662="",F662=""),"", (F662/E662)-1)</f>
        <v/>
      </c>
      <c r="J662" s="17">
        <f>IF(OR(C662="",D662=""),"", D662-C662)</f>
        <v/>
      </c>
      <c r="K662" s="17" t="n"/>
    </row>
    <row r="663">
      <c r="A663" s="17" t="n"/>
      <c r="B663" s="17" t="n"/>
      <c r="C663" s="17" t="n"/>
      <c r="D663" s="17" t="n"/>
      <c r="E663" s="15" t="n"/>
      <c r="F663" s="15" t="n"/>
      <c r="G663" s="17" t="n"/>
      <c r="H663" s="15">
        <f>IF(OR(E663="",F663="",G663=""),"", (F663-E663)*G663)</f>
        <v/>
      </c>
      <c r="I663" s="16">
        <f>IF(OR(E663="",F663=""),"", (F663/E663)-1)</f>
        <v/>
      </c>
      <c r="J663" s="17">
        <f>IF(OR(C663="",D663=""),"", D663-C663)</f>
        <v/>
      </c>
      <c r="K663" s="17" t="n"/>
    </row>
    <row r="664">
      <c r="A664" s="17" t="n"/>
      <c r="B664" s="17" t="n"/>
      <c r="C664" s="17" t="n"/>
      <c r="D664" s="17" t="n"/>
      <c r="E664" s="15" t="n"/>
      <c r="F664" s="15" t="n"/>
      <c r="G664" s="17" t="n"/>
      <c r="H664" s="15">
        <f>IF(OR(E664="",F664="",G664=""),"", (F664-E664)*G664)</f>
        <v/>
      </c>
      <c r="I664" s="16">
        <f>IF(OR(E664="",F664=""),"", (F664/E664)-1)</f>
        <v/>
      </c>
      <c r="J664" s="17">
        <f>IF(OR(C664="",D664=""),"", D664-C664)</f>
        <v/>
      </c>
      <c r="K664" s="17" t="n"/>
    </row>
    <row r="665">
      <c r="A665" s="17" t="n"/>
      <c r="B665" s="17" t="n"/>
      <c r="C665" s="17" t="n"/>
      <c r="D665" s="17" t="n"/>
      <c r="E665" s="15" t="n"/>
      <c r="F665" s="15" t="n"/>
      <c r="G665" s="17" t="n"/>
      <c r="H665" s="15">
        <f>IF(OR(E665="",F665="",G665=""),"", (F665-E665)*G665)</f>
        <v/>
      </c>
      <c r="I665" s="16">
        <f>IF(OR(E665="",F665=""),"", (F665/E665)-1)</f>
        <v/>
      </c>
      <c r="J665" s="17">
        <f>IF(OR(C665="",D665=""),"", D665-C665)</f>
        <v/>
      </c>
      <c r="K665" s="17" t="n"/>
    </row>
    <row r="666">
      <c r="A666" s="17" t="n"/>
      <c r="B666" s="17" t="n"/>
      <c r="C666" s="17" t="n"/>
      <c r="D666" s="17" t="n"/>
      <c r="E666" s="15" t="n"/>
      <c r="F666" s="15" t="n"/>
      <c r="G666" s="17" t="n"/>
      <c r="H666" s="15">
        <f>IF(OR(E666="",F666="",G666=""),"", (F666-E666)*G666)</f>
        <v/>
      </c>
      <c r="I666" s="16">
        <f>IF(OR(E666="",F666=""),"", (F666/E666)-1)</f>
        <v/>
      </c>
      <c r="J666" s="17">
        <f>IF(OR(C666="",D666=""),"", D666-C666)</f>
        <v/>
      </c>
      <c r="K666" s="17" t="n"/>
    </row>
    <row r="667">
      <c r="A667" s="17" t="n"/>
      <c r="B667" s="17" t="n"/>
      <c r="C667" s="17" t="n"/>
      <c r="D667" s="17" t="n"/>
      <c r="E667" s="15" t="n"/>
      <c r="F667" s="15" t="n"/>
      <c r="G667" s="17" t="n"/>
      <c r="H667" s="15">
        <f>IF(OR(E667="",F667="",G667=""),"", (F667-E667)*G667)</f>
        <v/>
      </c>
      <c r="I667" s="16">
        <f>IF(OR(E667="",F667=""),"", (F667/E667)-1)</f>
        <v/>
      </c>
      <c r="J667" s="17">
        <f>IF(OR(C667="",D667=""),"", D667-C667)</f>
        <v/>
      </c>
      <c r="K667" s="17" t="n"/>
    </row>
    <row r="668">
      <c r="A668" s="17" t="n"/>
      <c r="B668" s="17" t="n"/>
      <c r="C668" s="17" t="n"/>
      <c r="D668" s="17" t="n"/>
      <c r="E668" s="15" t="n"/>
      <c r="F668" s="15" t="n"/>
      <c r="G668" s="17" t="n"/>
      <c r="H668" s="15">
        <f>IF(OR(E668="",F668="",G668=""),"", (F668-E668)*G668)</f>
        <v/>
      </c>
      <c r="I668" s="16">
        <f>IF(OR(E668="",F668=""),"", (F668/E668)-1)</f>
        <v/>
      </c>
      <c r="J668" s="17">
        <f>IF(OR(C668="",D668=""),"", D668-C668)</f>
        <v/>
      </c>
      <c r="K668" s="17" t="n"/>
    </row>
    <row r="669">
      <c r="A669" s="17" t="n"/>
      <c r="B669" s="17" t="n"/>
      <c r="C669" s="17" t="n"/>
      <c r="D669" s="17" t="n"/>
      <c r="E669" s="15" t="n"/>
      <c r="F669" s="15" t="n"/>
      <c r="G669" s="17" t="n"/>
      <c r="H669" s="15">
        <f>IF(OR(E669="",F669="",G669=""),"", (F669-E669)*G669)</f>
        <v/>
      </c>
      <c r="I669" s="16">
        <f>IF(OR(E669="",F669=""),"", (F669/E669)-1)</f>
        <v/>
      </c>
      <c r="J669" s="17">
        <f>IF(OR(C669="",D669=""),"", D669-C669)</f>
        <v/>
      </c>
      <c r="K669" s="17" t="n"/>
    </row>
    <row r="670">
      <c r="A670" s="17" t="n"/>
      <c r="B670" s="17" t="n"/>
      <c r="C670" s="17" t="n"/>
      <c r="D670" s="17" t="n"/>
      <c r="E670" s="15" t="n"/>
      <c r="F670" s="15" t="n"/>
      <c r="G670" s="17" t="n"/>
      <c r="H670" s="15">
        <f>IF(OR(E670="",F670="",G670=""),"", (F670-E670)*G670)</f>
        <v/>
      </c>
      <c r="I670" s="16">
        <f>IF(OR(E670="",F670=""),"", (F670/E670)-1)</f>
        <v/>
      </c>
      <c r="J670" s="17">
        <f>IF(OR(C670="",D670=""),"", D670-C670)</f>
        <v/>
      </c>
      <c r="K670" s="17" t="n"/>
    </row>
    <row r="671">
      <c r="A671" s="17" t="n"/>
      <c r="B671" s="17" t="n"/>
      <c r="C671" s="17" t="n"/>
      <c r="D671" s="17" t="n"/>
      <c r="E671" s="15" t="n"/>
      <c r="F671" s="15" t="n"/>
      <c r="G671" s="17" t="n"/>
      <c r="H671" s="15">
        <f>IF(OR(E671="",F671="",G671=""),"", (F671-E671)*G671)</f>
        <v/>
      </c>
      <c r="I671" s="16">
        <f>IF(OR(E671="",F671=""),"", (F671/E671)-1)</f>
        <v/>
      </c>
      <c r="J671" s="17">
        <f>IF(OR(C671="",D671=""),"", D671-C671)</f>
        <v/>
      </c>
      <c r="K671" s="17" t="n"/>
    </row>
    <row r="672">
      <c r="A672" s="17" t="n"/>
      <c r="B672" s="17" t="n"/>
      <c r="C672" s="17" t="n"/>
      <c r="D672" s="17" t="n"/>
      <c r="E672" s="15" t="n"/>
      <c r="F672" s="15" t="n"/>
      <c r="G672" s="17" t="n"/>
      <c r="H672" s="15">
        <f>IF(OR(E672="",F672="",G672=""),"", (F672-E672)*G672)</f>
        <v/>
      </c>
      <c r="I672" s="16">
        <f>IF(OR(E672="",F672=""),"", (F672/E672)-1)</f>
        <v/>
      </c>
      <c r="J672" s="17">
        <f>IF(OR(C672="",D672=""),"", D672-C672)</f>
        <v/>
      </c>
      <c r="K672" s="17" t="n"/>
    </row>
    <row r="673">
      <c r="A673" s="17" t="n"/>
      <c r="B673" s="17" t="n"/>
      <c r="C673" s="17" t="n"/>
      <c r="D673" s="17" t="n"/>
      <c r="E673" s="15" t="n"/>
      <c r="F673" s="15" t="n"/>
      <c r="G673" s="17" t="n"/>
      <c r="H673" s="15">
        <f>IF(OR(E673="",F673="",G673=""),"", (F673-E673)*G673)</f>
        <v/>
      </c>
      <c r="I673" s="16">
        <f>IF(OR(E673="",F673=""),"", (F673/E673)-1)</f>
        <v/>
      </c>
      <c r="J673" s="17">
        <f>IF(OR(C673="",D673=""),"", D673-C673)</f>
        <v/>
      </c>
      <c r="K673" s="17" t="n"/>
    </row>
    <row r="674">
      <c r="A674" s="17" t="n"/>
      <c r="B674" s="17" t="n"/>
      <c r="C674" s="17" t="n"/>
      <c r="D674" s="17" t="n"/>
      <c r="E674" s="15" t="n"/>
      <c r="F674" s="15" t="n"/>
      <c r="G674" s="17" t="n"/>
      <c r="H674" s="15">
        <f>IF(OR(E674="",F674="",G674=""),"", (F674-E674)*G674)</f>
        <v/>
      </c>
      <c r="I674" s="16">
        <f>IF(OR(E674="",F674=""),"", (F674/E674)-1)</f>
        <v/>
      </c>
      <c r="J674" s="17">
        <f>IF(OR(C674="",D674=""),"", D674-C674)</f>
        <v/>
      </c>
      <c r="K674" s="17" t="n"/>
    </row>
    <row r="675">
      <c r="A675" s="17" t="n"/>
      <c r="B675" s="17" t="n"/>
      <c r="C675" s="17" t="n"/>
      <c r="D675" s="17" t="n"/>
      <c r="E675" s="15" t="n"/>
      <c r="F675" s="15" t="n"/>
      <c r="G675" s="17" t="n"/>
      <c r="H675" s="15">
        <f>IF(OR(E675="",F675="",G675=""),"", (F675-E675)*G675)</f>
        <v/>
      </c>
      <c r="I675" s="16">
        <f>IF(OR(E675="",F675=""),"", (F675/E675)-1)</f>
        <v/>
      </c>
      <c r="J675" s="17">
        <f>IF(OR(C675="",D675=""),"", D675-C675)</f>
        <v/>
      </c>
      <c r="K675" s="17" t="n"/>
    </row>
    <row r="676">
      <c r="A676" s="17" t="n"/>
      <c r="B676" s="17" t="n"/>
      <c r="C676" s="17" t="n"/>
      <c r="D676" s="17" t="n"/>
      <c r="E676" s="15" t="n"/>
      <c r="F676" s="15" t="n"/>
      <c r="G676" s="17" t="n"/>
      <c r="H676" s="15">
        <f>IF(OR(E676="",F676="",G676=""),"", (F676-E676)*G676)</f>
        <v/>
      </c>
      <c r="I676" s="16">
        <f>IF(OR(E676="",F676=""),"", (F676/E676)-1)</f>
        <v/>
      </c>
      <c r="J676" s="17">
        <f>IF(OR(C676="",D676=""),"", D676-C676)</f>
        <v/>
      </c>
      <c r="K676" s="17" t="n"/>
    </row>
    <row r="677">
      <c r="A677" s="17" t="n"/>
      <c r="B677" s="17" t="n"/>
      <c r="C677" s="17" t="n"/>
      <c r="D677" s="17" t="n"/>
      <c r="E677" s="15" t="n"/>
      <c r="F677" s="15" t="n"/>
      <c r="G677" s="17" t="n"/>
      <c r="H677" s="15">
        <f>IF(OR(E677="",F677="",G677=""),"", (F677-E677)*G677)</f>
        <v/>
      </c>
      <c r="I677" s="16">
        <f>IF(OR(E677="",F677=""),"", (F677/E677)-1)</f>
        <v/>
      </c>
      <c r="J677" s="17">
        <f>IF(OR(C677="",D677=""),"", D677-C677)</f>
        <v/>
      </c>
      <c r="K677" s="17" t="n"/>
    </row>
    <row r="678">
      <c r="A678" s="17" t="n"/>
      <c r="B678" s="17" t="n"/>
      <c r="C678" s="17" t="n"/>
      <c r="D678" s="17" t="n"/>
      <c r="E678" s="15" t="n"/>
      <c r="F678" s="15" t="n"/>
      <c r="G678" s="17" t="n"/>
      <c r="H678" s="15">
        <f>IF(OR(E678="",F678="",G678=""),"", (F678-E678)*G678)</f>
        <v/>
      </c>
      <c r="I678" s="16">
        <f>IF(OR(E678="",F678=""),"", (F678/E678)-1)</f>
        <v/>
      </c>
      <c r="J678" s="17">
        <f>IF(OR(C678="",D678=""),"", D678-C678)</f>
        <v/>
      </c>
      <c r="K678" s="17" t="n"/>
    </row>
    <row r="679">
      <c r="A679" s="17" t="n"/>
      <c r="B679" s="17" t="n"/>
      <c r="C679" s="17" t="n"/>
      <c r="D679" s="17" t="n"/>
      <c r="E679" s="15" t="n"/>
      <c r="F679" s="15" t="n"/>
      <c r="G679" s="17" t="n"/>
      <c r="H679" s="15">
        <f>IF(OR(E679="",F679="",G679=""),"", (F679-E679)*G679)</f>
        <v/>
      </c>
      <c r="I679" s="16">
        <f>IF(OR(E679="",F679=""),"", (F679/E679)-1)</f>
        <v/>
      </c>
      <c r="J679" s="17">
        <f>IF(OR(C679="",D679=""),"", D679-C679)</f>
        <v/>
      </c>
      <c r="K679" s="17" t="n"/>
    </row>
    <row r="680">
      <c r="A680" s="17" t="n"/>
      <c r="B680" s="17" t="n"/>
      <c r="C680" s="17" t="n"/>
      <c r="D680" s="17" t="n"/>
      <c r="E680" s="15" t="n"/>
      <c r="F680" s="15" t="n"/>
      <c r="G680" s="17" t="n"/>
      <c r="H680" s="15">
        <f>IF(OR(E680="",F680="",G680=""),"", (F680-E680)*G680)</f>
        <v/>
      </c>
      <c r="I680" s="16">
        <f>IF(OR(E680="",F680=""),"", (F680/E680)-1)</f>
        <v/>
      </c>
      <c r="J680" s="17">
        <f>IF(OR(C680="",D680=""),"", D680-C680)</f>
        <v/>
      </c>
      <c r="K680" s="17" t="n"/>
    </row>
    <row r="681">
      <c r="A681" s="17" t="n"/>
      <c r="B681" s="17" t="n"/>
      <c r="C681" s="17" t="n"/>
      <c r="D681" s="17" t="n"/>
      <c r="E681" s="15" t="n"/>
      <c r="F681" s="15" t="n"/>
      <c r="G681" s="17" t="n"/>
      <c r="H681" s="15">
        <f>IF(OR(E681="",F681="",G681=""),"", (F681-E681)*G681)</f>
        <v/>
      </c>
      <c r="I681" s="16">
        <f>IF(OR(E681="",F681=""),"", (F681/E681)-1)</f>
        <v/>
      </c>
      <c r="J681" s="17">
        <f>IF(OR(C681="",D681=""),"", D681-C681)</f>
        <v/>
      </c>
      <c r="K681" s="17" t="n"/>
    </row>
    <row r="682">
      <c r="A682" s="17" t="n"/>
      <c r="B682" s="17" t="n"/>
      <c r="C682" s="17" t="n"/>
      <c r="D682" s="17" t="n"/>
      <c r="E682" s="15" t="n"/>
      <c r="F682" s="15" t="n"/>
      <c r="G682" s="17" t="n"/>
      <c r="H682" s="15">
        <f>IF(OR(E682="",F682="",G682=""),"", (F682-E682)*G682)</f>
        <v/>
      </c>
      <c r="I682" s="16">
        <f>IF(OR(E682="",F682=""),"", (F682/E682)-1)</f>
        <v/>
      </c>
      <c r="J682" s="17">
        <f>IF(OR(C682="",D682=""),"", D682-C682)</f>
        <v/>
      </c>
      <c r="K682" s="17" t="n"/>
    </row>
    <row r="683">
      <c r="A683" s="17" t="n"/>
      <c r="B683" s="17" t="n"/>
      <c r="C683" s="17" t="n"/>
      <c r="D683" s="17" t="n"/>
      <c r="E683" s="15" t="n"/>
      <c r="F683" s="15" t="n"/>
      <c r="G683" s="17" t="n"/>
      <c r="H683" s="15">
        <f>IF(OR(E683="",F683="",G683=""),"", (F683-E683)*G683)</f>
        <v/>
      </c>
      <c r="I683" s="16">
        <f>IF(OR(E683="",F683=""),"", (F683/E683)-1)</f>
        <v/>
      </c>
      <c r="J683" s="17">
        <f>IF(OR(C683="",D683=""),"", D683-C683)</f>
        <v/>
      </c>
      <c r="K683" s="17" t="n"/>
    </row>
    <row r="684">
      <c r="A684" s="17" t="n"/>
      <c r="B684" s="17" t="n"/>
      <c r="C684" s="17" t="n"/>
      <c r="D684" s="17" t="n"/>
      <c r="E684" s="15" t="n"/>
      <c r="F684" s="15" t="n"/>
      <c r="G684" s="17" t="n"/>
      <c r="H684" s="15">
        <f>IF(OR(E684="",F684="",G684=""),"", (F684-E684)*G684)</f>
        <v/>
      </c>
      <c r="I684" s="16">
        <f>IF(OR(E684="",F684=""),"", (F684/E684)-1)</f>
        <v/>
      </c>
      <c r="J684" s="17">
        <f>IF(OR(C684="",D684=""),"", D684-C684)</f>
        <v/>
      </c>
      <c r="K684" s="17" t="n"/>
    </row>
    <row r="685">
      <c r="A685" s="17" t="n"/>
      <c r="B685" s="17" t="n"/>
      <c r="C685" s="17" t="n"/>
      <c r="D685" s="17" t="n"/>
      <c r="E685" s="15" t="n"/>
      <c r="F685" s="15" t="n"/>
      <c r="G685" s="17" t="n"/>
      <c r="H685" s="15">
        <f>IF(OR(E685="",F685="",G685=""),"", (F685-E685)*G685)</f>
        <v/>
      </c>
      <c r="I685" s="16">
        <f>IF(OR(E685="",F685=""),"", (F685/E685)-1)</f>
        <v/>
      </c>
      <c r="J685" s="17">
        <f>IF(OR(C685="",D685=""),"", D685-C685)</f>
        <v/>
      </c>
      <c r="K685" s="17" t="n"/>
    </row>
    <row r="686">
      <c r="A686" s="17" t="n"/>
      <c r="B686" s="17" t="n"/>
      <c r="C686" s="17" t="n"/>
      <c r="D686" s="17" t="n"/>
      <c r="E686" s="15" t="n"/>
      <c r="F686" s="15" t="n"/>
      <c r="G686" s="17" t="n"/>
      <c r="H686" s="15">
        <f>IF(OR(E686="",F686="",G686=""),"", (F686-E686)*G686)</f>
        <v/>
      </c>
      <c r="I686" s="16">
        <f>IF(OR(E686="",F686=""),"", (F686/E686)-1)</f>
        <v/>
      </c>
      <c r="J686" s="17">
        <f>IF(OR(C686="",D686=""),"", D686-C686)</f>
        <v/>
      </c>
      <c r="K686" s="17" t="n"/>
    </row>
    <row r="687">
      <c r="A687" s="17" t="n"/>
      <c r="B687" s="17" t="n"/>
      <c r="C687" s="17" t="n"/>
      <c r="D687" s="17" t="n"/>
      <c r="E687" s="15" t="n"/>
      <c r="F687" s="15" t="n"/>
      <c r="G687" s="17" t="n"/>
      <c r="H687" s="15">
        <f>IF(OR(E687="",F687="",G687=""),"", (F687-E687)*G687)</f>
        <v/>
      </c>
      <c r="I687" s="16">
        <f>IF(OR(E687="",F687=""),"", (F687/E687)-1)</f>
        <v/>
      </c>
      <c r="J687" s="17">
        <f>IF(OR(C687="",D687=""),"", D687-C687)</f>
        <v/>
      </c>
      <c r="K687" s="17" t="n"/>
    </row>
    <row r="688">
      <c r="A688" s="17" t="n"/>
      <c r="B688" s="17" t="n"/>
      <c r="C688" s="17" t="n"/>
      <c r="D688" s="17" t="n"/>
      <c r="E688" s="15" t="n"/>
      <c r="F688" s="15" t="n"/>
      <c r="G688" s="17" t="n"/>
      <c r="H688" s="15">
        <f>IF(OR(E688="",F688="",G688=""),"", (F688-E688)*G688)</f>
        <v/>
      </c>
      <c r="I688" s="16">
        <f>IF(OR(E688="",F688=""),"", (F688/E688)-1)</f>
        <v/>
      </c>
      <c r="J688" s="17">
        <f>IF(OR(C688="",D688=""),"", D688-C688)</f>
        <v/>
      </c>
      <c r="K688" s="17" t="n"/>
    </row>
    <row r="689">
      <c r="A689" s="17" t="n"/>
      <c r="B689" s="17" t="n"/>
      <c r="C689" s="17" t="n"/>
      <c r="D689" s="17" t="n"/>
      <c r="E689" s="15" t="n"/>
      <c r="F689" s="15" t="n"/>
      <c r="G689" s="17" t="n"/>
      <c r="H689" s="15">
        <f>IF(OR(E689="",F689="",G689=""),"", (F689-E689)*G689)</f>
        <v/>
      </c>
      <c r="I689" s="16">
        <f>IF(OR(E689="",F689=""),"", (F689/E689)-1)</f>
        <v/>
      </c>
      <c r="J689" s="17">
        <f>IF(OR(C689="",D689=""),"", D689-C689)</f>
        <v/>
      </c>
      <c r="K689" s="17" t="n"/>
    </row>
    <row r="690">
      <c r="A690" s="17" t="n"/>
      <c r="B690" s="17" t="n"/>
      <c r="C690" s="17" t="n"/>
      <c r="D690" s="17" t="n"/>
      <c r="E690" s="15" t="n"/>
      <c r="F690" s="15" t="n"/>
      <c r="G690" s="17" t="n"/>
      <c r="H690" s="15">
        <f>IF(OR(E690="",F690="",G690=""),"", (F690-E690)*G690)</f>
        <v/>
      </c>
      <c r="I690" s="16">
        <f>IF(OR(E690="",F690=""),"", (F690/E690)-1)</f>
        <v/>
      </c>
      <c r="J690" s="17">
        <f>IF(OR(C690="",D690=""),"", D690-C690)</f>
        <v/>
      </c>
      <c r="K690" s="17" t="n"/>
    </row>
    <row r="691">
      <c r="A691" s="17" t="n"/>
      <c r="B691" s="17" t="n"/>
      <c r="C691" s="17" t="n"/>
      <c r="D691" s="17" t="n"/>
      <c r="E691" s="15" t="n"/>
      <c r="F691" s="15" t="n"/>
      <c r="G691" s="17" t="n"/>
      <c r="H691" s="15">
        <f>IF(OR(E691="",F691="",G691=""),"", (F691-E691)*G691)</f>
        <v/>
      </c>
      <c r="I691" s="16">
        <f>IF(OR(E691="",F691=""),"", (F691/E691)-1)</f>
        <v/>
      </c>
      <c r="J691" s="17">
        <f>IF(OR(C691="",D691=""),"", D691-C691)</f>
        <v/>
      </c>
      <c r="K691" s="17" t="n"/>
    </row>
    <row r="692">
      <c r="A692" s="17" t="n"/>
      <c r="B692" s="17" t="n"/>
      <c r="C692" s="17" t="n"/>
      <c r="D692" s="17" t="n"/>
      <c r="E692" s="15" t="n"/>
      <c r="F692" s="15" t="n"/>
      <c r="G692" s="17" t="n"/>
      <c r="H692" s="15">
        <f>IF(OR(E692="",F692="",G692=""),"", (F692-E692)*G692)</f>
        <v/>
      </c>
      <c r="I692" s="16">
        <f>IF(OR(E692="",F692=""),"", (F692/E692)-1)</f>
        <v/>
      </c>
      <c r="J692" s="17">
        <f>IF(OR(C692="",D692=""),"", D692-C692)</f>
        <v/>
      </c>
      <c r="K692" s="17" t="n"/>
    </row>
    <row r="693">
      <c r="A693" s="17" t="n"/>
      <c r="B693" s="17" t="n"/>
      <c r="C693" s="17" t="n"/>
      <c r="D693" s="17" t="n"/>
      <c r="E693" s="15" t="n"/>
      <c r="F693" s="15" t="n"/>
      <c r="G693" s="17" t="n"/>
      <c r="H693" s="15">
        <f>IF(OR(E693="",F693="",G693=""),"", (F693-E693)*G693)</f>
        <v/>
      </c>
      <c r="I693" s="16">
        <f>IF(OR(E693="",F693=""),"", (F693/E693)-1)</f>
        <v/>
      </c>
      <c r="J693" s="17">
        <f>IF(OR(C693="",D693=""),"", D693-C693)</f>
        <v/>
      </c>
      <c r="K693" s="17" t="n"/>
    </row>
    <row r="694">
      <c r="A694" s="17" t="n"/>
      <c r="B694" s="17" t="n"/>
      <c r="C694" s="17" t="n"/>
      <c r="D694" s="17" t="n"/>
      <c r="E694" s="15" t="n"/>
      <c r="F694" s="15" t="n"/>
      <c r="G694" s="17" t="n"/>
      <c r="H694" s="15">
        <f>IF(OR(E694="",F694="",G694=""),"", (F694-E694)*G694)</f>
        <v/>
      </c>
      <c r="I694" s="16">
        <f>IF(OR(E694="",F694=""),"", (F694/E694)-1)</f>
        <v/>
      </c>
      <c r="J694" s="17">
        <f>IF(OR(C694="",D694=""),"", D694-C694)</f>
        <v/>
      </c>
      <c r="K694" s="17" t="n"/>
    </row>
    <row r="695">
      <c r="A695" s="17" t="n"/>
      <c r="B695" s="17" t="n"/>
      <c r="C695" s="17" t="n"/>
      <c r="D695" s="17" t="n"/>
      <c r="E695" s="15" t="n"/>
      <c r="F695" s="15" t="n"/>
      <c r="G695" s="17" t="n"/>
      <c r="H695" s="15">
        <f>IF(OR(E695="",F695="",G695=""),"", (F695-E695)*G695)</f>
        <v/>
      </c>
      <c r="I695" s="16">
        <f>IF(OR(E695="",F695=""),"", (F695/E695)-1)</f>
        <v/>
      </c>
      <c r="J695" s="17">
        <f>IF(OR(C695="",D695=""),"", D695-C695)</f>
        <v/>
      </c>
      <c r="K695" s="17" t="n"/>
    </row>
    <row r="696">
      <c r="A696" s="17" t="n"/>
      <c r="B696" s="17" t="n"/>
      <c r="C696" s="17" t="n"/>
      <c r="D696" s="17" t="n"/>
      <c r="E696" s="15" t="n"/>
      <c r="F696" s="15" t="n"/>
      <c r="G696" s="17" t="n"/>
      <c r="H696" s="15">
        <f>IF(OR(E696="",F696="",G696=""),"", (F696-E696)*G696)</f>
        <v/>
      </c>
      <c r="I696" s="16">
        <f>IF(OR(E696="",F696=""),"", (F696/E696)-1)</f>
        <v/>
      </c>
      <c r="J696" s="17">
        <f>IF(OR(C696="",D696=""),"", D696-C696)</f>
        <v/>
      </c>
      <c r="K696" s="17" t="n"/>
    </row>
    <row r="697">
      <c r="A697" s="17" t="n"/>
      <c r="B697" s="17" t="n"/>
      <c r="C697" s="17" t="n"/>
      <c r="D697" s="17" t="n"/>
      <c r="E697" s="15" t="n"/>
      <c r="F697" s="15" t="n"/>
      <c r="G697" s="17" t="n"/>
      <c r="H697" s="15">
        <f>IF(OR(E697="",F697="",G697=""),"", (F697-E697)*G697)</f>
        <v/>
      </c>
      <c r="I697" s="16">
        <f>IF(OR(E697="",F697=""),"", (F697/E697)-1)</f>
        <v/>
      </c>
      <c r="J697" s="17">
        <f>IF(OR(C697="",D697=""),"", D697-C697)</f>
        <v/>
      </c>
      <c r="K697" s="17" t="n"/>
    </row>
    <row r="698">
      <c r="A698" s="17" t="n"/>
      <c r="B698" s="17" t="n"/>
      <c r="C698" s="17" t="n"/>
      <c r="D698" s="17" t="n"/>
      <c r="E698" s="15" t="n"/>
      <c r="F698" s="15" t="n"/>
      <c r="G698" s="17" t="n"/>
      <c r="H698" s="15">
        <f>IF(OR(E698="",F698="",G698=""),"", (F698-E698)*G698)</f>
        <v/>
      </c>
      <c r="I698" s="16">
        <f>IF(OR(E698="",F698=""),"", (F698/E698)-1)</f>
        <v/>
      </c>
      <c r="J698" s="17">
        <f>IF(OR(C698="",D698=""),"", D698-C698)</f>
        <v/>
      </c>
      <c r="K698" s="17" t="n"/>
    </row>
    <row r="699">
      <c r="A699" s="17" t="n"/>
      <c r="B699" s="17" t="n"/>
      <c r="C699" s="17" t="n"/>
      <c r="D699" s="17" t="n"/>
      <c r="E699" s="15" t="n"/>
      <c r="F699" s="15" t="n"/>
      <c r="G699" s="17" t="n"/>
      <c r="H699" s="15">
        <f>IF(OR(E699="",F699="",G699=""),"", (F699-E699)*G699)</f>
        <v/>
      </c>
      <c r="I699" s="16">
        <f>IF(OR(E699="",F699=""),"", (F699/E699)-1)</f>
        <v/>
      </c>
      <c r="J699" s="17">
        <f>IF(OR(C699="",D699=""),"", D699-C699)</f>
        <v/>
      </c>
      <c r="K699" s="17" t="n"/>
    </row>
    <row r="700">
      <c r="A700" s="17" t="n"/>
      <c r="B700" s="17" t="n"/>
      <c r="C700" s="17" t="n"/>
      <c r="D700" s="17" t="n"/>
      <c r="E700" s="15" t="n"/>
      <c r="F700" s="15" t="n"/>
      <c r="G700" s="17" t="n"/>
      <c r="H700" s="15">
        <f>IF(OR(E700="",F700="",G700=""),"", (F700-E700)*G700)</f>
        <v/>
      </c>
      <c r="I700" s="16">
        <f>IF(OR(E700="",F700=""),"", (F700/E700)-1)</f>
        <v/>
      </c>
      <c r="J700" s="17">
        <f>IF(OR(C700="",D700=""),"", D700-C700)</f>
        <v/>
      </c>
      <c r="K700" s="17" t="n"/>
    </row>
    <row r="701">
      <c r="A701" s="17" t="n"/>
      <c r="B701" s="17" t="n"/>
      <c r="C701" s="17" t="n"/>
      <c r="D701" s="17" t="n"/>
      <c r="E701" s="15" t="n"/>
      <c r="F701" s="15" t="n"/>
      <c r="G701" s="17" t="n"/>
      <c r="H701" s="15">
        <f>IF(OR(E701="",F701="",G701=""),"", (F701-E701)*G701)</f>
        <v/>
      </c>
      <c r="I701" s="16">
        <f>IF(OR(E701="",F701=""),"", (F701/E701)-1)</f>
        <v/>
      </c>
      <c r="J701" s="17">
        <f>IF(OR(C701="",D701=""),"", D701-C701)</f>
        <v/>
      </c>
      <c r="K701" s="17" t="n"/>
    </row>
    <row r="702">
      <c r="A702" s="17" t="n"/>
      <c r="B702" s="17" t="n"/>
      <c r="C702" s="17" t="n"/>
      <c r="D702" s="17" t="n"/>
      <c r="E702" s="15" t="n"/>
      <c r="F702" s="15" t="n"/>
      <c r="G702" s="17" t="n"/>
      <c r="H702" s="15">
        <f>IF(OR(E702="",F702="",G702=""),"", (F702-E702)*G702)</f>
        <v/>
      </c>
      <c r="I702" s="16">
        <f>IF(OR(E702="",F702=""),"", (F702/E702)-1)</f>
        <v/>
      </c>
      <c r="J702" s="17">
        <f>IF(OR(C702="",D702=""),"", D702-C702)</f>
        <v/>
      </c>
      <c r="K702" s="17" t="n"/>
    </row>
    <row r="703">
      <c r="A703" s="17" t="n"/>
      <c r="B703" s="17" t="n"/>
      <c r="C703" s="17" t="n"/>
      <c r="D703" s="17" t="n"/>
      <c r="E703" s="15" t="n"/>
      <c r="F703" s="15" t="n"/>
      <c r="G703" s="17" t="n"/>
      <c r="H703" s="15">
        <f>IF(OR(E703="",F703="",G703=""),"", (F703-E703)*G703)</f>
        <v/>
      </c>
      <c r="I703" s="16">
        <f>IF(OR(E703="",F703=""),"", (F703/E703)-1)</f>
        <v/>
      </c>
      <c r="J703" s="17">
        <f>IF(OR(C703="",D703=""),"", D703-C703)</f>
        <v/>
      </c>
      <c r="K703" s="17" t="n"/>
    </row>
    <row r="704">
      <c r="A704" s="17" t="n"/>
      <c r="B704" s="17" t="n"/>
      <c r="C704" s="17" t="n"/>
      <c r="D704" s="17" t="n"/>
      <c r="E704" s="15" t="n"/>
      <c r="F704" s="15" t="n"/>
      <c r="G704" s="17" t="n"/>
      <c r="H704" s="15">
        <f>IF(OR(E704="",F704="",G704=""),"", (F704-E704)*G704)</f>
        <v/>
      </c>
      <c r="I704" s="16">
        <f>IF(OR(E704="",F704=""),"", (F704/E704)-1)</f>
        <v/>
      </c>
      <c r="J704" s="17">
        <f>IF(OR(C704="",D704=""),"", D704-C704)</f>
        <v/>
      </c>
      <c r="K704" s="17" t="n"/>
    </row>
    <row r="705">
      <c r="A705" s="17" t="n"/>
      <c r="B705" s="17" t="n"/>
      <c r="C705" s="17" t="n"/>
      <c r="D705" s="17" t="n"/>
      <c r="E705" s="15" t="n"/>
      <c r="F705" s="15" t="n"/>
      <c r="G705" s="17" t="n"/>
      <c r="H705" s="15">
        <f>IF(OR(E705="",F705="",G705=""),"", (F705-E705)*G705)</f>
        <v/>
      </c>
      <c r="I705" s="16">
        <f>IF(OR(E705="",F705=""),"", (F705/E705)-1)</f>
        <v/>
      </c>
      <c r="J705" s="17">
        <f>IF(OR(C705="",D705=""),"", D705-C705)</f>
        <v/>
      </c>
      <c r="K705" s="17" t="n"/>
    </row>
    <row r="706">
      <c r="A706" s="17" t="n"/>
      <c r="B706" s="17" t="n"/>
      <c r="C706" s="17" t="n"/>
      <c r="D706" s="17" t="n"/>
      <c r="E706" s="15" t="n"/>
      <c r="F706" s="15" t="n"/>
      <c r="G706" s="17" t="n"/>
      <c r="H706" s="15">
        <f>IF(OR(E706="",F706="",G706=""),"", (F706-E706)*G706)</f>
        <v/>
      </c>
      <c r="I706" s="16">
        <f>IF(OR(E706="",F706=""),"", (F706/E706)-1)</f>
        <v/>
      </c>
      <c r="J706" s="17">
        <f>IF(OR(C706="",D706=""),"", D706-C706)</f>
        <v/>
      </c>
      <c r="K706" s="17" t="n"/>
    </row>
    <row r="707">
      <c r="A707" s="17" t="n"/>
      <c r="B707" s="17" t="n"/>
      <c r="C707" s="17" t="n"/>
      <c r="D707" s="17" t="n"/>
      <c r="E707" s="15" t="n"/>
      <c r="F707" s="15" t="n"/>
      <c r="G707" s="17" t="n"/>
      <c r="H707" s="15">
        <f>IF(OR(E707="",F707="",G707=""),"", (F707-E707)*G707)</f>
        <v/>
      </c>
      <c r="I707" s="16">
        <f>IF(OR(E707="",F707=""),"", (F707/E707)-1)</f>
        <v/>
      </c>
      <c r="J707" s="17">
        <f>IF(OR(C707="",D707=""),"", D707-C707)</f>
        <v/>
      </c>
      <c r="K707" s="17" t="n"/>
    </row>
    <row r="708">
      <c r="A708" s="17" t="n"/>
      <c r="B708" s="17" t="n"/>
      <c r="C708" s="17" t="n"/>
      <c r="D708" s="17" t="n"/>
      <c r="E708" s="15" t="n"/>
      <c r="F708" s="15" t="n"/>
      <c r="G708" s="17" t="n"/>
      <c r="H708" s="15">
        <f>IF(OR(E708="",F708="",G708=""),"", (F708-E708)*G708)</f>
        <v/>
      </c>
      <c r="I708" s="16">
        <f>IF(OR(E708="",F708=""),"", (F708/E708)-1)</f>
        <v/>
      </c>
      <c r="J708" s="17">
        <f>IF(OR(C708="",D708=""),"", D708-C708)</f>
        <v/>
      </c>
      <c r="K708" s="17" t="n"/>
    </row>
    <row r="709">
      <c r="A709" s="17" t="n"/>
      <c r="B709" s="17" t="n"/>
      <c r="C709" s="17" t="n"/>
      <c r="D709" s="17" t="n"/>
      <c r="E709" s="15" t="n"/>
      <c r="F709" s="15" t="n"/>
      <c r="G709" s="17" t="n"/>
      <c r="H709" s="15">
        <f>IF(OR(E709="",F709="",G709=""),"", (F709-E709)*G709)</f>
        <v/>
      </c>
      <c r="I709" s="16">
        <f>IF(OR(E709="",F709=""),"", (F709/E709)-1)</f>
        <v/>
      </c>
      <c r="J709" s="17">
        <f>IF(OR(C709="",D709=""),"", D709-C709)</f>
        <v/>
      </c>
      <c r="K709" s="17" t="n"/>
    </row>
    <row r="710">
      <c r="A710" s="17" t="n"/>
      <c r="B710" s="17" t="n"/>
      <c r="C710" s="17" t="n"/>
      <c r="D710" s="17" t="n"/>
      <c r="E710" s="15" t="n"/>
      <c r="F710" s="15" t="n"/>
      <c r="G710" s="17" t="n"/>
      <c r="H710" s="15">
        <f>IF(OR(E710="",F710="",G710=""),"", (F710-E710)*G710)</f>
        <v/>
      </c>
      <c r="I710" s="16">
        <f>IF(OR(E710="",F710=""),"", (F710/E710)-1)</f>
        <v/>
      </c>
      <c r="J710" s="17">
        <f>IF(OR(C710="",D710=""),"", D710-C710)</f>
        <v/>
      </c>
      <c r="K710" s="17" t="n"/>
    </row>
    <row r="711">
      <c r="A711" s="17" t="n"/>
      <c r="B711" s="17" t="n"/>
      <c r="C711" s="17" t="n"/>
      <c r="D711" s="17" t="n"/>
      <c r="E711" s="15" t="n"/>
      <c r="F711" s="15" t="n"/>
      <c r="G711" s="17" t="n"/>
      <c r="H711" s="15">
        <f>IF(OR(E711="",F711="",G711=""),"", (F711-E711)*G711)</f>
        <v/>
      </c>
      <c r="I711" s="16">
        <f>IF(OR(E711="",F711=""),"", (F711/E711)-1)</f>
        <v/>
      </c>
      <c r="J711" s="17">
        <f>IF(OR(C711="",D711=""),"", D711-C711)</f>
        <v/>
      </c>
      <c r="K711" s="17" t="n"/>
    </row>
    <row r="712">
      <c r="A712" s="17" t="n"/>
      <c r="B712" s="17" t="n"/>
      <c r="C712" s="17" t="n"/>
      <c r="D712" s="17" t="n"/>
      <c r="E712" s="15" t="n"/>
      <c r="F712" s="15" t="n"/>
      <c r="G712" s="17" t="n"/>
      <c r="H712" s="15">
        <f>IF(OR(E712="",F712="",G712=""),"", (F712-E712)*G712)</f>
        <v/>
      </c>
      <c r="I712" s="16">
        <f>IF(OR(E712="",F712=""),"", (F712/E712)-1)</f>
        <v/>
      </c>
      <c r="J712" s="17">
        <f>IF(OR(C712="",D712=""),"", D712-C712)</f>
        <v/>
      </c>
      <c r="K712" s="17" t="n"/>
    </row>
    <row r="713">
      <c r="A713" s="17" t="n"/>
      <c r="B713" s="17" t="n"/>
      <c r="C713" s="17" t="n"/>
      <c r="D713" s="17" t="n"/>
      <c r="E713" s="15" t="n"/>
      <c r="F713" s="15" t="n"/>
      <c r="G713" s="17" t="n"/>
      <c r="H713" s="15">
        <f>IF(OR(E713="",F713="",G713=""),"", (F713-E713)*G713)</f>
        <v/>
      </c>
      <c r="I713" s="16">
        <f>IF(OR(E713="",F713=""),"", (F713/E713)-1)</f>
        <v/>
      </c>
      <c r="J713" s="17">
        <f>IF(OR(C713="",D713=""),"", D713-C713)</f>
        <v/>
      </c>
      <c r="K713" s="17" t="n"/>
    </row>
    <row r="714">
      <c r="A714" s="17" t="n"/>
      <c r="B714" s="17" t="n"/>
      <c r="C714" s="17" t="n"/>
      <c r="D714" s="17" t="n"/>
      <c r="E714" s="15" t="n"/>
      <c r="F714" s="15" t="n"/>
      <c r="G714" s="17" t="n"/>
      <c r="H714" s="15">
        <f>IF(OR(E714="",F714="",G714=""),"", (F714-E714)*G714)</f>
        <v/>
      </c>
      <c r="I714" s="16">
        <f>IF(OR(E714="",F714=""),"", (F714/E714)-1)</f>
        <v/>
      </c>
      <c r="J714" s="17">
        <f>IF(OR(C714="",D714=""),"", D714-C714)</f>
        <v/>
      </c>
      <c r="K714" s="17" t="n"/>
    </row>
    <row r="715">
      <c r="A715" s="17" t="n"/>
      <c r="B715" s="17" t="n"/>
      <c r="C715" s="17" t="n"/>
      <c r="D715" s="17" t="n"/>
      <c r="E715" s="15" t="n"/>
      <c r="F715" s="15" t="n"/>
      <c r="G715" s="17" t="n"/>
      <c r="H715" s="15">
        <f>IF(OR(E715="",F715="",G715=""),"", (F715-E715)*G715)</f>
        <v/>
      </c>
      <c r="I715" s="16">
        <f>IF(OR(E715="",F715=""),"", (F715/E715)-1)</f>
        <v/>
      </c>
      <c r="J715" s="17">
        <f>IF(OR(C715="",D715=""),"", D715-C715)</f>
        <v/>
      </c>
      <c r="K715" s="17" t="n"/>
    </row>
    <row r="716">
      <c r="A716" s="17" t="n"/>
      <c r="B716" s="17" t="n"/>
      <c r="C716" s="17" t="n"/>
      <c r="D716" s="17" t="n"/>
      <c r="E716" s="15" t="n"/>
      <c r="F716" s="15" t="n"/>
      <c r="G716" s="17" t="n"/>
      <c r="H716" s="15">
        <f>IF(OR(E716="",F716="",G716=""),"", (F716-E716)*G716)</f>
        <v/>
      </c>
      <c r="I716" s="16">
        <f>IF(OR(E716="",F716=""),"", (F716/E716)-1)</f>
        <v/>
      </c>
      <c r="J716" s="17">
        <f>IF(OR(C716="",D716=""),"", D716-C716)</f>
        <v/>
      </c>
      <c r="K716" s="17" t="n"/>
    </row>
    <row r="717">
      <c r="A717" s="17" t="n"/>
      <c r="B717" s="17" t="n"/>
      <c r="C717" s="17" t="n"/>
      <c r="D717" s="17" t="n"/>
      <c r="E717" s="15" t="n"/>
      <c r="F717" s="15" t="n"/>
      <c r="G717" s="17" t="n"/>
      <c r="H717" s="15">
        <f>IF(OR(E717="",F717="",G717=""),"", (F717-E717)*G717)</f>
        <v/>
      </c>
      <c r="I717" s="16">
        <f>IF(OR(E717="",F717=""),"", (F717/E717)-1)</f>
        <v/>
      </c>
      <c r="J717" s="17">
        <f>IF(OR(C717="",D717=""),"", D717-C717)</f>
        <v/>
      </c>
      <c r="K717" s="17" t="n"/>
    </row>
    <row r="718">
      <c r="A718" s="17" t="n"/>
      <c r="B718" s="17" t="n"/>
      <c r="C718" s="17" t="n"/>
      <c r="D718" s="17" t="n"/>
      <c r="E718" s="15" t="n"/>
      <c r="F718" s="15" t="n"/>
      <c r="G718" s="17" t="n"/>
      <c r="H718" s="15">
        <f>IF(OR(E718="",F718="",G718=""),"", (F718-E718)*G718)</f>
        <v/>
      </c>
      <c r="I718" s="16">
        <f>IF(OR(E718="",F718=""),"", (F718/E718)-1)</f>
        <v/>
      </c>
      <c r="J718" s="17">
        <f>IF(OR(C718="",D718=""),"", D718-C718)</f>
        <v/>
      </c>
      <c r="K718" s="17" t="n"/>
    </row>
    <row r="719">
      <c r="A719" s="17" t="n"/>
      <c r="B719" s="17" t="n"/>
      <c r="C719" s="17" t="n"/>
      <c r="D719" s="17" t="n"/>
      <c r="E719" s="15" t="n"/>
      <c r="F719" s="15" t="n"/>
      <c r="G719" s="17" t="n"/>
      <c r="H719" s="15">
        <f>IF(OR(E719="",F719="",G719=""),"", (F719-E719)*G719)</f>
        <v/>
      </c>
      <c r="I719" s="16">
        <f>IF(OR(E719="",F719=""),"", (F719/E719)-1)</f>
        <v/>
      </c>
      <c r="J719" s="17">
        <f>IF(OR(C719="",D719=""),"", D719-C719)</f>
        <v/>
      </c>
      <c r="K719" s="17" t="n"/>
    </row>
    <row r="720">
      <c r="A720" s="17" t="n"/>
      <c r="B720" s="17" t="n"/>
      <c r="C720" s="17" t="n"/>
      <c r="D720" s="17" t="n"/>
      <c r="E720" s="15" t="n"/>
      <c r="F720" s="15" t="n"/>
      <c r="G720" s="17" t="n"/>
      <c r="H720" s="15">
        <f>IF(OR(E720="",F720="",G720=""),"", (F720-E720)*G720)</f>
        <v/>
      </c>
      <c r="I720" s="16">
        <f>IF(OR(E720="",F720=""),"", (F720/E720)-1)</f>
        <v/>
      </c>
      <c r="J720" s="17">
        <f>IF(OR(C720="",D720=""),"", D720-C720)</f>
        <v/>
      </c>
      <c r="K720" s="17" t="n"/>
    </row>
    <row r="721">
      <c r="A721" s="17" t="n"/>
      <c r="B721" s="17" t="n"/>
      <c r="C721" s="17" t="n"/>
      <c r="D721" s="17" t="n"/>
      <c r="E721" s="15" t="n"/>
      <c r="F721" s="15" t="n"/>
      <c r="G721" s="17" t="n"/>
      <c r="H721" s="15">
        <f>IF(OR(E721="",F721="",G721=""),"", (F721-E721)*G721)</f>
        <v/>
      </c>
      <c r="I721" s="16">
        <f>IF(OR(E721="",F721=""),"", (F721/E721)-1)</f>
        <v/>
      </c>
      <c r="J721" s="17">
        <f>IF(OR(C721="",D721=""),"", D721-C721)</f>
        <v/>
      </c>
      <c r="K721" s="17" t="n"/>
    </row>
    <row r="722">
      <c r="A722" s="17" t="n"/>
      <c r="B722" s="17" t="n"/>
      <c r="C722" s="17" t="n"/>
      <c r="D722" s="17" t="n"/>
      <c r="E722" s="15" t="n"/>
      <c r="F722" s="15" t="n"/>
      <c r="G722" s="17" t="n"/>
      <c r="H722" s="15">
        <f>IF(OR(E722="",F722="",G722=""),"", (F722-E722)*G722)</f>
        <v/>
      </c>
      <c r="I722" s="16">
        <f>IF(OR(E722="",F722=""),"", (F722/E722)-1)</f>
        <v/>
      </c>
      <c r="J722" s="17">
        <f>IF(OR(C722="",D722=""),"", D722-C722)</f>
        <v/>
      </c>
      <c r="K722" s="17" t="n"/>
    </row>
    <row r="723">
      <c r="A723" s="17" t="n"/>
      <c r="B723" s="17" t="n"/>
      <c r="C723" s="17" t="n"/>
      <c r="D723" s="17" t="n"/>
      <c r="E723" s="15" t="n"/>
      <c r="F723" s="15" t="n"/>
      <c r="G723" s="17" t="n"/>
      <c r="H723" s="15">
        <f>IF(OR(E723="",F723="",G723=""),"", (F723-E723)*G723)</f>
        <v/>
      </c>
      <c r="I723" s="16">
        <f>IF(OR(E723="",F723=""),"", (F723/E723)-1)</f>
        <v/>
      </c>
      <c r="J723" s="17">
        <f>IF(OR(C723="",D723=""),"", D723-C723)</f>
        <v/>
      </c>
      <c r="K723" s="17" t="n"/>
    </row>
    <row r="724">
      <c r="A724" s="17" t="n"/>
      <c r="B724" s="17" t="n"/>
      <c r="C724" s="17" t="n"/>
      <c r="D724" s="17" t="n"/>
      <c r="E724" s="15" t="n"/>
      <c r="F724" s="15" t="n"/>
      <c r="G724" s="17" t="n"/>
      <c r="H724" s="15">
        <f>IF(OR(E724="",F724="",G724=""),"", (F724-E724)*G724)</f>
        <v/>
      </c>
      <c r="I724" s="16">
        <f>IF(OR(E724="",F724=""),"", (F724/E724)-1)</f>
        <v/>
      </c>
      <c r="J724" s="17">
        <f>IF(OR(C724="",D724=""),"", D724-C724)</f>
        <v/>
      </c>
      <c r="K724" s="17" t="n"/>
    </row>
    <row r="725">
      <c r="A725" s="17" t="n"/>
      <c r="B725" s="17" t="n"/>
      <c r="C725" s="17" t="n"/>
      <c r="D725" s="17" t="n"/>
      <c r="E725" s="15" t="n"/>
      <c r="F725" s="15" t="n"/>
      <c r="G725" s="17" t="n"/>
      <c r="H725" s="15">
        <f>IF(OR(E725="",F725="",G725=""),"", (F725-E725)*G725)</f>
        <v/>
      </c>
      <c r="I725" s="16">
        <f>IF(OR(E725="",F725=""),"", (F725/E725)-1)</f>
        <v/>
      </c>
      <c r="J725" s="17">
        <f>IF(OR(C725="",D725=""),"", D725-C725)</f>
        <v/>
      </c>
      <c r="K725" s="17" t="n"/>
    </row>
    <row r="726">
      <c r="A726" s="17" t="n"/>
      <c r="B726" s="17" t="n"/>
      <c r="C726" s="17" t="n"/>
      <c r="D726" s="17" t="n"/>
      <c r="E726" s="15" t="n"/>
      <c r="F726" s="15" t="n"/>
      <c r="G726" s="17" t="n"/>
      <c r="H726" s="15">
        <f>IF(OR(E726="",F726="",G726=""),"", (F726-E726)*G726)</f>
        <v/>
      </c>
      <c r="I726" s="16">
        <f>IF(OR(E726="",F726=""),"", (F726/E726)-1)</f>
        <v/>
      </c>
      <c r="J726" s="17">
        <f>IF(OR(C726="",D726=""),"", D726-C726)</f>
        <v/>
      </c>
      <c r="K726" s="17" t="n"/>
    </row>
    <row r="727">
      <c r="A727" s="17" t="n"/>
      <c r="B727" s="17" t="n"/>
      <c r="C727" s="17" t="n"/>
      <c r="D727" s="17" t="n"/>
      <c r="E727" s="15" t="n"/>
      <c r="F727" s="15" t="n"/>
      <c r="G727" s="17" t="n"/>
      <c r="H727" s="15">
        <f>IF(OR(E727="",F727="",G727=""),"", (F727-E727)*G727)</f>
        <v/>
      </c>
      <c r="I727" s="16">
        <f>IF(OR(E727="",F727=""),"", (F727/E727)-1)</f>
        <v/>
      </c>
      <c r="J727" s="17">
        <f>IF(OR(C727="",D727=""),"", D727-C727)</f>
        <v/>
      </c>
      <c r="K727" s="17" t="n"/>
    </row>
    <row r="728">
      <c r="A728" s="17" t="n"/>
      <c r="B728" s="17" t="n"/>
      <c r="C728" s="17" t="n"/>
      <c r="D728" s="17" t="n"/>
      <c r="E728" s="15" t="n"/>
      <c r="F728" s="15" t="n"/>
      <c r="G728" s="17" t="n"/>
      <c r="H728" s="15">
        <f>IF(OR(E728="",F728="",G728=""),"", (F728-E728)*G728)</f>
        <v/>
      </c>
      <c r="I728" s="16">
        <f>IF(OR(E728="",F728=""),"", (F728/E728)-1)</f>
        <v/>
      </c>
      <c r="J728" s="17">
        <f>IF(OR(C728="",D728=""),"", D728-C728)</f>
        <v/>
      </c>
      <c r="K728" s="17" t="n"/>
    </row>
    <row r="729">
      <c r="A729" s="17" t="n"/>
      <c r="B729" s="17" t="n"/>
      <c r="C729" s="17" t="n"/>
      <c r="D729" s="17" t="n"/>
      <c r="E729" s="15" t="n"/>
      <c r="F729" s="15" t="n"/>
      <c r="G729" s="17" t="n"/>
      <c r="H729" s="15">
        <f>IF(OR(E729="",F729="",G729=""),"", (F729-E729)*G729)</f>
        <v/>
      </c>
      <c r="I729" s="16">
        <f>IF(OR(E729="",F729=""),"", (F729/E729)-1)</f>
        <v/>
      </c>
      <c r="J729" s="17">
        <f>IF(OR(C729="",D729=""),"", D729-C729)</f>
        <v/>
      </c>
      <c r="K729" s="17" t="n"/>
    </row>
    <row r="730">
      <c r="A730" s="17" t="n"/>
      <c r="B730" s="17" t="n"/>
      <c r="C730" s="17" t="n"/>
      <c r="D730" s="17" t="n"/>
      <c r="E730" s="15" t="n"/>
      <c r="F730" s="15" t="n"/>
      <c r="G730" s="17" t="n"/>
      <c r="H730" s="15">
        <f>IF(OR(E730="",F730="",G730=""),"", (F730-E730)*G730)</f>
        <v/>
      </c>
      <c r="I730" s="16">
        <f>IF(OR(E730="",F730=""),"", (F730/E730)-1)</f>
        <v/>
      </c>
      <c r="J730" s="17">
        <f>IF(OR(C730="",D730=""),"", D730-C730)</f>
        <v/>
      </c>
      <c r="K730" s="17" t="n"/>
    </row>
    <row r="731">
      <c r="A731" s="17" t="n"/>
      <c r="B731" s="17" t="n"/>
      <c r="C731" s="17" t="n"/>
      <c r="D731" s="17" t="n"/>
      <c r="E731" s="15" t="n"/>
      <c r="F731" s="15" t="n"/>
      <c r="G731" s="17" t="n"/>
      <c r="H731" s="15">
        <f>IF(OR(E731="",F731="",G731=""),"", (F731-E731)*G731)</f>
        <v/>
      </c>
      <c r="I731" s="16">
        <f>IF(OR(E731="",F731=""),"", (F731/E731)-1)</f>
        <v/>
      </c>
      <c r="J731" s="17">
        <f>IF(OR(C731="",D731=""),"", D731-C731)</f>
        <v/>
      </c>
      <c r="K731" s="17" t="n"/>
    </row>
    <row r="732">
      <c r="A732" s="17" t="n"/>
      <c r="B732" s="17" t="n"/>
      <c r="C732" s="17" t="n"/>
      <c r="D732" s="17" t="n"/>
      <c r="E732" s="15" t="n"/>
      <c r="F732" s="15" t="n"/>
      <c r="G732" s="17" t="n"/>
      <c r="H732" s="15">
        <f>IF(OR(E732="",F732="",G732=""),"", (F732-E732)*G732)</f>
        <v/>
      </c>
      <c r="I732" s="16">
        <f>IF(OR(E732="",F732=""),"", (F732/E732)-1)</f>
        <v/>
      </c>
      <c r="J732" s="17">
        <f>IF(OR(C732="",D732=""),"", D732-C732)</f>
        <v/>
      </c>
      <c r="K732" s="17" t="n"/>
    </row>
    <row r="733">
      <c r="A733" s="17" t="n"/>
      <c r="B733" s="17" t="n"/>
      <c r="C733" s="17" t="n"/>
      <c r="D733" s="17" t="n"/>
      <c r="E733" s="15" t="n"/>
      <c r="F733" s="15" t="n"/>
      <c r="G733" s="17" t="n"/>
      <c r="H733" s="15">
        <f>IF(OR(E733="",F733="",G733=""),"", (F733-E733)*G733)</f>
        <v/>
      </c>
      <c r="I733" s="16">
        <f>IF(OR(E733="",F733=""),"", (F733/E733)-1)</f>
        <v/>
      </c>
      <c r="J733" s="17">
        <f>IF(OR(C733="",D733=""),"", D733-C733)</f>
        <v/>
      </c>
      <c r="K733" s="17" t="n"/>
    </row>
    <row r="734">
      <c r="A734" s="17" t="n"/>
      <c r="B734" s="17" t="n"/>
      <c r="C734" s="17" t="n"/>
      <c r="D734" s="17" t="n"/>
      <c r="E734" s="15" t="n"/>
      <c r="F734" s="15" t="n"/>
      <c r="G734" s="17" t="n"/>
      <c r="H734" s="15">
        <f>IF(OR(E734="",F734="",G734=""),"", (F734-E734)*G734)</f>
        <v/>
      </c>
      <c r="I734" s="16">
        <f>IF(OR(E734="",F734=""),"", (F734/E734)-1)</f>
        <v/>
      </c>
      <c r="J734" s="17">
        <f>IF(OR(C734="",D734=""),"", D734-C734)</f>
        <v/>
      </c>
      <c r="K734" s="17" t="n"/>
    </row>
    <row r="735">
      <c r="A735" s="17" t="n"/>
      <c r="B735" s="17" t="n"/>
      <c r="C735" s="17" t="n"/>
      <c r="D735" s="17" t="n"/>
      <c r="E735" s="15" t="n"/>
      <c r="F735" s="15" t="n"/>
      <c r="G735" s="17" t="n"/>
      <c r="H735" s="15">
        <f>IF(OR(E735="",F735="",G735=""),"", (F735-E735)*G735)</f>
        <v/>
      </c>
      <c r="I735" s="16">
        <f>IF(OR(E735="",F735=""),"", (F735/E735)-1)</f>
        <v/>
      </c>
      <c r="J735" s="17">
        <f>IF(OR(C735="",D735=""),"", D735-C735)</f>
        <v/>
      </c>
      <c r="K735" s="17" t="n"/>
    </row>
    <row r="736">
      <c r="A736" s="17" t="n"/>
      <c r="B736" s="17" t="n"/>
      <c r="C736" s="17" t="n"/>
      <c r="D736" s="17" t="n"/>
      <c r="E736" s="15" t="n"/>
      <c r="F736" s="15" t="n"/>
      <c r="G736" s="17" t="n"/>
      <c r="H736" s="15">
        <f>IF(OR(E736="",F736="",G736=""),"", (F736-E736)*G736)</f>
        <v/>
      </c>
      <c r="I736" s="16">
        <f>IF(OR(E736="",F736=""),"", (F736/E736)-1)</f>
        <v/>
      </c>
      <c r="J736" s="17">
        <f>IF(OR(C736="",D736=""),"", D736-C736)</f>
        <v/>
      </c>
      <c r="K736" s="17" t="n"/>
    </row>
    <row r="737">
      <c r="A737" s="17" t="n"/>
      <c r="B737" s="17" t="n"/>
      <c r="C737" s="17" t="n"/>
      <c r="D737" s="17" t="n"/>
      <c r="E737" s="15" t="n"/>
      <c r="F737" s="15" t="n"/>
      <c r="G737" s="17" t="n"/>
      <c r="H737" s="15">
        <f>IF(OR(E737="",F737="",G737=""),"", (F737-E737)*G737)</f>
        <v/>
      </c>
      <c r="I737" s="16">
        <f>IF(OR(E737="",F737=""),"", (F737/E737)-1)</f>
        <v/>
      </c>
      <c r="J737" s="17">
        <f>IF(OR(C737="",D737=""),"", D737-C737)</f>
        <v/>
      </c>
      <c r="K737" s="17" t="n"/>
    </row>
    <row r="738">
      <c r="A738" s="17" t="n"/>
      <c r="B738" s="17" t="n"/>
      <c r="C738" s="17" t="n"/>
      <c r="D738" s="17" t="n"/>
      <c r="E738" s="15" t="n"/>
      <c r="F738" s="15" t="n"/>
      <c r="G738" s="17" t="n"/>
      <c r="H738" s="15">
        <f>IF(OR(E738="",F738="",G738=""),"", (F738-E738)*G738)</f>
        <v/>
      </c>
      <c r="I738" s="16">
        <f>IF(OR(E738="",F738=""),"", (F738/E738)-1)</f>
        <v/>
      </c>
      <c r="J738" s="17">
        <f>IF(OR(C738="",D738=""),"", D738-C738)</f>
        <v/>
      </c>
      <c r="K738" s="17" t="n"/>
    </row>
    <row r="739">
      <c r="A739" s="17" t="n"/>
      <c r="B739" s="17" t="n"/>
      <c r="C739" s="17" t="n"/>
      <c r="D739" s="17" t="n"/>
      <c r="E739" s="15" t="n"/>
      <c r="F739" s="15" t="n"/>
      <c r="G739" s="17" t="n"/>
      <c r="H739" s="15">
        <f>IF(OR(E739="",F739="",G739=""),"", (F739-E739)*G739)</f>
        <v/>
      </c>
      <c r="I739" s="16">
        <f>IF(OR(E739="",F739=""),"", (F739/E739)-1)</f>
        <v/>
      </c>
      <c r="J739" s="17">
        <f>IF(OR(C739="",D739=""),"", D739-C739)</f>
        <v/>
      </c>
      <c r="K739" s="17" t="n"/>
    </row>
    <row r="740">
      <c r="A740" s="17" t="n"/>
      <c r="B740" s="17" t="n"/>
      <c r="C740" s="17" t="n"/>
      <c r="D740" s="17" t="n"/>
      <c r="E740" s="15" t="n"/>
      <c r="F740" s="15" t="n"/>
      <c r="G740" s="17" t="n"/>
      <c r="H740" s="15">
        <f>IF(OR(E740="",F740="",G740=""),"", (F740-E740)*G740)</f>
        <v/>
      </c>
      <c r="I740" s="16">
        <f>IF(OR(E740="",F740=""),"", (F740/E740)-1)</f>
        <v/>
      </c>
      <c r="J740" s="17">
        <f>IF(OR(C740="",D740=""),"", D740-C740)</f>
        <v/>
      </c>
      <c r="K740" s="17" t="n"/>
    </row>
    <row r="741">
      <c r="A741" s="17" t="n"/>
      <c r="B741" s="17" t="n"/>
      <c r="C741" s="17" t="n"/>
      <c r="D741" s="17" t="n"/>
      <c r="E741" s="15" t="n"/>
      <c r="F741" s="15" t="n"/>
      <c r="G741" s="17" t="n"/>
      <c r="H741" s="15">
        <f>IF(OR(E741="",F741="",G741=""),"", (F741-E741)*G741)</f>
        <v/>
      </c>
      <c r="I741" s="16">
        <f>IF(OR(E741="",F741=""),"", (F741/E741)-1)</f>
        <v/>
      </c>
      <c r="J741" s="17">
        <f>IF(OR(C741="",D741=""),"", D741-C741)</f>
        <v/>
      </c>
      <c r="K741" s="17" t="n"/>
    </row>
    <row r="742">
      <c r="A742" s="17" t="n"/>
      <c r="B742" s="17" t="n"/>
      <c r="C742" s="17" t="n"/>
      <c r="D742" s="17" t="n"/>
      <c r="E742" s="15" t="n"/>
      <c r="F742" s="15" t="n"/>
      <c r="G742" s="17" t="n"/>
      <c r="H742" s="15">
        <f>IF(OR(E742="",F742="",G742=""),"", (F742-E742)*G742)</f>
        <v/>
      </c>
      <c r="I742" s="16">
        <f>IF(OR(E742="",F742=""),"", (F742/E742)-1)</f>
        <v/>
      </c>
      <c r="J742" s="17">
        <f>IF(OR(C742="",D742=""),"", D742-C742)</f>
        <v/>
      </c>
      <c r="K742" s="17" t="n"/>
    </row>
    <row r="743">
      <c r="A743" s="17" t="n"/>
      <c r="B743" s="17" t="n"/>
      <c r="C743" s="17" t="n"/>
      <c r="D743" s="17" t="n"/>
      <c r="E743" s="15" t="n"/>
      <c r="F743" s="15" t="n"/>
      <c r="G743" s="17" t="n"/>
      <c r="H743" s="15">
        <f>IF(OR(E743="",F743="",G743=""),"", (F743-E743)*G743)</f>
        <v/>
      </c>
      <c r="I743" s="16">
        <f>IF(OR(E743="",F743=""),"", (F743/E743)-1)</f>
        <v/>
      </c>
      <c r="J743" s="17">
        <f>IF(OR(C743="",D743=""),"", D743-C743)</f>
        <v/>
      </c>
      <c r="K743" s="17" t="n"/>
    </row>
    <row r="744">
      <c r="A744" s="17" t="n"/>
      <c r="B744" s="17" t="n"/>
      <c r="C744" s="17" t="n"/>
      <c r="D744" s="17" t="n"/>
      <c r="E744" s="15" t="n"/>
      <c r="F744" s="15" t="n"/>
      <c r="G744" s="17" t="n"/>
      <c r="H744" s="15">
        <f>IF(OR(E744="",F744="",G744=""),"", (F744-E744)*G744)</f>
        <v/>
      </c>
      <c r="I744" s="16">
        <f>IF(OR(E744="",F744=""),"", (F744/E744)-1)</f>
        <v/>
      </c>
      <c r="J744" s="17">
        <f>IF(OR(C744="",D744=""),"", D744-C744)</f>
        <v/>
      </c>
      <c r="K744" s="17" t="n"/>
    </row>
    <row r="745">
      <c r="A745" s="17" t="n"/>
      <c r="B745" s="17" t="n"/>
      <c r="C745" s="17" t="n"/>
      <c r="D745" s="17" t="n"/>
      <c r="E745" s="15" t="n"/>
      <c r="F745" s="15" t="n"/>
      <c r="G745" s="17" t="n"/>
      <c r="H745" s="15">
        <f>IF(OR(E745="",F745="",G745=""),"", (F745-E745)*G745)</f>
        <v/>
      </c>
      <c r="I745" s="16">
        <f>IF(OR(E745="",F745=""),"", (F745/E745)-1)</f>
        <v/>
      </c>
      <c r="J745" s="17">
        <f>IF(OR(C745="",D745=""),"", D745-C745)</f>
        <v/>
      </c>
      <c r="K745" s="17" t="n"/>
    </row>
    <row r="746">
      <c r="A746" s="17" t="n"/>
      <c r="B746" s="17" t="n"/>
      <c r="C746" s="17" t="n"/>
      <c r="D746" s="17" t="n"/>
      <c r="E746" s="15" t="n"/>
      <c r="F746" s="15" t="n"/>
      <c r="G746" s="17" t="n"/>
      <c r="H746" s="15">
        <f>IF(OR(E746="",F746="",G746=""),"", (F746-E746)*G746)</f>
        <v/>
      </c>
      <c r="I746" s="16">
        <f>IF(OR(E746="",F746=""),"", (F746/E746)-1)</f>
        <v/>
      </c>
      <c r="J746" s="17">
        <f>IF(OR(C746="",D746=""),"", D746-C746)</f>
        <v/>
      </c>
      <c r="K746" s="17" t="n"/>
    </row>
    <row r="747">
      <c r="A747" s="17" t="n"/>
      <c r="B747" s="17" t="n"/>
      <c r="C747" s="17" t="n"/>
      <c r="D747" s="17" t="n"/>
      <c r="E747" s="15" t="n"/>
      <c r="F747" s="15" t="n"/>
      <c r="G747" s="17" t="n"/>
      <c r="H747" s="15">
        <f>IF(OR(E747="",F747="",G747=""),"", (F747-E747)*G747)</f>
        <v/>
      </c>
      <c r="I747" s="16">
        <f>IF(OR(E747="",F747=""),"", (F747/E747)-1)</f>
        <v/>
      </c>
      <c r="J747" s="17">
        <f>IF(OR(C747="",D747=""),"", D747-C747)</f>
        <v/>
      </c>
      <c r="K747" s="17" t="n"/>
    </row>
    <row r="748">
      <c r="A748" s="17" t="n"/>
      <c r="B748" s="17" t="n"/>
      <c r="C748" s="17" t="n"/>
      <c r="D748" s="17" t="n"/>
      <c r="E748" s="15" t="n"/>
      <c r="F748" s="15" t="n"/>
      <c r="G748" s="17" t="n"/>
      <c r="H748" s="15">
        <f>IF(OR(E748="",F748="",G748=""),"", (F748-E748)*G748)</f>
        <v/>
      </c>
      <c r="I748" s="16">
        <f>IF(OR(E748="",F748=""),"", (F748/E748)-1)</f>
        <v/>
      </c>
      <c r="J748" s="17">
        <f>IF(OR(C748="",D748=""),"", D748-C748)</f>
        <v/>
      </c>
      <c r="K748" s="17" t="n"/>
    </row>
    <row r="749">
      <c r="A749" s="17" t="n"/>
      <c r="B749" s="17" t="n"/>
      <c r="C749" s="17" t="n"/>
      <c r="D749" s="17" t="n"/>
      <c r="E749" s="15" t="n"/>
      <c r="F749" s="15" t="n"/>
      <c r="G749" s="17" t="n"/>
      <c r="H749" s="15">
        <f>IF(OR(E749="",F749="",G749=""),"", (F749-E749)*G749)</f>
        <v/>
      </c>
      <c r="I749" s="16">
        <f>IF(OR(E749="",F749=""),"", (F749/E749)-1)</f>
        <v/>
      </c>
      <c r="J749" s="17">
        <f>IF(OR(C749="",D749=""),"", D749-C749)</f>
        <v/>
      </c>
      <c r="K749" s="17" t="n"/>
    </row>
    <row r="750">
      <c r="A750" s="17" t="n"/>
      <c r="B750" s="17" t="n"/>
      <c r="C750" s="17" t="n"/>
      <c r="D750" s="17" t="n"/>
      <c r="E750" s="15" t="n"/>
      <c r="F750" s="15" t="n"/>
      <c r="G750" s="17" t="n"/>
      <c r="H750" s="15">
        <f>IF(OR(E750="",F750="",G750=""),"", (F750-E750)*G750)</f>
        <v/>
      </c>
      <c r="I750" s="16">
        <f>IF(OR(E750="",F750=""),"", (F750/E750)-1)</f>
        <v/>
      </c>
      <c r="J750" s="17">
        <f>IF(OR(C750="",D750=""),"", D750-C750)</f>
        <v/>
      </c>
      <c r="K750" s="17" t="n"/>
    </row>
    <row r="751">
      <c r="A751" s="17" t="n"/>
      <c r="B751" s="17" t="n"/>
      <c r="C751" s="17" t="n"/>
      <c r="D751" s="17" t="n"/>
      <c r="E751" s="15" t="n"/>
      <c r="F751" s="15" t="n"/>
      <c r="G751" s="17" t="n"/>
      <c r="H751" s="15">
        <f>IF(OR(E751="",F751="",G751=""),"", (F751-E751)*G751)</f>
        <v/>
      </c>
      <c r="I751" s="16">
        <f>IF(OR(E751="",F751=""),"", (F751/E751)-1)</f>
        <v/>
      </c>
      <c r="J751" s="17">
        <f>IF(OR(C751="",D751=""),"", D751-C751)</f>
        <v/>
      </c>
      <c r="K751" s="17" t="n"/>
    </row>
    <row r="752">
      <c r="A752" s="17" t="n"/>
      <c r="B752" s="17" t="n"/>
      <c r="C752" s="17" t="n"/>
      <c r="D752" s="17" t="n"/>
      <c r="E752" s="15" t="n"/>
      <c r="F752" s="15" t="n"/>
      <c r="G752" s="17" t="n"/>
      <c r="H752" s="15">
        <f>IF(OR(E752="",F752="",G752=""),"", (F752-E752)*G752)</f>
        <v/>
      </c>
      <c r="I752" s="16">
        <f>IF(OR(E752="",F752=""),"", (F752/E752)-1)</f>
        <v/>
      </c>
      <c r="J752" s="17">
        <f>IF(OR(C752="",D752=""),"", D752-C752)</f>
        <v/>
      </c>
      <c r="K752" s="17" t="n"/>
    </row>
    <row r="753">
      <c r="A753" s="17" t="n"/>
      <c r="B753" s="17" t="n"/>
      <c r="C753" s="17" t="n"/>
      <c r="D753" s="17" t="n"/>
      <c r="E753" s="15" t="n"/>
      <c r="F753" s="15" t="n"/>
      <c r="G753" s="17" t="n"/>
      <c r="H753" s="15">
        <f>IF(OR(E753="",F753="",G753=""),"", (F753-E753)*G753)</f>
        <v/>
      </c>
      <c r="I753" s="16">
        <f>IF(OR(E753="",F753=""),"", (F753/E753)-1)</f>
        <v/>
      </c>
      <c r="J753" s="17">
        <f>IF(OR(C753="",D753=""),"", D753-C753)</f>
        <v/>
      </c>
      <c r="K753" s="17" t="n"/>
    </row>
    <row r="754">
      <c r="A754" s="17" t="n"/>
      <c r="B754" s="17" t="n"/>
      <c r="C754" s="17" t="n"/>
      <c r="D754" s="17" t="n"/>
      <c r="E754" s="15" t="n"/>
      <c r="F754" s="15" t="n"/>
      <c r="G754" s="17" t="n"/>
      <c r="H754" s="15">
        <f>IF(OR(E754="",F754="",G754=""),"", (F754-E754)*G754)</f>
        <v/>
      </c>
      <c r="I754" s="16">
        <f>IF(OR(E754="",F754=""),"", (F754/E754)-1)</f>
        <v/>
      </c>
      <c r="J754" s="17">
        <f>IF(OR(C754="",D754=""),"", D754-C754)</f>
        <v/>
      </c>
      <c r="K754" s="17" t="n"/>
    </row>
    <row r="755">
      <c r="A755" s="17" t="n"/>
      <c r="B755" s="17" t="n"/>
      <c r="C755" s="17" t="n"/>
      <c r="D755" s="17" t="n"/>
      <c r="E755" s="15" t="n"/>
      <c r="F755" s="15" t="n"/>
      <c r="G755" s="17" t="n"/>
      <c r="H755" s="15">
        <f>IF(OR(E755="",F755="",G755=""),"", (F755-E755)*G755)</f>
        <v/>
      </c>
      <c r="I755" s="16">
        <f>IF(OR(E755="",F755=""),"", (F755/E755)-1)</f>
        <v/>
      </c>
      <c r="J755" s="17">
        <f>IF(OR(C755="",D755=""),"", D755-C755)</f>
        <v/>
      </c>
      <c r="K755" s="17" t="n"/>
    </row>
    <row r="756">
      <c r="A756" s="17" t="n"/>
      <c r="B756" s="17" t="n"/>
      <c r="C756" s="17" t="n"/>
      <c r="D756" s="17" t="n"/>
      <c r="E756" s="15" t="n"/>
      <c r="F756" s="15" t="n"/>
      <c r="G756" s="17" t="n"/>
      <c r="H756" s="15">
        <f>IF(OR(E756="",F756="",G756=""),"", (F756-E756)*G756)</f>
        <v/>
      </c>
      <c r="I756" s="16">
        <f>IF(OR(E756="",F756=""),"", (F756/E756)-1)</f>
        <v/>
      </c>
      <c r="J756" s="17">
        <f>IF(OR(C756="",D756=""),"", D756-C756)</f>
        <v/>
      </c>
      <c r="K756" s="17" t="n"/>
    </row>
    <row r="757">
      <c r="A757" s="17" t="n"/>
      <c r="B757" s="17" t="n"/>
      <c r="C757" s="17" t="n"/>
      <c r="D757" s="17" t="n"/>
      <c r="E757" s="15" t="n"/>
      <c r="F757" s="15" t="n"/>
      <c r="G757" s="17" t="n"/>
      <c r="H757" s="15">
        <f>IF(OR(E757="",F757="",G757=""),"", (F757-E757)*G757)</f>
        <v/>
      </c>
      <c r="I757" s="16">
        <f>IF(OR(E757="",F757=""),"", (F757/E757)-1)</f>
        <v/>
      </c>
      <c r="J757" s="17">
        <f>IF(OR(C757="",D757=""),"", D757-C757)</f>
        <v/>
      </c>
      <c r="K757" s="17" t="n"/>
    </row>
    <row r="758">
      <c r="A758" s="17" t="n"/>
      <c r="B758" s="17" t="n"/>
      <c r="C758" s="17" t="n"/>
      <c r="D758" s="17" t="n"/>
      <c r="E758" s="15" t="n"/>
      <c r="F758" s="15" t="n"/>
      <c r="G758" s="17" t="n"/>
      <c r="H758" s="15">
        <f>IF(OR(E758="",F758="",G758=""),"", (F758-E758)*G758)</f>
        <v/>
      </c>
      <c r="I758" s="16">
        <f>IF(OR(E758="",F758=""),"", (F758/E758)-1)</f>
        <v/>
      </c>
      <c r="J758" s="17">
        <f>IF(OR(C758="",D758=""),"", D758-C758)</f>
        <v/>
      </c>
      <c r="K758" s="17" t="n"/>
    </row>
    <row r="759">
      <c r="A759" s="17" t="n"/>
      <c r="B759" s="17" t="n"/>
      <c r="C759" s="17" t="n"/>
      <c r="D759" s="17" t="n"/>
      <c r="E759" s="15" t="n"/>
      <c r="F759" s="15" t="n"/>
      <c r="G759" s="17" t="n"/>
      <c r="H759" s="15">
        <f>IF(OR(E759="",F759="",G759=""),"", (F759-E759)*G759)</f>
        <v/>
      </c>
      <c r="I759" s="16">
        <f>IF(OR(E759="",F759=""),"", (F759/E759)-1)</f>
        <v/>
      </c>
      <c r="J759" s="17">
        <f>IF(OR(C759="",D759=""),"", D759-C759)</f>
        <v/>
      </c>
      <c r="K759" s="17" t="n"/>
    </row>
    <row r="760">
      <c r="A760" s="17" t="n"/>
      <c r="B760" s="17" t="n"/>
      <c r="C760" s="17" t="n"/>
      <c r="D760" s="17" t="n"/>
      <c r="E760" s="15" t="n"/>
      <c r="F760" s="15" t="n"/>
      <c r="G760" s="17" t="n"/>
      <c r="H760" s="15">
        <f>IF(OR(E760="",F760="",G760=""),"", (F760-E760)*G760)</f>
        <v/>
      </c>
      <c r="I760" s="16">
        <f>IF(OR(E760="",F760=""),"", (F760/E760)-1)</f>
        <v/>
      </c>
      <c r="J760" s="17">
        <f>IF(OR(C760="",D760=""),"", D760-C760)</f>
        <v/>
      </c>
      <c r="K760" s="17" t="n"/>
    </row>
    <row r="761">
      <c r="A761" s="17" t="n"/>
      <c r="B761" s="17" t="n"/>
      <c r="C761" s="17" t="n"/>
      <c r="D761" s="17" t="n"/>
      <c r="E761" s="15" t="n"/>
      <c r="F761" s="15" t="n"/>
      <c r="G761" s="17" t="n"/>
      <c r="H761" s="15">
        <f>IF(OR(E761="",F761="",G761=""),"", (F761-E761)*G761)</f>
        <v/>
      </c>
      <c r="I761" s="16">
        <f>IF(OR(E761="",F761=""),"", (F761/E761)-1)</f>
        <v/>
      </c>
      <c r="J761" s="17">
        <f>IF(OR(C761="",D761=""),"", D761-C761)</f>
        <v/>
      </c>
      <c r="K761" s="17" t="n"/>
    </row>
    <row r="762">
      <c r="A762" s="17" t="n"/>
      <c r="B762" s="17" t="n"/>
      <c r="C762" s="17" t="n"/>
      <c r="D762" s="17" t="n"/>
      <c r="E762" s="15" t="n"/>
      <c r="F762" s="15" t="n"/>
      <c r="G762" s="17" t="n"/>
      <c r="H762" s="15">
        <f>IF(OR(E762="",F762="",G762=""),"", (F762-E762)*G762)</f>
        <v/>
      </c>
      <c r="I762" s="16">
        <f>IF(OR(E762="",F762=""),"", (F762/E762)-1)</f>
        <v/>
      </c>
      <c r="J762" s="17">
        <f>IF(OR(C762="",D762=""),"", D762-C762)</f>
        <v/>
      </c>
      <c r="K762" s="17" t="n"/>
    </row>
    <row r="763">
      <c r="A763" s="17" t="n"/>
      <c r="B763" s="17" t="n"/>
      <c r="C763" s="17" t="n"/>
      <c r="D763" s="17" t="n"/>
      <c r="E763" s="15" t="n"/>
      <c r="F763" s="15" t="n"/>
      <c r="G763" s="17" t="n"/>
      <c r="H763" s="15">
        <f>IF(OR(E763="",F763="",G763=""),"", (F763-E763)*G763)</f>
        <v/>
      </c>
      <c r="I763" s="16">
        <f>IF(OR(E763="",F763=""),"", (F763/E763)-1)</f>
        <v/>
      </c>
      <c r="J763" s="17">
        <f>IF(OR(C763="",D763=""),"", D763-C763)</f>
        <v/>
      </c>
      <c r="K763" s="17" t="n"/>
    </row>
    <row r="764">
      <c r="A764" s="17" t="n"/>
      <c r="B764" s="17" t="n"/>
      <c r="C764" s="17" t="n"/>
      <c r="D764" s="17" t="n"/>
      <c r="E764" s="15" t="n"/>
      <c r="F764" s="15" t="n"/>
      <c r="G764" s="17" t="n"/>
      <c r="H764" s="15">
        <f>IF(OR(E764="",F764="",G764=""),"", (F764-E764)*G764)</f>
        <v/>
      </c>
      <c r="I764" s="16">
        <f>IF(OR(E764="",F764=""),"", (F764/E764)-1)</f>
        <v/>
      </c>
      <c r="J764" s="17">
        <f>IF(OR(C764="",D764=""),"", D764-C764)</f>
        <v/>
      </c>
      <c r="K764" s="17" t="n"/>
    </row>
    <row r="765">
      <c r="A765" s="17" t="n"/>
      <c r="B765" s="17" t="n"/>
      <c r="C765" s="17" t="n"/>
      <c r="D765" s="17" t="n"/>
      <c r="E765" s="15" t="n"/>
      <c r="F765" s="15" t="n"/>
      <c r="G765" s="17" t="n"/>
      <c r="H765" s="15">
        <f>IF(OR(E765="",F765="",G765=""),"", (F765-E765)*G765)</f>
        <v/>
      </c>
      <c r="I765" s="16">
        <f>IF(OR(E765="",F765=""),"", (F765/E765)-1)</f>
        <v/>
      </c>
      <c r="J765" s="17">
        <f>IF(OR(C765="",D765=""),"", D765-C765)</f>
        <v/>
      </c>
      <c r="K765" s="17" t="n"/>
    </row>
    <row r="766">
      <c r="A766" s="17" t="n"/>
      <c r="B766" s="17" t="n"/>
      <c r="C766" s="17" t="n"/>
      <c r="D766" s="17" t="n"/>
      <c r="E766" s="15" t="n"/>
      <c r="F766" s="15" t="n"/>
      <c r="G766" s="17" t="n"/>
      <c r="H766" s="15">
        <f>IF(OR(E766="",F766="",G766=""),"", (F766-E766)*G766)</f>
        <v/>
      </c>
      <c r="I766" s="16">
        <f>IF(OR(E766="",F766=""),"", (F766/E766)-1)</f>
        <v/>
      </c>
      <c r="J766" s="17">
        <f>IF(OR(C766="",D766=""),"", D766-C766)</f>
        <v/>
      </c>
      <c r="K766" s="17" t="n"/>
    </row>
    <row r="767">
      <c r="A767" s="17" t="n"/>
      <c r="B767" s="17" t="n"/>
      <c r="C767" s="17" t="n"/>
      <c r="D767" s="17" t="n"/>
      <c r="E767" s="15" t="n"/>
      <c r="F767" s="15" t="n"/>
      <c r="G767" s="17" t="n"/>
      <c r="H767" s="15">
        <f>IF(OR(E767="",F767="",G767=""),"", (F767-E767)*G767)</f>
        <v/>
      </c>
      <c r="I767" s="16">
        <f>IF(OR(E767="",F767=""),"", (F767/E767)-1)</f>
        <v/>
      </c>
      <c r="J767" s="17">
        <f>IF(OR(C767="",D767=""),"", D767-C767)</f>
        <v/>
      </c>
      <c r="K767" s="17" t="n"/>
    </row>
    <row r="768">
      <c r="A768" s="17" t="n"/>
      <c r="B768" s="17" t="n"/>
      <c r="C768" s="17" t="n"/>
      <c r="D768" s="17" t="n"/>
      <c r="E768" s="15" t="n"/>
      <c r="F768" s="15" t="n"/>
      <c r="G768" s="17" t="n"/>
      <c r="H768" s="15">
        <f>IF(OR(E768="",F768="",G768=""),"", (F768-E768)*G768)</f>
        <v/>
      </c>
      <c r="I768" s="16">
        <f>IF(OR(E768="",F768=""),"", (F768/E768)-1)</f>
        <v/>
      </c>
      <c r="J768" s="17">
        <f>IF(OR(C768="",D768=""),"", D768-C768)</f>
        <v/>
      </c>
      <c r="K768" s="17" t="n"/>
    </row>
    <row r="769">
      <c r="A769" s="17" t="n"/>
      <c r="B769" s="17" t="n"/>
      <c r="C769" s="17" t="n"/>
      <c r="D769" s="17" t="n"/>
      <c r="E769" s="15" t="n"/>
      <c r="F769" s="15" t="n"/>
      <c r="G769" s="17" t="n"/>
      <c r="H769" s="15">
        <f>IF(OR(E769="",F769="",G769=""),"", (F769-E769)*G769)</f>
        <v/>
      </c>
      <c r="I769" s="16">
        <f>IF(OR(E769="",F769=""),"", (F769/E769)-1)</f>
        <v/>
      </c>
      <c r="J769" s="17">
        <f>IF(OR(C769="",D769=""),"", D769-C769)</f>
        <v/>
      </c>
      <c r="K769" s="17" t="n"/>
    </row>
    <row r="770">
      <c r="A770" s="17" t="n"/>
      <c r="B770" s="17" t="n"/>
      <c r="C770" s="17" t="n"/>
      <c r="D770" s="17" t="n"/>
      <c r="E770" s="15" t="n"/>
      <c r="F770" s="15" t="n"/>
      <c r="G770" s="17" t="n"/>
      <c r="H770" s="15">
        <f>IF(OR(E770="",F770="",G770=""),"", (F770-E770)*G770)</f>
        <v/>
      </c>
      <c r="I770" s="16">
        <f>IF(OR(E770="",F770=""),"", (F770/E770)-1)</f>
        <v/>
      </c>
      <c r="J770" s="17">
        <f>IF(OR(C770="",D770=""),"", D770-C770)</f>
        <v/>
      </c>
      <c r="K770" s="17" t="n"/>
    </row>
    <row r="771">
      <c r="A771" s="17" t="n"/>
      <c r="B771" s="17" t="n"/>
      <c r="C771" s="17" t="n"/>
      <c r="D771" s="17" t="n"/>
      <c r="E771" s="15" t="n"/>
      <c r="F771" s="15" t="n"/>
      <c r="G771" s="17" t="n"/>
      <c r="H771" s="15">
        <f>IF(OR(E771="",F771="",G771=""),"", (F771-E771)*G771)</f>
        <v/>
      </c>
      <c r="I771" s="16">
        <f>IF(OR(E771="",F771=""),"", (F771/E771)-1)</f>
        <v/>
      </c>
      <c r="J771" s="17">
        <f>IF(OR(C771="",D771=""),"", D771-C771)</f>
        <v/>
      </c>
      <c r="K771" s="17" t="n"/>
    </row>
    <row r="772">
      <c r="A772" s="17" t="n"/>
      <c r="B772" s="17" t="n"/>
      <c r="C772" s="17" t="n"/>
      <c r="D772" s="17" t="n"/>
      <c r="E772" s="15" t="n"/>
      <c r="F772" s="15" t="n"/>
      <c r="G772" s="17" t="n"/>
      <c r="H772" s="15">
        <f>IF(OR(E772="",F772="",G772=""),"", (F772-E772)*G772)</f>
        <v/>
      </c>
      <c r="I772" s="16">
        <f>IF(OR(E772="",F772=""),"", (F772/E772)-1)</f>
        <v/>
      </c>
      <c r="J772" s="17">
        <f>IF(OR(C772="",D772=""),"", D772-C772)</f>
        <v/>
      </c>
      <c r="K772" s="17" t="n"/>
    </row>
    <row r="773">
      <c r="A773" s="17" t="n"/>
      <c r="B773" s="17" t="n"/>
      <c r="C773" s="17" t="n"/>
      <c r="D773" s="17" t="n"/>
      <c r="E773" s="15" t="n"/>
      <c r="F773" s="15" t="n"/>
      <c r="G773" s="17" t="n"/>
      <c r="H773" s="15">
        <f>IF(OR(E773="",F773="",G773=""),"", (F773-E773)*G773)</f>
        <v/>
      </c>
      <c r="I773" s="16">
        <f>IF(OR(E773="",F773=""),"", (F773/E773)-1)</f>
        <v/>
      </c>
      <c r="J773" s="17">
        <f>IF(OR(C773="",D773=""),"", D773-C773)</f>
        <v/>
      </c>
      <c r="K773" s="17" t="n"/>
    </row>
    <row r="774">
      <c r="A774" s="17" t="n"/>
      <c r="B774" s="17" t="n"/>
      <c r="C774" s="17" t="n"/>
      <c r="D774" s="17" t="n"/>
      <c r="E774" s="15" t="n"/>
      <c r="F774" s="15" t="n"/>
      <c r="G774" s="17" t="n"/>
      <c r="H774" s="15">
        <f>IF(OR(E774="",F774="",G774=""),"", (F774-E774)*G774)</f>
        <v/>
      </c>
      <c r="I774" s="16">
        <f>IF(OR(E774="",F774=""),"", (F774/E774)-1)</f>
        <v/>
      </c>
      <c r="J774" s="17">
        <f>IF(OR(C774="",D774=""),"", D774-C774)</f>
        <v/>
      </c>
      <c r="K774" s="17" t="n"/>
    </row>
    <row r="775">
      <c r="A775" s="17" t="n"/>
      <c r="B775" s="17" t="n"/>
      <c r="C775" s="17" t="n"/>
      <c r="D775" s="17" t="n"/>
      <c r="E775" s="15" t="n"/>
      <c r="F775" s="15" t="n"/>
      <c r="G775" s="17" t="n"/>
      <c r="H775" s="15">
        <f>IF(OR(E775="",F775="",G775=""),"", (F775-E775)*G775)</f>
        <v/>
      </c>
      <c r="I775" s="16">
        <f>IF(OR(E775="",F775=""),"", (F775/E775)-1)</f>
        <v/>
      </c>
      <c r="J775" s="17">
        <f>IF(OR(C775="",D775=""),"", D775-C775)</f>
        <v/>
      </c>
      <c r="K775" s="17" t="n"/>
    </row>
    <row r="776">
      <c r="A776" s="17" t="n"/>
      <c r="B776" s="17" t="n"/>
      <c r="C776" s="17" t="n"/>
      <c r="D776" s="17" t="n"/>
      <c r="E776" s="15" t="n"/>
      <c r="F776" s="15" t="n"/>
      <c r="G776" s="17" t="n"/>
      <c r="H776" s="15">
        <f>IF(OR(E776="",F776="",G776=""),"", (F776-E776)*G776)</f>
        <v/>
      </c>
      <c r="I776" s="16">
        <f>IF(OR(E776="",F776=""),"", (F776/E776)-1)</f>
        <v/>
      </c>
      <c r="J776" s="17">
        <f>IF(OR(C776="",D776=""),"", D776-C776)</f>
        <v/>
      </c>
      <c r="K776" s="17" t="n"/>
    </row>
    <row r="777">
      <c r="A777" s="17" t="n"/>
      <c r="B777" s="17" t="n"/>
      <c r="C777" s="17" t="n"/>
      <c r="D777" s="17" t="n"/>
      <c r="E777" s="15" t="n"/>
      <c r="F777" s="15" t="n"/>
      <c r="G777" s="17" t="n"/>
      <c r="H777" s="15">
        <f>IF(OR(E777="",F777="",G777=""),"", (F777-E777)*G777)</f>
        <v/>
      </c>
      <c r="I777" s="16">
        <f>IF(OR(E777="",F777=""),"", (F777/E777)-1)</f>
        <v/>
      </c>
      <c r="J777" s="17">
        <f>IF(OR(C777="",D777=""),"", D777-C777)</f>
        <v/>
      </c>
      <c r="K777" s="17" t="n"/>
    </row>
    <row r="778">
      <c r="A778" s="17" t="n"/>
      <c r="B778" s="17" t="n"/>
      <c r="C778" s="17" t="n"/>
      <c r="D778" s="17" t="n"/>
      <c r="E778" s="15" t="n"/>
      <c r="F778" s="15" t="n"/>
      <c r="G778" s="17" t="n"/>
      <c r="H778" s="15">
        <f>IF(OR(E778="",F778="",G778=""),"", (F778-E778)*G778)</f>
        <v/>
      </c>
      <c r="I778" s="16">
        <f>IF(OR(E778="",F778=""),"", (F778/E778)-1)</f>
        <v/>
      </c>
      <c r="J778" s="17">
        <f>IF(OR(C778="",D778=""),"", D778-C778)</f>
        <v/>
      </c>
      <c r="K778" s="17" t="n"/>
    </row>
    <row r="779">
      <c r="A779" s="17" t="n"/>
      <c r="B779" s="17" t="n"/>
      <c r="C779" s="17" t="n"/>
      <c r="D779" s="17" t="n"/>
      <c r="E779" s="15" t="n"/>
      <c r="F779" s="15" t="n"/>
      <c r="G779" s="17" t="n"/>
      <c r="H779" s="15">
        <f>IF(OR(E779="",F779="",G779=""),"", (F779-E779)*G779)</f>
        <v/>
      </c>
      <c r="I779" s="16">
        <f>IF(OR(E779="",F779=""),"", (F779/E779)-1)</f>
        <v/>
      </c>
      <c r="J779" s="17">
        <f>IF(OR(C779="",D779=""),"", D779-C779)</f>
        <v/>
      </c>
      <c r="K779" s="17" t="n"/>
    </row>
    <row r="780">
      <c r="A780" s="17" t="n"/>
      <c r="B780" s="17" t="n"/>
      <c r="C780" s="17" t="n"/>
      <c r="D780" s="17" t="n"/>
      <c r="E780" s="15" t="n"/>
      <c r="F780" s="15" t="n"/>
      <c r="G780" s="17" t="n"/>
      <c r="H780" s="15">
        <f>IF(OR(E780="",F780="",G780=""),"", (F780-E780)*G780)</f>
        <v/>
      </c>
      <c r="I780" s="16">
        <f>IF(OR(E780="",F780=""),"", (F780/E780)-1)</f>
        <v/>
      </c>
      <c r="J780" s="17">
        <f>IF(OR(C780="",D780=""),"", D780-C780)</f>
        <v/>
      </c>
      <c r="K780" s="17" t="n"/>
    </row>
    <row r="781">
      <c r="A781" s="17" t="n"/>
      <c r="B781" s="17" t="n"/>
      <c r="C781" s="17" t="n"/>
      <c r="D781" s="17" t="n"/>
      <c r="E781" s="15" t="n"/>
      <c r="F781" s="15" t="n"/>
      <c r="G781" s="17" t="n"/>
      <c r="H781" s="15">
        <f>IF(OR(E781="",F781="",G781=""),"", (F781-E781)*G781)</f>
        <v/>
      </c>
      <c r="I781" s="16">
        <f>IF(OR(E781="",F781=""),"", (F781/E781)-1)</f>
        <v/>
      </c>
      <c r="J781" s="17">
        <f>IF(OR(C781="",D781=""),"", D781-C781)</f>
        <v/>
      </c>
      <c r="K781" s="17" t="n"/>
    </row>
    <row r="782">
      <c r="A782" s="17" t="n"/>
      <c r="B782" s="17" t="n"/>
      <c r="C782" s="17" t="n"/>
      <c r="D782" s="17" t="n"/>
      <c r="E782" s="15" t="n"/>
      <c r="F782" s="15" t="n"/>
      <c r="G782" s="17" t="n"/>
      <c r="H782" s="15">
        <f>IF(OR(E782="",F782="",G782=""),"", (F782-E782)*G782)</f>
        <v/>
      </c>
      <c r="I782" s="16">
        <f>IF(OR(E782="",F782=""),"", (F782/E782)-1)</f>
        <v/>
      </c>
      <c r="J782" s="17">
        <f>IF(OR(C782="",D782=""),"", D782-C782)</f>
        <v/>
      </c>
      <c r="K782" s="17" t="n"/>
    </row>
    <row r="783">
      <c r="A783" s="17" t="n"/>
      <c r="B783" s="17" t="n"/>
      <c r="C783" s="17" t="n"/>
      <c r="D783" s="17" t="n"/>
      <c r="E783" s="15" t="n"/>
      <c r="F783" s="15" t="n"/>
      <c r="G783" s="17" t="n"/>
      <c r="H783" s="15">
        <f>IF(OR(E783="",F783="",G783=""),"", (F783-E783)*G783)</f>
        <v/>
      </c>
      <c r="I783" s="16">
        <f>IF(OR(E783="",F783=""),"", (F783/E783)-1)</f>
        <v/>
      </c>
      <c r="J783" s="17">
        <f>IF(OR(C783="",D783=""),"", D783-C783)</f>
        <v/>
      </c>
      <c r="K783" s="17" t="n"/>
    </row>
    <row r="784">
      <c r="A784" s="17" t="n"/>
      <c r="B784" s="17" t="n"/>
      <c r="C784" s="17" t="n"/>
      <c r="D784" s="17" t="n"/>
      <c r="E784" s="15" t="n"/>
      <c r="F784" s="15" t="n"/>
      <c r="G784" s="17" t="n"/>
      <c r="H784" s="15">
        <f>IF(OR(E784="",F784="",G784=""),"", (F784-E784)*G784)</f>
        <v/>
      </c>
      <c r="I784" s="16">
        <f>IF(OR(E784="",F784=""),"", (F784/E784)-1)</f>
        <v/>
      </c>
      <c r="J784" s="17">
        <f>IF(OR(C784="",D784=""),"", D784-C784)</f>
        <v/>
      </c>
      <c r="K784" s="17" t="n"/>
    </row>
    <row r="785">
      <c r="A785" s="17" t="n"/>
      <c r="B785" s="17" t="n"/>
      <c r="C785" s="17" t="n"/>
      <c r="D785" s="17" t="n"/>
      <c r="E785" s="15" t="n"/>
      <c r="F785" s="15" t="n"/>
      <c r="G785" s="17" t="n"/>
      <c r="H785" s="15">
        <f>IF(OR(E785="",F785="",G785=""),"", (F785-E785)*G785)</f>
        <v/>
      </c>
      <c r="I785" s="16">
        <f>IF(OR(E785="",F785=""),"", (F785/E785)-1)</f>
        <v/>
      </c>
      <c r="J785" s="17">
        <f>IF(OR(C785="",D785=""),"", D785-C785)</f>
        <v/>
      </c>
      <c r="K785" s="17" t="n"/>
    </row>
    <row r="786">
      <c r="A786" s="17" t="n"/>
      <c r="B786" s="17" t="n"/>
      <c r="C786" s="17" t="n"/>
      <c r="D786" s="17" t="n"/>
      <c r="E786" s="15" t="n"/>
      <c r="F786" s="15" t="n"/>
      <c r="G786" s="17" t="n"/>
      <c r="H786" s="15">
        <f>IF(OR(E786="",F786="",G786=""),"", (F786-E786)*G786)</f>
        <v/>
      </c>
      <c r="I786" s="16">
        <f>IF(OR(E786="",F786=""),"", (F786/E786)-1)</f>
        <v/>
      </c>
      <c r="J786" s="17">
        <f>IF(OR(C786="",D786=""),"", D786-C786)</f>
        <v/>
      </c>
      <c r="K786" s="17" t="n"/>
    </row>
    <row r="787">
      <c r="A787" s="17" t="n"/>
      <c r="B787" s="17" t="n"/>
      <c r="C787" s="17" t="n"/>
      <c r="D787" s="17" t="n"/>
      <c r="E787" s="15" t="n"/>
      <c r="F787" s="15" t="n"/>
      <c r="G787" s="17" t="n"/>
      <c r="H787" s="15">
        <f>IF(OR(E787="",F787="",G787=""),"", (F787-E787)*G787)</f>
        <v/>
      </c>
      <c r="I787" s="16">
        <f>IF(OR(E787="",F787=""),"", (F787/E787)-1)</f>
        <v/>
      </c>
      <c r="J787" s="17">
        <f>IF(OR(C787="",D787=""),"", D787-C787)</f>
        <v/>
      </c>
      <c r="K787" s="17" t="n"/>
    </row>
    <row r="788">
      <c r="A788" s="17" t="n"/>
      <c r="B788" s="17" t="n"/>
      <c r="C788" s="17" t="n"/>
      <c r="D788" s="17" t="n"/>
      <c r="E788" s="15" t="n"/>
      <c r="F788" s="15" t="n"/>
      <c r="G788" s="17" t="n"/>
      <c r="H788" s="15">
        <f>IF(OR(E788="",F788="",G788=""),"", (F788-E788)*G788)</f>
        <v/>
      </c>
      <c r="I788" s="16">
        <f>IF(OR(E788="",F788=""),"", (F788/E788)-1)</f>
        <v/>
      </c>
      <c r="J788" s="17">
        <f>IF(OR(C788="",D788=""),"", D788-C788)</f>
        <v/>
      </c>
      <c r="K788" s="17" t="n"/>
    </row>
    <row r="789">
      <c r="A789" s="17" t="n"/>
      <c r="B789" s="17" t="n"/>
      <c r="C789" s="17" t="n"/>
      <c r="D789" s="17" t="n"/>
      <c r="E789" s="15" t="n"/>
      <c r="F789" s="15" t="n"/>
      <c r="G789" s="17" t="n"/>
      <c r="H789" s="15">
        <f>IF(OR(E789="",F789="",G789=""),"", (F789-E789)*G789)</f>
        <v/>
      </c>
      <c r="I789" s="16">
        <f>IF(OR(E789="",F789=""),"", (F789/E789)-1)</f>
        <v/>
      </c>
      <c r="J789" s="17">
        <f>IF(OR(C789="",D789=""),"", D789-C789)</f>
        <v/>
      </c>
      <c r="K789" s="17" t="n"/>
    </row>
    <row r="790">
      <c r="A790" s="17" t="n"/>
      <c r="B790" s="17" t="n"/>
      <c r="C790" s="17" t="n"/>
      <c r="D790" s="17" t="n"/>
      <c r="E790" s="15" t="n"/>
      <c r="F790" s="15" t="n"/>
      <c r="G790" s="17" t="n"/>
      <c r="H790" s="15">
        <f>IF(OR(E790="",F790="",G790=""),"", (F790-E790)*G790)</f>
        <v/>
      </c>
      <c r="I790" s="16">
        <f>IF(OR(E790="",F790=""),"", (F790/E790)-1)</f>
        <v/>
      </c>
      <c r="J790" s="17">
        <f>IF(OR(C790="",D790=""),"", D790-C790)</f>
        <v/>
      </c>
      <c r="K790" s="17" t="n"/>
    </row>
    <row r="791">
      <c r="A791" s="17" t="n"/>
      <c r="B791" s="17" t="n"/>
      <c r="C791" s="17" t="n"/>
      <c r="D791" s="17" t="n"/>
      <c r="E791" s="15" t="n"/>
      <c r="F791" s="15" t="n"/>
      <c r="G791" s="17" t="n"/>
      <c r="H791" s="15">
        <f>IF(OR(E791="",F791="",G791=""),"", (F791-E791)*G791)</f>
        <v/>
      </c>
      <c r="I791" s="16">
        <f>IF(OR(E791="",F791=""),"", (F791/E791)-1)</f>
        <v/>
      </c>
      <c r="J791" s="17">
        <f>IF(OR(C791="",D791=""),"", D791-C791)</f>
        <v/>
      </c>
      <c r="K791" s="17" t="n"/>
    </row>
    <row r="792">
      <c r="A792" s="17" t="n"/>
      <c r="B792" s="17" t="n"/>
      <c r="C792" s="17" t="n"/>
      <c r="D792" s="17" t="n"/>
      <c r="E792" s="15" t="n"/>
      <c r="F792" s="15" t="n"/>
      <c r="G792" s="17" t="n"/>
      <c r="H792" s="15">
        <f>IF(OR(E792="",F792="",G792=""),"", (F792-E792)*G792)</f>
        <v/>
      </c>
      <c r="I792" s="16">
        <f>IF(OR(E792="",F792=""),"", (F792/E792)-1)</f>
        <v/>
      </c>
      <c r="J792" s="17">
        <f>IF(OR(C792="",D792=""),"", D792-C792)</f>
        <v/>
      </c>
      <c r="K792" s="17" t="n"/>
    </row>
    <row r="793">
      <c r="A793" s="17" t="n"/>
      <c r="B793" s="17" t="n"/>
      <c r="C793" s="17" t="n"/>
      <c r="D793" s="17" t="n"/>
      <c r="E793" s="15" t="n"/>
      <c r="F793" s="15" t="n"/>
      <c r="G793" s="17" t="n"/>
      <c r="H793" s="15">
        <f>IF(OR(E793="",F793="",G793=""),"", (F793-E793)*G793)</f>
        <v/>
      </c>
      <c r="I793" s="16">
        <f>IF(OR(E793="",F793=""),"", (F793/E793)-1)</f>
        <v/>
      </c>
      <c r="J793" s="17">
        <f>IF(OR(C793="",D793=""),"", D793-C793)</f>
        <v/>
      </c>
      <c r="K793" s="17" t="n"/>
    </row>
    <row r="794">
      <c r="A794" s="17" t="n"/>
      <c r="B794" s="17" t="n"/>
      <c r="C794" s="17" t="n"/>
      <c r="D794" s="17" t="n"/>
      <c r="E794" s="15" t="n"/>
      <c r="F794" s="15" t="n"/>
      <c r="G794" s="17" t="n"/>
      <c r="H794" s="15">
        <f>IF(OR(E794="",F794="",G794=""),"", (F794-E794)*G794)</f>
        <v/>
      </c>
      <c r="I794" s="16">
        <f>IF(OR(E794="",F794=""),"", (F794/E794)-1)</f>
        <v/>
      </c>
      <c r="J794" s="17">
        <f>IF(OR(C794="",D794=""),"", D794-C794)</f>
        <v/>
      </c>
      <c r="K794" s="17" t="n"/>
    </row>
    <row r="795">
      <c r="A795" s="17" t="n"/>
      <c r="B795" s="17" t="n"/>
      <c r="C795" s="17" t="n"/>
      <c r="D795" s="17" t="n"/>
      <c r="E795" s="15" t="n"/>
      <c r="F795" s="15" t="n"/>
      <c r="G795" s="17" t="n"/>
      <c r="H795" s="15">
        <f>IF(OR(E795="",F795="",G795=""),"", (F795-E795)*G795)</f>
        <v/>
      </c>
      <c r="I795" s="16">
        <f>IF(OR(E795="",F795=""),"", (F795/E795)-1)</f>
        <v/>
      </c>
      <c r="J795" s="17">
        <f>IF(OR(C795="",D795=""),"", D795-C795)</f>
        <v/>
      </c>
      <c r="K795" s="17" t="n"/>
    </row>
    <row r="796">
      <c r="A796" s="17" t="n"/>
      <c r="B796" s="17" t="n"/>
      <c r="C796" s="17" t="n"/>
      <c r="D796" s="17" t="n"/>
      <c r="E796" s="15" t="n"/>
      <c r="F796" s="15" t="n"/>
      <c r="G796" s="17" t="n"/>
      <c r="H796" s="15">
        <f>IF(OR(E796="",F796="",G796=""),"", (F796-E796)*G796)</f>
        <v/>
      </c>
      <c r="I796" s="16">
        <f>IF(OR(E796="",F796=""),"", (F796/E796)-1)</f>
        <v/>
      </c>
      <c r="J796" s="17">
        <f>IF(OR(C796="",D796=""),"", D796-C796)</f>
        <v/>
      </c>
      <c r="K796" s="17" t="n"/>
    </row>
    <row r="797">
      <c r="A797" s="17" t="n"/>
      <c r="B797" s="17" t="n"/>
      <c r="C797" s="17" t="n"/>
      <c r="D797" s="17" t="n"/>
      <c r="E797" s="15" t="n"/>
      <c r="F797" s="15" t="n"/>
      <c r="G797" s="17" t="n"/>
      <c r="H797" s="15">
        <f>IF(OR(E797="",F797="",G797=""),"", (F797-E797)*G797)</f>
        <v/>
      </c>
      <c r="I797" s="16">
        <f>IF(OR(E797="",F797=""),"", (F797/E797)-1)</f>
        <v/>
      </c>
      <c r="J797" s="17">
        <f>IF(OR(C797="",D797=""),"", D797-C797)</f>
        <v/>
      </c>
      <c r="K797" s="17" t="n"/>
    </row>
    <row r="798">
      <c r="A798" s="17" t="n"/>
      <c r="B798" s="17" t="n"/>
      <c r="C798" s="17" t="n"/>
      <c r="D798" s="17" t="n"/>
      <c r="E798" s="15" t="n"/>
      <c r="F798" s="15" t="n"/>
      <c r="G798" s="17" t="n"/>
      <c r="H798" s="15">
        <f>IF(OR(E798="",F798="",G798=""),"", (F798-E798)*G798)</f>
        <v/>
      </c>
      <c r="I798" s="16">
        <f>IF(OR(E798="",F798=""),"", (F798/E798)-1)</f>
        <v/>
      </c>
      <c r="J798" s="17">
        <f>IF(OR(C798="",D798=""),"", D798-C798)</f>
        <v/>
      </c>
      <c r="K798" s="17" t="n"/>
    </row>
    <row r="799">
      <c r="A799" s="17" t="n"/>
      <c r="B799" s="17" t="n"/>
      <c r="C799" s="17" t="n"/>
      <c r="D799" s="17" t="n"/>
      <c r="E799" s="15" t="n"/>
      <c r="F799" s="15" t="n"/>
      <c r="G799" s="17" t="n"/>
      <c r="H799" s="15">
        <f>IF(OR(E799="",F799="",G799=""),"", (F799-E799)*G799)</f>
        <v/>
      </c>
      <c r="I799" s="16">
        <f>IF(OR(E799="",F799=""),"", (F799/E799)-1)</f>
        <v/>
      </c>
      <c r="J799" s="17">
        <f>IF(OR(C799="",D799=""),"", D799-C799)</f>
        <v/>
      </c>
      <c r="K799" s="17" t="n"/>
    </row>
    <row r="800">
      <c r="A800" s="17" t="n"/>
      <c r="B800" s="17" t="n"/>
      <c r="C800" s="17" t="n"/>
      <c r="D800" s="17" t="n"/>
      <c r="E800" s="15" t="n"/>
      <c r="F800" s="15" t="n"/>
      <c r="G800" s="17" t="n"/>
      <c r="H800" s="15">
        <f>IF(OR(E800="",F800="",G800=""),"", (F800-E800)*G800)</f>
        <v/>
      </c>
      <c r="I800" s="16">
        <f>IF(OR(E800="",F800=""),"", (F800/E800)-1)</f>
        <v/>
      </c>
      <c r="J800" s="17">
        <f>IF(OR(C800="",D800=""),"", D800-C800)</f>
        <v/>
      </c>
      <c r="K800" s="17" t="n"/>
    </row>
    <row r="801">
      <c r="A801" s="17" t="n"/>
      <c r="B801" s="17" t="n"/>
      <c r="C801" s="17" t="n"/>
      <c r="D801" s="17" t="n"/>
      <c r="E801" s="15" t="n"/>
      <c r="F801" s="15" t="n"/>
      <c r="G801" s="17" t="n"/>
      <c r="H801" s="15">
        <f>IF(OR(E801="",F801="",G801=""),"", (F801-E801)*G801)</f>
        <v/>
      </c>
      <c r="I801" s="16">
        <f>IF(OR(E801="",F801=""),"", (F801/E801)-1)</f>
        <v/>
      </c>
      <c r="J801" s="17">
        <f>IF(OR(C801="",D801=""),"", D801-C801)</f>
        <v/>
      </c>
      <c r="K801" s="17" t="n"/>
    </row>
    <row r="802">
      <c r="A802" s="17" t="n"/>
      <c r="B802" s="17" t="n"/>
      <c r="C802" s="17" t="n"/>
      <c r="D802" s="17" t="n"/>
      <c r="E802" s="15" t="n"/>
      <c r="F802" s="15" t="n"/>
      <c r="G802" s="17" t="n"/>
      <c r="H802" s="15">
        <f>IF(OR(E802="",F802="",G802=""),"", (F802-E802)*G802)</f>
        <v/>
      </c>
      <c r="I802" s="16">
        <f>IF(OR(E802="",F802=""),"", (F802/E802)-1)</f>
        <v/>
      </c>
      <c r="J802" s="17">
        <f>IF(OR(C802="",D802=""),"", D802-C802)</f>
        <v/>
      </c>
      <c r="K802" s="17" t="n"/>
    </row>
    <row r="803">
      <c r="A803" s="17" t="n"/>
      <c r="B803" s="17" t="n"/>
      <c r="C803" s="17" t="n"/>
      <c r="D803" s="17" t="n"/>
      <c r="E803" s="15" t="n"/>
      <c r="F803" s="15" t="n"/>
      <c r="G803" s="17" t="n"/>
      <c r="H803" s="15">
        <f>IF(OR(E803="",F803="",G803=""),"", (F803-E803)*G803)</f>
        <v/>
      </c>
      <c r="I803" s="16">
        <f>IF(OR(E803="",F803=""),"", (F803/E803)-1)</f>
        <v/>
      </c>
      <c r="J803" s="17">
        <f>IF(OR(C803="",D803=""),"", D803-C803)</f>
        <v/>
      </c>
      <c r="K803" s="17" t="n"/>
    </row>
    <row r="804">
      <c r="A804" s="17" t="n"/>
      <c r="B804" s="17" t="n"/>
      <c r="C804" s="17" t="n"/>
      <c r="D804" s="17" t="n"/>
      <c r="E804" s="15" t="n"/>
      <c r="F804" s="15" t="n"/>
      <c r="G804" s="17" t="n"/>
      <c r="H804" s="15">
        <f>IF(OR(E804="",F804="",G804=""),"", (F804-E804)*G804)</f>
        <v/>
      </c>
      <c r="I804" s="16">
        <f>IF(OR(E804="",F804=""),"", (F804/E804)-1)</f>
        <v/>
      </c>
      <c r="J804" s="17">
        <f>IF(OR(C804="",D804=""),"", D804-C804)</f>
        <v/>
      </c>
      <c r="K804" s="17" t="n"/>
    </row>
    <row r="805">
      <c r="A805" s="17" t="n"/>
      <c r="B805" s="17" t="n"/>
      <c r="C805" s="17" t="n"/>
      <c r="D805" s="17" t="n"/>
      <c r="E805" s="15" t="n"/>
      <c r="F805" s="15" t="n"/>
      <c r="G805" s="17" t="n"/>
      <c r="H805" s="15">
        <f>IF(OR(E805="",F805="",G805=""),"", (F805-E805)*G805)</f>
        <v/>
      </c>
      <c r="I805" s="16">
        <f>IF(OR(E805="",F805=""),"", (F805/E805)-1)</f>
        <v/>
      </c>
      <c r="J805" s="17">
        <f>IF(OR(C805="",D805=""),"", D805-C805)</f>
        <v/>
      </c>
      <c r="K805" s="17" t="n"/>
    </row>
    <row r="806">
      <c r="A806" s="17" t="n"/>
      <c r="B806" s="17" t="n"/>
      <c r="C806" s="17" t="n"/>
      <c r="D806" s="17" t="n"/>
      <c r="E806" s="15" t="n"/>
      <c r="F806" s="15" t="n"/>
      <c r="G806" s="17" t="n"/>
      <c r="H806" s="15">
        <f>IF(OR(E806="",F806="",G806=""),"", (F806-E806)*G806)</f>
        <v/>
      </c>
      <c r="I806" s="16">
        <f>IF(OR(E806="",F806=""),"", (F806/E806)-1)</f>
        <v/>
      </c>
      <c r="J806" s="17">
        <f>IF(OR(C806="",D806=""),"", D806-C806)</f>
        <v/>
      </c>
      <c r="K806" s="17" t="n"/>
    </row>
    <row r="807">
      <c r="A807" s="17" t="n"/>
      <c r="B807" s="17" t="n"/>
      <c r="C807" s="17" t="n"/>
      <c r="D807" s="17" t="n"/>
      <c r="E807" s="15" t="n"/>
      <c r="F807" s="15" t="n"/>
      <c r="G807" s="17" t="n"/>
      <c r="H807" s="15">
        <f>IF(OR(E807="",F807="",G807=""),"", (F807-E807)*G807)</f>
        <v/>
      </c>
      <c r="I807" s="16">
        <f>IF(OR(E807="",F807=""),"", (F807/E807)-1)</f>
        <v/>
      </c>
      <c r="J807" s="17">
        <f>IF(OR(C807="",D807=""),"", D807-C807)</f>
        <v/>
      </c>
      <c r="K807" s="17" t="n"/>
    </row>
    <row r="808">
      <c r="A808" s="17" t="n"/>
      <c r="B808" s="17" t="n"/>
      <c r="C808" s="17" t="n"/>
      <c r="D808" s="17" t="n"/>
      <c r="E808" s="15" t="n"/>
      <c r="F808" s="15" t="n"/>
      <c r="G808" s="17" t="n"/>
      <c r="H808" s="15">
        <f>IF(OR(E808="",F808="",G808=""),"", (F808-E808)*G808)</f>
        <v/>
      </c>
      <c r="I808" s="16">
        <f>IF(OR(E808="",F808=""),"", (F808/E808)-1)</f>
        <v/>
      </c>
      <c r="J808" s="17">
        <f>IF(OR(C808="",D808=""),"", D808-C808)</f>
        <v/>
      </c>
      <c r="K808" s="17" t="n"/>
    </row>
    <row r="809">
      <c r="A809" s="17" t="n"/>
      <c r="B809" s="17" t="n"/>
      <c r="C809" s="17" t="n"/>
      <c r="D809" s="17" t="n"/>
      <c r="E809" s="15" t="n"/>
      <c r="F809" s="15" t="n"/>
      <c r="G809" s="17" t="n"/>
      <c r="H809" s="15">
        <f>IF(OR(E809="",F809="",G809=""),"", (F809-E809)*G809)</f>
        <v/>
      </c>
      <c r="I809" s="16">
        <f>IF(OR(E809="",F809=""),"", (F809/E809)-1)</f>
        <v/>
      </c>
      <c r="J809" s="17">
        <f>IF(OR(C809="",D809=""),"", D809-C809)</f>
        <v/>
      </c>
      <c r="K809" s="17" t="n"/>
    </row>
    <row r="810">
      <c r="A810" s="17" t="n"/>
      <c r="B810" s="17" t="n"/>
      <c r="C810" s="17" t="n"/>
      <c r="D810" s="17" t="n"/>
      <c r="E810" s="15" t="n"/>
      <c r="F810" s="15" t="n"/>
      <c r="G810" s="17" t="n"/>
      <c r="H810" s="15">
        <f>IF(OR(E810="",F810="",G810=""),"", (F810-E810)*G810)</f>
        <v/>
      </c>
      <c r="I810" s="16">
        <f>IF(OR(E810="",F810=""),"", (F810/E810)-1)</f>
        <v/>
      </c>
      <c r="J810" s="17">
        <f>IF(OR(C810="",D810=""),"", D810-C810)</f>
        <v/>
      </c>
      <c r="K810" s="17" t="n"/>
    </row>
    <row r="811">
      <c r="A811" s="17" t="n"/>
      <c r="B811" s="17" t="n"/>
      <c r="C811" s="17" t="n"/>
      <c r="D811" s="17" t="n"/>
      <c r="E811" s="15" t="n"/>
      <c r="F811" s="15" t="n"/>
      <c r="G811" s="17" t="n"/>
      <c r="H811" s="15">
        <f>IF(OR(E811="",F811="",G811=""),"", (F811-E811)*G811)</f>
        <v/>
      </c>
      <c r="I811" s="16">
        <f>IF(OR(E811="",F811=""),"", (F811/E811)-1)</f>
        <v/>
      </c>
      <c r="J811" s="17">
        <f>IF(OR(C811="",D811=""),"", D811-C811)</f>
        <v/>
      </c>
      <c r="K811" s="17" t="n"/>
    </row>
    <row r="812">
      <c r="A812" s="17" t="n"/>
      <c r="B812" s="17" t="n"/>
      <c r="C812" s="17" t="n"/>
      <c r="D812" s="17" t="n"/>
      <c r="E812" s="15" t="n"/>
      <c r="F812" s="15" t="n"/>
      <c r="G812" s="17" t="n"/>
      <c r="H812" s="15">
        <f>IF(OR(E812="",F812="",G812=""),"", (F812-E812)*G812)</f>
        <v/>
      </c>
      <c r="I812" s="16">
        <f>IF(OR(E812="",F812=""),"", (F812/E812)-1)</f>
        <v/>
      </c>
      <c r="J812" s="17">
        <f>IF(OR(C812="",D812=""),"", D812-C812)</f>
        <v/>
      </c>
      <c r="K812" s="17" t="n"/>
    </row>
    <row r="813">
      <c r="A813" s="17" t="n"/>
      <c r="B813" s="17" t="n"/>
      <c r="C813" s="17" t="n"/>
      <c r="D813" s="17" t="n"/>
      <c r="E813" s="15" t="n"/>
      <c r="F813" s="15" t="n"/>
      <c r="G813" s="17" t="n"/>
      <c r="H813" s="15">
        <f>IF(OR(E813="",F813="",G813=""),"", (F813-E813)*G813)</f>
        <v/>
      </c>
      <c r="I813" s="16">
        <f>IF(OR(E813="",F813=""),"", (F813/E813)-1)</f>
        <v/>
      </c>
      <c r="J813" s="17">
        <f>IF(OR(C813="",D813=""),"", D813-C813)</f>
        <v/>
      </c>
      <c r="K813" s="17" t="n"/>
    </row>
    <row r="814">
      <c r="A814" s="17" t="n"/>
      <c r="B814" s="17" t="n"/>
      <c r="C814" s="17" t="n"/>
      <c r="D814" s="17" t="n"/>
      <c r="E814" s="15" t="n"/>
      <c r="F814" s="15" t="n"/>
      <c r="G814" s="17" t="n"/>
      <c r="H814" s="15">
        <f>IF(OR(E814="",F814="",G814=""),"", (F814-E814)*G814)</f>
        <v/>
      </c>
      <c r="I814" s="16">
        <f>IF(OR(E814="",F814=""),"", (F814/E814)-1)</f>
        <v/>
      </c>
      <c r="J814" s="17">
        <f>IF(OR(C814="",D814=""),"", D814-C814)</f>
        <v/>
      </c>
      <c r="K814" s="17" t="n"/>
    </row>
    <row r="815">
      <c r="A815" s="17" t="n"/>
      <c r="B815" s="17" t="n"/>
      <c r="C815" s="17" t="n"/>
      <c r="D815" s="17" t="n"/>
      <c r="E815" s="15" t="n"/>
      <c r="F815" s="15" t="n"/>
      <c r="G815" s="17" t="n"/>
      <c r="H815" s="15">
        <f>IF(OR(E815="",F815="",G815=""),"", (F815-E815)*G815)</f>
        <v/>
      </c>
      <c r="I815" s="16">
        <f>IF(OR(E815="",F815=""),"", (F815/E815)-1)</f>
        <v/>
      </c>
      <c r="J815" s="17">
        <f>IF(OR(C815="",D815=""),"", D815-C815)</f>
        <v/>
      </c>
      <c r="K815" s="17" t="n"/>
    </row>
    <row r="816">
      <c r="A816" s="17" t="n"/>
      <c r="B816" s="17" t="n"/>
      <c r="C816" s="17" t="n"/>
      <c r="D816" s="17" t="n"/>
      <c r="E816" s="15" t="n"/>
      <c r="F816" s="15" t="n"/>
      <c r="G816" s="17" t="n"/>
      <c r="H816" s="15">
        <f>IF(OR(E816="",F816="",G816=""),"", (F816-E816)*G816)</f>
        <v/>
      </c>
      <c r="I816" s="16">
        <f>IF(OR(E816="",F816=""),"", (F816/E816)-1)</f>
        <v/>
      </c>
      <c r="J816" s="17">
        <f>IF(OR(C816="",D816=""),"", D816-C816)</f>
        <v/>
      </c>
      <c r="K816" s="17" t="n"/>
    </row>
    <row r="817">
      <c r="A817" s="17" t="n"/>
      <c r="B817" s="17" t="n"/>
      <c r="C817" s="17" t="n"/>
      <c r="D817" s="17" t="n"/>
      <c r="E817" s="15" t="n"/>
      <c r="F817" s="15" t="n"/>
      <c r="G817" s="17" t="n"/>
      <c r="H817" s="15">
        <f>IF(OR(E817="",F817="",G817=""),"", (F817-E817)*G817)</f>
        <v/>
      </c>
      <c r="I817" s="16">
        <f>IF(OR(E817="",F817=""),"", (F817/E817)-1)</f>
        <v/>
      </c>
      <c r="J817" s="17">
        <f>IF(OR(C817="",D817=""),"", D817-C817)</f>
        <v/>
      </c>
      <c r="K817" s="17" t="n"/>
    </row>
    <row r="818">
      <c r="A818" s="17" t="n"/>
      <c r="B818" s="17" t="n"/>
      <c r="C818" s="17" t="n"/>
      <c r="D818" s="17" t="n"/>
      <c r="E818" s="15" t="n"/>
      <c r="F818" s="15" t="n"/>
      <c r="G818" s="17" t="n"/>
      <c r="H818" s="15">
        <f>IF(OR(E818="",F818="",G818=""),"", (F818-E818)*G818)</f>
        <v/>
      </c>
      <c r="I818" s="16">
        <f>IF(OR(E818="",F818=""),"", (F818/E818)-1)</f>
        <v/>
      </c>
      <c r="J818" s="17">
        <f>IF(OR(C818="",D818=""),"", D818-C818)</f>
        <v/>
      </c>
      <c r="K818" s="17" t="n"/>
    </row>
    <row r="819">
      <c r="A819" s="17" t="n"/>
      <c r="B819" s="17" t="n"/>
      <c r="C819" s="17" t="n"/>
      <c r="D819" s="17" t="n"/>
      <c r="E819" s="15" t="n"/>
      <c r="F819" s="15" t="n"/>
      <c r="G819" s="17" t="n"/>
      <c r="H819" s="15">
        <f>IF(OR(E819="",F819="",G819=""),"", (F819-E819)*G819)</f>
        <v/>
      </c>
      <c r="I819" s="16">
        <f>IF(OR(E819="",F819=""),"", (F819/E819)-1)</f>
        <v/>
      </c>
      <c r="J819" s="17">
        <f>IF(OR(C819="",D819=""),"", D819-C819)</f>
        <v/>
      </c>
      <c r="K819" s="17" t="n"/>
    </row>
    <row r="820">
      <c r="A820" s="17" t="n"/>
      <c r="B820" s="17" t="n"/>
      <c r="C820" s="17" t="n"/>
      <c r="D820" s="17" t="n"/>
      <c r="E820" s="15" t="n"/>
      <c r="F820" s="15" t="n"/>
      <c r="G820" s="17" t="n"/>
      <c r="H820" s="15">
        <f>IF(OR(E820="",F820="",G820=""),"", (F820-E820)*G820)</f>
        <v/>
      </c>
      <c r="I820" s="16">
        <f>IF(OR(E820="",F820=""),"", (F820/E820)-1)</f>
        <v/>
      </c>
      <c r="J820" s="17">
        <f>IF(OR(C820="",D820=""),"", D820-C820)</f>
        <v/>
      </c>
      <c r="K820" s="17" t="n"/>
    </row>
    <row r="821">
      <c r="A821" s="17" t="n"/>
      <c r="B821" s="17" t="n"/>
      <c r="C821" s="17" t="n"/>
      <c r="D821" s="17" t="n"/>
      <c r="E821" s="15" t="n"/>
      <c r="F821" s="15" t="n"/>
      <c r="G821" s="17" t="n"/>
      <c r="H821" s="15">
        <f>IF(OR(E821="",F821="",G821=""),"", (F821-E821)*G821)</f>
        <v/>
      </c>
      <c r="I821" s="16">
        <f>IF(OR(E821="",F821=""),"", (F821/E821)-1)</f>
        <v/>
      </c>
      <c r="J821" s="17">
        <f>IF(OR(C821="",D821=""),"", D821-C821)</f>
        <v/>
      </c>
      <c r="K821" s="17" t="n"/>
    </row>
    <row r="822">
      <c r="A822" s="17" t="n"/>
      <c r="B822" s="17" t="n"/>
      <c r="C822" s="17" t="n"/>
      <c r="D822" s="17" t="n"/>
      <c r="E822" s="15" t="n"/>
      <c r="F822" s="15" t="n"/>
      <c r="G822" s="17" t="n"/>
      <c r="H822" s="15">
        <f>IF(OR(E822="",F822="",G822=""),"", (F822-E822)*G822)</f>
        <v/>
      </c>
      <c r="I822" s="16">
        <f>IF(OR(E822="",F822=""),"", (F822/E822)-1)</f>
        <v/>
      </c>
      <c r="J822" s="17">
        <f>IF(OR(C822="",D822=""),"", D822-C822)</f>
        <v/>
      </c>
      <c r="K822" s="17" t="n"/>
    </row>
    <row r="823">
      <c r="A823" s="17" t="n"/>
      <c r="B823" s="17" t="n"/>
      <c r="C823" s="17" t="n"/>
      <c r="D823" s="17" t="n"/>
      <c r="E823" s="15" t="n"/>
      <c r="F823" s="15" t="n"/>
      <c r="G823" s="17" t="n"/>
      <c r="H823" s="15">
        <f>IF(OR(E823="",F823="",G823=""),"", (F823-E823)*G823)</f>
        <v/>
      </c>
      <c r="I823" s="16">
        <f>IF(OR(E823="",F823=""),"", (F823/E823)-1)</f>
        <v/>
      </c>
      <c r="J823" s="17">
        <f>IF(OR(C823="",D823=""),"", D823-C823)</f>
        <v/>
      </c>
      <c r="K823" s="17" t="n"/>
    </row>
    <row r="824">
      <c r="A824" s="17" t="n"/>
      <c r="B824" s="17" t="n"/>
      <c r="C824" s="17" t="n"/>
      <c r="D824" s="17" t="n"/>
      <c r="E824" s="15" t="n"/>
      <c r="F824" s="15" t="n"/>
      <c r="G824" s="17" t="n"/>
      <c r="H824" s="15">
        <f>IF(OR(E824="",F824="",G824=""),"", (F824-E824)*G824)</f>
        <v/>
      </c>
      <c r="I824" s="16">
        <f>IF(OR(E824="",F824=""),"", (F824/E824)-1)</f>
        <v/>
      </c>
      <c r="J824" s="17">
        <f>IF(OR(C824="",D824=""),"", D824-C824)</f>
        <v/>
      </c>
      <c r="K824" s="17" t="n"/>
    </row>
    <row r="825">
      <c r="A825" s="17" t="n"/>
      <c r="B825" s="17" t="n"/>
      <c r="C825" s="17" t="n"/>
      <c r="D825" s="17" t="n"/>
      <c r="E825" s="15" t="n"/>
      <c r="F825" s="15" t="n"/>
      <c r="G825" s="17" t="n"/>
      <c r="H825" s="15">
        <f>IF(OR(E825="",F825="",G825=""),"", (F825-E825)*G825)</f>
        <v/>
      </c>
      <c r="I825" s="16">
        <f>IF(OR(E825="",F825=""),"", (F825/E825)-1)</f>
        <v/>
      </c>
      <c r="J825" s="17">
        <f>IF(OR(C825="",D825=""),"", D825-C825)</f>
        <v/>
      </c>
      <c r="K825" s="17" t="n"/>
    </row>
    <row r="826">
      <c r="A826" s="17" t="n"/>
      <c r="B826" s="17" t="n"/>
      <c r="C826" s="17" t="n"/>
      <c r="D826" s="17" t="n"/>
      <c r="E826" s="15" t="n"/>
      <c r="F826" s="15" t="n"/>
      <c r="G826" s="17" t="n"/>
      <c r="H826" s="15">
        <f>IF(OR(E826="",F826="",G826=""),"", (F826-E826)*G826)</f>
        <v/>
      </c>
      <c r="I826" s="16">
        <f>IF(OR(E826="",F826=""),"", (F826/E826)-1)</f>
        <v/>
      </c>
      <c r="J826" s="17">
        <f>IF(OR(C826="",D826=""),"", D826-C826)</f>
        <v/>
      </c>
      <c r="K826" s="17" t="n"/>
    </row>
    <row r="827">
      <c r="A827" s="17" t="n"/>
      <c r="B827" s="17" t="n"/>
      <c r="C827" s="17" t="n"/>
      <c r="D827" s="17" t="n"/>
      <c r="E827" s="15" t="n"/>
      <c r="F827" s="15" t="n"/>
      <c r="G827" s="17" t="n"/>
      <c r="H827" s="15">
        <f>IF(OR(E827="",F827="",G827=""),"", (F827-E827)*G827)</f>
        <v/>
      </c>
      <c r="I827" s="16">
        <f>IF(OR(E827="",F827=""),"", (F827/E827)-1)</f>
        <v/>
      </c>
      <c r="J827" s="17">
        <f>IF(OR(C827="",D827=""),"", D827-C827)</f>
        <v/>
      </c>
      <c r="K827" s="17" t="n"/>
    </row>
    <row r="828">
      <c r="A828" s="17" t="n"/>
      <c r="B828" s="17" t="n"/>
      <c r="C828" s="17" t="n"/>
      <c r="D828" s="17" t="n"/>
      <c r="E828" s="15" t="n"/>
      <c r="F828" s="15" t="n"/>
      <c r="G828" s="17" t="n"/>
      <c r="H828" s="15">
        <f>IF(OR(E828="",F828="",G828=""),"", (F828-E828)*G828)</f>
        <v/>
      </c>
      <c r="I828" s="16">
        <f>IF(OR(E828="",F828=""),"", (F828/E828)-1)</f>
        <v/>
      </c>
      <c r="J828" s="17">
        <f>IF(OR(C828="",D828=""),"", D828-C828)</f>
        <v/>
      </c>
      <c r="K828" s="17" t="n"/>
    </row>
    <row r="829">
      <c r="A829" s="17" t="n"/>
      <c r="B829" s="17" t="n"/>
      <c r="C829" s="17" t="n"/>
      <c r="D829" s="17" t="n"/>
      <c r="E829" s="15" t="n"/>
      <c r="F829" s="15" t="n"/>
      <c r="G829" s="17" t="n"/>
      <c r="H829" s="15">
        <f>IF(OR(E829="",F829="",G829=""),"", (F829-E829)*G829)</f>
        <v/>
      </c>
      <c r="I829" s="16">
        <f>IF(OR(E829="",F829=""),"", (F829/E829)-1)</f>
        <v/>
      </c>
      <c r="J829" s="17">
        <f>IF(OR(C829="",D829=""),"", D829-C829)</f>
        <v/>
      </c>
      <c r="K829" s="17" t="n"/>
    </row>
    <row r="830">
      <c r="A830" s="17" t="n"/>
      <c r="B830" s="17" t="n"/>
      <c r="C830" s="17" t="n"/>
      <c r="D830" s="17" t="n"/>
      <c r="E830" s="15" t="n"/>
      <c r="F830" s="15" t="n"/>
      <c r="G830" s="17" t="n"/>
      <c r="H830" s="15">
        <f>IF(OR(E830="",F830="",G830=""),"", (F830-E830)*G830)</f>
        <v/>
      </c>
      <c r="I830" s="16">
        <f>IF(OR(E830="",F830=""),"", (F830/E830)-1)</f>
        <v/>
      </c>
      <c r="J830" s="17">
        <f>IF(OR(C830="",D830=""),"", D830-C830)</f>
        <v/>
      </c>
      <c r="K830" s="17" t="n"/>
    </row>
    <row r="831">
      <c r="A831" s="17" t="n"/>
      <c r="B831" s="17" t="n"/>
      <c r="C831" s="17" t="n"/>
      <c r="D831" s="17" t="n"/>
      <c r="E831" s="15" t="n"/>
      <c r="F831" s="15" t="n"/>
      <c r="G831" s="17" t="n"/>
      <c r="H831" s="15">
        <f>IF(OR(E831="",F831="",G831=""),"", (F831-E831)*G831)</f>
        <v/>
      </c>
      <c r="I831" s="16">
        <f>IF(OR(E831="",F831=""),"", (F831/E831)-1)</f>
        <v/>
      </c>
      <c r="J831" s="17">
        <f>IF(OR(C831="",D831=""),"", D831-C831)</f>
        <v/>
      </c>
      <c r="K831" s="17" t="n"/>
    </row>
    <row r="832">
      <c r="A832" s="17" t="n"/>
      <c r="B832" s="17" t="n"/>
      <c r="C832" s="17" t="n"/>
      <c r="D832" s="17" t="n"/>
      <c r="E832" s="15" t="n"/>
      <c r="F832" s="15" t="n"/>
      <c r="G832" s="17" t="n"/>
      <c r="H832" s="15">
        <f>IF(OR(E832="",F832="",G832=""),"", (F832-E832)*G832)</f>
        <v/>
      </c>
      <c r="I832" s="16">
        <f>IF(OR(E832="",F832=""),"", (F832/E832)-1)</f>
        <v/>
      </c>
      <c r="J832" s="17">
        <f>IF(OR(C832="",D832=""),"", D832-C832)</f>
        <v/>
      </c>
      <c r="K832" s="17" t="n"/>
    </row>
    <row r="833">
      <c r="A833" s="17" t="n"/>
      <c r="B833" s="17" t="n"/>
      <c r="C833" s="17" t="n"/>
      <c r="D833" s="17" t="n"/>
      <c r="E833" s="15" t="n"/>
      <c r="F833" s="15" t="n"/>
      <c r="G833" s="17" t="n"/>
      <c r="H833" s="15">
        <f>IF(OR(E833="",F833="",G833=""),"", (F833-E833)*G833)</f>
        <v/>
      </c>
      <c r="I833" s="16">
        <f>IF(OR(E833="",F833=""),"", (F833/E833)-1)</f>
        <v/>
      </c>
      <c r="J833" s="17">
        <f>IF(OR(C833="",D833=""),"", D833-C833)</f>
        <v/>
      </c>
      <c r="K833" s="17" t="n"/>
    </row>
    <row r="834">
      <c r="A834" s="17" t="n"/>
      <c r="B834" s="17" t="n"/>
      <c r="C834" s="17" t="n"/>
      <c r="D834" s="17" t="n"/>
      <c r="E834" s="15" t="n"/>
      <c r="F834" s="15" t="n"/>
      <c r="G834" s="17" t="n"/>
      <c r="H834" s="15">
        <f>IF(OR(E834="",F834="",G834=""),"", (F834-E834)*G834)</f>
        <v/>
      </c>
      <c r="I834" s="16">
        <f>IF(OR(E834="",F834=""),"", (F834/E834)-1)</f>
        <v/>
      </c>
      <c r="J834" s="17">
        <f>IF(OR(C834="",D834=""),"", D834-C834)</f>
        <v/>
      </c>
      <c r="K834" s="17" t="n"/>
    </row>
    <row r="835">
      <c r="A835" s="17" t="n"/>
      <c r="B835" s="17" t="n"/>
      <c r="C835" s="17" t="n"/>
      <c r="D835" s="17" t="n"/>
      <c r="E835" s="15" t="n"/>
      <c r="F835" s="15" t="n"/>
      <c r="G835" s="17" t="n"/>
      <c r="H835" s="15">
        <f>IF(OR(E835="",F835="",G835=""),"", (F835-E835)*G835)</f>
        <v/>
      </c>
      <c r="I835" s="16">
        <f>IF(OR(E835="",F835=""),"", (F835/E835)-1)</f>
        <v/>
      </c>
      <c r="J835" s="17">
        <f>IF(OR(C835="",D835=""),"", D835-C835)</f>
        <v/>
      </c>
      <c r="K835" s="17" t="n"/>
    </row>
    <row r="836">
      <c r="A836" s="17" t="n"/>
      <c r="B836" s="17" t="n"/>
      <c r="C836" s="17" t="n"/>
      <c r="D836" s="17" t="n"/>
      <c r="E836" s="15" t="n"/>
      <c r="F836" s="15" t="n"/>
      <c r="G836" s="17" t="n"/>
      <c r="H836" s="15">
        <f>IF(OR(E836="",F836="",G836=""),"", (F836-E836)*G836)</f>
        <v/>
      </c>
      <c r="I836" s="16">
        <f>IF(OR(E836="",F836=""),"", (F836/E836)-1)</f>
        <v/>
      </c>
      <c r="J836" s="17">
        <f>IF(OR(C836="",D836=""),"", D836-C836)</f>
        <v/>
      </c>
      <c r="K836" s="17" t="n"/>
    </row>
    <row r="837">
      <c r="A837" s="17" t="n"/>
      <c r="B837" s="17" t="n"/>
      <c r="C837" s="17" t="n"/>
      <c r="D837" s="17" t="n"/>
      <c r="E837" s="15" t="n"/>
      <c r="F837" s="15" t="n"/>
      <c r="G837" s="17" t="n"/>
      <c r="H837" s="15">
        <f>IF(OR(E837="",F837="",G837=""),"", (F837-E837)*G837)</f>
        <v/>
      </c>
      <c r="I837" s="16">
        <f>IF(OR(E837="",F837=""),"", (F837/E837)-1)</f>
        <v/>
      </c>
      <c r="J837" s="17">
        <f>IF(OR(C837="",D837=""),"", D837-C837)</f>
        <v/>
      </c>
      <c r="K837" s="17" t="n"/>
    </row>
    <row r="838">
      <c r="A838" s="17" t="n"/>
      <c r="B838" s="17" t="n"/>
      <c r="C838" s="17" t="n"/>
      <c r="D838" s="17" t="n"/>
      <c r="E838" s="15" t="n"/>
      <c r="F838" s="15" t="n"/>
      <c r="G838" s="17" t="n"/>
      <c r="H838" s="15">
        <f>IF(OR(E838="",F838="",G838=""),"", (F838-E838)*G838)</f>
        <v/>
      </c>
      <c r="I838" s="16">
        <f>IF(OR(E838="",F838=""),"", (F838/E838)-1)</f>
        <v/>
      </c>
      <c r="J838" s="17">
        <f>IF(OR(C838="",D838=""),"", D838-C838)</f>
        <v/>
      </c>
      <c r="K838" s="17" t="n"/>
    </row>
    <row r="839">
      <c r="A839" s="17" t="n"/>
      <c r="B839" s="17" t="n"/>
      <c r="C839" s="17" t="n"/>
      <c r="D839" s="17" t="n"/>
      <c r="E839" s="15" t="n"/>
      <c r="F839" s="15" t="n"/>
      <c r="G839" s="17" t="n"/>
      <c r="H839" s="15">
        <f>IF(OR(E839="",F839="",G839=""),"", (F839-E839)*G839)</f>
        <v/>
      </c>
      <c r="I839" s="16">
        <f>IF(OR(E839="",F839=""),"", (F839/E839)-1)</f>
        <v/>
      </c>
      <c r="J839" s="17">
        <f>IF(OR(C839="",D839=""),"", D839-C839)</f>
        <v/>
      </c>
      <c r="K839" s="17" t="n"/>
    </row>
    <row r="840">
      <c r="A840" s="17" t="n"/>
      <c r="B840" s="17" t="n"/>
      <c r="C840" s="17" t="n"/>
      <c r="D840" s="17" t="n"/>
      <c r="E840" s="15" t="n"/>
      <c r="F840" s="15" t="n"/>
      <c r="G840" s="17" t="n"/>
      <c r="H840" s="15">
        <f>IF(OR(E840="",F840="",G840=""),"", (F840-E840)*G840)</f>
        <v/>
      </c>
      <c r="I840" s="16">
        <f>IF(OR(E840="",F840=""),"", (F840/E840)-1)</f>
        <v/>
      </c>
      <c r="J840" s="17">
        <f>IF(OR(C840="",D840=""),"", D840-C840)</f>
        <v/>
      </c>
      <c r="K840" s="17" t="n"/>
    </row>
    <row r="841">
      <c r="A841" s="17" t="n"/>
      <c r="B841" s="17" t="n"/>
      <c r="C841" s="17" t="n"/>
      <c r="D841" s="17" t="n"/>
      <c r="E841" s="15" t="n"/>
      <c r="F841" s="15" t="n"/>
      <c r="G841" s="17" t="n"/>
      <c r="H841" s="15">
        <f>IF(OR(E841="",F841="",G841=""),"", (F841-E841)*G841)</f>
        <v/>
      </c>
      <c r="I841" s="16">
        <f>IF(OR(E841="",F841=""),"", (F841/E841)-1)</f>
        <v/>
      </c>
      <c r="J841" s="17">
        <f>IF(OR(C841="",D841=""),"", D841-C841)</f>
        <v/>
      </c>
      <c r="K841" s="17" t="n"/>
    </row>
    <row r="842">
      <c r="A842" s="17" t="n"/>
      <c r="B842" s="17" t="n"/>
      <c r="C842" s="17" t="n"/>
      <c r="D842" s="17" t="n"/>
      <c r="E842" s="15" t="n"/>
      <c r="F842" s="15" t="n"/>
      <c r="G842" s="17" t="n"/>
      <c r="H842" s="15">
        <f>IF(OR(E842="",F842="",G842=""),"", (F842-E842)*G842)</f>
        <v/>
      </c>
      <c r="I842" s="16">
        <f>IF(OR(E842="",F842=""),"", (F842/E842)-1)</f>
        <v/>
      </c>
      <c r="J842" s="17">
        <f>IF(OR(C842="",D842=""),"", D842-C842)</f>
        <v/>
      </c>
      <c r="K842" s="17" t="n"/>
    </row>
    <row r="843">
      <c r="A843" s="17" t="n"/>
      <c r="B843" s="17" t="n"/>
      <c r="C843" s="17" t="n"/>
      <c r="D843" s="17" t="n"/>
      <c r="E843" s="15" t="n"/>
      <c r="F843" s="15" t="n"/>
      <c r="G843" s="17" t="n"/>
      <c r="H843" s="15">
        <f>IF(OR(E843="",F843="",G843=""),"", (F843-E843)*G843)</f>
        <v/>
      </c>
      <c r="I843" s="16">
        <f>IF(OR(E843="",F843=""),"", (F843/E843)-1)</f>
        <v/>
      </c>
      <c r="J843" s="17">
        <f>IF(OR(C843="",D843=""),"", D843-C843)</f>
        <v/>
      </c>
      <c r="K843" s="17" t="n"/>
    </row>
    <row r="844">
      <c r="A844" s="17" t="n"/>
      <c r="B844" s="17" t="n"/>
      <c r="C844" s="17" t="n"/>
      <c r="D844" s="17" t="n"/>
      <c r="E844" s="15" t="n"/>
      <c r="F844" s="15" t="n"/>
      <c r="G844" s="17" t="n"/>
      <c r="H844" s="15">
        <f>IF(OR(E844="",F844="",G844=""),"", (F844-E844)*G844)</f>
        <v/>
      </c>
      <c r="I844" s="16">
        <f>IF(OR(E844="",F844=""),"", (F844/E844)-1)</f>
        <v/>
      </c>
      <c r="J844" s="17">
        <f>IF(OR(C844="",D844=""),"", D844-C844)</f>
        <v/>
      </c>
      <c r="K844" s="17" t="n"/>
    </row>
    <row r="845">
      <c r="A845" s="17" t="n"/>
      <c r="B845" s="17" t="n"/>
      <c r="C845" s="17" t="n"/>
      <c r="D845" s="17" t="n"/>
      <c r="E845" s="15" t="n"/>
      <c r="F845" s="15" t="n"/>
      <c r="G845" s="17" t="n"/>
      <c r="H845" s="15">
        <f>IF(OR(E845="",F845="",G845=""),"", (F845-E845)*G845)</f>
        <v/>
      </c>
      <c r="I845" s="16">
        <f>IF(OR(E845="",F845=""),"", (F845/E845)-1)</f>
        <v/>
      </c>
      <c r="J845" s="17">
        <f>IF(OR(C845="",D845=""),"", D845-C845)</f>
        <v/>
      </c>
      <c r="K845" s="17" t="n"/>
    </row>
    <row r="846">
      <c r="A846" s="17" t="n"/>
      <c r="B846" s="17" t="n"/>
      <c r="C846" s="17" t="n"/>
      <c r="D846" s="17" t="n"/>
      <c r="E846" s="15" t="n"/>
      <c r="F846" s="15" t="n"/>
      <c r="G846" s="17" t="n"/>
      <c r="H846" s="15">
        <f>IF(OR(E846="",F846="",G846=""),"", (F846-E846)*G846)</f>
        <v/>
      </c>
      <c r="I846" s="16">
        <f>IF(OR(E846="",F846=""),"", (F846/E846)-1)</f>
        <v/>
      </c>
      <c r="J846" s="17">
        <f>IF(OR(C846="",D846=""),"", D846-C846)</f>
        <v/>
      </c>
      <c r="K846" s="17" t="n"/>
    </row>
    <row r="847">
      <c r="A847" s="17" t="n"/>
      <c r="B847" s="17" t="n"/>
      <c r="C847" s="17" t="n"/>
      <c r="D847" s="17" t="n"/>
      <c r="E847" s="15" t="n"/>
      <c r="F847" s="15" t="n"/>
      <c r="G847" s="17" t="n"/>
      <c r="H847" s="15">
        <f>IF(OR(E847="",F847="",G847=""),"", (F847-E847)*G847)</f>
        <v/>
      </c>
      <c r="I847" s="16">
        <f>IF(OR(E847="",F847=""),"", (F847/E847)-1)</f>
        <v/>
      </c>
      <c r="J847" s="17">
        <f>IF(OR(C847="",D847=""),"", D847-C847)</f>
        <v/>
      </c>
      <c r="K847" s="17" t="n"/>
    </row>
    <row r="848">
      <c r="A848" s="17" t="n"/>
      <c r="B848" s="17" t="n"/>
      <c r="C848" s="17" t="n"/>
      <c r="D848" s="17" t="n"/>
      <c r="E848" s="15" t="n"/>
      <c r="F848" s="15" t="n"/>
      <c r="G848" s="17" t="n"/>
      <c r="H848" s="15">
        <f>IF(OR(E848="",F848="",G848=""),"", (F848-E848)*G848)</f>
        <v/>
      </c>
      <c r="I848" s="16">
        <f>IF(OR(E848="",F848=""),"", (F848/E848)-1)</f>
        <v/>
      </c>
      <c r="J848" s="17">
        <f>IF(OR(C848="",D848=""),"", D848-C848)</f>
        <v/>
      </c>
      <c r="K848" s="17" t="n"/>
    </row>
    <row r="849">
      <c r="A849" s="17" t="n"/>
      <c r="B849" s="17" t="n"/>
      <c r="C849" s="17" t="n"/>
      <c r="D849" s="17" t="n"/>
      <c r="E849" s="15" t="n"/>
      <c r="F849" s="15" t="n"/>
      <c r="G849" s="17" t="n"/>
      <c r="H849" s="15">
        <f>IF(OR(E849="",F849="",G849=""),"", (F849-E849)*G849)</f>
        <v/>
      </c>
      <c r="I849" s="16">
        <f>IF(OR(E849="",F849=""),"", (F849/E849)-1)</f>
        <v/>
      </c>
      <c r="J849" s="17">
        <f>IF(OR(C849="",D849=""),"", D849-C849)</f>
        <v/>
      </c>
      <c r="K849" s="17" t="n"/>
    </row>
    <row r="850">
      <c r="A850" s="17" t="n"/>
      <c r="B850" s="17" t="n"/>
      <c r="C850" s="17" t="n"/>
      <c r="D850" s="17" t="n"/>
      <c r="E850" s="15" t="n"/>
      <c r="F850" s="15" t="n"/>
      <c r="G850" s="17" t="n"/>
      <c r="H850" s="15">
        <f>IF(OR(E850="",F850="",G850=""),"", (F850-E850)*G850)</f>
        <v/>
      </c>
      <c r="I850" s="16">
        <f>IF(OR(E850="",F850=""),"", (F850/E850)-1)</f>
        <v/>
      </c>
      <c r="J850" s="17">
        <f>IF(OR(C850="",D850=""),"", D850-C850)</f>
        <v/>
      </c>
      <c r="K850" s="17" t="n"/>
    </row>
    <row r="851">
      <c r="A851" s="17" t="n"/>
      <c r="B851" s="17" t="n"/>
      <c r="C851" s="17" t="n"/>
      <c r="D851" s="17" t="n"/>
      <c r="E851" s="15" t="n"/>
      <c r="F851" s="15" t="n"/>
      <c r="G851" s="17" t="n"/>
      <c r="H851" s="15">
        <f>IF(OR(E851="",F851="",G851=""),"", (F851-E851)*G851)</f>
        <v/>
      </c>
      <c r="I851" s="16">
        <f>IF(OR(E851="",F851=""),"", (F851/E851)-1)</f>
        <v/>
      </c>
      <c r="J851" s="17">
        <f>IF(OR(C851="",D851=""),"", D851-C851)</f>
        <v/>
      </c>
      <c r="K851" s="17" t="n"/>
    </row>
    <row r="852">
      <c r="A852" s="17" t="n"/>
      <c r="B852" s="17" t="n"/>
      <c r="C852" s="17" t="n"/>
      <c r="D852" s="17" t="n"/>
      <c r="E852" s="15" t="n"/>
      <c r="F852" s="15" t="n"/>
      <c r="G852" s="17" t="n"/>
      <c r="H852" s="15">
        <f>IF(OR(E852="",F852="",G852=""),"", (F852-E852)*G852)</f>
        <v/>
      </c>
      <c r="I852" s="16">
        <f>IF(OR(E852="",F852=""),"", (F852/E852)-1)</f>
        <v/>
      </c>
      <c r="J852" s="17">
        <f>IF(OR(C852="",D852=""),"", D852-C852)</f>
        <v/>
      </c>
      <c r="K852" s="17" t="n"/>
    </row>
    <row r="853">
      <c r="A853" s="17" t="n"/>
      <c r="B853" s="17" t="n"/>
      <c r="C853" s="17" t="n"/>
      <c r="D853" s="17" t="n"/>
      <c r="E853" s="15" t="n"/>
      <c r="F853" s="15" t="n"/>
      <c r="G853" s="17" t="n"/>
      <c r="H853" s="15">
        <f>IF(OR(E853="",F853="",G853=""),"", (F853-E853)*G853)</f>
        <v/>
      </c>
      <c r="I853" s="16">
        <f>IF(OR(E853="",F853=""),"", (F853/E853)-1)</f>
        <v/>
      </c>
      <c r="J853" s="17">
        <f>IF(OR(C853="",D853=""),"", D853-C853)</f>
        <v/>
      </c>
      <c r="K853" s="17" t="n"/>
    </row>
    <row r="854">
      <c r="A854" s="17" t="n"/>
      <c r="B854" s="17" t="n"/>
      <c r="C854" s="17" t="n"/>
      <c r="D854" s="17" t="n"/>
      <c r="E854" s="15" t="n"/>
      <c r="F854" s="15" t="n"/>
      <c r="G854" s="17" t="n"/>
      <c r="H854" s="15">
        <f>IF(OR(E854="",F854="",G854=""),"", (F854-E854)*G854)</f>
        <v/>
      </c>
      <c r="I854" s="16">
        <f>IF(OR(E854="",F854=""),"", (F854/E854)-1)</f>
        <v/>
      </c>
      <c r="J854" s="17">
        <f>IF(OR(C854="",D854=""),"", D854-C854)</f>
        <v/>
      </c>
      <c r="K854" s="17" t="n"/>
    </row>
    <row r="855">
      <c r="A855" s="17" t="n"/>
      <c r="B855" s="17" t="n"/>
      <c r="C855" s="17" t="n"/>
      <c r="D855" s="17" t="n"/>
      <c r="E855" s="15" t="n"/>
      <c r="F855" s="15" t="n"/>
      <c r="G855" s="17" t="n"/>
      <c r="H855" s="15">
        <f>IF(OR(E855="",F855="",G855=""),"", (F855-E855)*G855)</f>
        <v/>
      </c>
      <c r="I855" s="16">
        <f>IF(OR(E855="",F855=""),"", (F855/E855)-1)</f>
        <v/>
      </c>
      <c r="J855" s="17">
        <f>IF(OR(C855="",D855=""),"", D855-C855)</f>
        <v/>
      </c>
      <c r="K855" s="17" t="n"/>
    </row>
    <row r="856">
      <c r="A856" s="17" t="n"/>
      <c r="B856" s="17" t="n"/>
      <c r="C856" s="17" t="n"/>
      <c r="D856" s="17" t="n"/>
      <c r="E856" s="15" t="n"/>
      <c r="F856" s="15" t="n"/>
      <c r="G856" s="17" t="n"/>
      <c r="H856" s="15">
        <f>IF(OR(E856="",F856="",G856=""),"", (F856-E856)*G856)</f>
        <v/>
      </c>
      <c r="I856" s="16">
        <f>IF(OR(E856="",F856=""),"", (F856/E856)-1)</f>
        <v/>
      </c>
      <c r="J856" s="17">
        <f>IF(OR(C856="",D856=""),"", D856-C856)</f>
        <v/>
      </c>
      <c r="K856" s="17" t="n"/>
    </row>
    <row r="857">
      <c r="A857" s="17" t="n"/>
      <c r="B857" s="17" t="n"/>
      <c r="C857" s="17" t="n"/>
      <c r="D857" s="17" t="n"/>
      <c r="E857" s="15" t="n"/>
      <c r="F857" s="15" t="n"/>
      <c r="G857" s="17" t="n"/>
      <c r="H857" s="15">
        <f>IF(OR(E857="",F857="",G857=""),"", (F857-E857)*G857)</f>
        <v/>
      </c>
      <c r="I857" s="16">
        <f>IF(OR(E857="",F857=""),"", (F857/E857)-1)</f>
        <v/>
      </c>
      <c r="J857" s="17">
        <f>IF(OR(C857="",D857=""),"", D857-C857)</f>
        <v/>
      </c>
      <c r="K857" s="17" t="n"/>
    </row>
    <row r="858">
      <c r="A858" s="17" t="n"/>
      <c r="B858" s="17" t="n"/>
      <c r="C858" s="17" t="n"/>
      <c r="D858" s="17" t="n"/>
      <c r="E858" s="15" t="n"/>
      <c r="F858" s="15" t="n"/>
      <c r="G858" s="17" t="n"/>
      <c r="H858" s="15">
        <f>IF(OR(E858="",F858="",G858=""),"", (F858-E858)*G858)</f>
        <v/>
      </c>
      <c r="I858" s="16">
        <f>IF(OR(E858="",F858=""),"", (F858/E858)-1)</f>
        <v/>
      </c>
      <c r="J858" s="17">
        <f>IF(OR(C858="",D858=""),"", D858-C858)</f>
        <v/>
      </c>
      <c r="K858" s="17" t="n"/>
    </row>
    <row r="859">
      <c r="A859" s="17" t="n"/>
      <c r="B859" s="17" t="n"/>
      <c r="C859" s="17" t="n"/>
      <c r="D859" s="17" t="n"/>
      <c r="E859" s="15" t="n"/>
      <c r="F859" s="15" t="n"/>
      <c r="G859" s="17" t="n"/>
      <c r="H859" s="15">
        <f>IF(OR(E859="",F859="",G859=""),"", (F859-E859)*G859)</f>
        <v/>
      </c>
      <c r="I859" s="16">
        <f>IF(OR(E859="",F859=""),"", (F859/E859)-1)</f>
        <v/>
      </c>
      <c r="J859" s="17">
        <f>IF(OR(C859="",D859=""),"", D859-C859)</f>
        <v/>
      </c>
      <c r="K859" s="17" t="n"/>
    </row>
    <row r="860">
      <c r="A860" s="17" t="n"/>
      <c r="B860" s="17" t="n"/>
      <c r="C860" s="17" t="n"/>
      <c r="D860" s="17" t="n"/>
      <c r="E860" s="15" t="n"/>
      <c r="F860" s="15" t="n"/>
      <c r="G860" s="17" t="n"/>
      <c r="H860" s="15">
        <f>IF(OR(E860="",F860="",G860=""),"", (F860-E860)*G860)</f>
        <v/>
      </c>
      <c r="I860" s="16">
        <f>IF(OR(E860="",F860=""),"", (F860/E860)-1)</f>
        <v/>
      </c>
      <c r="J860" s="17">
        <f>IF(OR(C860="",D860=""),"", D860-C860)</f>
        <v/>
      </c>
      <c r="K860" s="17" t="n"/>
    </row>
    <row r="861">
      <c r="A861" s="17" t="n"/>
      <c r="B861" s="17" t="n"/>
      <c r="C861" s="17" t="n"/>
      <c r="D861" s="17" t="n"/>
      <c r="E861" s="15" t="n"/>
      <c r="F861" s="15" t="n"/>
      <c r="G861" s="17" t="n"/>
      <c r="H861" s="15">
        <f>IF(OR(E861="",F861="",G861=""),"", (F861-E861)*G861)</f>
        <v/>
      </c>
      <c r="I861" s="16">
        <f>IF(OR(E861="",F861=""),"", (F861/E861)-1)</f>
        <v/>
      </c>
      <c r="J861" s="17">
        <f>IF(OR(C861="",D861=""),"", D861-C861)</f>
        <v/>
      </c>
      <c r="K861" s="17" t="n"/>
    </row>
    <row r="862">
      <c r="A862" s="17" t="n"/>
      <c r="B862" s="17" t="n"/>
      <c r="C862" s="17" t="n"/>
      <c r="D862" s="17" t="n"/>
      <c r="E862" s="15" t="n"/>
      <c r="F862" s="15" t="n"/>
      <c r="G862" s="17" t="n"/>
      <c r="H862" s="15">
        <f>IF(OR(E862="",F862="",G862=""),"", (F862-E862)*G862)</f>
        <v/>
      </c>
      <c r="I862" s="16">
        <f>IF(OR(E862="",F862=""),"", (F862/E862)-1)</f>
        <v/>
      </c>
      <c r="J862" s="17">
        <f>IF(OR(C862="",D862=""),"", D862-C862)</f>
        <v/>
      </c>
      <c r="K862" s="17" t="n"/>
    </row>
    <row r="863">
      <c r="A863" s="17" t="n"/>
      <c r="B863" s="17" t="n"/>
      <c r="C863" s="17" t="n"/>
      <c r="D863" s="17" t="n"/>
      <c r="E863" s="15" t="n"/>
      <c r="F863" s="15" t="n"/>
      <c r="G863" s="17" t="n"/>
      <c r="H863" s="15">
        <f>IF(OR(E863="",F863="",G863=""),"", (F863-E863)*G863)</f>
        <v/>
      </c>
      <c r="I863" s="16">
        <f>IF(OR(E863="",F863=""),"", (F863/E863)-1)</f>
        <v/>
      </c>
      <c r="J863" s="17">
        <f>IF(OR(C863="",D863=""),"", D863-C863)</f>
        <v/>
      </c>
      <c r="K863" s="17" t="n"/>
    </row>
    <row r="864">
      <c r="A864" s="17" t="n"/>
      <c r="B864" s="17" t="n"/>
      <c r="C864" s="17" t="n"/>
      <c r="D864" s="17" t="n"/>
      <c r="E864" s="15" t="n"/>
      <c r="F864" s="15" t="n"/>
      <c r="G864" s="17" t="n"/>
      <c r="H864" s="15">
        <f>IF(OR(E864="",F864="",G864=""),"", (F864-E864)*G864)</f>
        <v/>
      </c>
      <c r="I864" s="16">
        <f>IF(OR(E864="",F864=""),"", (F864/E864)-1)</f>
        <v/>
      </c>
      <c r="J864" s="17">
        <f>IF(OR(C864="",D864=""),"", D864-C864)</f>
        <v/>
      </c>
      <c r="K864" s="17" t="n"/>
    </row>
    <row r="865">
      <c r="A865" s="17" t="n"/>
      <c r="B865" s="17" t="n"/>
      <c r="C865" s="17" t="n"/>
      <c r="D865" s="17" t="n"/>
      <c r="E865" s="15" t="n"/>
      <c r="F865" s="15" t="n"/>
      <c r="G865" s="17" t="n"/>
      <c r="H865" s="15">
        <f>IF(OR(E865="",F865="",G865=""),"", (F865-E865)*G865)</f>
        <v/>
      </c>
      <c r="I865" s="16">
        <f>IF(OR(E865="",F865=""),"", (F865/E865)-1)</f>
        <v/>
      </c>
      <c r="J865" s="17">
        <f>IF(OR(C865="",D865=""),"", D865-C865)</f>
        <v/>
      </c>
      <c r="K865" s="17" t="n"/>
    </row>
    <row r="866">
      <c r="A866" s="17" t="n"/>
      <c r="B866" s="17" t="n"/>
      <c r="C866" s="17" t="n"/>
      <c r="D866" s="17" t="n"/>
      <c r="E866" s="15" t="n"/>
      <c r="F866" s="15" t="n"/>
      <c r="G866" s="17" t="n"/>
      <c r="H866" s="15">
        <f>IF(OR(E866="",F866="",G866=""),"", (F866-E866)*G866)</f>
        <v/>
      </c>
      <c r="I866" s="16">
        <f>IF(OR(E866="",F866=""),"", (F866/E866)-1)</f>
        <v/>
      </c>
      <c r="J866" s="17">
        <f>IF(OR(C866="",D866=""),"", D866-C866)</f>
        <v/>
      </c>
      <c r="K866" s="17" t="n"/>
    </row>
    <row r="867">
      <c r="A867" s="17" t="n"/>
      <c r="B867" s="17" t="n"/>
      <c r="C867" s="17" t="n"/>
      <c r="D867" s="17" t="n"/>
      <c r="E867" s="15" t="n"/>
      <c r="F867" s="15" t="n"/>
      <c r="G867" s="17" t="n"/>
      <c r="H867" s="15">
        <f>IF(OR(E867="",F867="",G867=""),"", (F867-E867)*G867)</f>
        <v/>
      </c>
      <c r="I867" s="16">
        <f>IF(OR(E867="",F867=""),"", (F867/E867)-1)</f>
        <v/>
      </c>
      <c r="J867" s="17">
        <f>IF(OR(C867="",D867=""),"", D867-C867)</f>
        <v/>
      </c>
      <c r="K867" s="17" t="n"/>
    </row>
    <row r="868">
      <c r="A868" s="17" t="n"/>
      <c r="B868" s="17" t="n"/>
      <c r="C868" s="17" t="n"/>
      <c r="D868" s="17" t="n"/>
      <c r="E868" s="15" t="n"/>
      <c r="F868" s="15" t="n"/>
      <c r="G868" s="17" t="n"/>
      <c r="H868" s="15">
        <f>IF(OR(E868="",F868="",G868=""),"", (F868-E868)*G868)</f>
        <v/>
      </c>
      <c r="I868" s="16">
        <f>IF(OR(E868="",F868=""),"", (F868/E868)-1)</f>
        <v/>
      </c>
      <c r="J868" s="17">
        <f>IF(OR(C868="",D868=""),"", D868-C868)</f>
        <v/>
      </c>
      <c r="K868" s="17" t="n"/>
    </row>
    <row r="869">
      <c r="A869" s="17" t="n"/>
      <c r="B869" s="17" t="n"/>
      <c r="C869" s="17" t="n"/>
      <c r="D869" s="17" t="n"/>
      <c r="E869" s="15" t="n"/>
      <c r="F869" s="15" t="n"/>
      <c r="G869" s="17" t="n"/>
      <c r="H869" s="15">
        <f>IF(OR(E869="",F869="",G869=""),"", (F869-E869)*G869)</f>
        <v/>
      </c>
      <c r="I869" s="16">
        <f>IF(OR(E869="",F869=""),"", (F869/E869)-1)</f>
        <v/>
      </c>
      <c r="J869" s="17">
        <f>IF(OR(C869="",D869=""),"", D869-C869)</f>
        <v/>
      </c>
      <c r="K869" s="17" t="n"/>
    </row>
    <row r="870">
      <c r="A870" s="17" t="n"/>
      <c r="B870" s="17" t="n"/>
      <c r="C870" s="17" t="n"/>
      <c r="D870" s="17" t="n"/>
      <c r="E870" s="15" t="n"/>
      <c r="F870" s="15" t="n"/>
      <c r="G870" s="17" t="n"/>
      <c r="H870" s="15">
        <f>IF(OR(E870="",F870="",G870=""),"", (F870-E870)*G870)</f>
        <v/>
      </c>
      <c r="I870" s="16">
        <f>IF(OR(E870="",F870=""),"", (F870/E870)-1)</f>
        <v/>
      </c>
      <c r="J870" s="17">
        <f>IF(OR(C870="",D870=""),"", D870-C870)</f>
        <v/>
      </c>
      <c r="K870" s="17" t="n"/>
    </row>
    <row r="871">
      <c r="A871" s="17" t="n"/>
      <c r="B871" s="17" t="n"/>
      <c r="C871" s="17" t="n"/>
      <c r="D871" s="17" t="n"/>
      <c r="E871" s="15" t="n"/>
      <c r="F871" s="15" t="n"/>
      <c r="G871" s="17" t="n"/>
      <c r="H871" s="15">
        <f>IF(OR(E871="",F871="",G871=""),"", (F871-E871)*G871)</f>
        <v/>
      </c>
      <c r="I871" s="16">
        <f>IF(OR(E871="",F871=""),"", (F871/E871)-1)</f>
        <v/>
      </c>
      <c r="J871" s="17">
        <f>IF(OR(C871="",D871=""),"", D871-C871)</f>
        <v/>
      </c>
      <c r="K871" s="17" t="n"/>
    </row>
    <row r="872">
      <c r="A872" s="17" t="n"/>
      <c r="B872" s="17" t="n"/>
      <c r="C872" s="17" t="n"/>
      <c r="D872" s="17" t="n"/>
      <c r="E872" s="15" t="n"/>
      <c r="F872" s="15" t="n"/>
      <c r="G872" s="17" t="n"/>
      <c r="H872" s="15">
        <f>IF(OR(E872="",F872="",G872=""),"", (F872-E872)*G872)</f>
        <v/>
      </c>
      <c r="I872" s="16">
        <f>IF(OR(E872="",F872=""),"", (F872/E872)-1)</f>
        <v/>
      </c>
      <c r="J872" s="17">
        <f>IF(OR(C872="",D872=""),"", D872-C872)</f>
        <v/>
      </c>
      <c r="K872" s="17" t="n"/>
    </row>
    <row r="873">
      <c r="A873" s="17" t="n"/>
      <c r="B873" s="17" t="n"/>
      <c r="C873" s="17" t="n"/>
      <c r="D873" s="17" t="n"/>
      <c r="E873" s="15" t="n"/>
      <c r="F873" s="15" t="n"/>
      <c r="G873" s="17" t="n"/>
      <c r="H873" s="15">
        <f>IF(OR(E873="",F873="",G873=""),"", (F873-E873)*G873)</f>
        <v/>
      </c>
      <c r="I873" s="16">
        <f>IF(OR(E873="",F873=""),"", (F873/E873)-1)</f>
        <v/>
      </c>
      <c r="J873" s="17">
        <f>IF(OR(C873="",D873=""),"", D873-C873)</f>
        <v/>
      </c>
      <c r="K873" s="17" t="n"/>
    </row>
    <row r="874">
      <c r="A874" s="17" t="n"/>
      <c r="B874" s="17" t="n"/>
      <c r="C874" s="17" t="n"/>
      <c r="D874" s="17" t="n"/>
      <c r="E874" s="15" t="n"/>
      <c r="F874" s="15" t="n"/>
      <c r="G874" s="17" t="n"/>
      <c r="H874" s="15">
        <f>IF(OR(E874="",F874="",G874=""),"", (F874-E874)*G874)</f>
        <v/>
      </c>
      <c r="I874" s="16">
        <f>IF(OR(E874="",F874=""),"", (F874/E874)-1)</f>
        <v/>
      </c>
      <c r="J874" s="17">
        <f>IF(OR(C874="",D874=""),"", D874-C874)</f>
        <v/>
      </c>
      <c r="K874" s="17" t="n"/>
    </row>
    <row r="875">
      <c r="A875" s="17" t="n"/>
      <c r="B875" s="17" t="n"/>
      <c r="C875" s="17" t="n"/>
      <c r="D875" s="17" t="n"/>
      <c r="E875" s="15" t="n"/>
      <c r="F875" s="15" t="n"/>
      <c r="G875" s="17" t="n"/>
      <c r="H875" s="15">
        <f>IF(OR(E875="",F875="",G875=""),"", (F875-E875)*G875)</f>
        <v/>
      </c>
      <c r="I875" s="16">
        <f>IF(OR(E875="",F875=""),"", (F875/E875)-1)</f>
        <v/>
      </c>
      <c r="J875" s="17">
        <f>IF(OR(C875="",D875=""),"", D875-C875)</f>
        <v/>
      </c>
      <c r="K875" s="17" t="n"/>
    </row>
    <row r="876">
      <c r="A876" s="17" t="n"/>
      <c r="B876" s="17" t="n"/>
      <c r="C876" s="17" t="n"/>
      <c r="D876" s="17" t="n"/>
      <c r="E876" s="15" t="n"/>
      <c r="F876" s="15" t="n"/>
      <c r="G876" s="17" t="n"/>
      <c r="H876" s="15">
        <f>IF(OR(E876="",F876="",G876=""),"", (F876-E876)*G876)</f>
        <v/>
      </c>
      <c r="I876" s="16">
        <f>IF(OR(E876="",F876=""),"", (F876/E876)-1)</f>
        <v/>
      </c>
      <c r="J876" s="17">
        <f>IF(OR(C876="",D876=""),"", D876-C876)</f>
        <v/>
      </c>
      <c r="K876" s="17" t="n"/>
    </row>
    <row r="877">
      <c r="A877" s="17" t="n"/>
      <c r="B877" s="17" t="n"/>
      <c r="C877" s="17" t="n"/>
      <c r="D877" s="17" t="n"/>
      <c r="E877" s="15" t="n"/>
      <c r="F877" s="15" t="n"/>
      <c r="G877" s="17" t="n"/>
      <c r="H877" s="15">
        <f>IF(OR(E877="",F877="",G877=""),"", (F877-E877)*G877)</f>
        <v/>
      </c>
      <c r="I877" s="16">
        <f>IF(OR(E877="",F877=""),"", (F877/E877)-1)</f>
        <v/>
      </c>
      <c r="J877" s="17">
        <f>IF(OR(C877="",D877=""),"", D877-C877)</f>
        <v/>
      </c>
      <c r="K877" s="17" t="n"/>
    </row>
    <row r="878">
      <c r="A878" s="17" t="n"/>
      <c r="B878" s="17" t="n"/>
      <c r="C878" s="17" t="n"/>
      <c r="D878" s="17" t="n"/>
      <c r="E878" s="15" t="n"/>
      <c r="F878" s="15" t="n"/>
      <c r="G878" s="17" t="n"/>
      <c r="H878" s="15">
        <f>IF(OR(E878="",F878="",G878=""),"", (F878-E878)*G878)</f>
        <v/>
      </c>
      <c r="I878" s="16">
        <f>IF(OR(E878="",F878=""),"", (F878/E878)-1)</f>
        <v/>
      </c>
      <c r="J878" s="17">
        <f>IF(OR(C878="",D878=""),"", D878-C878)</f>
        <v/>
      </c>
      <c r="K878" s="17" t="n"/>
    </row>
    <row r="879">
      <c r="A879" s="17" t="n"/>
      <c r="B879" s="17" t="n"/>
      <c r="C879" s="17" t="n"/>
      <c r="D879" s="17" t="n"/>
      <c r="E879" s="15" t="n"/>
      <c r="F879" s="15" t="n"/>
      <c r="G879" s="17" t="n"/>
      <c r="H879" s="15">
        <f>IF(OR(E879="",F879="",G879=""),"", (F879-E879)*G879)</f>
        <v/>
      </c>
      <c r="I879" s="16">
        <f>IF(OR(E879="",F879=""),"", (F879/E879)-1)</f>
        <v/>
      </c>
      <c r="J879" s="17">
        <f>IF(OR(C879="",D879=""),"", D879-C879)</f>
        <v/>
      </c>
      <c r="K879" s="17" t="n"/>
    </row>
    <row r="880">
      <c r="A880" s="17" t="n"/>
      <c r="B880" s="17" t="n"/>
      <c r="C880" s="17" t="n"/>
      <c r="D880" s="17" t="n"/>
      <c r="E880" s="15" t="n"/>
      <c r="F880" s="15" t="n"/>
      <c r="G880" s="17" t="n"/>
      <c r="H880" s="15">
        <f>IF(OR(E880="",F880="",G880=""),"", (F880-E880)*G880)</f>
        <v/>
      </c>
      <c r="I880" s="16">
        <f>IF(OR(E880="",F880=""),"", (F880/E880)-1)</f>
        <v/>
      </c>
      <c r="J880" s="17">
        <f>IF(OR(C880="",D880=""),"", D880-C880)</f>
        <v/>
      </c>
      <c r="K880" s="17" t="n"/>
    </row>
    <row r="881">
      <c r="A881" s="17" t="n"/>
      <c r="B881" s="17" t="n"/>
      <c r="C881" s="17" t="n"/>
      <c r="D881" s="17" t="n"/>
      <c r="E881" s="15" t="n"/>
      <c r="F881" s="15" t="n"/>
      <c r="G881" s="17" t="n"/>
      <c r="H881" s="15">
        <f>IF(OR(E881="",F881="",G881=""),"", (F881-E881)*G881)</f>
        <v/>
      </c>
      <c r="I881" s="16">
        <f>IF(OR(E881="",F881=""),"", (F881/E881)-1)</f>
        <v/>
      </c>
      <c r="J881" s="17">
        <f>IF(OR(C881="",D881=""),"", D881-C881)</f>
        <v/>
      </c>
      <c r="K881" s="17" t="n"/>
    </row>
    <row r="882">
      <c r="A882" s="17" t="n"/>
      <c r="B882" s="17" t="n"/>
      <c r="C882" s="17" t="n"/>
      <c r="D882" s="17" t="n"/>
      <c r="E882" s="15" t="n"/>
      <c r="F882" s="15" t="n"/>
      <c r="G882" s="17" t="n"/>
      <c r="H882" s="15">
        <f>IF(OR(E882="",F882="",G882=""),"", (F882-E882)*G882)</f>
        <v/>
      </c>
      <c r="I882" s="16">
        <f>IF(OR(E882="",F882=""),"", (F882/E882)-1)</f>
        <v/>
      </c>
      <c r="J882" s="17">
        <f>IF(OR(C882="",D882=""),"", D882-C882)</f>
        <v/>
      </c>
      <c r="K882" s="17" t="n"/>
    </row>
    <row r="883">
      <c r="A883" s="17" t="n"/>
      <c r="B883" s="17" t="n"/>
      <c r="C883" s="17" t="n"/>
      <c r="D883" s="17" t="n"/>
      <c r="E883" s="15" t="n"/>
      <c r="F883" s="15" t="n"/>
      <c r="G883" s="17" t="n"/>
      <c r="H883" s="15">
        <f>IF(OR(E883="",F883="",G883=""),"", (F883-E883)*G883)</f>
        <v/>
      </c>
      <c r="I883" s="16">
        <f>IF(OR(E883="",F883=""),"", (F883/E883)-1)</f>
        <v/>
      </c>
      <c r="J883" s="17">
        <f>IF(OR(C883="",D883=""),"", D883-C883)</f>
        <v/>
      </c>
      <c r="K883" s="17" t="n"/>
    </row>
    <row r="884">
      <c r="A884" s="17" t="n"/>
      <c r="B884" s="17" t="n"/>
      <c r="C884" s="17" t="n"/>
      <c r="D884" s="17" t="n"/>
      <c r="E884" s="15" t="n"/>
      <c r="F884" s="15" t="n"/>
      <c r="G884" s="17" t="n"/>
      <c r="H884" s="15">
        <f>IF(OR(E884="",F884="",G884=""),"", (F884-E884)*G884)</f>
        <v/>
      </c>
      <c r="I884" s="16">
        <f>IF(OR(E884="",F884=""),"", (F884/E884)-1)</f>
        <v/>
      </c>
      <c r="J884" s="17">
        <f>IF(OR(C884="",D884=""),"", D884-C884)</f>
        <v/>
      </c>
      <c r="K884" s="17" t="n"/>
    </row>
    <row r="885">
      <c r="A885" s="17" t="n"/>
      <c r="B885" s="17" t="n"/>
      <c r="C885" s="17" t="n"/>
      <c r="D885" s="17" t="n"/>
      <c r="E885" s="15" t="n"/>
      <c r="F885" s="15" t="n"/>
      <c r="G885" s="17" t="n"/>
      <c r="H885" s="15">
        <f>IF(OR(E885="",F885="",G885=""),"", (F885-E885)*G885)</f>
        <v/>
      </c>
      <c r="I885" s="16">
        <f>IF(OR(E885="",F885=""),"", (F885/E885)-1)</f>
        <v/>
      </c>
      <c r="J885" s="17">
        <f>IF(OR(C885="",D885=""),"", D885-C885)</f>
        <v/>
      </c>
      <c r="K885" s="17" t="n"/>
    </row>
    <row r="886">
      <c r="A886" s="17" t="n"/>
      <c r="B886" s="17" t="n"/>
      <c r="C886" s="17" t="n"/>
      <c r="D886" s="17" t="n"/>
      <c r="E886" s="15" t="n"/>
      <c r="F886" s="15" t="n"/>
      <c r="G886" s="17" t="n"/>
      <c r="H886" s="15">
        <f>IF(OR(E886="",F886="",G886=""),"", (F886-E886)*G886)</f>
        <v/>
      </c>
      <c r="I886" s="16">
        <f>IF(OR(E886="",F886=""),"", (F886/E886)-1)</f>
        <v/>
      </c>
      <c r="J886" s="17">
        <f>IF(OR(C886="",D886=""),"", D886-C886)</f>
        <v/>
      </c>
      <c r="K886" s="17" t="n"/>
    </row>
    <row r="887">
      <c r="A887" s="17" t="n"/>
      <c r="B887" s="17" t="n"/>
      <c r="C887" s="17" t="n"/>
      <c r="D887" s="17" t="n"/>
      <c r="E887" s="15" t="n"/>
      <c r="F887" s="15" t="n"/>
      <c r="G887" s="17" t="n"/>
      <c r="H887" s="15">
        <f>IF(OR(E887="",F887="",G887=""),"", (F887-E887)*G887)</f>
        <v/>
      </c>
      <c r="I887" s="16">
        <f>IF(OR(E887="",F887=""),"", (F887/E887)-1)</f>
        <v/>
      </c>
      <c r="J887" s="17">
        <f>IF(OR(C887="",D887=""),"", D887-C887)</f>
        <v/>
      </c>
      <c r="K887" s="17" t="n"/>
    </row>
    <row r="888">
      <c r="A888" s="17" t="n"/>
      <c r="B888" s="17" t="n"/>
      <c r="C888" s="17" t="n"/>
      <c r="D888" s="17" t="n"/>
      <c r="E888" s="15" t="n"/>
      <c r="F888" s="15" t="n"/>
      <c r="G888" s="17" t="n"/>
      <c r="H888" s="15">
        <f>IF(OR(E888="",F888="",G888=""),"", (F888-E888)*G888)</f>
        <v/>
      </c>
      <c r="I888" s="16">
        <f>IF(OR(E888="",F888=""),"", (F888/E888)-1)</f>
        <v/>
      </c>
      <c r="J888" s="17">
        <f>IF(OR(C888="",D888=""),"", D888-C888)</f>
        <v/>
      </c>
      <c r="K888" s="17" t="n"/>
    </row>
    <row r="889">
      <c r="A889" s="17" t="n"/>
      <c r="B889" s="17" t="n"/>
      <c r="C889" s="17" t="n"/>
      <c r="D889" s="17" t="n"/>
      <c r="E889" s="15" t="n"/>
      <c r="F889" s="15" t="n"/>
      <c r="G889" s="17" t="n"/>
      <c r="H889" s="15">
        <f>IF(OR(E889="",F889="",G889=""),"", (F889-E889)*G889)</f>
        <v/>
      </c>
      <c r="I889" s="16">
        <f>IF(OR(E889="",F889=""),"", (F889/E889)-1)</f>
        <v/>
      </c>
      <c r="J889" s="17">
        <f>IF(OR(C889="",D889=""),"", D889-C889)</f>
        <v/>
      </c>
      <c r="K889" s="17" t="n"/>
    </row>
    <row r="890">
      <c r="A890" s="17" t="n"/>
      <c r="B890" s="17" t="n"/>
      <c r="C890" s="17" t="n"/>
      <c r="D890" s="17" t="n"/>
      <c r="E890" s="15" t="n"/>
      <c r="F890" s="15" t="n"/>
      <c r="G890" s="17" t="n"/>
      <c r="H890" s="15">
        <f>IF(OR(E890="",F890="",G890=""),"", (F890-E890)*G890)</f>
        <v/>
      </c>
      <c r="I890" s="16">
        <f>IF(OR(E890="",F890=""),"", (F890/E890)-1)</f>
        <v/>
      </c>
      <c r="J890" s="17">
        <f>IF(OR(C890="",D890=""),"", D890-C890)</f>
        <v/>
      </c>
      <c r="K890" s="17" t="n"/>
    </row>
    <row r="891">
      <c r="A891" s="17" t="n"/>
      <c r="B891" s="17" t="n"/>
      <c r="C891" s="17" t="n"/>
      <c r="D891" s="17" t="n"/>
      <c r="E891" s="15" t="n"/>
      <c r="F891" s="15" t="n"/>
      <c r="G891" s="17" t="n"/>
      <c r="H891" s="15">
        <f>IF(OR(E891="",F891="",G891=""),"", (F891-E891)*G891)</f>
        <v/>
      </c>
      <c r="I891" s="16">
        <f>IF(OR(E891="",F891=""),"", (F891/E891)-1)</f>
        <v/>
      </c>
      <c r="J891" s="17">
        <f>IF(OR(C891="",D891=""),"", D891-C891)</f>
        <v/>
      </c>
      <c r="K891" s="17" t="n"/>
    </row>
    <row r="892">
      <c r="A892" s="17" t="n"/>
      <c r="B892" s="17" t="n"/>
      <c r="C892" s="17" t="n"/>
      <c r="D892" s="17" t="n"/>
      <c r="E892" s="15" t="n"/>
      <c r="F892" s="15" t="n"/>
      <c r="G892" s="17" t="n"/>
      <c r="H892" s="15">
        <f>IF(OR(E892="",F892="",G892=""),"", (F892-E892)*G892)</f>
        <v/>
      </c>
      <c r="I892" s="16">
        <f>IF(OR(E892="",F892=""),"", (F892/E892)-1)</f>
        <v/>
      </c>
      <c r="J892" s="17">
        <f>IF(OR(C892="",D892=""),"", D892-C892)</f>
        <v/>
      </c>
      <c r="K892" s="17" t="n"/>
    </row>
    <row r="893">
      <c r="A893" s="17" t="n"/>
      <c r="B893" s="17" t="n"/>
      <c r="C893" s="17" t="n"/>
      <c r="D893" s="17" t="n"/>
      <c r="E893" s="15" t="n"/>
      <c r="F893" s="15" t="n"/>
      <c r="G893" s="17" t="n"/>
      <c r="H893" s="15">
        <f>IF(OR(E893="",F893="",G893=""),"", (F893-E893)*G893)</f>
        <v/>
      </c>
      <c r="I893" s="16">
        <f>IF(OR(E893="",F893=""),"", (F893/E893)-1)</f>
        <v/>
      </c>
      <c r="J893" s="17">
        <f>IF(OR(C893="",D893=""),"", D893-C893)</f>
        <v/>
      </c>
      <c r="K893" s="17" t="n"/>
    </row>
    <row r="894">
      <c r="A894" s="17" t="n"/>
      <c r="B894" s="17" t="n"/>
      <c r="C894" s="17" t="n"/>
      <c r="D894" s="17" t="n"/>
      <c r="E894" s="15" t="n"/>
      <c r="F894" s="15" t="n"/>
      <c r="G894" s="17" t="n"/>
      <c r="H894" s="15">
        <f>IF(OR(E894="",F894="",G894=""),"", (F894-E894)*G894)</f>
        <v/>
      </c>
      <c r="I894" s="16">
        <f>IF(OR(E894="",F894=""),"", (F894/E894)-1)</f>
        <v/>
      </c>
      <c r="J894" s="17">
        <f>IF(OR(C894="",D894=""),"", D894-C894)</f>
        <v/>
      </c>
      <c r="K894" s="17" t="n"/>
    </row>
    <row r="895">
      <c r="A895" s="17" t="n"/>
      <c r="B895" s="17" t="n"/>
      <c r="C895" s="17" t="n"/>
      <c r="D895" s="17" t="n"/>
      <c r="E895" s="15" t="n"/>
      <c r="F895" s="15" t="n"/>
      <c r="G895" s="17" t="n"/>
      <c r="H895" s="15">
        <f>IF(OR(E895="",F895="",G895=""),"", (F895-E895)*G895)</f>
        <v/>
      </c>
      <c r="I895" s="16">
        <f>IF(OR(E895="",F895=""),"", (F895/E895)-1)</f>
        <v/>
      </c>
      <c r="J895" s="17">
        <f>IF(OR(C895="",D895=""),"", D895-C895)</f>
        <v/>
      </c>
      <c r="K895" s="17" t="n"/>
    </row>
    <row r="896">
      <c r="A896" s="17" t="n"/>
      <c r="B896" s="17" t="n"/>
      <c r="C896" s="17" t="n"/>
      <c r="D896" s="17" t="n"/>
      <c r="E896" s="15" t="n"/>
      <c r="F896" s="15" t="n"/>
      <c r="G896" s="17" t="n"/>
      <c r="H896" s="15">
        <f>IF(OR(E896="",F896="",G896=""),"", (F896-E896)*G896)</f>
        <v/>
      </c>
      <c r="I896" s="16">
        <f>IF(OR(E896="",F896=""),"", (F896/E896)-1)</f>
        <v/>
      </c>
      <c r="J896" s="17">
        <f>IF(OR(C896="",D896=""),"", D896-C896)</f>
        <v/>
      </c>
      <c r="K896" s="17" t="n"/>
    </row>
    <row r="897">
      <c r="A897" s="17" t="n"/>
      <c r="B897" s="17" t="n"/>
      <c r="C897" s="17" t="n"/>
      <c r="D897" s="17" t="n"/>
      <c r="E897" s="15" t="n"/>
      <c r="F897" s="15" t="n"/>
      <c r="G897" s="17" t="n"/>
      <c r="H897" s="15">
        <f>IF(OR(E897="",F897="",G897=""),"", (F897-E897)*G897)</f>
        <v/>
      </c>
      <c r="I897" s="16">
        <f>IF(OR(E897="",F897=""),"", (F897/E897)-1)</f>
        <v/>
      </c>
      <c r="J897" s="17">
        <f>IF(OR(C897="",D897=""),"", D897-C897)</f>
        <v/>
      </c>
      <c r="K897" s="17" t="n"/>
    </row>
    <row r="898">
      <c r="A898" s="17" t="n"/>
      <c r="B898" s="17" t="n"/>
      <c r="C898" s="17" t="n"/>
      <c r="D898" s="17" t="n"/>
      <c r="E898" s="15" t="n"/>
      <c r="F898" s="15" t="n"/>
      <c r="G898" s="17" t="n"/>
      <c r="H898" s="15">
        <f>IF(OR(E898="",F898="",G898=""),"", (F898-E898)*G898)</f>
        <v/>
      </c>
      <c r="I898" s="16">
        <f>IF(OR(E898="",F898=""),"", (F898/E898)-1)</f>
        <v/>
      </c>
      <c r="J898" s="17">
        <f>IF(OR(C898="",D898=""),"", D898-C898)</f>
        <v/>
      </c>
      <c r="K898" s="17" t="n"/>
    </row>
    <row r="899">
      <c r="A899" s="17" t="n"/>
      <c r="B899" s="17" t="n"/>
      <c r="C899" s="17" t="n"/>
      <c r="D899" s="17" t="n"/>
      <c r="E899" s="15" t="n"/>
      <c r="F899" s="15" t="n"/>
      <c r="G899" s="17" t="n"/>
      <c r="H899" s="15">
        <f>IF(OR(E899="",F899="",G899=""),"", (F899-E899)*G899)</f>
        <v/>
      </c>
      <c r="I899" s="16">
        <f>IF(OR(E899="",F899=""),"", (F899/E899)-1)</f>
        <v/>
      </c>
      <c r="J899" s="17">
        <f>IF(OR(C899="",D899=""),"", D899-C899)</f>
        <v/>
      </c>
      <c r="K899" s="17" t="n"/>
    </row>
    <row r="900">
      <c r="A900" s="17" t="n"/>
      <c r="B900" s="17" t="n"/>
      <c r="C900" s="17" t="n"/>
      <c r="D900" s="17" t="n"/>
      <c r="E900" s="15" t="n"/>
      <c r="F900" s="15" t="n"/>
      <c r="G900" s="17" t="n"/>
      <c r="H900" s="15">
        <f>IF(OR(E900="",F900="",G900=""),"", (F900-E900)*G900)</f>
        <v/>
      </c>
      <c r="I900" s="16">
        <f>IF(OR(E900="",F900=""),"", (F900/E900)-1)</f>
        <v/>
      </c>
      <c r="J900" s="17">
        <f>IF(OR(C900="",D900=""),"", D900-C900)</f>
        <v/>
      </c>
      <c r="K900" s="17" t="n"/>
    </row>
    <row r="901">
      <c r="A901" s="17" t="n"/>
      <c r="B901" s="17" t="n"/>
      <c r="C901" s="17" t="n"/>
      <c r="D901" s="17" t="n"/>
      <c r="E901" s="15" t="n"/>
      <c r="F901" s="15" t="n"/>
      <c r="G901" s="17" t="n"/>
      <c r="H901" s="15">
        <f>IF(OR(E901="",F901="",G901=""),"", (F901-E901)*G901)</f>
        <v/>
      </c>
      <c r="I901" s="16">
        <f>IF(OR(E901="",F901=""),"", (F901/E901)-1)</f>
        <v/>
      </c>
      <c r="J901" s="17">
        <f>IF(OR(C901="",D901=""),"", D901-C901)</f>
        <v/>
      </c>
      <c r="K901" s="17" t="n"/>
    </row>
    <row r="902">
      <c r="A902" s="17" t="n"/>
      <c r="B902" s="17" t="n"/>
      <c r="C902" s="17" t="n"/>
      <c r="D902" s="17" t="n"/>
      <c r="E902" s="15" t="n"/>
      <c r="F902" s="15" t="n"/>
      <c r="G902" s="17" t="n"/>
      <c r="H902" s="15">
        <f>IF(OR(E902="",F902="",G902=""),"", (F902-E902)*G902)</f>
        <v/>
      </c>
      <c r="I902" s="16">
        <f>IF(OR(E902="",F902=""),"", (F902/E902)-1)</f>
        <v/>
      </c>
      <c r="J902" s="17">
        <f>IF(OR(C902="",D902=""),"", D902-C902)</f>
        <v/>
      </c>
      <c r="K902" s="17" t="n"/>
    </row>
    <row r="903">
      <c r="A903" s="17" t="n"/>
      <c r="B903" s="17" t="n"/>
      <c r="C903" s="17" t="n"/>
      <c r="D903" s="17" t="n"/>
      <c r="E903" s="15" t="n"/>
      <c r="F903" s="15" t="n"/>
      <c r="G903" s="17" t="n"/>
      <c r="H903" s="15">
        <f>IF(OR(E903="",F903="",G903=""),"", (F903-E903)*G903)</f>
        <v/>
      </c>
      <c r="I903" s="16">
        <f>IF(OR(E903="",F903=""),"", (F903/E903)-1)</f>
        <v/>
      </c>
      <c r="J903" s="17">
        <f>IF(OR(C903="",D903=""),"", D903-C903)</f>
        <v/>
      </c>
      <c r="K903" s="17" t="n"/>
    </row>
    <row r="904">
      <c r="A904" s="17" t="n"/>
      <c r="B904" s="17" t="n"/>
      <c r="C904" s="17" t="n"/>
      <c r="D904" s="17" t="n"/>
      <c r="E904" s="15" t="n"/>
      <c r="F904" s="15" t="n"/>
      <c r="G904" s="17" t="n"/>
      <c r="H904" s="15">
        <f>IF(OR(E904="",F904="",G904=""),"", (F904-E904)*G904)</f>
        <v/>
      </c>
      <c r="I904" s="16">
        <f>IF(OR(E904="",F904=""),"", (F904/E904)-1)</f>
        <v/>
      </c>
      <c r="J904" s="17">
        <f>IF(OR(C904="",D904=""),"", D904-C904)</f>
        <v/>
      </c>
      <c r="K904" s="17" t="n"/>
    </row>
    <row r="905">
      <c r="A905" s="17" t="n"/>
      <c r="B905" s="17" t="n"/>
      <c r="C905" s="17" t="n"/>
      <c r="D905" s="17" t="n"/>
      <c r="E905" s="15" t="n"/>
      <c r="F905" s="15" t="n"/>
      <c r="G905" s="17" t="n"/>
      <c r="H905" s="15">
        <f>IF(OR(E905="",F905="",G905=""),"", (F905-E905)*G905)</f>
        <v/>
      </c>
      <c r="I905" s="16">
        <f>IF(OR(E905="",F905=""),"", (F905/E905)-1)</f>
        <v/>
      </c>
      <c r="J905" s="17">
        <f>IF(OR(C905="",D905=""),"", D905-C905)</f>
        <v/>
      </c>
      <c r="K905" s="17" t="n"/>
    </row>
    <row r="906">
      <c r="A906" s="17" t="n"/>
      <c r="B906" s="17" t="n"/>
      <c r="C906" s="17" t="n"/>
      <c r="D906" s="17" t="n"/>
      <c r="E906" s="15" t="n"/>
      <c r="F906" s="15" t="n"/>
      <c r="G906" s="17" t="n"/>
      <c r="H906" s="15">
        <f>IF(OR(E906="",F906="",G906=""),"", (F906-E906)*G906)</f>
        <v/>
      </c>
      <c r="I906" s="16">
        <f>IF(OR(E906="",F906=""),"", (F906/E906)-1)</f>
        <v/>
      </c>
      <c r="J906" s="17">
        <f>IF(OR(C906="",D906=""),"", D906-C906)</f>
        <v/>
      </c>
      <c r="K906" s="17" t="n"/>
    </row>
    <row r="907">
      <c r="A907" s="17" t="n"/>
      <c r="B907" s="17" t="n"/>
      <c r="C907" s="17" t="n"/>
      <c r="D907" s="17" t="n"/>
      <c r="E907" s="15" t="n"/>
      <c r="F907" s="15" t="n"/>
      <c r="G907" s="17" t="n"/>
      <c r="H907" s="15">
        <f>IF(OR(E907="",F907="",G907=""),"", (F907-E907)*G907)</f>
        <v/>
      </c>
      <c r="I907" s="16">
        <f>IF(OR(E907="",F907=""),"", (F907/E907)-1)</f>
        <v/>
      </c>
      <c r="J907" s="17">
        <f>IF(OR(C907="",D907=""),"", D907-C907)</f>
        <v/>
      </c>
      <c r="K907" s="17" t="n"/>
    </row>
    <row r="908">
      <c r="A908" s="17" t="n"/>
      <c r="B908" s="17" t="n"/>
      <c r="C908" s="17" t="n"/>
      <c r="D908" s="17" t="n"/>
      <c r="E908" s="15" t="n"/>
      <c r="F908" s="15" t="n"/>
      <c r="G908" s="17" t="n"/>
      <c r="H908" s="15">
        <f>IF(OR(E908="",F908="",G908=""),"", (F908-E908)*G908)</f>
        <v/>
      </c>
      <c r="I908" s="16">
        <f>IF(OR(E908="",F908=""),"", (F908/E908)-1)</f>
        <v/>
      </c>
      <c r="J908" s="17">
        <f>IF(OR(C908="",D908=""),"", D908-C908)</f>
        <v/>
      </c>
      <c r="K908" s="17" t="n"/>
    </row>
    <row r="909">
      <c r="A909" s="17" t="n"/>
      <c r="B909" s="17" t="n"/>
      <c r="C909" s="17" t="n"/>
      <c r="D909" s="17" t="n"/>
      <c r="E909" s="15" t="n"/>
      <c r="F909" s="15" t="n"/>
      <c r="G909" s="17" t="n"/>
      <c r="H909" s="15">
        <f>IF(OR(E909="",F909="",G909=""),"", (F909-E909)*G909)</f>
        <v/>
      </c>
      <c r="I909" s="16">
        <f>IF(OR(E909="",F909=""),"", (F909/E909)-1)</f>
        <v/>
      </c>
      <c r="J909" s="17">
        <f>IF(OR(C909="",D909=""),"", D909-C909)</f>
        <v/>
      </c>
      <c r="K909" s="17" t="n"/>
    </row>
    <row r="910">
      <c r="A910" s="17" t="n"/>
      <c r="B910" s="17" t="n"/>
      <c r="C910" s="17" t="n"/>
      <c r="D910" s="17" t="n"/>
      <c r="E910" s="15" t="n"/>
      <c r="F910" s="15" t="n"/>
      <c r="G910" s="17" t="n"/>
      <c r="H910" s="15">
        <f>IF(OR(E910="",F910="",G910=""),"", (F910-E910)*G910)</f>
        <v/>
      </c>
      <c r="I910" s="16">
        <f>IF(OR(E910="",F910=""),"", (F910/E910)-1)</f>
        <v/>
      </c>
      <c r="J910" s="17">
        <f>IF(OR(C910="",D910=""),"", D910-C910)</f>
        <v/>
      </c>
      <c r="K910" s="17" t="n"/>
    </row>
    <row r="911">
      <c r="A911" s="17" t="n"/>
      <c r="B911" s="17" t="n"/>
      <c r="C911" s="17" t="n"/>
      <c r="D911" s="17" t="n"/>
      <c r="E911" s="15" t="n"/>
      <c r="F911" s="15" t="n"/>
      <c r="G911" s="17" t="n"/>
      <c r="H911" s="15">
        <f>IF(OR(E911="",F911="",G911=""),"", (F911-E911)*G911)</f>
        <v/>
      </c>
      <c r="I911" s="16">
        <f>IF(OR(E911="",F911=""),"", (F911/E911)-1)</f>
        <v/>
      </c>
      <c r="J911" s="17">
        <f>IF(OR(C911="",D911=""),"", D911-C911)</f>
        <v/>
      </c>
      <c r="K911" s="17" t="n"/>
    </row>
    <row r="912">
      <c r="A912" s="17" t="n"/>
      <c r="B912" s="17" t="n"/>
      <c r="C912" s="17" t="n"/>
      <c r="D912" s="17" t="n"/>
      <c r="E912" s="15" t="n"/>
      <c r="F912" s="15" t="n"/>
      <c r="G912" s="17" t="n"/>
      <c r="H912" s="15">
        <f>IF(OR(E912="",F912="",G912=""),"", (F912-E912)*G912)</f>
        <v/>
      </c>
      <c r="I912" s="16">
        <f>IF(OR(E912="",F912=""),"", (F912/E912)-1)</f>
        <v/>
      </c>
      <c r="J912" s="17">
        <f>IF(OR(C912="",D912=""),"", D912-C912)</f>
        <v/>
      </c>
      <c r="K912" s="17" t="n"/>
    </row>
    <row r="913">
      <c r="A913" s="17" t="n"/>
      <c r="B913" s="17" t="n"/>
      <c r="C913" s="17" t="n"/>
      <c r="D913" s="17" t="n"/>
      <c r="E913" s="15" t="n"/>
      <c r="F913" s="15" t="n"/>
      <c r="G913" s="17" t="n"/>
      <c r="H913" s="15">
        <f>IF(OR(E913="",F913="",G913=""),"", (F913-E913)*G913)</f>
        <v/>
      </c>
      <c r="I913" s="16">
        <f>IF(OR(E913="",F913=""),"", (F913/E913)-1)</f>
        <v/>
      </c>
      <c r="J913" s="17">
        <f>IF(OR(C913="",D913=""),"", D913-C913)</f>
        <v/>
      </c>
      <c r="K913" s="17" t="n"/>
    </row>
    <row r="914">
      <c r="A914" s="17" t="n"/>
      <c r="B914" s="17" t="n"/>
      <c r="C914" s="17" t="n"/>
      <c r="D914" s="17" t="n"/>
      <c r="E914" s="15" t="n"/>
      <c r="F914" s="15" t="n"/>
      <c r="G914" s="17" t="n"/>
      <c r="H914" s="15">
        <f>IF(OR(E914="",F914="",G914=""),"", (F914-E914)*G914)</f>
        <v/>
      </c>
      <c r="I914" s="16">
        <f>IF(OR(E914="",F914=""),"", (F914/E914)-1)</f>
        <v/>
      </c>
      <c r="J914" s="17">
        <f>IF(OR(C914="",D914=""),"", D914-C914)</f>
        <v/>
      </c>
      <c r="K914" s="17" t="n"/>
    </row>
    <row r="915">
      <c r="A915" s="17" t="n"/>
      <c r="B915" s="17" t="n"/>
      <c r="C915" s="17" t="n"/>
      <c r="D915" s="17" t="n"/>
      <c r="E915" s="15" t="n"/>
      <c r="F915" s="15" t="n"/>
      <c r="G915" s="17" t="n"/>
      <c r="H915" s="15">
        <f>IF(OR(E915="",F915="",G915=""),"", (F915-E915)*G915)</f>
        <v/>
      </c>
      <c r="I915" s="16">
        <f>IF(OR(E915="",F915=""),"", (F915/E915)-1)</f>
        <v/>
      </c>
      <c r="J915" s="17">
        <f>IF(OR(C915="",D915=""),"", D915-C915)</f>
        <v/>
      </c>
      <c r="K915" s="17" t="n"/>
    </row>
    <row r="916">
      <c r="A916" s="17" t="n"/>
      <c r="B916" s="17" t="n"/>
      <c r="C916" s="17" t="n"/>
      <c r="D916" s="17" t="n"/>
      <c r="E916" s="15" t="n"/>
      <c r="F916" s="15" t="n"/>
      <c r="G916" s="17" t="n"/>
      <c r="H916" s="15">
        <f>IF(OR(E916="",F916="",G916=""),"", (F916-E916)*G916)</f>
        <v/>
      </c>
      <c r="I916" s="16">
        <f>IF(OR(E916="",F916=""),"", (F916/E916)-1)</f>
        <v/>
      </c>
      <c r="J916" s="17">
        <f>IF(OR(C916="",D916=""),"", D916-C916)</f>
        <v/>
      </c>
      <c r="K916" s="17" t="n"/>
    </row>
    <row r="917">
      <c r="A917" s="17" t="n"/>
      <c r="B917" s="17" t="n"/>
      <c r="C917" s="17" t="n"/>
      <c r="D917" s="17" t="n"/>
      <c r="E917" s="15" t="n"/>
      <c r="F917" s="15" t="n"/>
      <c r="G917" s="17" t="n"/>
      <c r="H917" s="15">
        <f>IF(OR(E917="",F917="",G917=""),"", (F917-E917)*G917)</f>
        <v/>
      </c>
      <c r="I917" s="16">
        <f>IF(OR(E917="",F917=""),"", (F917/E917)-1)</f>
        <v/>
      </c>
      <c r="J917" s="17">
        <f>IF(OR(C917="",D917=""),"", D917-C917)</f>
        <v/>
      </c>
      <c r="K917" s="17" t="n"/>
    </row>
    <row r="918">
      <c r="A918" s="17" t="n"/>
      <c r="B918" s="17" t="n"/>
      <c r="C918" s="17" t="n"/>
      <c r="D918" s="17" t="n"/>
      <c r="E918" s="15" t="n"/>
      <c r="F918" s="15" t="n"/>
      <c r="G918" s="17" t="n"/>
      <c r="H918" s="15">
        <f>IF(OR(E918="",F918="",G918=""),"", (F918-E918)*G918)</f>
        <v/>
      </c>
      <c r="I918" s="16">
        <f>IF(OR(E918="",F918=""),"", (F918/E918)-1)</f>
        <v/>
      </c>
      <c r="J918" s="17">
        <f>IF(OR(C918="",D918=""),"", D918-C918)</f>
        <v/>
      </c>
      <c r="K918" s="17" t="n"/>
    </row>
    <row r="919">
      <c r="A919" s="17" t="n"/>
      <c r="B919" s="17" t="n"/>
      <c r="C919" s="17" t="n"/>
      <c r="D919" s="17" t="n"/>
      <c r="E919" s="15" t="n"/>
      <c r="F919" s="15" t="n"/>
      <c r="G919" s="17" t="n"/>
      <c r="H919" s="15">
        <f>IF(OR(E919="",F919="",G919=""),"", (F919-E919)*G919)</f>
        <v/>
      </c>
      <c r="I919" s="16">
        <f>IF(OR(E919="",F919=""),"", (F919/E919)-1)</f>
        <v/>
      </c>
      <c r="J919" s="17">
        <f>IF(OR(C919="",D919=""),"", D919-C919)</f>
        <v/>
      </c>
      <c r="K919" s="17" t="n"/>
    </row>
    <row r="920">
      <c r="A920" s="17" t="n"/>
      <c r="B920" s="17" t="n"/>
      <c r="C920" s="17" t="n"/>
      <c r="D920" s="17" t="n"/>
      <c r="E920" s="15" t="n"/>
      <c r="F920" s="15" t="n"/>
      <c r="G920" s="17" t="n"/>
      <c r="H920" s="15">
        <f>IF(OR(E920="",F920="",G920=""),"", (F920-E920)*G920)</f>
        <v/>
      </c>
      <c r="I920" s="16">
        <f>IF(OR(E920="",F920=""),"", (F920/E920)-1)</f>
        <v/>
      </c>
      <c r="J920" s="17">
        <f>IF(OR(C920="",D920=""),"", D920-C920)</f>
        <v/>
      </c>
      <c r="K920" s="17" t="n"/>
    </row>
    <row r="921">
      <c r="A921" s="17" t="n"/>
      <c r="B921" s="17" t="n"/>
      <c r="C921" s="17" t="n"/>
      <c r="D921" s="17" t="n"/>
      <c r="E921" s="15" t="n"/>
      <c r="F921" s="15" t="n"/>
      <c r="G921" s="17" t="n"/>
      <c r="H921" s="15">
        <f>IF(OR(E921="",F921="",G921=""),"", (F921-E921)*G921)</f>
        <v/>
      </c>
      <c r="I921" s="16">
        <f>IF(OR(E921="",F921=""),"", (F921/E921)-1)</f>
        <v/>
      </c>
      <c r="J921" s="17">
        <f>IF(OR(C921="",D921=""),"", D921-C921)</f>
        <v/>
      </c>
      <c r="K921" s="17" t="n"/>
    </row>
    <row r="922">
      <c r="A922" s="17" t="n"/>
      <c r="B922" s="17" t="n"/>
      <c r="C922" s="17" t="n"/>
      <c r="D922" s="17" t="n"/>
      <c r="E922" s="15" t="n"/>
      <c r="F922" s="15" t="n"/>
      <c r="G922" s="17" t="n"/>
      <c r="H922" s="15">
        <f>IF(OR(E922="",F922="",G922=""),"", (F922-E922)*G922)</f>
        <v/>
      </c>
      <c r="I922" s="16">
        <f>IF(OR(E922="",F922=""),"", (F922/E922)-1)</f>
        <v/>
      </c>
      <c r="J922" s="17">
        <f>IF(OR(C922="",D922=""),"", D922-C922)</f>
        <v/>
      </c>
      <c r="K922" s="17" t="n"/>
    </row>
    <row r="923">
      <c r="A923" s="17" t="n"/>
      <c r="B923" s="17" t="n"/>
      <c r="C923" s="17" t="n"/>
      <c r="D923" s="17" t="n"/>
      <c r="E923" s="15" t="n"/>
      <c r="F923" s="15" t="n"/>
      <c r="G923" s="17" t="n"/>
      <c r="H923" s="15">
        <f>IF(OR(E923="",F923="",G923=""),"", (F923-E923)*G923)</f>
        <v/>
      </c>
      <c r="I923" s="16">
        <f>IF(OR(E923="",F923=""),"", (F923/E923)-1)</f>
        <v/>
      </c>
      <c r="J923" s="17">
        <f>IF(OR(C923="",D923=""),"", D923-C923)</f>
        <v/>
      </c>
      <c r="K923" s="17" t="n"/>
    </row>
    <row r="924">
      <c r="A924" s="17" t="n"/>
      <c r="B924" s="17" t="n"/>
      <c r="C924" s="17" t="n"/>
      <c r="D924" s="17" t="n"/>
      <c r="E924" s="15" t="n"/>
      <c r="F924" s="15" t="n"/>
      <c r="G924" s="17" t="n"/>
      <c r="H924" s="15">
        <f>IF(OR(E924="",F924="",G924=""),"", (F924-E924)*G924)</f>
        <v/>
      </c>
      <c r="I924" s="16">
        <f>IF(OR(E924="",F924=""),"", (F924/E924)-1)</f>
        <v/>
      </c>
      <c r="J924" s="17">
        <f>IF(OR(C924="",D924=""),"", D924-C924)</f>
        <v/>
      </c>
      <c r="K924" s="17" t="n"/>
    </row>
    <row r="925">
      <c r="A925" s="17" t="n"/>
      <c r="B925" s="17" t="n"/>
      <c r="C925" s="17" t="n"/>
      <c r="D925" s="17" t="n"/>
      <c r="E925" s="15" t="n"/>
      <c r="F925" s="15" t="n"/>
      <c r="G925" s="17" t="n"/>
      <c r="H925" s="15">
        <f>IF(OR(E925="",F925="",G925=""),"", (F925-E925)*G925)</f>
        <v/>
      </c>
      <c r="I925" s="16">
        <f>IF(OR(E925="",F925=""),"", (F925/E925)-1)</f>
        <v/>
      </c>
      <c r="J925" s="17">
        <f>IF(OR(C925="",D925=""),"", D925-C925)</f>
        <v/>
      </c>
      <c r="K925" s="17" t="n"/>
    </row>
    <row r="926">
      <c r="A926" s="17" t="n"/>
      <c r="B926" s="17" t="n"/>
      <c r="C926" s="17" t="n"/>
      <c r="D926" s="17" t="n"/>
      <c r="E926" s="15" t="n"/>
      <c r="F926" s="15" t="n"/>
      <c r="G926" s="17" t="n"/>
      <c r="H926" s="15">
        <f>IF(OR(E926="",F926="",G926=""),"", (F926-E926)*G926)</f>
        <v/>
      </c>
      <c r="I926" s="16">
        <f>IF(OR(E926="",F926=""),"", (F926/E926)-1)</f>
        <v/>
      </c>
      <c r="J926" s="17">
        <f>IF(OR(C926="",D926=""),"", D926-C926)</f>
        <v/>
      </c>
      <c r="K926" s="17" t="n"/>
    </row>
    <row r="927">
      <c r="A927" s="17" t="n"/>
      <c r="B927" s="17" t="n"/>
      <c r="C927" s="17" t="n"/>
      <c r="D927" s="17" t="n"/>
      <c r="E927" s="15" t="n"/>
      <c r="F927" s="15" t="n"/>
      <c r="G927" s="17" t="n"/>
      <c r="H927" s="15">
        <f>IF(OR(E927="",F927="",G927=""),"", (F927-E927)*G927)</f>
        <v/>
      </c>
      <c r="I927" s="16">
        <f>IF(OR(E927="",F927=""),"", (F927/E927)-1)</f>
        <v/>
      </c>
      <c r="J927" s="17">
        <f>IF(OR(C927="",D927=""),"", D927-C927)</f>
        <v/>
      </c>
      <c r="K927" s="17" t="n"/>
    </row>
    <row r="928">
      <c r="A928" s="17" t="n"/>
      <c r="B928" s="17" t="n"/>
      <c r="C928" s="17" t="n"/>
      <c r="D928" s="17" t="n"/>
      <c r="E928" s="15" t="n"/>
      <c r="F928" s="15" t="n"/>
      <c r="G928" s="17" t="n"/>
      <c r="H928" s="15">
        <f>IF(OR(E928="",F928="",G928=""),"", (F928-E928)*G928)</f>
        <v/>
      </c>
      <c r="I928" s="16">
        <f>IF(OR(E928="",F928=""),"", (F928/E928)-1)</f>
        <v/>
      </c>
      <c r="J928" s="17">
        <f>IF(OR(C928="",D928=""),"", D928-C928)</f>
        <v/>
      </c>
      <c r="K928" s="17" t="n"/>
    </row>
    <row r="929">
      <c r="A929" s="17" t="n"/>
      <c r="B929" s="17" t="n"/>
      <c r="C929" s="17" t="n"/>
      <c r="D929" s="17" t="n"/>
      <c r="E929" s="15" t="n"/>
      <c r="F929" s="15" t="n"/>
      <c r="G929" s="17" t="n"/>
      <c r="H929" s="15">
        <f>IF(OR(E929="",F929="",G929=""),"", (F929-E929)*G929)</f>
        <v/>
      </c>
      <c r="I929" s="16">
        <f>IF(OR(E929="",F929=""),"", (F929/E929)-1)</f>
        <v/>
      </c>
      <c r="J929" s="17">
        <f>IF(OR(C929="",D929=""),"", D929-C929)</f>
        <v/>
      </c>
      <c r="K929" s="17" t="n"/>
    </row>
    <row r="930">
      <c r="A930" s="17" t="n"/>
      <c r="B930" s="17" t="n"/>
      <c r="C930" s="17" t="n"/>
      <c r="D930" s="17" t="n"/>
      <c r="E930" s="15" t="n"/>
      <c r="F930" s="15" t="n"/>
      <c r="G930" s="17" t="n"/>
      <c r="H930" s="15">
        <f>IF(OR(E930="",F930="",G930=""),"", (F930-E930)*G930)</f>
        <v/>
      </c>
      <c r="I930" s="16">
        <f>IF(OR(E930="",F930=""),"", (F930/E930)-1)</f>
        <v/>
      </c>
      <c r="J930" s="17">
        <f>IF(OR(C930="",D930=""),"", D930-C930)</f>
        <v/>
      </c>
      <c r="K930" s="17" t="n"/>
    </row>
    <row r="931">
      <c r="A931" s="17" t="n"/>
      <c r="B931" s="17" t="n"/>
      <c r="C931" s="17" t="n"/>
      <c r="D931" s="17" t="n"/>
      <c r="E931" s="15" t="n"/>
      <c r="F931" s="15" t="n"/>
      <c r="G931" s="17" t="n"/>
      <c r="H931" s="15">
        <f>IF(OR(E931="",F931="",G931=""),"", (F931-E931)*G931)</f>
        <v/>
      </c>
      <c r="I931" s="16">
        <f>IF(OR(E931="",F931=""),"", (F931/E931)-1)</f>
        <v/>
      </c>
      <c r="J931" s="17">
        <f>IF(OR(C931="",D931=""),"", D931-C931)</f>
        <v/>
      </c>
      <c r="K931" s="17" t="n"/>
    </row>
    <row r="932">
      <c r="A932" s="17" t="n"/>
      <c r="B932" s="17" t="n"/>
      <c r="C932" s="17" t="n"/>
      <c r="D932" s="17" t="n"/>
      <c r="E932" s="15" t="n"/>
      <c r="F932" s="15" t="n"/>
      <c r="G932" s="17" t="n"/>
      <c r="H932" s="15">
        <f>IF(OR(E932="",F932="",G932=""),"", (F932-E932)*G932)</f>
        <v/>
      </c>
      <c r="I932" s="16">
        <f>IF(OR(E932="",F932=""),"", (F932/E932)-1)</f>
        <v/>
      </c>
      <c r="J932" s="17">
        <f>IF(OR(C932="",D932=""),"", D932-C932)</f>
        <v/>
      </c>
      <c r="K932" s="17" t="n"/>
    </row>
    <row r="933">
      <c r="A933" s="17" t="n"/>
      <c r="B933" s="17" t="n"/>
      <c r="C933" s="17" t="n"/>
      <c r="D933" s="17" t="n"/>
      <c r="E933" s="15" t="n"/>
      <c r="F933" s="15" t="n"/>
      <c r="G933" s="17" t="n"/>
      <c r="H933" s="15">
        <f>IF(OR(E933="",F933="",G933=""),"", (F933-E933)*G933)</f>
        <v/>
      </c>
      <c r="I933" s="16">
        <f>IF(OR(E933="",F933=""),"", (F933/E933)-1)</f>
        <v/>
      </c>
      <c r="J933" s="17">
        <f>IF(OR(C933="",D933=""),"", D933-C933)</f>
        <v/>
      </c>
      <c r="K933" s="17" t="n"/>
    </row>
    <row r="934">
      <c r="A934" s="17" t="n"/>
      <c r="B934" s="17" t="n"/>
      <c r="C934" s="17" t="n"/>
      <c r="D934" s="17" t="n"/>
      <c r="E934" s="15" t="n"/>
      <c r="F934" s="15" t="n"/>
      <c r="G934" s="17" t="n"/>
      <c r="H934" s="15">
        <f>IF(OR(E934="",F934="",G934=""),"", (F934-E934)*G934)</f>
        <v/>
      </c>
      <c r="I934" s="16">
        <f>IF(OR(E934="",F934=""),"", (F934/E934)-1)</f>
        <v/>
      </c>
      <c r="J934" s="17">
        <f>IF(OR(C934="",D934=""),"", D934-C934)</f>
        <v/>
      </c>
      <c r="K934" s="17" t="n"/>
    </row>
    <row r="935">
      <c r="A935" s="17" t="n"/>
      <c r="B935" s="17" t="n"/>
      <c r="C935" s="17" t="n"/>
      <c r="D935" s="17" t="n"/>
      <c r="E935" s="15" t="n"/>
      <c r="F935" s="15" t="n"/>
      <c r="G935" s="17" t="n"/>
      <c r="H935" s="15">
        <f>IF(OR(E935="",F935="",G935=""),"", (F935-E935)*G935)</f>
        <v/>
      </c>
      <c r="I935" s="16">
        <f>IF(OR(E935="",F935=""),"", (F935/E935)-1)</f>
        <v/>
      </c>
      <c r="J935" s="17">
        <f>IF(OR(C935="",D935=""),"", D935-C935)</f>
        <v/>
      </c>
      <c r="K935" s="17" t="n"/>
    </row>
    <row r="936">
      <c r="A936" s="17" t="n"/>
      <c r="B936" s="17" t="n"/>
      <c r="C936" s="17" t="n"/>
      <c r="D936" s="17" t="n"/>
      <c r="E936" s="15" t="n"/>
      <c r="F936" s="15" t="n"/>
      <c r="G936" s="17" t="n"/>
      <c r="H936" s="15">
        <f>IF(OR(E936="",F936="",G936=""),"", (F936-E936)*G936)</f>
        <v/>
      </c>
      <c r="I936" s="16">
        <f>IF(OR(E936="",F936=""),"", (F936/E936)-1)</f>
        <v/>
      </c>
      <c r="J936" s="17">
        <f>IF(OR(C936="",D936=""),"", D936-C936)</f>
        <v/>
      </c>
      <c r="K936" s="17" t="n"/>
    </row>
    <row r="937">
      <c r="A937" s="17" t="n"/>
      <c r="B937" s="17" t="n"/>
      <c r="C937" s="17" t="n"/>
      <c r="D937" s="17" t="n"/>
      <c r="E937" s="15" t="n"/>
      <c r="F937" s="15" t="n"/>
      <c r="G937" s="17" t="n"/>
      <c r="H937" s="15">
        <f>IF(OR(E937="",F937="",G937=""),"", (F937-E937)*G937)</f>
        <v/>
      </c>
      <c r="I937" s="16">
        <f>IF(OR(E937="",F937=""),"", (F937/E937)-1)</f>
        <v/>
      </c>
      <c r="J937" s="17">
        <f>IF(OR(C937="",D937=""),"", D937-C937)</f>
        <v/>
      </c>
      <c r="K937" s="17" t="n"/>
    </row>
    <row r="938">
      <c r="A938" s="17" t="n"/>
      <c r="B938" s="17" t="n"/>
      <c r="C938" s="17" t="n"/>
      <c r="D938" s="17" t="n"/>
      <c r="E938" s="15" t="n"/>
      <c r="F938" s="15" t="n"/>
      <c r="G938" s="17" t="n"/>
      <c r="H938" s="15">
        <f>IF(OR(E938="",F938="",G938=""),"", (F938-E938)*G938)</f>
        <v/>
      </c>
      <c r="I938" s="16">
        <f>IF(OR(E938="",F938=""),"", (F938/E938)-1)</f>
        <v/>
      </c>
      <c r="J938" s="17">
        <f>IF(OR(C938="",D938=""),"", D938-C938)</f>
        <v/>
      </c>
      <c r="K938" s="17" t="n"/>
    </row>
    <row r="939">
      <c r="A939" s="17" t="n"/>
      <c r="B939" s="17" t="n"/>
      <c r="C939" s="17" t="n"/>
      <c r="D939" s="17" t="n"/>
      <c r="E939" s="15" t="n"/>
      <c r="F939" s="15" t="n"/>
      <c r="G939" s="17" t="n"/>
      <c r="H939" s="15">
        <f>IF(OR(E939="",F939="",G939=""),"", (F939-E939)*G939)</f>
        <v/>
      </c>
      <c r="I939" s="16">
        <f>IF(OR(E939="",F939=""),"", (F939/E939)-1)</f>
        <v/>
      </c>
      <c r="J939" s="17">
        <f>IF(OR(C939="",D939=""),"", D939-C939)</f>
        <v/>
      </c>
      <c r="K939" s="17" t="n"/>
    </row>
    <row r="940">
      <c r="A940" s="17" t="n"/>
      <c r="B940" s="17" t="n"/>
      <c r="C940" s="17" t="n"/>
      <c r="D940" s="17" t="n"/>
      <c r="E940" s="15" t="n"/>
      <c r="F940" s="15" t="n"/>
      <c r="G940" s="17" t="n"/>
      <c r="H940" s="15">
        <f>IF(OR(E940="",F940="",G940=""),"", (F940-E940)*G940)</f>
        <v/>
      </c>
      <c r="I940" s="16">
        <f>IF(OR(E940="",F940=""),"", (F940/E940)-1)</f>
        <v/>
      </c>
      <c r="J940" s="17">
        <f>IF(OR(C940="",D940=""),"", D940-C940)</f>
        <v/>
      </c>
      <c r="K940" s="17" t="n"/>
    </row>
    <row r="941">
      <c r="A941" s="17" t="n"/>
      <c r="B941" s="17" t="n"/>
      <c r="C941" s="17" t="n"/>
      <c r="D941" s="17" t="n"/>
      <c r="E941" s="15" t="n"/>
      <c r="F941" s="15" t="n"/>
      <c r="G941" s="17" t="n"/>
      <c r="H941" s="15">
        <f>IF(OR(E941="",F941="",G941=""),"", (F941-E941)*G941)</f>
        <v/>
      </c>
      <c r="I941" s="16">
        <f>IF(OR(E941="",F941=""),"", (F941/E941)-1)</f>
        <v/>
      </c>
      <c r="J941" s="17">
        <f>IF(OR(C941="",D941=""),"", D941-C941)</f>
        <v/>
      </c>
      <c r="K941" s="17" t="n"/>
    </row>
    <row r="942">
      <c r="A942" s="17" t="n"/>
      <c r="B942" s="17" t="n"/>
      <c r="C942" s="17" t="n"/>
      <c r="D942" s="17" t="n"/>
      <c r="E942" s="15" t="n"/>
      <c r="F942" s="15" t="n"/>
      <c r="G942" s="17" t="n"/>
      <c r="H942" s="15">
        <f>IF(OR(E942="",F942="",G942=""),"", (F942-E942)*G942)</f>
        <v/>
      </c>
      <c r="I942" s="16">
        <f>IF(OR(E942="",F942=""),"", (F942/E942)-1)</f>
        <v/>
      </c>
      <c r="J942" s="17">
        <f>IF(OR(C942="",D942=""),"", D942-C942)</f>
        <v/>
      </c>
      <c r="K942" s="17" t="n"/>
    </row>
    <row r="943">
      <c r="A943" s="17" t="n"/>
      <c r="B943" s="17" t="n"/>
      <c r="C943" s="17" t="n"/>
      <c r="D943" s="17" t="n"/>
      <c r="E943" s="15" t="n"/>
      <c r="F943" s="15" t="n"/>
      <c r="G943" s="17" t="n"/>
      <c r="H943" s="15">
        <f>IF(OR(E943="",F943="",G943=""),"", (F943-E943)*G943)</f>
        <v/>
      </c>
      <c r="I943" s="16">
        <f>IF(OR(E943="",F943=""),"", (F943/E943)-1)</f>
        <v/>
      </c>
      <c r="J943" s="17">
        <f>IF(OR(C943="",D943=""),"", D943-C943)</f>
        <v/>
      </c>
      <c r="K943" s="17" t="n"/>
    </row>
    <row r="944">
      <c r="A944" s="17" t="n"/>
      <c r="B944" s="17" t="n"/>
      <c r="C944" s="17" t="n"/>
      <c r="D944" s="17" t="n"/>
      <c r="E944" s="15" t="n"/>
      <c r="F944" s="15" t="n"/>
      <c r="G944" s="17" t="n"/>
      <c r="H944" s="15">
        <f>IF(OR(E944="",F944="",G944=""),"", (F944-E944)*G944)</f>
        <v/>
      </c>
      <c r="I944" s="16">
        <f>IF(OR(E944="",F944=""),"", (F944/E944)-1)</f>
        <v/>
      </c>
      <c r="J944" s="17">
        <f>IF(OR(C944="",D944=""),"", D944-C944)</f>
        <v/>
      </c>
      <c r="K944" s="17" t="n"/>
    </row>
    <row r="945">
      <c r="A945" s="17" t="n"/>
      <c r="B945" s="17" t="n"/>
      <c r="C945" s="17" t="n"/>
      <c r="D945" s="17" t="n"/>
      <c r="E945" s="15" t="n"/>
      <c r="F945" s="15" t="n"/>
      <c r="G945" s="17" t="n"/>
      <c r="H945" s="15">
        <f>IF(OR(E945="",F945="",G945=""),"", (F945-E945)*G945)</f>
        <v/>
      </c>
      <c r="I945" s="16">
        <f>IF(OR(E945="",F945=""),"", (F945/E945)-1)</f>
        <v/>
      </c>
      <c r="J945" s="17">
        <f>IF(OR(C945="",D945=""),"", D945-C945)</f>
        <v/>
      </c>
      <c r="K945" s="17" t="n"/>
    </row>
    <row r="946">
      <c r="A946" s="17" t="n"/>
      <c r="B946" s="17" t="n"/>
      <c r="C946" s="17" t="n"/>
      <c r="D946" s="17" t="n"/>
      <c r="E946" s="15" t="n"/>
      <c r="F946" s="15" t="n"/>
      <c r="G946" s="17" t="n"/>
      <c r="H946" s="15">
        <f>IF(OR(E946="",F946="",G946=""),"", (F946-E946)*G946)</f>
        <v/>
      </c>
      <c r="I946" s="16">
        <f>IF(OR(E946="",F946=""),"", (F946/E946)-1)</f>
        <v/>
      </c>
      <c r="J946" s="17">
        <f>IF(OR(C946="",D946=""),"", D946-C946)</f>
        <v/>
      </c>
      <c r="K946" s="17" t="n"/>
    </row>
    <row r="947">
      <c r="A947" s="17" t="n"/>
      <c r="B947" s="17" t="n"/>
      <c r="C947" s="17" t="n"/>
      <c r="D947" s="17" t="n"/>
      <c r="E947" s="15" t="n"/>
      <c r="F947" s="15" t="n"/>
      <c r="G947" s="17" t="n"/>
      <c r="H947" s="15">
        <f>IF(OR(E947="",F947="",G947=""),"", (F947-E947)*G947)</f>
        <v/>
      </c>
      <c r="I947" s="16">
        <f>IF(OR(E947="",F947=""),"", (F947/E947)-1)</f>
        <v/>
      </c>
      <c r="J947" s="17">
        <f>IF(OR(C947="",D947=""),"", D947-C947)</f>
        <v/>
      </c>
      <c r="K947" s="17" t="n"/>
    </row>
    <row r="948">
      <c r="A948" s="17" t="n"/>
      <c r="B948" s="17" t="n"/>
      <c r="C948" s="17" t="n"/>
      <c r="D948" s="17" t="n"/>
      <c r="E948" s="15" t="n"/>
      <c r="F948" s="15" t="n"/>
      <c r="G948" s="17" t="n"/>
      <c r="H948" s="15">
        <f>IF(OR(E948="",F948="",G948=""),"", (F948-E948)*G948)</f>
        <v/>
      </c>
      <c r="I948" s="16">
        <f>IF(OR(E948="",F948=""),"", (F948/E948)-1)</f>
        <v/>
      </c>
      <c r="J948" s="17">
        <f>IF(OR(C948="",D948=""),"", D948-C948)</f>
        <v/>
      </c>
      <c r="K948" s="17" t="n"/>
    </row>
    <row r="949">
      <c r="A949" s="17" t="n"/>
      <c r="B949" s="17" t="n"/>
      <c r="C949" s="17" t="n"/>
      <c r="D949" s="17" t="n"/>
      <c r="E949" s="15" t="n"/>
      <c r="F949" s="15" t="n"/>
      <c r="G949" s="17" t="n"/>
      <c r="H949" s="15">
        <f>IF(OR(E949="",F949="",G949=""),"", (F949-E949)*G949)</f>
        <v/>
      </c>
      <c r="I949" s="16">
        <f>IF(OR(E949="",F949=""),"", (F949/E949)-1)</f>
        <v/>
      </c>
      <c r="J949" s="17">
        <f>IF(OR(C949="",D949=""),"", D949-C949)</f>
        <v/>
      </c>
      <c r="K949" s="17" t="n"/>
    </row>
    <row r="950">
      <c r="A950" s="17" t="n"/>
      <c r="B950" s="17" t="n"/>
      <c r="C950" s="17" t="n"/>
      <c r="D950" s="17" t="n"/>
      <c r="E950" s="15" t="n"/>
      <c r="F950" s="15" t="n"/>
      <c r="G950" s="17" t="n"/>
      <c r="H950" s="15">
        <f>IF(OR(E950="",F950="",G950=""),"", (F950-E950)*G950)</f>
        <v/>
      </c>
      <c r="I950" s="16">
        <f>IF(OR(E950="",F950=""),"", (F950/E950)-1)</f>
        <v/>
      </c>
      <c r="J950" s="17">
        <f>IF(OR(C950="",D950=""),"", D950-C950)</f>
        <v/>
      </c>
      <c r="K950" s="17" t="n"/>
    </row>
    <row r="951">
      <c r="A951" s="17" t="n"/>
      <c r="B951" s="17" t="n"/>
      <c r="C951" s="17" t="n"/>
      <c r="D951" s="17" t="n"/>
      <c r="E951" s="15" t="n"/>
      <c r="F951" s="15" t="n"/>
      <c r="G951" s="17" t="n"/>
      <c r="H951" s="15">
        <f>IF(OR(E951="",F951="",G951=""),"", (F951-E951)*G951)</f>
        <v/>
      </c>
      <c r="I951" s="16">
        <f>IF(OR(E951="",F951=""),"", (F951/E951)-1)</f>
        <v/>
      </c>
      <c r="J951" s="17">
        <f>IF(OR(C951="",D951=""),"", D951-C951)</f>
        <v/>
      </c>
      <c r="K951" s="17" t="n"/>
    </row>
    <row r="952">
      <c r="A952" s="17" t="n"/>
      <c r="B952" s="17" t="n"/>
      <c r="C952" s="17" t="n"/>
      <c r="D952" s="17" t="n"/>
      <c r="E952" s="15" t="n"/>
      <c r="F952" s="15" t="n"/>
      <c r="G952" s="17" t="n"/>
      <c r="H952" s="15">
        <f>IF(OR(E952="",F952="",G952=""),"", (F952-E952)*G952)</f>
        <v/>
      </c>
      <c r="I952" s="16">
        <f>IF(OR(E952="",F952=""),"", (F952/E952)-1)</f>
        <v/>
      </c>
      <c r="J952" s="17">
        <f>IF(OR(C952="",D952=""),"", D952-C952)</f>
        <v/>
      </c>
      <c r="K952" s="17" t="n"/>
    </row>
    <row r="953">
      <c r="A953" s="17" t="n"/>
      <c r="B953" s="17" t="n"/>
      <c r="C953" s="17" t="n"/>
      <c r="D953" s="17" t="n"/>
      <c r="E953" s="15" t="n"/>
      <c r="F953" s="15" t="n"/>
      <c r="G953" s="17" t="n"/>
      <c r="H953" s="15">
        <f>IF(OR(E953="",F953="",G953=""),"", (F953-E953)*G953)</f>
        <v/>
      </c>
      <c r="I953" s="16">
        <f>IF(OR(E953="",F953=""),"", (F953/E953)-1)</f>
        <v/>
      </c>
      <c r="J953" s="17">
        <f>IF(OR(C953="",D953=""),"", D953-C953)</f>
        <v/>
      </c>
      <c r="K953" s="17" t="n"/>
    </row>
    <row r="954">
      <c r="A954" s="17" t="n"/>
      <c r="B954" s="17" t="n"/>
      <c r="C954" s="17" t="n"/>
      <c r="D954" s="17" t="n"/>
      <c r="E954" s="15" t="n"/>
      <c r="F954" s="15" t="n"/>
      <c r="G954" s="17" t="n"/>
      <c r="H954" s="15">
        <f>IF(OR(E954="",F954="",G954=""),"", (F954-E954)*G954)</f>
        <v/>
      </c>
      <c r="I954" s="16">
        <f>IF(OR(E954="",F954=""),"", (F954/E954)-1)</f>
        <v/>
      </c>
      <c r="J954" s="17">
        <f>IF(OR(C954="",D954=""),"", D954-C954)</f>
        <v/>
      </c>
      <c r="K954" s="17" t="n"/>
    </row>
    <row r="955">
      <c r="A955" s="17" t="n"/>
      <c r="B955" s="17" t="n"/>
      <c r="C955" s="17" t="n"/>
      <c r="D955" s="17" t="n"/>
      <c r="E955" s="15" t="n"/>
      <c r="F955" s="15" t="n"/>
      <c r="G955" s="17" t="n"/>
      <c r="H955" s="15">
        <f>IF(OR(E955="",F955="",G955=""),"", (F955-E955)*G955)</f>
        <v/>
      </c>
      <c r="I955" s="16">
        <f>IF(OR(E955="",F955=""),"", (F955/E955)-1)</f>
        <v/>
      </c>
      <c r="J955" s="17">
        <f>IF(OR(C955="",D955=""),"", D955-C955)</f>
        <v/>
      </c>
      <c r="K955" s="17" t="n"/>
    </row>
    <row r="956">
      <c r="A956" s="17" t="n"/>
      <c r="B956" s="17" t="n"/>
      <c r="C956" s="17" t="n"/>
      <c r="D956" s="17" t="n"/>
      <c r="E956" s="15" t="n"/>
      <c r="F956" s="15" t="n"/>
      <c r="G956" s="17" t="n"/>
      <c r="H956" s="15">
        <f>IF(OR(E956="",F956="",G956=""),"", (F956-E956)*G956)</f>
        <v/>
      </c>
      <c r="I956" s="16">
        <f>IF(OR(E956="",F956=""),"", (F956/E956)-1)</f>
        <v/>
      </c>
      <c r="J956" s="17">
        <f>IF(OR(C956="",D956=""),"", D956-C956)</f>
        <v/>
      </c>
      <c r="K956" s="17" t="n"/>
    </row>
    <row r="957">
      <c r="A957" s="17" t="n"/>
      <c r="B957" s="17" t="n"/>
      <c r="C957" s="17" t="n"/>
      <c r="D957" s="17" t="n"/>
      <c r="E957" s="15" t="n"/>
      <c r="F957" s="15" t="n"/>
      <c r="G957" s="17" t="n"/>
      <c r="H957" s="15">
        <f>IF(OR(E957="",F957="",G957=""),"", (F957-E957)*G957)</f>
        <v/>
      </c>
      <c r="I957" s="16">
        <f>IF(OR(E957="",F957=""),"", (F957/E957)-1)</f>
        <v/>
      </c>
      <c r="J957" s="17">
        <f>IF(OR(C957="",D957=""),"", D957-C957)</f>
        <v/>
      </c>
      <c r="K957" s="17" t="n"/>
    </row>
    <row r="958">
      <c r="A958" s="17" t="n"/>
      <c r="B958" s="17" t="n"/>
      <c r="C958" s="17" t="n"/>
      <c r="D958" s="17" t="n"/>
      <c r="E958" s="15" t="n"/>
      <c r="F958" s="15" t="n"/>
      <c r="G958" s="17" t="n"/>
      <c r="H958" s="15">
        <f>IF(OR(E958="",F958="",G958=""),"", (F958-E958)*G958)</f>
        <v/>
      </c>
      <c r="I958" s="16">
        <f>IF(OR(E958="",F958=""),"", (F958/E958)-1)</f>
        <v/>
      </c>
      <c r="J958" s="17">
        <f>IF(OR(C958="",D958=""),"", D958-C958)</f>
        <v/>
      </c>
      <c r="K958" s="17" t="n"/>
    </row>
    <row r="959">
      <c r="A959" s="17" t="n"/>
      <c r="B959" s="17" t="n"/>
      <c r="C959" s="17" t="n"/>
      <c r="D959" s="17" t="n"/>
      <c r="E959" s="15" t="n"/>
      <c r="F959" s="15" t="n"/>
      <c r="G959" s="17" t="n"/>
      <c r="H959" s="15">
        <f>IF(OR(E959="",F959="",G959=""),"", (F959-E959)*G959)</f>
        <v/>
      </c>
      <c r="I959" s="16">
        <f>IF(OR(E959="",F959=""),"", (F959/E959)-1)</f>
        <v/>
      </c>
      <c r="J959" s="17">
        <f>IF(OR(C959="",D959=""),"", D959-C959)</f>
        <v/>
      </c>
      <c r="K959" s="17" t="n"/>
    </row>
    <row r="960">
      <c r="A960" s="17" t="n"/>
      <c r="B960" s="17" t="n"/>
      <c r="C960" s="17" t="n"/>
      <c r="D960" s="17" t="n"/>
      <c r="E960" s="15" t="n"/>
      <c r="F960" s="15" t="n"/>
      <c r="G960" s="17" t="n"/>
      <c r="H960" s="15">
        <f>IF(OR(E960="",F960="",G960=""),"", (F960-E960)*G960)</f>
        <v/>
      </c>
      <c r="I960" s="16">
        <f>IF(OR(E960="",F960=""),"", (F960/E960)-1)</f>
        <v/>
      </c>
      <c r="J960" s="17">
        <f>IF(OR(C960="",D960=""),"", D960-C960)</f>
        <v/>
      </c>
      <c r="K960" s="17" t="n"/>
    </row>
    <row r="961">
      <c r="A961" s="17" t="n"/>
      <c r="B961" s="17" t="n"/>
      <c r="C961" s="17" t="n"/>
      <c r="D961" s="17" t="n"/>
      <c r="E961" s="15" t="n"/>
      <c r="F961" s="15" t="n"/>
      <c r="G961" s="17" t="n"/>
      <c r="H961" s="15">
        <f>IF(OR(E961="",F961="",G961=""),"", (F961-E961)*G961)</f>
        <v/>
      </c>
      <c r="I961" s="16">
        <f>IF(OR(E961="",F961=""),"", (F961/E961)-1)</f>
        <v/>
      </c>
      <c r="J961" s="17">
        <f>IF(OR(C961="",D961=""),"", D961-C961)</f>
        <v/>
      </c>
      <c r="K961" s="17" t="n"/>
    </row>
    <row r="962">
      <c r="A962" s="17" t="n"/>
      <c r="B962" s="17" t="n"/>
      <c r="C962" s="17" t="n"/>
      <c r="D962" s="17" t="n"/>
      <c r="E962" s="15" t="n"/>
      <c r="F962" s="15" t="n"/>
      <c r="G962" s="17" t="n"/>
      <c r="H962" s="15">
        <f>IF(OR(E962="",F962="",G962=""),"", (F962-E962)*G962)</f>
        <v/>
      </c>
      <c r="I962" s="16">
        <f>IF(OR(E962="",F962=""),"", (F962/E962)-1)</f>
        <v/>
      </c>
      <c r="J962" s="17">
        <f>IF(OR(C962="",D962=""),"", D962-C962)</f>
        <v/>
      </c>
      <c r="K962" s="17" t="n"/>
    </row>
    <row r="963">
      <c r="A963" s="17" t="n"/>
      <c r="B963" s="17" t="n"/>
      <c r="C963" s="17" t="n"/>
      <c r="D963" s="17" t="n"/>
      <c r="E963" s="15" t="n"/>
      <c r="F963" s="15" t="n"/>
      <c r="G963" s="17" t="n"/>
      <c r="H963" s="15">
        <f>IF(OR(E963="",F963="",G963=""),"", (F963-E963)*G963)</f>
        <v/>
      </c>
      <c r="I963" s="16">
        <f>IF(OR(E963="",F963=""),"", (F963/E963)-1)</f>
        <v/>
      </c>
      <c r="J963" s="17">
        <f>IF(OR(C963="",D963=""),"", D963-C963)</f>
        <v/>
      </c>
      <c r="K963" s="17" t="n"/>
    </row>
    <row r="964">
      <c r="A964" s="17" t="n"/>
      <c r="B964" s="17" t="n"/>
      <c r="C964" s="17" t="n"/>
      <c r="D964" s="17" t="n"/>
      <c r="E964" s="15" t="n"/>
      <c r="F964" s="15" t="n"/>
      <c r="G964" s="17" t="n"/>
      <c r="H964" s="15">
        <f>IF(OR(E964="",F964="",G964=""),"", (F964-E964)*G964)</f>
        <v/>
      </c>
      <c r="I964" s="16">
        <f>IF(OR(E964="",F964=""),"", (F964/E964)-1)</f>
        <v/>
      </c>
      <c r="J964" s="17">
        <f>IF(OR(C964="",D964=""),"", D964-C964)</f>
        <v/>
      </c>
      <c r="K964" s="17" t="n"/>
    </row>
    <row r="965">
      <c r="A965" s="17" t="n"/>
      <c r="B965" s="17" t="n"/>
      <c r="C965" s="17" t="n"/>
      <c r="D965" s="17" t="n"/>
      <c r="E965" s="15" t="n"/>
      <c r="F965" s="15" t="n"/>
      <c r="G965" s="17" t="n"/>
      <c r="H965" s="15">
        <f>IF(OR(E965="",F965="",G965=""),"", (F965-E965)*G965)</f>
        <v/>
      </c>
      <c r="I965" s="16">
        <f>IF(OR(E965="",F965=""),"", (F965/E965)-1)</f>
        <v/>
      </c>
      <c r="J965" s="17">
        <f>IF(OR(C965="",D965=""),"", D965-C965)</f>
        <v/>
      </c>
      <c r="K965" s="17" t="n"/>
    </row>
    <row r="966">
      <c r="A966" s="17" t="n"/>
      <c r="B966" s="17" t="n"/>
      <c r="C966" s="17" t="n"/>
      <c r="D966" s="17" t="n"/>
      <c r="E966" s="15" t="n"/>
      <c r="F966" s="15" t="n"/>
      <c r="G966" s="17" t="n"/>
      <c r="H966" s="15">
        <f>IF(OR(E966="",F966="",G966=""),"", (F966-E966)*G966)</f>
        <v/>
      </c>
      <c r="I966" s="16">
        <f>IF(OR(E966="",F966=""),"", (F966/E966)-1)</f>
        <v/>
      </c>
      <c r="J966" s="17">
        <f>IF(OR(C966="",D966=""),"", D966-C966)</f>
        <v/>
      </c>
      <c r="K966" s="17" t="n"/>
    </row>
    <row r="967">
      <c r="A967" s="17" t="n"/>
      <c r="B967" s="17" t="n"/>
      <c r="C967" s="17" t="n"/>
      <c r="D967" s="17" t="n"/>
      <c r="E967" s="15" t="n"/>
      <c r="F967" s="15" t="n"/>
      <c r="G967" s="17" t="n"/>
      <c r="H967" s="15">
        <f>IF(OR(E967="",F967="",G967=""),"", (F967-E967)*G967)</f>
        <v/>
      </c>
      <c r="I967" s="16">
        <f>IF(OR(E967="",F967=""),"", (F967/E967)-1)</f>
        <v/>
      </c>
      <c r="J967" s="17">
        <f>IF(OR(C967="",D967=""),"", D967-C967)</f>
        <v/>
      </c>
      <c r="K967" s="17" t="n"/>
    </row>
    <row r="968">
      <c r="A968" s="17" t="n"/>
      <c r="B968" s="17" t="n"/>
      <c r="C968" s="17" t="n"/>
      <c r="D968" s="17" t="n"/>
      <c r="E968" s="15" t="n"/>
      <c r="F968" s="15" t="n"/>
      <c r="G968" s="17" t="n"/>
      <c r="H968" s="15">
        <f>IF(OR(E968="",F968="",G968=""),"", (F968-E968)*G968)</f>
        <v/>
      </c>
      <c r="I968" s="16">
        <f>IF(OR(E968="",F968=""),"", (F968/E968)-1)</f>
        <v/>
      </c>
      <c r="J968" s="17">
        <f>IF(OR(C968="",D968=""),"", D968-C968)</f>
        <v/>
      </c>
      <c r="K968" s="17" t="n"/>
    </row>
    <row r="969">
      <c r="A969" s="17" t="n"/>
      <c r="B969" s="17" t="n"/>
      <c r="C969" s="17" t="n"/>
      <c r="D969" s="17" t="n"/>
      <c r="E969" s="15" t="n"/>
      <c r="F969" s="15" t="n"/>
      <c r="G969" s="17" t="n"/>
      <c r="H969" s="15">
        <f>IF(OR(E969="",F969="",G969=""),"", (F969-E969)*G969)</f>
        <v/>
      </c>
      <c r="I969" s="16">
        <f>IF(OR(E969="",F969=""),"", (F969/E969)-1)</f>
        <v/>
      </c>
      <c r="J969" s="17">
        <f>IF(OR(C969="",D969=""),"", D969-C969)</f>
        <v/>
      </c>
      <c r="K969" s="17" t="n"/>
    </row>
    <row r="970">
      <c r="A970" s="17" t="n"/>
      <c r="B970" s="17" t="n"/>
      <c r="C970" s="17" t="n"/>
      <c r="D970" s="17" t="n"/>
      <c r="E970" s="15" t="n"/>
      <c r="F970" s="15" t="n"/>
      <c r="G970" s="17" t="n"/>
      <c r="H970" s="15">
        <f>IF(OR(E970="",F970="",G970=""),"", (F970-E970)*G970)</f>
        <v/>
      </c>
      <c r="I970" s="16">
        <f>IF(OR(E970="",F970=""),"", (F970/E970)-1)</f>
        <v/>
      </c>
      <c r="J970" s="17">
        <f>IF(OR(C970="",D970=""),"", D970-C970)</f>
        <v/>
      </c>
      <c r="K970" s="17" t="n"/>
    </row>
    <row r="971">
      <c r="A971" s="17" t="n"/>
      <c r="B971" s="17" t="n"/>
      <c r="C971" s="17" t="n"/>
      <c r="D971" s="17" t="n"/>
      <c r="E971" s="15" t="n"/>
      <c r="F971" s="15" t="n"/>
      <c r="G971" s="17" t="n"/>
      <c r="H971" s="15">
        <f>IF(OR(E971="",F971="",G971=""),"", (F971-E971)*G971)</f>
        <v/>
      </c>
      <c r="I971" s="16">
        <f>IF(OR(E971="",F971=""),"", (F971/E971)-1)</f>
        <v/>
      </c>
      <c r="J971" s="17">
        <f>IF(OR(C971="",D971=""),"", D971-C971)</f>
        <v/>
      </c>
      <c r="K971" s="17" t="n"/>
    </row>
    <row r="972">
      <c r="A972" s="17" t="n"/>
      <c r="B972" s="17" t="n"/>
      <c r="C972" s="17" t="n"/>
      <c r="D972" s="17" t="n"/>
      <c r="E972" s="15" t="n"/>
      <c r="F972" s="15" t="n"/>
      <c r="G972" s="17" t="n"/>
      <c r="H972" s="15">
        <f>IF(OR(E972="",F972="",G972=""),"", (F972-E972)*G972)</f>
        <v/>
      </c>
      <c r="I972" s="16">
        <f>IF(OR(E972="",F972=""),"", (F972/E972)-1)</f>
        <v/>
      </c>
      <c r="J972" s="17">
        <f>IF(OR(C972="",D972=""),"", D972-C972)</f>
        <v/>
      </c>
      <c r="K972" s="17" t="n"/>
    </row>
    <row r="973">
      <c r="A973" s="17" t="n"/>
      <c r="B973" s="17" t="n"/>
      <c r="C973" s="17" t="n"/>
      <c r="D973" s="17" t="n"/>
      <c r="E973" s="15" t="n"/>
      <c r="F973" s="15" t="n"/>
      <c r="G973" s="17" t="n"/>
      <c r="H973" s="15">
        <f>IF(OR(E973="",F973="",G973=""),"", (F973-E973)*G973)</f>
        <v/>
      </c>
      <c r="I973" s="16">
        <f>IF(OR(E973="",F973=""),"", (F973/E973)-1)</f>
        <v/>
      </c>
      <c r="J973" s="17">
        <f>IF(OR(C973="",D973=""),"", D973-C973)</f>
        <v/>
      </c>
      <c r="K973" s="17" t="n"/>
    </row>
    <row r="974">
      <c r="A974" s="17" t="n"/>
      <c r="B974" s="17" t="n"/>
      <c r="C974" s="17" t="n"/>
      <c r="D974" s="17" t="n"/>
      <c r="E974" s="15" t="n"/>
      <c r="F974" s="15" t="n"/>
      <c r="G974" s="17" t="n"/>
      <c r="H974" s="15">
        <f>IF(OR(E974="",F974="",G974=""),"", (F974-E974)*G974)</f>
        <v/>
      </c>
      <c r="I974" s="16">
        <f>IF(OR(E974="",F974=""),"", (F974/E974)-1)</f>
        <v/>
      </c>
      <c r="J974" s="17">
        <f>IF(OR(C974="",D974=""),"", D974-C974)</f>
        <v/>
      </c>
      <c r="K974" s="17" t="n"/>
    </row>
    <row r="975">
      <c r="A975" s="17" t="n"/>
      <c r="B975" s="17" t="n"/>
      <c r="C975" s="17" t="n"/>
      <c r="D975" s="17" t="n"/>
      <c r="E975" s="15" t="n"/>
      <c r="F975" s="15" t="n"/>
      <c r="G975" s="17" t="n"/>
      <c r="H975" s="15">
        <f>IF(OR(E975="",F975="",G975=""),"", (F975-E975)*G975)</f>
        <v/>
      </c>
      <c r="I975" s="16">
        <f>IF(OR(E975="",F975=""),"", (F975/E975)-1)</f>
        <v/>
      </c>
      <c r="J975" s="17">
        <f>IF(OR(C975="",D975=""),"", D975-C975)</f>
        <v/>
      </c>
      <c r="K975" s="17" t="n"/>
    </row>
    <row r="976">
      <c r="A976" s="17" t="n"/>
      <c r="B976" s="17" t="n"/>
      <c r="C976" s="17" t="n"/>
      <c r="D976" s="17" t="n"/>
      <c r="E976" s="15" t="n"/>
      <c r="F976" s="15" t="n"/>
      <c r="G976" s="17" t="n"/>
      <c r="H976" s="15">
        <f>IF(OR(E976="",F976="",G976=""),"", (F976-E976)*G976)</f>
        <v/>
      </c>
      <c r="I976" s="16">
        <f>IF(OR(E976="",F976=""),"", (F976/E976)-1)</f>
        <v/>
      </c>
      <c r="J976" s="17">
        <f>IF(OR(C976="",D976=""),"", D976-C976)</f>
        <v/>
      </c>
      <c r="K976" s="17" t="n"/>
    </row>
    <row r="977">
      <c r="A977" s="17" t="n"/>
      <c r="B977" s="17" t="n"/>
      <c r="C977" s="17" t="n"/>
      <c r="D977" s="17" t="n"/>
      <c r="E977" s="15" t="n"/>
      <c r="F977" s="15" t="n"/>
      <c r="G977" s="17" t="n"/>
      <c r="H977" s="15">
        <f>IF(OR(E977="",F977="",G977=""),"", (F977-E977)*G977)</f>
        <v/>
      </c>
      <c r="I977" s="16">
        <f>IF(OR(E977="",F977=""),"", (F977/E977)-1)</f>
        <v/>
      </c>
      <c r="J977" s="17">
        <f>IF(OR(C977="",D977=""),"", D977-C977)</f>
        <v/>
      </c>
      <c r="K977" s="17" t="n"/>
    </row>
    <row r="978">
      <c r="A978" s="17" t="n"/>
      <c r="B978" s="17" t="n"/>
      <c r="C978" s="17" t="n"/>
      <c r="D978" s="17" t="n"/>
      <c r="E978" s="15" t="n"/>
      <c r="F978" s="15" t="n"/>
      <c r="G978" s="17" t="n"/>
      <c r="H978" s="15">
        <f>IF(OR(E978="",F978="",G978=""),"", (F978-E978)*G978)</f>
        <v/>
      </c>
      <c r="I978" s="16">
        <f>IF(OR(E978="",F978=""),"", (F978/E978)-1)</f>
        <v/>
      </c>
      <c r="J978" s="17">
        <f>IF(OR(C978="",D978=""),"", D978-C978)</f>
        <v/>
      </c>
      <c r="K978" s="17" t="n"/>
    </row>
    <row r="979">
      <c r="A979" s="17" t="n"/>
      <c r="B979" s="17" t="n"/>
      <c r="C979" s="17" t="n"/>
      <c r="D979" s="17" t="n"/>
      <c r="E979" s="15" t="n"/>
      <c r="F979" s="15" t="n"/>
      <c r="G979" s="17" t="n"/>
      <c r="H979" s="15">
        <f>IF(OR(E979="",F979="",G979=""),"", (F979-E979)*G979)</f>
        <v/>
      </c>
      <c r="I979" s="16">
        <f>IF(OR(E979="",F979=""),"", (F979/E979)-1)</f>
        <v/>
      </c>
      <c r="J979" s="17">
        <f>IF(OR(C979="",D979=""),"", D979-C979)</f>
        <v/>
      </c>
      <c r="K979" s="17" t="n"/>
    </row>
    <row r="980">
      <c r="A980" s="17" t="n"/>
      <c r="B980" s="17" t="n"/>
      <c r="C980" s="17" t="n"/>
      <c r="D980" s="17" t="n"/>
      <c r="E980" s="15" t="n"/>
      <c r="F980" s="15" t="n"/>
      <c r="G980" s="17" t="n"/>
      <c r="H980" s="15">
        <f>IF(OR(E980="",F980="",G980=""),"", (F980-E980)*G980)</f>
        <v/>
      </c>
      <c r="I980" s="16">
        <f>IF(OR(E980="",F980=""),"", (F980/E980)-1)</f>
        <v/>
      </c>
      <c r="J980" s="17">
        <f>IF(OR(C980="",D980=""),"", D980-C980)</f>
        <v/>
      </c>
      <c r="K980" s="17" t="n"/>
    </row>
    <row r="981">
      <c r="A981" s="17" t="n"/>
      <c r="B981" s="17" t="n"/>
      <c r="C981" s="17" t="n"/>
      <c r="D981" s="17" t="n"/>
      <c r="E981" s="15" t="n"/>
      <c r="F981" s="15" t="n"/>
      <c r="G981" s="17" t="n"/>
      <c r="H981" s="15">
        <f>IF(OR(E981="",F981="",G981=""),"", (F981-E981)*G981)</f>
        <v/>
      </c>
      <c r="I981" s="16">
        <f>IF(OR(E981="",F981=""),"", (F981/E981)-1)</f>
        <v/>
      </c>
      <c r="J981" s="17">
        <f>IF(OR(C981="",D981=""),"", D981-C981)</f>
        <v/>
      </c>
      <c r="K981" s="17" t="n"/>
    </row>
    <row r="982">
      <c r="A982" s="17" t="n"/>
      <c r="B982" s="17" t="n"/>
      <c r="C982" s="17" t="n"/>
      <c r="D982" s="17" t="n"/>
      <c r="E982" s="15" t="n"/>
      <c r="F982" s="15" t="n"/>
      <c r="G982" s="17" t="n"/>
      <c r="H982" s="15">
        <f>IF(OR(E982="",F982="",G982=""),"", (F982-E982)*G982)</f>
        <v/>
      </c>
      <c r="I982" s="16">
        <f>IF(OR(E982="",F982=""),"", (F982/E982)-1)</f>
        <v/>
      </c>
      <c r="J982" s="17">
        <f>IF(OR(C982="",D982=""),"", D982-C982)</f>
        <v/>
      </c>
      <c r="K982" s="17" t="n"/>
    </row>
    <row r="983">
      <c r="A983" s="17" t="n"/>
      <c r="B983" s="17" t="n"/>
      <c r="C983" s="17" t="n"/>
      <c r="D983" s="17" t="n"/>
      <c r="E983" s="15" t="n"/>
      <c r="F983" s="15" t="n"/>
      <c r="G983" s="17" t="n"/>
      <c r="H983" s="15">
        <f>IF(OR(E983="",F983="",G983=""),"", (F983-E983)*G983)</f>
        <v/>
      </c>
      <c r="I983" s="16">
        <f>IF(OR(E983="",F983=""),"", (F983/E983)-1)</f>
        <v/>
      </c>
      <c r="J983" s="17">
        <f>IF(OR(C983="",D983=""),"", D983-C983)</f>
        <v/>
      </c>
      <c r="K983" s="17" t="n"/>
    </row>
    <row r="984">
      <c r="A984" s="17" t="n"/>
      <c r="B984" s="17" t="n"/>
      <c r="C984" s="17" t="n"/>
      <c r="D984" s="17" t="n"/>
      <c r="E984" s="15" t="n"/>
      <c r="F984" s="15" t="n"/>
      <c r="G984" s="17" t="n"/>
      <c r="H984" s="15">
        <f>IF(OR(E984="",F984="",G984=""),"", (F984-E984)*G984)</f>
        <v/>
      </c>
      <c r="I984" s="16">
        <f>IF(OR(E984="",F984=""),"", (F984/E984)-1)</f>
        <v/>
      </c>
      <c r="J984" s="17">
        <f>IF(OR(C984="",D984=""),"", D984-C984)</f>
        <v/>
      </c>
      <c r="K984" s="17" t="n"/>
    </row>
    <row r="985">
      <c r="A985" s="17" t="n"/>
      <c r="B985" s="17" t="n"/>
      <c r="C985" s="17" t="n"/>
      <c r="D985" s="17" t="n"/>
      <c r="E985" s="15" t="n"/>
      <c r="F985" s="15" t="n"/>
      <c r="G985" s="17" t="n"/>
      <c r="H985" s="15">
        <f>IF(OR(E985="",F985="",G985=""),"", (F985-E985)*G985)</f>
        <v/>
      </c>
      <c r="I985" s="16">
        <f>IF(OR(E985="",F985=""),"", (F985/E985)-1)</f>
        <v/>
      </c>
      <c r="J985" s="17">
        <f>IF(OR(C985="",D985=""),"", D985-C985)</f>
        <v/>
      </c>
      <c r="K985" s="17" t="n"/>
    </row>
    <row r="986">
      <c r="A986" s="17" t="n"/>
      <c r="B986" s="17" t="n"/>
      <c r="C986" s="17" t="n"/>
      <c r="D986" s="17" t="n"/>
      <c r="E986" s="15" t="n"/>
      <c r="F986" s="15" t="n"/>
      <c r="G986" s="17" t="n"/>
      <c r="H986" s="15">
        <f>IF(OR(E986="",F986="",G986=""),"", (F986-E986)*G986)</f>
        <v/>
      </c>
      <c r="I986" s="16">
        <f>IF(OR(E986="",F986=""),"", (F986/E986)-1)</f>
        <v/>
      </c>
      <c r="J986" s="17">
        <f>IF(OR(C986="",D986=""),"", D986-C986)</f>
        <v/>
      </c>
      <c r="K986" s="17" t="n"/>
    </row>
    <row r="987">
      <c r="A987" s="17" t="n"/>
      <c r="B987" s="17" t="n"/>
      <c r="C987" s="17" t="n"/>
      <c r="D987" s="17" t="n"/>
      <c r="E987" s="15" t="n"/>
      <c r="F987" s="15" t="n"/>
      <c r="G987" s="17" t="n"/>
      <c r="H987" s="15">
        <f>IF(OR(E987="",F987="",G987=""),"", (F987-E987)*G987)</f>
        <v/>
      </c>
      <c r="I987" s="16">
        <f>IF(OR(E987="",F987=""),"", (F987/E987)-1)</f>
        <v/>
      </c>
      <c r="J987" s="17">
        <f>IF(OR(C987="",D987=""),"", D987-C987)</f>
        <v/>
      </c>
      <c r="K987" s="17" t="n"/>
    </row>
    <row r="988">
      <c r="A988" s="17" t="n"/>
      <c r="B988" s="17" t="n"/>
      <c r="C988" s="17" t="n"/>
      <c r="D988" s="17" t="n"/>
      <c r="E988" s="15" t="n"/>
      <c r="F988" s="15" t="n"/>
      <c r="G988" s="17" t="n"/>
      <c r="H988" s="15">
        <f>IF(OR(E988="",F988="",G988=""),"", (F988-E988)*G988)</f>
        <v/>
      </c>
      <c r="I988" s="16">
        <f>IF(OR(E988="",F988=""),"", (F988/E988)-1)</f>
        <v/>
      </c>
      <c r="J988" s="17">
        <f>IF(OR(C988="",D988=""),"", D988-C988)</f>
        <v/>
      </c>
      <c r="K988" s="17" t="n"/>
    </row>
    <row r="989">
      <c r="A989" s="17" t="n"/>
      <c r="B989" s="17" t="n"/>
      <c r="C989" s="17" t="n"/>
      <c r="D989" s="17" t="n"/>
      <c r="E989" s="15" t="n"/>
      <c r="F989" s="15" t="n"/>
      <c r="G989" s="17" t="n"/>
      <c r="H989" s="15">
        <f>IF(OR(E989="",F989="",G989=""),"", (F989-E989)*G989)</f>
        <v/>
      </c>
      <c r="I989" s="16">
        <f>IF(OR(E989="",F989=""),"", (F989/E989)-1)</f>
        <v/>
      </c>
      <c r="J989" s="17">
        <f>IF(OR(C989="",D989=""),"", D989-C989)</f>
        <v/>
      </c>
      <c r="K989" s="17" t="n"/>
    </row>
    <row r="990">
      <c r="A990" s="17" t="n"/>
      <c r="B990" s="17" t="n"/>
      <c r="C990" s="17" t="n"/>
      <c r="D990" s="17" t="n"/>
      <c r="E990" s="15" t="n"/>
      <c r="F990" s="15" t="n"/>
      <c r="G990" s="17" t="n"/>
      <c r="H990" s="15">
        <f>IF(OR(E990="",F990="",G990=""),"", (F990-E990)*G990)</f>
        <v/>
      </c>
      <c r="I990" s="16">
        <f>IF(OR(E990="",F990=""),"", (F990/E990)-1)</f>
        <v/>
      </c>
      <c r="J990" s="17">
        <f>IF(OR(C990="",D990=""),"", D990-C990)</f>
        <v/>
      </c>
      <c r="K990" s="17" t="n"/>
    </row>
    <row r="991">
      <c r="A991" s="17" t="n"/>
      <c r="B991" s="17" t="n"/>
      <c r="C991" s="17" t="n"/>
      <c r="D991" s="17" t="n"/>
      <c r="E991" s="15" t="n"/>
      <c r="F991" s="15" t="n"/>
      <c r="G991" s="17" t="n"/>
      <c r="H991" s="15">
        <f>IF(OR(E991="",F991="",G991=""),"", (F991-E991)*G991)</f>
        <v/>
      </c>
      <c r="I991" s="16">
        <f>IF(OR(E991="",F991=""),"", (F991/E991)-1)</f>
        <v/>
      </c>
      <c r="J991" s="17">
        <f>IF(OR(C991="",D991=""),"", D991-C991)</f>
        <v/>
      </c>
      <c r="K991" s="17" t="n"/>
    </row>
    <row r="992">
      <c r="A992" s="17" t="n"/>
      <c r="B992" s="17" t="n"/>
      <c r="C992" s="17" t="n"/>
      <c r="D992" s="17" t="n"/>
      <c r="E992" s="15" t="n"/>
      <c r="F992" s="15" t="n"/>
      <c r="G992" s="17" t="n"/>
      <c r="H992" s="15">
        <f>IF(OR(E992="",F992="",G992=""),"", (F992-E992)*G992)</f>
        <v/>
      </c>
      <c r="I992" s="16">
        <f>IF(OR(E992="",F992=""),"", (F992/E992)-1)</f>
        <v/>
      </c>
      <c r="J992" s="17">
        <f>IF(OR(C992="",D992=""),"", D992-C992)</f>
        <v/>
      </c>
      <c r="K992" s="17" t="n"/>
    </row>
    <row r="993">
      <c r="A993" s="17" t="n"/>
      <c r="B993" s="17" t="n"/>
      <c r="C993" s="17" t="n"/>
      <c r="D993" s="17" t="n"/>
      <c r="E993" s="15" t="n"/>
      <c r="F993" s="15" t="n"/>
      <c r="G993" s="17" t="n"/>
      <c r="H993" s="15">
        <f>IF(OR(E993="",F993="",G993=""),"", (F993-E993)*G993)</f>
        <v/>
      </c>
      <c r="I993" s="16">
        <f>IF(OR(E993="",F993=""),"", (F993/E993)-1)</f>
        <v/>
      </c>
      <c r="J993" s="17">
        <f>IF(OR(C993="",D993=""),"", D993-C993)</f>
        <v/>
      </c>
      <c r="K993" s="17" t="n"/>
    </row>
    <row r="994">
      <c r="A994" s="17" t="n"/>
      <c r="B994" s="17" t="n"/>
      <c r="C994" s="17" t="n"/>
      <c r="D994" s="17" t="n"/>
      <c r="E994" s="15" t="n"/>
      <c r="F994" s="15" t="n"/>
      <c r="G994" s="17" t="n"/>
      <c r="H994" s="15">
        <f>IF(OR(E994="",F994="",G994=""),"", (F994-E994)*G994)</f>
        <v/>
      </c>
      <c r="I994" s="16">
        <f>IF(OR(E994="",F994=""),"", (F994/E994)-1)</f>
        <v/>
      </c>
      <c r="J994" s="17">
        <f>IF(OR(C994="",D994=""),"", D994-C994)</f>
        <v/>
      </c>
      <c r="K994" s="17" t="n"/>
    </row>
    <row r="995">
      <c r="A995" s="17" t="n"/>
      <c r="B995" s="17" t="n"/>
      <c r="C995" s="17" t="n"/>
      <c r="D995" s="17" t="n"/>
      <c r="E995" s="15" t="n"/>
      <c r="F995" s="15" t="n"/>
      <c r="G995" s="17" t="n"/>
      <c r="H995" s="15">
        <f>IF(OR(E995="",F995="",G995=""),"", (F995-E995)*G995)</f>
        <v/>
      </c>
      <c r="I995" s="16">
        <f>IF(OR(E995="",F995=""),"", (F995/E995)-1)</f>
        <v/>
      </c>
      <c r="J995" s="17">
        <f>IF(OR(C995="",D995=""),"", D995-C995)</f>
        <v/>
      </c>
      <c r="K995" s="17" t="n"/>
    </row>
    <row r="996">
      <c r="A996" s="17" t="n"/>
      <c r="B996" s="17" t="n"/>
      <c r="C996" s="17" t="n"/>
      <c r="D996" s="17" t="n"/>
      <c r="E996" s="15" t="n"/>
      <c r="F996" s="15" t="n"/>
      <c r="G996" s="17" t="n"/>
      <c r="H996" s="15">
        <f>IF(OR(E996="",F996="",G996=""),"", (F996-E996)*G996)</f>
        <v/>
      </c>
      <c r="I996" s="16">
        <f>IF(OR(E996="",F996=""),"", (F996/E996)-1)</f>
        <v/>
      </c>
      <c r="J996" s="17">
        <f>IF(OR(C996="",D996=""),"", D996-C996)</f>
        <v/>
      </c>
      <c r="K996" s="17" t="n"/>
    </row>
    <row r="997">
      <c r="A997" s="17" t="n"/>
      <c r="B997" s="17" t="n"/>
      <c r="C997" s="17" t="n"/>
      <c r="D997" s="17" t="n"/>
      <c r="E997" s="15" t="n"/>
      <c r="F997" s="15" t="n"/>
      <c r="G997" s="17" t="n"/>
      <c r="H997" s="15">
        <f>IF(OR(E997="",F997="",G997=""),"", (F997-E997)*G997)</f>
        <v/>
      </c>
      <c r="I997" s="16">
        <f>IF(OR(E997="",F997=""),"", (F997/E997)-1)</f>
        <v/>
      </c>
      <c r="J997" s="17">
        <f>IF(OR(C997="",D997=""),"", D997-C997)</f>
        <v/>
      </c>
      <c r="K997" s="17" t="n"/>
    </row>
    <row r="998">
      <c r="A998" s="17" t="n"/>
      <c r="B998" s="17" t="n"/>
      <c r="C998" s="17" t="n"/>
      <c r="D998" s="17" t="n"/>
      <c r="E998" s="15" t="n"/>
      <c r="F998" s="15" t="n"/>
      <c r="G998" s="17" t="n"/>
      <c r="H998" s="15">
        <f>IF(OR(E998="",F998="",G998=""),"", (F998-E998)*G998)</f>
        <v/>
      </c>
      <c r="I998" s="16">
        <f>IF(OR(E998="",F998=""),"", (F998/E998)-1)</f>
        <v/>
      </c>
      <c r="J998" s="17">
        <f>IF(OR(C998="",D998=""),"", D998-C998)</f>
        <v/>
      </c>
      <c r="K998" s="17" t="n"/>
    </row>
    <row r="999">
      <c r="A999" s="17" t="n"/>
      <c r="B999" s="17" t="n"/>
      <c r="C999" s="17" t="n"/>
      <c r="D999" s="17" t="n"/>
      <c r="E999" s="15" t="n"/>
      <c r="F999" s="15" t="n"/>
      <c r="G999" s="17" t="n"/>
      <c r="H999" s="15">
        <f>IF(OR(E999="",F999="",G999=""),"", (F999-E999)*G999)</f>
        <v/>
      </c>
      <c r="I999" s="16">
        <f>IF(OR(E999="",F999=""),"", (F999/E999)-1)</f>
        <v/>
      </c>
      <c r="J999" s="17">
        <f>IF(OR(C999="",D999=""),"", D999-C999)</f>
        <v/>
      </c>
      <c r="K999" s="17" t="n"/>
    </row>
    <row r="1000">
      <c r="A1000" s="17" t="n"/>
      <c r="B1000" s="17" t="n"/>
      <c r="C1000" s="17" t="n"/>
      <c r="D1000" s="17" t="n"/>
      <c r="E1000" s="15" t="n"/>
      <c r="F1000" s="15" t="n"/>
      <c r="G1000" s="17" t="n"/>
      <c r="H1000" s="15">
        <f>IF(OR(E1000="",F1000="",G1000=""),"", (F1000-E1000)*G1000)</f>
        <v/>
      </c>
      <c r="I1000" s="16">
        <f>IF(OR(E1000="",F1000=""),"", (F1000/E1000)-1)</f>
        <v/>
      </c>
      <c r="J1000" s="17">
        <f>IF(OR(C1000="",D1000=""),"", D1000-C1000)</f>
        <v/>
      </c>
      <c r="K1000" s="17" t="n"/>
    </row>
  </sheetData>
  <autoFilter ref="A3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.04296875" customWidth="1" style="20" min="1" max="1"/>
    <col width="16.0078125" customWidth="1" style="20" min="2" max="2"/>
  </cols>
  <sheetData>
    <row r="1">
      <c r="A1" s="19" t="inlineStr">
        <is>
          <t>Summary Stats</t>
        </is>
      </c>
    </row>
    <row r="3">
      <c r="A3" s="8" t="inlineStr">
        <is>
          <t>Total Trades</t>
        </is>
      </c>
      <c r="B3" s="17">
        <f>COUNTIF(Scoreboard!A4:A1000,"&lt;&gt;")</f>
        <v/>
      </c>
    </row>
    <row r="4">
      <c r="A4" s="8" t="inlineStr">
        <is>
          <t>Winning Trades</t>
        </is>
      </c>
      <c r="B4" s="17">
        <f>COUNTIF(Scoreboard!H4:H1000,"&gt;0")</f>
        <v/>
      </c>
    </row>
    <row r="5">
      <c r="A5" s="8" t="inlineStr">
        <is>
          <t>Losing Trades</t>
        </is>
      </c>
      <c r="B5" s="17">
        <f>COUNTIF(Scoreboard!H4:H1000,"&lt;0")</f>
        <v/>
      </c>
    </row>
    <row r="6">
      <c r="A6" s="8" t="inlineStr">
        <is>
          <t>Win Rate</t>
        </is>
      </c>
      <c r="B6" s="16">
        <f>IF(B3=0,"",B4/B3)</f>
        <v/>
      </c>
    </row>
    <row r="7">
      <c r="A7" s="8" t="inlineStr">
        <is>
          <t>Total P&amp;L</t>
        </is>
      </c>
      <c r="B7" s="15">
        <f>SUM(Scoreboard!H4:H1000)</f>
        <v/>
      </c>
    </row>
    <row r="8">
      <c r="A8" s="8" t="inlineStr">
        <is>
          <t>Average Return</t>
        </is>
      </c>
      <c r="B8" s="16">
        <f>IF(B3=0,"",AVERAGEIF(Scoreboard!I4:I1000,"&lt;&gt;"))</f>
        <v/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SOXL_Open</t>
        </is>
      </c>
      <c r="C1" t="inlineStr">
        <is>
          <t>SOXL_High</t>
        </is>
      </c>
      <c r="D1" t="inlineStr">
        <is>
          <t>SOXL_Low</t>
        </is>
      </c>
      <c r="E1" t="inlineStr">
        <is>
          <t>SOXL_Close</t>
        </is>
      </c>
      <c r="F1" t="inlineStr">
        <is>
          <t>TQQQ_Open</t>
        </is>
      </c>
      <c r="G1" t="inlineStr">
        <is>
          <t>TQQQ_High</t>
        </is>
      </c>
      <c r="H1" t="inlineStr">
        <is>
          <t>TQQQ_Low</t>
        </is>
      </c>
      <c r="I1" t="inlineStr">
        <is>
          <t>TQQQ_Close</t>
        </is>
      </c>
      <c r="J1" t="inlineStr">
        <is>
          <t>SOXS_Open</t>
        </is>
      </c>
      <c r="K1" t="inlineStr">
        <is>
          <t>SOXS_High</t>
        </is>
      </c>
      <c r="L1" t="inlineStr">
        <is>
          <t>SOXS_Low</t>
        </is>
      </c>
      <c r="M1" t="inlineStr">
        <is>
          <t>SOXS_Close</t>
        </is>
      </c>
      <c r="N1" t="inlineStr">
        <is>
          <t>SQQQ_Open</t>
        </is>
      </c>
      <c r="O1" t="inlineStr">
        <is>
          <t>SQQQ_High</t>
        </is>
      </c>
      <c r="P1" t="inlineStr">
        <is>
          <t>SQQQ_Low</t>
        </is>
      </c>
      <c r="Q1" t="inlineStr">
        <is>
          <t>SQQQ_Close</t>
        </is>
      </c>
      <c r="R1" t="inlineStr">
        <is>
          <t>SOXL_%Chg</t>
        </is>
      </c>
      <c r="S1" t="inlineStr">
        <is>
          <t>SOXL_3D</t>
        </is>
      </c>
      <c r="T1" t="inlineStr">
        <is>
          <t>SOXL_5D</t>
        </is>
      </c>
      <c r="U1" t="inlineStr">
        <is>
          <t>TQQQ_%Chg</t>
        </is>
      </c>
      <c r="V1" t="inlineStr">
        <is>
          <t>TQQQ_3D</t>
        </is>
      </c>
      <c r="W1" t="inlineStr">
        <is>
          <t>TQQQ_5D</t>
        </is>
      </c>
      <c r="X1" t="inlineStr">
        <is>
          <t>SOXS_%Chg</t>
        </is>
      </c>
      <c r="Y1" t="inlineStr">
        <is>
          <t>SOXS_3D</t>
        </is>
      </c>
      <c r="Z1" t="inlineStr">
        <is>
          <t>SOXS_5D</t>
        </is>
      </c>
      <c r="AA1" t="inlineStr">
        <is>
          <t>SQQQ_%Chg</t>
        </is>
      </c>
      <c r="AB1" t="inlineStr">
        <is>
          <t>SQQQ_3D</t>
        </is>
      </c>
      <c r="AC1" t="inlineStr">
        <is>
          <t>SQQQ_5D</t>
        </is>
      </c>
    </row>
    <row r="2">
      <c r="A2" t="inlineStr">
        <is>
          <t>2026-09-29</t>
        </is>
      </c>
      <c r="B2" t="n">
        <v>148.94</v>
      </c>
      <c r="C2" t="n">
        <v>152.37</v>
      </c>
      <c r="D2" t="n">
        <v>145.49</v>
      </c>
      <c r="E2" t="n">
        <v>147</v>
      </c>
      <c r="F2" t="n">
        <v>78.13</v>
      </c>
      <c r="G2" t="n">
        <v>78.26000000000001</v>
      </c>
      <c r="H2" t="n">
        <v>76.62</v>
      </c>
      <c r="I2" t="n">
        <v>77.45999999999999</v>
      </c>
      <c r="J2" t="n">
        <v>32.82</v>
      </c>
      <c r="K2" t="n">
        <v>33.64</v>
      </c>
      <c r="L2" t="n">
        <v>31.96</v>
      </c>
      <c r="M2" t="n">
        <v>33.26</v>
      </c>
      <c r="N2" t="n">
        <v>34.34</v>
      </c>
      <c r="O2" t="n">
        <v>35.02</v>
      </c>
      <c r="P2" t="n">
        <v>34.28</v>
      </c>
      <c r="Q2" t="n">
        <v>34.66</v>
      </c>
    </row>
    <row r="3">
      <c r="A3" t="inlineStr">
        <is>
          <t>2026-09-30</t>
        </is>
      </c>
      <c r="B3" t="n">
        <v>147.95</v>
      </c>
      <c r="C3" t="n">
        <v>150.77</v>
      </c>
      <c r="D3" t="n">
        <v>144.41</v>
      </c>
      <c r="E3" t="n">
        <v>147.86</v>
      </c>
      <c r="F3" t="n">
        <v>78.13</v>
      </c>
      <c r="G3" t="n">
        <v>79.68000000000001</v>
      </c>
      <c r="H3" t="n">
        <v>77.94</v>
      </c>
      <c r="I3" t="n">
        <v>78.03</v>
      </c>
      <c r="J3" t="n">
        <v>33.07</v>
      </c>
      <c r="K3" t="n">
        <v>33.86</v>
      </c>
      <c r="L3" t="n">
        <v>32.42</v>
      </c>
      <c r="M3" t="n">
        <v>33.08</v>
      </c>
      <c r="N3" t="n">
        <v>34.36</v>
      </c>
      <c r="O3" t="n">
        <v>34.44</v>
      </c>
      <c r="P3" t="n">
        <v>33.66</v>
      </c>
      <c r="Q3" t="n">
        <v>34.41</v>
      </c>
      <c r="R3" t="n">
        <v>0.585</v>
      </c>
      <c r="U3" t="n">
        <v>0.7359</v>
      </c>
      <c r="X3" t="n">
        <v>-0.5412</v>
      </c>
      <c r="AA3" t="n">
        <v>-0.7213000000000001</v>
      </c>
    </row>
    <row r="4">
      <c r="A4" t="inlineStr">
        <is>
          <t>2026-10-01</t>
        </is>
      </c>
      <c r="B4" t="n">
        <v>148.56</v>
      </c>
      <c r="C4" t="n">
        <v>156.71</v>
      </c>
      <c r="D4" t="n">
        <v>144.31</v>
      </c>
      <c r="E4" t="n">
        <v>153.69</v>
      </c>
      <c r="F4" t="n">
        <v>78.88</v>
      </c>
      <c r="G4" t="n">
        <v>79.53</v>
      </c>
      <c r="H4" t="n">
        <v>76.87</v>
      </c>
      <c r="I4" t="n">
        <v>78.73</v>
      </c>
      <c r="J4" t="n">
        <v>32.95</v>
      </c>
      <c r="K4" t="n">
        <v>33.89</v>
      </c>
      <c r="L4" t="n">
        <v>31.1</v>
      </c>
      <c r="M4" t="n">
        <v>31.76</v>
      </c>
      <c r="N4" t="n">
        <v>34.04</v>
      </c>
      <c r="O4" t="n">
        <v>34.92</v>
      </c>
      <c r="P4" t="n">
        <v>33.74</v>
      </c>
      <c r="Q4" t="n">
        <v>34.11</v>
      </c>
      <c r="R4" t="n">
        <v>3.9429</v>
      </c>
      <c r="U4" t="n">
        <v>0.8971</v>
      </c>
      <c r="X4" t="n">
        <v>-3.9903</v>
      </c>
      <c r="AA4" t="n">
        <v>-0.8718</v>
      </c>
    </row>
    <row r="5">
      <c r="A5" t="inlineStr">
        <is>
          <t>2026-10-02</t>
        </is>
      </c>
      <c r="B5" t="n">
        <v>165.39</v>
      </c>
      <c r="C5" t="n">
        <v>169.75</v>
      </c>
      <c r="D5" t="n">
        <v>162.4</v>
      </c>
      <c r="E5" t="n">
        <v>163.71</v>
      </c>
      <c r="F5" t="n">
        <v>81.59</v>
      </c>
      <c r="G5" t="n">
        <v>82.61</v>
      </c>
      <c r="H5" t="n">
        <v>80.37</v>
      </c>
      <c r="I5" t="n">
        <v>81.01000000000001</v>
      </c>
      <c r="J5" t="n">
        <v>29.39</v>
      </c>
      <c r="K5" t="n">
        <v>29.98</v>
      </c>
      <c r="L5" t="n">
        <v>28.46</v>
      </c>
      <c r="M5" t="n">
        <v>29.71</v>
      </c>
      <c r="N5" t="n">
        <v>32.87</v>
      </c>
      <c r="O5" t="n">
        <v>33.41</v>
      </c>
      <c r="P5" t="n">
        <v>32.44</v>
      </c>
      <c r="Q5" t="n">
        <v>33.12</v>
      </c>
      <c r="R5" t="n">
        <v>6.5196</v>
      </c>
      <c r="S5" t="n">
        <v>11.3673</v>
      </c>
      <c r="U5" t="n">
        <v>2.896</v>
      </c>
      <c r="V5" t="n">
        <v>4.583</v>
      </c>
      <c r="X5" t="n">
        <v>-6.4547</v>
      </c>
      <c r="Y5" t="n">
        <v>-10.6735</v>
      </c>
      <c r="AA5" t="n">
        <v>-2.9024</v>
      </c>
      <c r="AB5" t="n">
        <v>-4.4432</v>
      </c>
    </row>
    <row r="6">
      <c r="A6" t="inlineStr">
        <is>
          <t>2026-10-05</t>
        </is>
      </c>
      <c r="B6" t="n">
        <v>161.66</v>
      </c>
      <c r="C6" t="n">
        <v>164.38</v>
      </c>
      <c r="D6" t="n">
        <v>158.08</v>
      </c>
      <c r="E6" t="n">
        <v>164.27</v>
      </c>
      <c r="F6" t="n">
        <v>80.95</v>
      </c>
      <c r="G6" t="n">
        <v>83.38</v>
      </c>
      <c r="H6" t="n">
        <v>80.84999999999999</v>
      </c>
      <c r="I6" t="n">
        <v>83.12</v>
      </c>
      <c r="J6" t="n">
        <v>30.09</v>
      </c>
      <c r="K6" t="n">
        <v>30.75</v>
      </c>
      <c r="L6" t="n">
        <v>29.62</v>
      </c>
      <c r="M6" t="n">
        <v>29.62</v>
      </c>
      <c r="N6" t="n">
        <v>33.17</v>
      </c>
      <c r="O6" t="n">
        <v>33.2</v>
      </c>
      <c r="P6" t="n">
        <v>32.16</v>
      </c>
      <c r="Q6" t="n">
        <v>32.25</v>
      </c>
      <c r="R6" t="n">
        <v>0.3421</v>
      </c>
      <c r="S6" t="n">
        <v>11.0983</v>
      </c>
      <c r="U6" t="n">
        <v>2.6046</v>
      </c>
      <c r="V6" t="n">
        <v>6.5231</v>
      </c>
      <c r="X6" t="n">
        <v>-0.3029</v>
      </c>
      <c r="Y6" t="n">
        <v>-10.4595</v>
      </c>
      <c r="AA6" t="n">
        <v>-2.6268</v>
      </c>
      <c r="AB6" t="n">
        <v>-6.2772</v>
      </c>
    </row>
    <row r="7">
      <c r="A7" t="inlineStr">
        <is>
          <t>2026-10-06</t>
        </is>
      </c>
      <c r="B7" t="n">
        <v>167.34</v>
      </c>
      <c r="C7" t="n">
        <v>169.83</v>
      </c>
      <c r="D7" t="n">
        <v>163.42</v>
      </c>
      <c r="E7" t="n">
        <v>164.26</v>
      </c>
      <c r="F7" t="n">
        <v>84.54000000000001</v>
      </c>
      <c r="G7" t="n">
        <v>85.31999999999999</v>
      </c>
      <c r="H7" t="n">
        <v>84.09</v>
      </c>
      <c r="I7" t="n">
        <v>84.25</v>
      </c>
      <c r="J7" t="n">
        <v>29.06</v>
      </c>
      <c r="K7" t="n">
        <v>29.77</v>
      </c>
      <c r="L7" t="n">
        <v>28.62</v>
      </c>
      <c r="M7" t="n">
        <v>29.63</v>
      </c>
      <c r="N7" t="n">
        <v>31.72</v>
      </c>
      <c r="O7" t="n">
        <v>31.9</v>
      </c>
      <c r="P7" t="n">
        <v>31.42</v>
      </c>
      <c r="Q7" t="n">
        <v>31.83</v>
      </c>
      <c r="R7" t="n">
        <v>-0.0061</v>
      </c>
      <c r="S7" t="n">
        <v>6.8775</v>
      </c>
      <c r="T7" t="n">
        <v>11.7415</v>
      </c>
      <c r="U7" t="n">
        <v>1.3595</v>
      </c>
      <c r="V7" t="n">
        <v>7.0113</v>
      </c>
      <c r="W7" t="n">
        <v>8.7658</v>
      </c>
      <c r="X7" t="n">
        <v>0.0338</v>
      </c>
      <c r="Y7" t="n">
        <v>-6.7065</v>
      </c>
      <c r="Z7" t="n">
        <v>-10.914</v>
      </c>
      <c r="AA7" t="n">
        <v>-1.3023</v>
      </c>
      <c r="AB7" t="n">
        <v>-6.6843</v>
      </c>
      <c r="AC7" t="n">
        <v>-8.164999999999999</v>
      </c>
    </row>
    <row r="8">
      <c r="A8" t="inlineStr">
        <is>
          <t>2026-10-07</t>
        </is>
      </c>
      <c r="B8" t="n">
        <v>153.7</v>
      </c>
      <c r="C8" t="n">
        <v>159.49</v>
      </c>
      <c r="D8" t="n">
        <v>151.42</v>
      </c>
      <c r="E8" t="n">
        <v>158.91</v>
      </c>
      <c r="F8" t="n">
        <v>82.31999999999999</v>
      </c>
      <c r="G8" t="n">
        <v>83.75</v>
      </c>
      <c r="H8" t="n">
        <v>81.59999999999999</v>
      </c>
      <c r="I8" t="n">
        <v>83.62</v>
      </c>
      <c r="J8" t="n">
        <v>31.55</v>
      </c>
      <c r="K8" t="n">
        <v>31.97</v>
      </c>
      <c r="L8" t="n">
        <v>30.5</v>
      </c>
      <c r="M8" t="n">
        <v>30.65</v>
      </c>
      <c r="N8" t="n">
        <v>32.58</v>
      </c>
      <c r="O8" t="n">
        <v>32.84</v>
      </c>
      <c r="P8" t="n">
        <v>32.02</v>
      </c>
      <c r="Q8" t="n">
        <v>32.07</v>
      </c>
      <c r="R8" t="n">
        <v>-3.257</v>
      </c>
      <c r="S8" t="n">
        <v>-2.932</v>
      </c>
      <c r="T8" t="n">
        <v>7.4733</v>
      </c>
      <c r="U8" t="n">
        <v>-0.7478</v>
      </c>
      <c r="V8" t="n">
        <v>3.2218</v>
      </c>
      <c r="W8" t="n">
        <v>7.1639</v>
      </c>
      <c r="X8" t="n">
        <v>3.4425</v>
      </c>
      <c r="Y8" t="n">
        <v>3.1639</v>
      </c>
      <c r="Z8" t="n">
        <v>-7.3458</v>
      </c>
      <c r="AA8" t="n">
        <v>0.754</v>
      </c>
      <c r="AB8" t="n">
        <v>-3.1703</v>
      </c>
      <c r="AC8" t="n">
        <v>-6.8003</v>
      </c>
    </row>
    <row r="9">
      <c r="A9" t="inlineStr">
        <is>
          <t>2026-10-08</t>
        </is>
      </c>
      <c r="B9" t="n">
        <v>150.48</v>
      </c>
      <c r="C9" t="n">
        <v>155.5</v>
      </c>
      <c r="D9" t="n">
        <v>136.32</v>
      </c>
      <c r="E9" t="n">
        <v>142.52</v>
      </c>
      <c r="F9" t="n">
        <v>82.33</v>
      </c>
      <c r="G9" t="n">
        <v>83.40000000000001</v>
      </c>
      <c r="H9" t="n">
        <v>78.78</v>
      </c>
      <c r="I9" t="n">
        <v>80.23</v>
      </c>
      <c r="J9" t="n">
        <v>32.25</v>
      </c>
      <c r="K9" t="n">
        <v>34.96</v>
      </c>
      <c r="L9" t="n">
        <v>31.25</v>
      </c>
      <c r="M9" t="n">
        <v>33.79</v>
      </c>
      <c r="N9" t="n">
        <v>32.58</v>
      </c>
      <c r="O9" t="n">
        <v>33.94</v>
      </c>
      <c r="P9" t="n">
        <v>32.16</v>
      </c>
      <c r="Q9" t="n">
        <v>33.37</v>
      </c>
      <c r="R9" t="n">
        <v>-10.314</v>
      </c>
      <c r="S9" t="n">
        <v>-13.2404</v>
      </c>
      <c r="T9" t="n">
        <v>-7.2679</v>
      </c>
      <c r="U9" t="n">
        <v>-4.0541</v>
      </c>
      <c r="V9" t="n">
        <v>-3.4769</v>
      </c>
      <c r="W9" t="n">
        <v>1.9052</v>
      </c>
      <c r="X9" t="n">
        <v>10.2447</v>
      </c>
      <c r="Y9" t="n">
        <v>14.0783</v>
      </c>
      <c r="Z9" t="n">
        <v>6.3917</v>
      </c>
      <c r="AA9" t="n">
        <v>4.0536</v>
      </c>
      <c r="AB9" t="n">
        <v>3.4729</v>
      </c>
      <c r="AC9" t="n">
        <v>-2.1695</v>
      </c>
    </row>
    <row r="10">
      <c r="A10" t="inlineStr">
        <is>
          <t>2026-10-09</t>
        </is>
      </c>
      <c r="B10" t="n">
        <v>148.18</v>
      </c>
      <c r="C10" t="n">
        <v>148.18</v>
      </c>
      <c r="D10" t="n">
        <v>137.71</v>
      </c>
      <c r="E10" t="n">
        <v>139.76</v>
      </c>
      <c r="F10" t="n">
        <v>81.72</v>
      </c>
      <c r="G10" t="n">
        <v>81.81</v>
      </c>
      <c r="H10" t="n">
        <v>80.37</v>
      </c>
      <c r="I10" t="n">
        <v>81.28</v>
      </c>
      <c r="J10" t="n">
        <v>32.4</v>
      </c>
      <c r="K10" t="n">
        <v>34.91</v>
      </c>
      <c r="L10" t="n">
        <v>32.39</v>
      </c>
      <c r="M10" t="n">
        <v>34.39</v>
      </c>
      <c r="N10" t="n">
        <v>32.78</v>
      </c>
      <c r="O10" t="n">
        <v>33.34</v>
      </c>
      <c r="P10" t="n">
        <v>32.73</v>
      </c>
      <c r="Q10" t="n">
        <v>32.95</v>
      </c>
      <c r="R10" t="n">
        <v>-1.9366</v>
      </c>
      <c r="S10" t="n">
        <v>-14.9154</v>
      </c>
      <c r="T10" t="n">
        <v>-14.6295</v>
      </c>
      <c r="U10" t="n">
        <v>1.3087</v>
      </c>
      <c r="V10" t="n">
        <v>-3.5252</v>
      </c>
      <c r="W10" t="n">
        <v>0.3333</v>
      </c>
      <c r="X10" t="n">
        <v>1.7757</v>
      </c>
      <c r="Y10" t="n">
        <v>16.0648</v>
      </c>
      <c r="Z10" t="n">
        <v>15.7523</v>
      </c>
      <c r="AA10" t="n">
        <v>-1.2586</v>
      </c>
      <c r="AB10" t="n">
        <v>3.5187</v>
      </c>
      <c r="AC10" t="n">
        <v>-0.5133</v>
      </c>
    </row>
    <row r="11">
      <c r="A11" t="inlineStr">
        <is>
          <t>2026-10-12</t>
        </is>
      </c>
      <c r="B11" t="n">
        <v>134.43</v>
      </c>
      <c r="C11" t="n">
        <v>134.54</v>
      </c>
      <c r="D11" t="n">
        <v>127.27</v>
      </c>
      <c r="E11" t="n">
        <v>128.4</v>
      </c>
      <c r="F11" t="n">
        <v>80.78</v>
      </c>
      <c r="G11" t="n">
        <v>80.81</v>
      </c>
      <c r="H11" t="n">
        <v>79.22</v>
      </c>
      <c r="I11" t="n">
        <v>79.61</v>
      </c>
      <c r="J11" t="n">
        <v>35.75</v>
      </c>
      <c r="K11" t="n">
        <v>37.5</v>
      </c>
      <c r="L11" t="n">
        <v>35.68</v>
      </c>
      <c r="M11" t="n">
        <v>37.19</v>
      </c>
      <c r="N11" t="n">
        <v>33.17</v>
      </c>
      <c r="O11" t="n">
        <v>33.8</v>
      </c>
      <c r="P11" t="n">
        <v>33.17</v>
      </c>
      <c r="Q11" t="n">
        <v>33.63</v>
      </c>
      <c r="R11" t="n">
        <v>-8.1282</v>
      </c>
      <c r="S11" t="n">
        <v>-19.1995</v>
      </c>
      <c r="T11" t="n">
        <v>-21.836</v>
      </c>
      <c r="U11" t="n">
        <v>-2.0546</v>
      </c>
      <c r="V11" t="n">
        <v>-4.7955</v>
      </c>
      <c r="W11" t="n">
        <v>-4.2228</v>
      </c>
      <c r="X11" t="n">
        <v>8.1419</v>
      </c>
      <c r="Y11" t="n">
        <v>21.3377</v>
      </c>
      <c r="Z11" t="n">
        <v>25.5571</v>
      </c>
      <c r="AA11" t="n">
        <v>2.0637</v>
      </c>
      <c r="AB11" t="n">
        <v>4.8644</v>
      </c>
      <c r="AC11" t="n">
        <v>4.2791</v>
      </c>
    </row>
    <row r="12">
      <c r="A12" t="inlineStr">
        <is>
          <t>2026-10-13</t>
        </is>
      </c>
      <c r="B12" t="n">
        <v>118.42</v>
      </c>
      <c r="C12" t="n">
        <v>127.92</v>
      </c>
      <c r="D12" t="n">
        <v>115.84</v>
      </c>
      <c r="E12" t="n">
        <v>127.57</v>
      </c>
      <c r="F12" t="n">
        <v>77.51000000000001</v>
      </c>
      <c r="G12" t="n">
        <v>79</v>
      </c>
      <c r="H12" t="n">
        <v>77.28</v>
      </c>
      <c r="I12" t="n">
        <v>78.81</v>
      </c>
      <c r="J12" t="n">
        <v>40.15</v>
      </c>
      <c r="K12" t="n">
        <v>40.9</v>
      </c>
      <c r="L12" t="n">
        <v>37.36</v>
      </c>
      <c r="M12" t="n">
        <v>37.42</v>
      </c>
      <c r="N12" t="n">
        <v>34.54</v>
      </c>
      <c r="O12" t="n">
        <v>34.63</v>
      </c>
      <c r="P12" t="n">
        <v>33.89</v>
      </c>
      <c r="Q12" t="n">
        <v>33.99</v>
      </c>
      <c r="R12" t="n">
        <v>-0.6464</v>
      </c>
      <c r="S12" t="n">
        <v>-10.4898</v>
      </c>
      <c r="T12" t="n">
        <v>-22.3365</v>
      </c>
      <c r="U12" t="n">
        <v>-1.0049</v>
      </c>
      <c r="V12" t="n">
        <v>-1.7699</v>
      </c>
      <c r="W12" t="n">
        <v>-6.457</v>
      </c>
      <c r="X12" t="n">
        <v>0.6183999999999999</v>
      </c>
      <c r="Y12" t="n">
        <v>10.7428</v>
      </c>
      <c r="Z12" t="n">
        <v>26.2909</v>
      </c>
      <c r="AA12" t="n">
        <v>1.0705</v>
      </c>
      <c r="AB12" t="n">
        <v>1.858</v>
      </c>
      <c r="AC12" t="n">
        <v>6.7861</v>
      </c>
    </row>
    <row r="13">
      <c r="A13" t="inlineStr">
        <is>
          <t>2026-10-14</t>
        </is>
      </c>
      <c r="B13" t="n">
        <v>119.02</v>
      </c>
      <c r="C13" t="n">
        <v>120.9</v>
      </c>
      <c r="D13" t="n">
        <v>109</v>
      </c>
      <c r="E13" t="n">
        <v>110.54</v>
      </c>
      <c r="F13" t="n">
        <v>77</v>
      </c>
      <c r="G13" t="n">
        <v>77.79000000000001</v>
      </c>
      <c r="H13" t="n">
        <v>73.31</v>
      </c>
      <c r="I13" t="n">
        <v>74.12</v>
      </c>
      <c r="J13" t="n">
        <v>40.03</v>
      </c>
      <c r="K13" t="n">
        <v>42.95</v>
      </c>
      <c r="L13" t="n">
        <v>39.43</v>
      </c>
      <c r="M13" t="n">
        <v>42.52</v>
      </c>
      <c r="N13" t="n">
        <v>34.77</v>
      </c>
      <c r="O13" t="n">
        <v>36.35</v>
      </c>
      <c r="P13" t="n">
        <v>34.42</v>
      </c>
      <c r="Q13" t="n">
        <v>36</v>
      </c>
      <c r="R13" t="n">
        <v>-13.3495</v>
      </c>
      <c r="S13" t="n">
        <v>-20.9073</v>
      </c>
      <c r="T13" t="n">
        <v>-30.4386</v>
      </c>
      <c r="U13" t="n">
        <v>-5.951</v>
      </c>
      <c r="V13" t="n">
        <v>-8.809100000000001</v>
      </c>
      <c r="W13" t="n">
        <v>-11.3609</v>
      </c>
      <c r="X13" t="n">
        <v>13.6291</v>
      </c>
      <c r="Y13" t="n">
        <v>23.6406</v>
      </c>
      <c r="Z13" t="n">
        <v>38.7276</v>
      </c>
      <c r="AA13" t="n">
        <v>5.9135</v>
      </c>
      <c r="AB13" t="n">
        <v>9.256399999999999</v>
      </c>
      <c r="AC13" t="n">
        <v>12.2544</v>
      </c>
    </row>
    <row r="14">
      <c r="A14" t="inlineStr">
        <is>
          <t>2026-10-15</t>
        </is>
      </c>
      <c r="B14" t="n">
        <v>98.34999999999999</v>
      </c>
      <c r="C14" t="n">
        <v>108.8</v>
      </c>
      <c r="D14" t="n">
        <v>95.23</v>
      </c>
      <c r="E14" t="n">
        <v>107.35</v>
      </c>
      <c r="F14" t="n">
        <v>70.95</v>
      </c>
      <c r="G14" t="n">
        <v>74.23999999999999</v>
      </c>
      <c r="H14" t="n">
        <v>69.98999999999999</v>
      </c>
      <c r="I14" t="n">
        <v>73.81999999999999</v>
      </c>
      <c r="J14" t="n">
        <v>47.19</v>
      </c>
      <c r="K14" t="n">
        <v>48.37</v>
      </c>
      <c r="L14" t="n">
        <v>43.11</v>
      </c>
      <c r="M14" t="n">
        <v>43.64</v>
      </c>
      <c r="N14" t="n">
        <v>37.57</v>
      </c>
      <c r="O14" t="n">
        <v>38.02</v>
      </c>
      <c r="P14" t="n">
        <v>35.94</v>
      </c>
      <c r="Q14" t="n">
        <v>36.14</v>
      </c>
      <c r="R14" t="n">
        <v>-2.8858</v>
      </c>
      <c r="S14" t="n">
        <v>-16.3941</v>
      </c>
      <c r="T14" t="n">
        <v>-24.6772</v>
      </c>
      <c r="U14" t="n">
        <v>-0.4047</v>
      </c>
      <c r="V14" t="n">
        <v>-7.273</v>
      </c>
      <c r="W14" t="n">
        <v>-7.9895</v>
      </c>
      <c r="X14" t="n">
        <v>2.6341</v>
      </c>
      <c r="Y14" t="n">
        <v>17.3434</v>
      </c>
      <c r="Z14" t="n">
        <v>29.1506</v>
      </c>
      <c r="AA14" t="n">
        <v>0.3889</v>
      </c>
      <c r="AB14" t="n">
        <v>7.4636</v>
      </c>
      <c r="AC14" t="n">
        <v>8.3009</v>
      </c>
    </row>
    <row r="15">
      <c r="A15" t="inlineStr">
        <is>
          <t>2026-10-16</t>
        </is>
      </c>
      <c r="B15" t="n">
        <v>101.19</v>
      </c>
      <c r="C15" t="n">
        <v>103.93</v>
      </c>
      <c r="D15" t="n">
        <v>93.45</v>
      </c>
      <c r="E15" t="n">
        <v>93.67</v>
      </c>
      <c r="F15" t="n">
        <v>73.01000000000001</v>
      </c>
      <c r="G15" t="n">
        <v>73.13</v>
      </c>
      <c r="H15" t="n">
        <v>67.43000000000001</v>
      </c>
      <c r="I15" t="n">
        <v>68.20999999999999</v>
      </c>
      <c r="J15" t="n">
        <v>46.22</v>
      </c>
      <c r="K15" t="n">
        <v>49.36</v>
      </c>
      <c r="L15" t="n">
        <v>45.08</v>
      </c>
      <c r="M15" t="n">
        <v>49.23</v>
      </c>
      <c r="N15" t="n">
        <v>36.57</v>
      </c>
      <c r="O15" t="n">
        <v>39.29</v>
      </c>
      <c r="P15" t="n">
        <v>36.51</v>
      </c>
      <c r="Q15" t="n">
        <v>38.9</v>
      </c>
      <c r="R15" t="n">
        <v>-12.7434</v>
      </c>
      <c r="S15" t="n">
        <v>-26.5736</v>
      </c>
      <c r="T15" t="n">
        <v>-32.978</v>
      </c>
      <c r="U15" t="n">
        <v>-7.5996</v>
      </c>
      <c r="V15" t="n">
        <v>-13.4501</v>
      </c>
      <c r="W15" t="n">
        <v>-16.0802</v>
      </c>
      <c r="X15" t="n">
        <v>12.8093</v>
      </c>
      <c r="Y15" t="n">
        <v>31.5607</v>
      </c>
      <c r="Z15" t="n">
        <v>43.1521</v>
      </c>
      <c r="AA15" t="n">
        <v>7.637</v>
      </c>
      <c r="AB15" t="n">
        <v>14.4454</v>
      </c>
      <c r="AC15" t="n">
        <v>18.0577</v>
      </c>
    </row>
    <row r="16">
      <c r="A16" t="inlineStr">
        <is>
          <t>2026-10-19</t>
        </is>
      </c>
      <c r="B16" t="n">
        <v>103.95</v>
      </c>
      <c r="C16" t="n">
        <v>104.98</v>
      </c>
      <c r="D16" t="n">
        <v>97.8</v>
      </c>
      <c r="E16" t="n">
        <v>98.65000000000001</v>
      </c>
      <c r="F16" t="n">
        <v>71.01000000000001</v>
      </c>
      <c r="G16" t="n">
        <v>72.44</v>
      </c>
      <c r="H16" t="n">
        <v>70.13</v>
      </c>
      <c r="I16" t="n">
        <v>70.64</v>
      </c>
      <c r="J16" t="n">
        <v>43.86</v>
      </c>
      <c r="K16" t="n">
        <v>47.07</v>
      </c>
      <c r="L16" t="n">
        <v>43.32</v>
      </c>
      <c r="M16" t="n">
        <v>46.63</v>
      </c>
      <c r="N16" t="n">
        <v>37.33</v>
      </c>
      <c r="O16" t="n">
        <v>37.82</v>
      </c>
      <c r="P16" t="n">
        <v>36.51</v>
      </c>
      <c r="Q16" t="n">
        <v>37.52</v>
      </c>
      <c r="R16" t="n">
        <v>5.3165</v>
      </c>
      <c r="S16" t="n">
        <v>-10.7563</v>
      </c>
      <c r="T16" t="n">
        <v>-23.1698</v>
      </c>
      <c r="U16" t="n">
        <v>3.5625</v>
      </c>
      <c r="V16" t="n">
        <v>-4.6951</v>
      </c>
      <c r="W16" t="n">
        <v>-11.2674</v>
      </c>
      <c r="X16" t="n">
        <v>-5.2813</v>
      </c>
      <c r="Y16" t="n">
        <v>9.666</v>
      </c>
      <c r="Z16" t="n">
        <v>25.3832</v>
      </c>
      <c r="AA16" t="n">
        <v>-3.5476</v>
      </c>
      <c r="AB16" t="n">
        <v>4.2222</v>
      </c>
      <c r="AC16" t="n">
        <v>11.5671</v>
      </c>
    </row>
    <row r="17">
      <c r="A17" t="inlineStr">
        <is>
          <t>2026-10-20</t>
        </is>
      </c>
      <c r="B17" t="n">
        <v>94.52</v>
      </c>
      <c r="C17" t="n">
        <v>102.62</v>
      </c>
      <c r="D17" t="n">
        <v>91.34999999999999</v>
      </c>
      <c r="E17" t="n">
        <v>97.55</v>
      </c>
      <c r="F17" t="n">
        <v>69.70999999999999</v>
      </c>
      <c r="G17" t="n">
        <v>71.93000000000001</v>
      </c>
      <c r="H17" t="n">
        <v>68.28</v>
      </c>
      <c r="I17" t="n">
        <v>70.41</v>
      </c>
      <c r="J17" t="n">
        <v>48.64</v>
      </c>
      <c r="K17" t="n">
        <v>50.12</v>
      </c>
      <c r="L17" t="n">
        <v>44.76</v>
      </c>
      <c r="M17" t="n">
        <v>47.13</v>
      </c>
      <c r="N17" t="n">
        <v>38.03</v>
      </c>
      <c r="O17" t="n">
        <v>38.79</v>
      </c>
      <c r="P17" t="n">
        <v>36.85</v>
      </c>
      <c r="Q17" t="n">
        <v>37.68</v>
      </c>
      <c r="R17" t="n">
        <v>-1.1151</v>
      </c>
      <c r="S17" t="n">
        <v>-9.129</v>
      </c>
      <c r="T17" t="n">
        <v>-23.5322</v>
      </c>
      <c r="U17" t="n">
        <v>-0.3256</v>
      </c>
      <c r="V17" t="n">
        <v>-4.6193</v>
      </c>
      <c r="W17" t="n">
        <v>-10.6585</v>
      </c>
      <c r="X17" t="n">
        <v>1.0723</v>
      </c>
      <c r="Y17" t="n">
        <v>7.9973</v>
      </c>
      <c r="Z17" t="n">
        <v>25.9487</v>
      </c>
      <c r="AA17" t="n">
        <v>0.4264</v>
      </c>
      <c r="AB17" t="n">
        <v>4.2612</v>
      </c>
      <c r="AC17" t="n">
        <v>10.8561</v>
      </c>
    </row>
    <row r="18">
      <c r="A18" t="inlineStr">
        <is>
          <t>2026-10-21</t>
        </is>
      </c>
      <c r="B18" t="n">
        <v>102.86</v>
      </c>
      <c r="C18" t="n">
        <v>106.13</v>
      </c>
      <c r="D18" t="n">
        <v>99.31</v>
      </c>
      <c r="E18" t="n">
        <v>103.24</v>
      </c>
      <c r="F18" t="n">
        <v>71.72</v>
      </c>
      <c r="G18" t="n">
        <v>73.43000000000001</v>
      </c>
      <c r="H18" t="n">
        <v>71.02</v>
      </c>
      <c r="I18" t="n">
        <v>72.61</v>
      </c>
      <c r="J18" t="n">
        <v>44.51</v>
      </c>
      <c r="K18" t="n">
        <v>47.1</v>
      </c>
      <c r="L18" t="n">
        <v>43.57</v>
      </c>
      <c r="M18" t="n">
        <v>44.29</v>
      </c>
      <c r="N18" t="n">
        <v>36.94</v>
      </c>
      <c r="O18" t="n">
        <v>38.11</v>
      </c>
      <c r="P18" t="n">
        <v>36.05</v>
      </c>
      <c r="Q18" t="n">
        <v>36.48</v>
      </c>
      <c r="R18" t="n">
        <v>5.8329</v>
      </c>
      <c r="S18" t="n">
        <v>10.2167</v>
      </c>
      <c r="T18" t="n">
        <v>-6.6039</v>
      </c>
      <c r="U18" t="n">
        <v>3.1246</v>
      </c>
      <c r="V18" t="n">
        <v>6.4507</v>
      </c>
      <c r="W18" t="n">
        <v>-2.0372</v>
      </c>
      <c r="X18" t="n">
        <v>-6.0259</v>
      </c>
      <c r="Y18" t="n">
        <v>-10.0345</v>
      </c>
      <c r="Z18" t="n">
        <v>4.1627</v>
      </c>
      <c r="AA18" t="n">
        <v>-3.1847</v>
      </c>
      <c r="AB18" t="n">
        <v>-6.2211</v>
      </c>
      <c r="AC18" t="n">
        <v>1.3333</v>
      </c>
    </row>
    <row r="19">
      <c r="A19" t="inlineStr">
        <is>
          <t>2026-10-22</t>
        </is>
      </c>
      <c r="B19" t="n">
        <v>90.59</v>
      </c>
      <c r="C19" t="n">
        <v>93.40000000000001</v>
      </c>
      <c r="D19" t="n">
        <v>80.22</v>
      </c>
      <c r="E19" t="n">
        <v>82.11</v>
      </c>
      <c r="F19" t="n">
        <v>69.14</v>
      </c>
      <c r="G19" t="n">
        <v>69.65000000000001</v>
      </c>
      <c r="H19" t="n">
        <v>65.61</v>
      </c>
      <c r="I19" t="n">
        <v>66.42</v>
      </c>
      <c r="J19" t="n">
        <v>49.82</v>
      </c>
      <c r="K19" t="n">
        <v>54.31</v>
      </c>
      <c r="L19" t="n">
        <v>48.62</v>
      </c>
      <c r="M19" t="n">
        <v>53.45</v>
      </c>
      <c r="N19" t="n">
        <v>38.23</v>
      </c>
      <c r="O19" t="n">
        <v>40</v>
      </c>
      <c r="P19" t="n">
        <v>37.96</v>
      </c>
      <c r="Q19" t="n">
        <v>39.6</v>
      </c>
      <c r="R19" t="n">
        <v>-20.4669</v>
      </c>
      <c r="S19" t="n">
        <v>-16.7663</v>
      </c>
      <c r="T19" t="n">
        <v>-23.5119</v>
      </c>
      <c r="U19" t="n">
        <v>-8.525</v>
      </c>
      <c r="V19" t="n">
        <v>-5.974</v>
      </c>
      <c r="W19" t="n">
        <v>-10.0244</v>
      </c>
      <c r="X19" t="n">
        <v>20.6819</v>
      </c>
      <c r="Y19" t="n">
        <v>14.6258</v>
      </c>
      <c r="Z19" t="n">
        <v>22.4794</v>
      </c>
      <c r="AA19" t="n">
        <v>8.5526</v>
      </c>
      <c r="AB19" t="n">
        <v>5.5437</v>
      </c>
      <c r="AC19" t="n">
        <v>9.5739</v>
      </c>
    </row>
    <row r="20">
      <c r="A20" t="inlineStr">
        <is>
          <t>2026-10-23</t>
        </is>
      </c>
      <c r="B20" t="n">
        <v>81.64</v>
      </c>
      <c r="C20" t="n">
        <v>87.61</v>
      </c>
      <c r="D20" t="n">
        <v>80.83</v>
      </c>
      <c r="E20" t="n">
        <v>83.56</v>
      </c>
      <c r="F20" t="n">
        <v>65.66</v>
      </c>
      <c r="G20" t="n">
        <v>67.67</v>
      </c>
      <c r="H20" t="n">
        <v>65.37</v>
      </c>
      <c r="I20" t="n">
        <v>66.29000000000001</v>
      </c>
      <c r="J20" t="n">
        <v>53.77</v>
      </c>
      <c r="K20" t="n">
        <v>54.38</v>
      </c>
      <c r="L20" t="n">
        <v>50.27</v>
      </c>
      <c r="M20" t="n">
        <v>52.46</v>
      </c>
      <c r="N20" t="n">
        <v>40.07</v>
      </c>
      <c r="O20" t="n">
        <v>40.23</v>
      </c>
      <c r="P20" t="n">
        <v>38.86</v>
      </c>
      <c r="Q20" t="n">
        <v>39.68</v>
      </c>
      <c r="R20" t="n">
        <v>1.7659</v>
      </c>
      <c r="S20" t="n">
        <v>-14.3414</v>
      </c>
      <c r="T20" t="n">
        <v>-10.7932</v>
      </c>
      <c r="U20" t="n">
        <v>-0.1957</v>
      </c>
      <c r="V20" t="n">
        <v>-5.8514</v>
      </c>
      <c r="W20" t="n">
        <v>-2.8148</v>
      </c>
      <c r="X20" t="n">
        <v>-1.8522</v>
      </c>
      <c r="Y20" t="n">
        <v>11.3091</v>
      </c>
      <c r="Z20" t="n">
        <v>6.561</v>
      </c>
      <c r="AA20" t="n">
        <v>0.202</v>
      </c>
      <c r="AB20" t="n">
        <v>5.3079</v>
      </c>
      <c r="AC20" t="n">
        <v>2.0051</v>
      </c>
    </row>
    <row r="21">
      <c r="A21" t="inlineStr">
        <is>
          <t>2026-10-26</t>
        </is>
      </c>
      <c r="B21" t="n">
        <v>85.88</v>
      </c>
      <c r="C21" t="n">
        <v>93.15000000000001</v>
      </c>
      <c r="D21" t="n">
        <v>84.22</v>
      </c>
      <c r="E21" t="n">
        <v>90.5</v>
      </c>
      <c r="F21" t="n">
        <v>67.02</v>
      </c>
      <c r="G21" t="n">
        <v>69.33</v>
      </c>
      <c r="H21" t="n">
        <v>66.61</v>
      </c>
      <c r="I21" t="n">
        <v>68.43000000000001</v>
      </c>
      <c r="J21" t="n">
        <v>51.03</v>
      </c>
      <c r="K21" t="n">
        <v>52.09</v>
      </c>
      <c r="L21" t="n">
        <v>46.47</v>
      </c>
      <c r="M21" t="n">
        <v>47.98</v>
      </c>
      <c r="N21" t="n">
        <v>39.23</v>
      </c>
      <c r="O21" t="n">
        <v>39.51</v>
      </c>
      <c r="P21" t="n">
        <v>37.86</v>
      </c>
      <c r="Q21" t="n">
        <v>38.38</v>
      </c>
      <c r="R21" t="n">
        <v>8.305400000000001</v>
      </c>
      <c r="S21" t="n">
        <v>-12.3402</v>
      </c>
      <c r="T21" t="n">
        <v>-8.2615</v>
      </c>
      <c r="U21" t="n">
        <v>3.2282</v>
      </c>
      <c r="V21" t="n">
        <v>-5.7568</v>
      </c>
      <c r="W21" t="n">
        <v>-3.1285</v>
      </c>
      <c r="X21" t="n">
        <v>-8.5398</v>
      </c>
      <c r="Y21" t="n">
        <v>8.3315</v>
      </c>
      <c r="Z21" t="n">
        <v>2.8951</v>
      </c>
      <c r="AA21" t="n">
        <v>-3.2762</v>
      </c>
      <c r="AB21" t="n">
        <v>5.2083</v>
      </c>
      <c r="AC21" t="n">
        <v>2.2921</v>
      </c>
    </row>
    <row r="22">
      <c r="A22" t="inlineStr">
        <is>
          <t>2026-10-27</t>
        </is>
      </c>
      <c r="B22" t="n">
        <v>95.04000000000001</v>
      </c>
      <c r="C22" t="n">
        <v>102.2</v>
      </c>
      <c r="D22" t="n">
        <v>94.09999999999999</v>
      </c>
      <c r="E22" t="n">
        <v>101.08</v>
      </c>
      <c r="F22" t="n">
        <v>69.3</v>
      </c>
      <c r="G22" t="n">
        <v>71.53</v>
      </c>
      <c r="H22" t="n">
        <v>68.86</v>
      </c>
      <c r="I22" t="n">
        <v>71.04000000000001</v>
      </c>
      <c r="J22" t="n">
        <v>45.8</v>
      </c>
      <c r="K22" t="n">
        <v>46.21</v>
      </c>
      <c r="L22" t="n">
        <v>41.9</v>
      </c>
      <c r="M22" t="n">
        <v>42.5</v>
      </c>
      <c r="N22" t="n">
        <v>37.93</v>
      </c>
      <c r="O22" t="n">
        <v>38.17</v>
      </c>
      <c r="P22" t="n">
        <v>36.67</v>
      </c>
      <c r="Q22" t="n">
        <v>36.93</v>
      </c>
      <c r="R22" t="n">
        <v>11.6906</v>
      </c>
      <c r="S22" t="n">
        <v>23.1032</v>
      </c>
      <c r="T22" t="n">
        <v>3.6187</v>
      </c>
      <c r="U22" t="n">
        <v>3.8141</v>
      </c>
      <c r="V22" t="n">
        <v>6.9557</v>
      </c>
      <c r="W22" t="n">
        <v>0.8948</v>
      </c>
      <c r="X22" t="n">
        <v>-11.4214</v>
      </c>
      <c r="Y22" t="n">
        <v>-20.4864</v>
      </c>
      <c r="Z22" t="n">
        <v>-9.8239</v>
      </c>
      <c r="AA22" t="n">
        <v>-3.778</v>
      </c>
      <c r="AB22" t="n">
        <v>-6.7424</v>
      </c>
      <c r="AC22" t="n">
        <v>-1.9904</v>
      </c>
    </row>
    <row r="23">
      <c r="A23" t="inlineStr">
        <is>
          <t>2026-10-28</t>
        </is>
      </c>
      <c r="B23" t="n">
        <v>103.97</v>
      </c>
      <c r="C23" t="n">
        <v>108.6</v>
      </c>
      <c r="D23" t="n">
        <v>101.32</v>
      </c>
      <c r="E23" t="n">
        <v>107.35</v>
      </c>
      <c r="F23" t="n">
        <v>71.91</v>
      </c>
      <c r="G23" t="n">
        <v>72.53</v>
      </c>
      <c r="H23" t="n">
        <v>70.76000000000001</v>
      </c>
      <c r="I23" t="n">
        <v>72.36</v>
      </c>
      <c r="J23" t="n">
        <v>41.33</v>
      </c>
      <c r="K23" t="n">
        <v>42.41</v>
      </c>
      <c r="L23" t="n">
        <v>39.33</v>
      </c>
      <c r="M23" t="n">
        <v>39.78</v>
      </c>
      <c r="N23" t="n">
        <v>36.51</v>
      </c>
      <c r="O23" t="n">
        <v>37.09</v>
      </c>
      <c r="P23" t="n">
        <v>36.2</v>
      </c>
      <c r="Q23" t="n">
        <v>36.28</v>
      </c>
      <c r="R23" t="n">
        <v>6.203</v>
      </c>
      <c r="S23" t="n">
        <v>28.4706</v>
      </c>
      <c r="T23" t="n">
        <v>3.981</v>
      </c>
      <c r="U23" t="n">
        <v>1.8581</v>
      </c>
      <c r="V23" t="n">
        <v>9.156700000000001</v>
      </c>
      <c r="W23" t="n">
        <v>-0.3443</v>
      </c>
      <c r="X23" t="n">
        <v>-6.4</v>
      </c>
      <c r="Y23" t="n">
        <v>-24.1708</v>
      </c>
      <c r="Z23" t="n">
        <v>-10.1829</v>
      </c>
      <c r="AA23" t="n">
        <v>-1.7601</v>
      </c>
      <c r="AB23" t="n">
        <v>-8.5685</v>
      </c>
      <c r="AC23" t="n">
        <v>-0.5482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2026-03-17T02:57:15Z</dcterms:created>
  <dcterms:modified xmlns:dcterms="http://purl.org/dc/terms/" xmlns:xsi="http://www.w3.org/2001/XMLSchema-instance" xsi:type="dcterms:W3CDTF">2026-10-29T02:25:59Z</dcterms:modified>
</cp:coreProperties>
</file>