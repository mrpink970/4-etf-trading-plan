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9.953125" customWidth="1" style="34" min="46" max="47"/>
    <col width="11.97265625" customWidth="1" style="34" min="48" max="49"/>
    <col width="34.03125" customWidth="1" style="34" min="50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t="inlineStr">
        <is>
          <t>QQQ Close</t>
        </is>
      </c>
      <c r="AE3" t="inlineStr">
        <is>
          <t>SMH Close</t>
        </is>
      </c>
      <c r="AF3" s="32" t="inlineStr">
        <is>
          <t>QQQ 1D %</t>
        </is>
      </c>
      <c r="AG3" s="32" t="inlineStr">
        <is>
          <t>QQQ 3D %</t>
        </is>
      </c>
      <c r="AH3" s="32" t="inlineStr">
        <is>
          <t>QQQ 5D %</t>
        </is>
      </c>
      <c r="AI3" s="32" t="inlineStr">
        <is>
          <t>QQQ Trend</t>
        </is>
      </c>
      <c r="AJ3" s="32" t="inlineStr">
        <is>
          <t>SMH 1D %</t>
        </is>
      </c>
      <c r="AK3" s="32" t="inlineStr">
        <is>
          <t>SMH 3D %</t>
        </is>
      </c>
      <c r="AL3" s="32" t="inlineStr">
        <is>
          <t>SMH 5D %</t>
        </is>
      </c>
      <c r="AM3" s="32" t="inlineStr">
        <is>
          <t>SMH Trend</t>
        </is>
      </c>
      <c r="AN3" s="32" t="inlineStr">
        <is>
          <t>QQQ Trend</t>
        </is>
      </c>
      <c r="AO3" s="32" t="inlineStr">
        <is>
          <t>SMH Trend</t>
        </is>
      </c>
      <c r="AP3" s="32" t="inlineStr">
        <is>
          <t>Bull Allowed</t>
        </is>
      </c>
      <c r="AQ3" s="32" t="inlineStr">
        <is>
          <t>Bear Allowed</t>
        </is>
      </c>
      <c r="AR3" s="32" t="inlineStr">
        <is>
          <t>Trade 1</t>
        </is>
      </c>
      <c r="AS3" s="32" t="inlineStr">
        <is>
          <t>Trade 2</t>
        </is>
      </c>
      <c r="AT3" s="32" t="inlineStr">
        <is>
          <t>Weight 1</t>
        </is>
      </c>
      <c r="AU3" s="32" t="inlineStr">
        <is>
          <t>Weight 2</t>
        </is>
      </c>
      <c r="AV3" s="32" t="inlineStr">
        <is>
          <t>Signal State</t>
        </is>
      </c>
      <c r="AW3" s="32" t="inlineStr">
        <is>
          <t>Confidence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13" t="n"/>
      <c r="AF4" s="23" t="n"/>
      <c r="AG4" s="23" t="n"/>
      <c r="AH4" s="23" t="n"/>
      <c r="AJ4" s="23" t="n">
        <v>387.3299865722656</v>
      </c>
      <c r="AK4" s="23" t="n"/>
      <c r="AL4" s="23" t="n"/>
      <c r="AT4" s="23" t="n"/>
      <c r="AU4" s="23" t="n"/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3">
        <f>IF(OR(L5="",L4=""),"",IF(L4=0,"",(L5/L4)-1))</f>
        <v/>
      </c>
      <c r="N5" s="26">
        <f>IFERROR((M5/M4)-1,"")</f>
        <v/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/>
      <c r="AE5" s="13" t="n"/>
      <c r="AF5" s="23">
        <f>IF(OR(AD5="",AD4=""),"",IF(AD4=0,"",(AD5/AD4)-1))</f>
        <v/>
      </c>
      <c r="AG5" s="23">
        <f>IF(ROW()&lt;7,"",IF(OR(AD5="",AD2=""),"",IF(AD2=0,"",(AD5/AD2)-1)))</f>
        <v/>
      </c>
      <c r="AH5" s="23">
        <f>IF(ROW()&lt;9,"",IF(OR(AD5="",AD0=""),"",IF(AD0=0,"",(AD5/AD0)-1)))</f>
        <v/>
      </c>
      <c r="AJ5" s="23">
        <f>IF(OR(AE5="",AE4=""),"",IF(AE4=0,"",(AE5/AE4)-1))</f>
        <v/>
      </c>
      <c r="AK5" s="23">
        <f>IF(ROW()&lt;7,"",IF(OR(AE5="",AE2=""),"",IF(AE2=0,"",(AE5/AE2)-1)))</f>
        <v/>
      </c>
      <c r="AL5" s="23">
        <f>IF(ROW()&lt;9,"",IF(OR(AE5="",AE0=""),"",IF(AE0=0,"",(AE5/AE0)-1)))</f>
        <v/>
      </c>
      <c r="AN5">
        <f>IF(OR(AG5="",AH5=""),"",IF(AND(AG5&gt;0,AH5&gt;0),"Bull",IF(AND(AG5&lt;0,AH5&lt;0),"Bear","Mixed")))</f>
        <v/>
      </c>
      <c r="AO5">
        <f>IF(OR(AK5="",AL5=""),"",IF(AND(AK5&gt;0,AL5&gt;0),"Bull",IF(AND(AK5&lt;0,AL5&lt;0),"Bear","Mixed")))</f>
        <v/>
      </c>
      <c r="AP5">
        <f>IF(OR(AN5="",AO5=""),"",IF(AND(AN5="Bull",AO5="Bull"),"YES","NO"))</f>
        <v/>
      </c>
      <c r="AQ5">
        <f>IF(OR(AN5="",AO5=""),"",IF(AND(AN5="Bear",AO5="Bear"),"YES","NO"))</f>
        <v/>
      </c>
      <c r="AR5">
        <f>IF(AP5="YES",IF(SUM(N(X5),N(Y5),N(Z5))&gt;0,"SOXL","TQQQ"),IF(AQ5="YES",IF(SUM(N(AA5),N(AB5),N(AC5))&gt;0,"SOXS","SQQQ"),"WAIT"))</f>
        <v/>
      </c>
      <c r="AS5">
        <f>IF(AP5="YES",IF(SUM(N(X5),N(Y5),N(Z5))&gt;0,"TQQQ","SOXL"),IF(AQ5="YES",IF(SUM(N(AA5),N(AB5),N(AC5))&gt;0,"SQQQ","SOXS"),""))</f>
        <v/>
      </c>
      <c r="AT5" s="23">
        <f>IF(AR5="WAIT","",IF(AS5="",1,0.6))</f>
        <v/>
      </c>
      <c r="AU5" s="23">
        <f>IF(AS5="",0,0.4)</f>
        <v/>
      </c>
      <c r="AV5">
        <f>IF(AR5="WAIT","WAIT",IF(AP5="YES","BULL",IF(AQ5="YES","BEAR","WAIT")))</f>
        <v/>
      </c>
      <c r="AW5">
        <f>IF(AR5="WAIT","Low",IF(OR(AND(AV5="BULL",ABS(SUM(N(X5),N(Y5),N(Z5)))&gt;=0.15),AND(AV5="BEAR",ABS(SUM(N(AA5),N(AB5),N(AC5)))&gt;=0.15)),"Strong",IF(OR(AND(AV5="BULL",ABS(SUM(N(X5),N(Y5),N(Z5)))&gt;=0.05),AND(AV5="BEAR",ABS(SUM(N(AA5),N(AB5),N(AC5)))&gt;=0.05)),"Moderate","Low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13" t="n"/>
      <c r="AF6" s="23">
        <f>IF(OR(AD6="",AD5=""),"",IF(AD5=0,"",(AD6/AD5)-1))</f>
        <v/>
      </c>
      <c r="AG6" s="23">
        <f>IF(ROW()&lt;7,"",IF(OR(AD6="",AD3=""),"",IF(AD3=0,"",(AD6/AD3)-1)))</f>
        <v/>
      </c>
      <c r="AH6" s="23">
        <f>IF(ROW()&lt;9,"",IF(OR(AD6="",AD1=""),"",IF(AD1=0,"",(AD6/AD1)-1)))</f>
        <v/>
      </c>
      <c r="AJ6" s="23">
        <f>IF(OR(AE6="",AE5=""),"",IF(AE5=0,"",(AE6/AE5)-1))</f>
        <v/>
      </c>
      <c r="AK6" s="23">
        <f>IF(ROW()&lt;7,"",IF(OR(AE6="",AE3=""),"",IF(AE3=0,"",(AE6/AE3)-1)))</f>
        <v/>
      </c>
      <c r="AL6" s="23">
        <f>IF(ROW()&lt;9,"",IF(OR(AE6="",AE1=""),"",IF(AE1=0,"",(AE6/AE1)-1)))</f>
        <v/>
      </c>
      <c r="AN6">
        <f>IF(OR(AG6="",AH6=""),"",IF(AND(AG6&gt;0,AH6&gt;0),"Bull",IF(AND(AG6&lt;0,AH6&lt;0),"Bear","Mixed")))</f>
        <v/>
      </c>
      <c r="AO6">
        <f>IF(OR(AK6="",AL6=""),"",IF(AND(AK6&gt;0,AL6&gt;0),"Bull",IF(AND(AK6&lt;0,AL6&lt;0),"Bear","Mixed")))</f>
        <v/>
      </c>
      <c r="AP6">
        <f>IF(OR(AN6="",AO6=""),"",IF(AND(AN6="Bull",AO6="Bull"),"YES","NO"))</f>
        <v/>
      </c>
      <c r="AQ6">
        <f>IF(OR(AN6="",AO6=""),"",IF(AND(AN6="Bear",AO6="Bear"),"YES","NO"))</f>
        <v/>
      </c>
      <c r="AR6">
        <f>IF(AP6="YES",IF(SUM(N(X6),N(Y6),N(Z6))&gt;0,"SOXL","TQQQ"),IF(AQ6="YES",IF(SUM(N(AA6),N(AB6),N(AC6))&gt;0,"SOXS","SQQQ"),"WAIT"))</f>
        <v/>
      </c>
      <c r="AS6">
        <f>IF(AP6="YES",IF(SUM(N(X6),N(Y6),N(Z6))&gt;0,"TQQQ","SOXL"),IF(AQ6="YES",IF(SUM(N(AA6),N(AB6),N(AC6))&gt;0,"SQQQ","SOXS"),""))</f>
        <v/>
      </c>
      <c r="AT6" s="23">
        <f>IF(AR6="WAIT","",IF(AS6="",1,0.6))</f>
        <v/>
      </c>
      <c r="AU6" s="23">
        <f>IF(AS6="",0,0.4)</f>
        <v/>
      </c>
      <c r="AV6">
        <f>IF(AR6="WAIT","WAIT",IF(AP6="YES","BULL",IF(AQ6="YES","BEAR","WAIT")))</f>
        <v/>
      </c>
      <c r="AW6">
        <f>IF(AR6="WAIT","Low",IF(OR(AND(AV6="BULL",ABS(SUM(N(X6),N(Y6),N(Z6)))&gt;=0.15),AND(AV6="BEAR",ABS(SUM(N(AA6),N(AB6),N(AC6)))&gt;=0.15)),"Strong",IF(OR(AND(AV6="BULL",ABS(SUM(N(X6),N(Y6),N(Z6)))&gt;=0.05),AND(AV6="BEAR",ABS(SUM(N(AA6),N(AB6),N(AC6)))&gt;=0.05)),"Moderate","Low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13" t="n"/>
      <c r="AF7" s="23">
        <f>IF(OR(AD7="",AD6=""),"",IF(AD6=0,"",(AD7/AD6)-1))</f>
        <v/>
      </c>
      <c r="AG7" s="23">
        <f>IF(ROW()&lt;7,"",IF(OR(AD7="",AD4=""),"",IF(AD4=0,"",(AD7/AD4)-1)))</f>
        <v/>
      </c>
      <c r="AH7" s="23">
        <f>IF(ROW()&lt;9,"",IF(OR(AD7="",AD2=""),"",IF(AD2=0,"",(AD7/AD2)-1)))</f>
        <v/>
      </c>
      <c r="AJ7" s="23">
        <f>IF(OR(AE7="",AE6=""),"",IF(AE6=0,"",(AE7/AE6)-1))</f>
        <v/>
      </c>
      <c r="AK7" s="23">
        <f>IF(ROW()&lt;7,"",IF(OR(AE7="",AE4=""),"",IF(AE4=0,"",(AE7/AE4)-1)))</f>
        <v/>
      </c>
      <c r="AL7" s="23">
        <f>IF(ROW()&lt;9,"",IF(OR(AE7="",AE2=""),"",IF(AE2=0,"",(AE7/AE2)-1)))</f>
        <v/>
      </c>
      <c r="AN7">
        <f>IF(OR(AG7="",AH7=""),"",IF(AND(AG7&gt;0,AH7&gt;0),"Bull",IF(AND(AG7&lt;0,AH7&lt;0),"Bear","Mixed")))</f>
        <v/>
      </c>
      <c r="AO7">
        <f>IF(OR(AK7="",AL7=""),"",IF(AND(AK7&gt;0,AL7&gt;0),"Bull",IF(AND(AK7&lt;0,AL7&lt;0),"Bear","Mixed")))</f>
        <v/>
      </c>
      <c r="AP7">
        <f>IF(OR(AN7="",AO7=""),"",IF(AND(AN7="Bull",AO7="Bull"),"YES","NO"))</f>
        <v/>
      </c>
      <c r="AQ7">
        <f>IF(OR(AN7="",AO7=""),"",IF(AND(AN7="Bear",AO7="Bear"),"YES","NO"))</f>
        <v/>
      </c>
      <c r="AR7">
        <f>IF(AP7="YES",IF(SUM(N(X7),N(Y7),N(Z7))&gt;0,"SOXL","TQQQ"),IF(AQ7="YES",IF(SUM(N(AA7),N(AB7),N(AC7))&gt;0,"SOXS","SQQQ"),"WAIT"))</f>
        <v/>
      </c>
      <c r="AS7">
        <f>IF(AP7="YES",IF(SUM(N(X7),N(Y7),N(Z7))&gt;0,"TQQQ","SOXL"),IF(AQ7="YES",IF(SUM(N(AA7),N(AB7),N(AC7))&gt;0,"SQQQ","SOXS"),""))</f>
        <v/>
      </c>
      <c r="AT7" s="23">
        <f>IF(AR7="WAIT","",IF(AS7="",1,0.6))</f>
        <v/>
      </c>
      <c r="AU7" s="23">
        <f>IF(AS7="",0,0.4)</f>
        <v/>
      </c>
      <c r="AV7">
        <f>IF(AR7="WAIT","WAIT",IF(AP7="YES","BULL",IF(AQ7="YES","BEAR","WAIT")))</f>
        <v/>
      </c>
      <c r="AW7">
        <f>IF(AR7="WAIT","Low",IF(OR(AND(AV7="BULL",ABS(SUM(N(X7),N(Y7),N(Z7)))&gt;=0.15),AND(AV7="BEAR",ABS(SUM(N(AA7),N(AB7),N(AC7)))&gt;=0.15)),"Strong",IF(OR(AND(AV7="BULL",ABS(SUM(N(X7),N(Y7),N(Z7)))&gt;=0.05),AND(AV7="BEAR",ABS(SUM(N(AA7),N(AB7),N(AC7)))&gt;=0.05)),"Moderate","Low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13" t="n"/>
      <c r="AF8" s="23">
        <f>IF(OR(AD8="",AD7=""),"",IF(AD7=0,"",(AD8/AD7)-1))</f>
        <v/>
      </c>
      <c r="AG8" s="23">
        <f>IF(ROW()&lt;7,"",IF(OR(AD8="",AD5=""),"",IF(AD5=0,"",(AD8/AD5)-1)))</f>
        <v/>
      </c>
      <c r="AH8" s="23">
        <f>IF(ROW()&lt;9,"",IF(OR(AD8="",AD3=""),"",IF(AD3=0,"",(AD8/AD3)-1)))</f>
        <v/>
      </c>
      <c r="AJ8" s="23">
        <f>IF(OR(AE8="",AE7=""),"",IF(AE7=0,"",(AE8/AE7)-1))</f>
        <v/>
      </c>
      <c r="AK8" s="23">
        <f>IF(ROW()&lt;7,"",IF(OR(AE8="",AE5=""),"",IF(AE5=0,"",(AE8/AE5)-1)))</f>
        <v/>
      </c>
      <c r="AL8" s="23">
        <f>IF(ROW()&lt;9,"",IF(OR(AE8="",AE3=""),"",IF(AE3=0,"",(AE8/AE3)-1)))</f>
        <v/>
      </c>
      <c r="AN8">
        <f>IF(OR(AG8="",AH8=""),"",IF(AND(AG8&gt;0,AH8&gt;0),"Bull",IF(AND(AG8&lt;0,AH8&lt;0),"Bear","Mixed")))</f>
        <v/>
      </c>
      <c r="AO8">
        <f>IF(OR(AK8="",AL8=""),"",IF(AND(AK8&gt;0,AL8&gt;0),"Bull",IF(AND(AK8&lt;0,AL8&lt;0),"Bear","Mixed")))</f>
        <v/>
      </c>
      <c r="AP8">
        <f>IF(OR(AN8="",AO8=""),"",IF(AND(AN8="Bull",AO8="Bull"),"YES","NO"))</f>
        <v/>
      </c>
      <c r="AQ8">
        <f>IF(OR(AN8="",AO8=""),"",IF(AND(AN8="Bear",AO8="Bear"),"YES","NO"))</f>
        <v/>
      </c>
      <c r="AR8">
        <f>IF(AP8="YES",IF(SUM(N(X8),N(Y8),N(Z8))&gt;0,"SOXL","TQQQ"),IF(AQ8="YES",IF(SUM(N(AA8),N(AB8),N(AC8))&gt;0,"SOXS","SQQQ"),"WAIT"))</f>
        <v/>
      </c>
      <c r="AS8">
        <f>IF(AP8="YES",IF(SUM(N(X8),N(Y8),N(Z8))&gt;0,"TQQQ","SOXL"),IF(AQ8="YES",IF(SUM(N(AA8),N(AB8),N(AC8))&gt;0,"SQQQ","SOXS"),""))</f>
        <v/>
      </c>
      <c r="AT8" s="23">
        <f>IF(AR8="WAIT","",IF(AS8="",1,0.6))</f>
        <v/>
      </c>
      <c r="AU8" s="23">
        <f>IF(AS8="",0,0.4)</f>
        <v/>
      </c>
      <c r="AV8">
        <f>IF(AR8="WAIT","WAIT",IF(AP8="YES","BULL",IF(AQ8="YES","BEAR","WAIT")))</f>
        <v/>
      </c>
      <c r="AW8">
        <f>IF(AR8="WAIT","Low",IF(OR(AND(AV8="BULL",ABS(SUM(N(X8),N(Y8),N(Z8)))&gt;=0.15),AND(AV8="BEAR",ABS(SUM(N(AA8),N(AB8),N(AC8)))&gt;=0.15)),"Strong",IF(OR(AND(AV8="BULL",ABS(SUM(N(X8),N(Y8),N(Z8)))&gt;=0.05),AND(AV8="BEAR",ABS(SUM(N(AA8),N(AB8),N(AC8)))&gt;=0.05)),"Moderate","Low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13" t="n"/>
      <c r="AF9" s="23">
        <f>IF(OR(AD9="",AD8=""),"",IF(AD8=0,"",(AD9/AD8)-1))</f>
        <v/>
      </c>
      <c r="AG9" s="23">
        <f>IF(ROW()&lt;7,"",IF(OR(AD9="",AD6=""),"",IF(AD6=0,"",(AD9/AD6)-1)))</f>
        <v/>
      </c>
      <c r="AH9" s="23">
        <f>IF(ROW()&lt;9,"",IF(OR(AD9="",AD4=""),"",IF(AD4=0,"",(AD9/AD4)-1)))</f>
        <v/>
      </c>
      <c r="AJ9" s="23">
        <f>IF(OR(AE9="",AE8=""),"",IF(AE8=0,"",(AE9/AE8)-1))</f>
        <v/>
      </c>
      <c r="AK9" s="23">
        <f>IF(ROW()&lt;7,"",IF(OR(AE9="",AE6=""),"",IF(AE6=0,"",(AE9/AE6)-1)))</f>
        <v/>
      </c>
      <c r="AL9" s="23">
        <f>IF(ROW()&lt;9,"",IF(OR(AE9="",AE4=""),"",IF(AE4=0,"",(AE9/AE4)-1)))</f>
        <v/>
      </c>
      <c r="AN9">
        <f>IF(OR(AG9="",AH9=""),"",IF(AND(AG9&gt;0,AH9&gt;0),"Bull",IF(AND(AG9&lt;0,AH9&lt;0),"Bear","Mixed")))</f>
        <v/>
      </c>
      <c r="AO9">
        <f>IF(OR(AK9="",AL9=""),"",IF(AND(AK9&gt;0,AL9&gt;0),"Bull",IF(AND(AK9&lt;0,AL9&lt;0),"Bear","Mixed")))</f>
        <v/>
      </c>
      <c r="AP9">
        <f>IF(OR(AN9="",AO9=""),"",IF(AND(AN9="Bull",AO9="Bull"),"YES","NO"))</f>
        <v/>
      </c>
      <c r="AQ9">
        <f>IF(OR(AN9="",AO9=""),"",IF(AND(AN9="Bear",AO9="Bear"),"YES","NO"))</f>
        <v/>
      </c>
      <c r="AR9">
        <f>IF(AP9="YES",IF(SUM(N(X9),N(Y9),N(Z9))&gt;0,"SOXL","TQQQ"),IF(AQ9="YES",IF(SUM(N(AA9),N(AB9),N(AC9))&gt;0,"SOXS","SQQQ"),"WAIT"))</f>
        <v/>
      </c>
      <c r="AS9">
        <f>IF(AP9="YES",IF(SUM(N(X9),N(Y9),N(Z9))&gt;0,"TQQQ","SOXL"),IF(AQ9="YES",IF(SUM(N(AA9),N(AB9),N(AC9))&gt;0,"SQQQ","SOXS"),""))</f>
        <v/>
      </c>
      <c r="AT9" s="23">
        <f>IF(AR9="WAIT","",IF(AS9="",1,0.6))</f>
        <v/>
      </c>
      <c r="AU9" s="23">
        <f>IF(AS9="",0,0.4)</f>
        <v/>
      </c>
      <c r="AV9">
        <f>IF(AR9="WAIT","WAIT",IF(AP9="YES","BULL",IF(AQ9="YES","BEAR","WAIT")))</f>
        <v/>
      </c>
      <c r="AW9">
        <f>IF(AR9="WAIT","Low",IF(OR(AND(AV9="BULL",ABS(SUM(N(X9),N(Y9),N(Z9)))&gt;=0.15),AND(AV9="BEAR",ABS(SUM(N(AA9),N(AB9),N(AC9)))&gt;=0.15)),"Strong",IF(OR(AND(AV9="BULL",ABS(SUM(N(X9),N(Y9),N(Z9)))&gt;=0.05),AND(AV9="BEAR",ABS(SUM(N(AA9),N(AB9),N(AC9)))&gt;=0.05)),"Moderate","Low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13" t="n"/>
      <c r="AF10" s="23">
        <f>IF(OR(AD10="",AD9=""),"",IF(AD9=0,"",(AD10/AD9)-1))</f>
        <v/>
      </c>
      <c r="AG10" s="23">
        <f>IF(ROW()&lt;7,"",IF(OR(AD10="",AD7=""),"",IF(AD7=0,"",(AD10/AD7)-1)))</f>
        <v/>
      </c>
      <c r="AH10" s="23">
        <f>IF(ROW()&lt;9,"",IF(OR(AD10="",AD5=""),"",IF(AD5=0,"",(AD10/AD5)-1)))</f>
        <v/>
      </c>
      <c r="AJ10" s="23">
        <f>IF(OR(AE10="",AE9=""),"",IF(AE9=0,"",(AE10/AE9)-1))</f>
        <v/>
      </c>
      <c r="AK10" s="23">
        <f>IF(ROW()&lt;7,"",IF(OR(AE10="",AE7=""),"",IF(AE7=0,"",(AE10/AE7)-1)))</f>
        <v/>
      </c>
      <c r="AL10" s="23">
        <f>IF(ROW()&lt;9,"",IF(OR(AE10="",AE5=""),"",IF(AE5=0,"",(AE10/AE5)-1)))</f>
        <v/>
      </c>
      <c r="AN10">
        <f>IF(OR(AG10="",AH10=""),"",IF(AND(AG10&gt;0,AH10&gt;0),"Bull",IF(AND(AG10&lt;0,AH10&lt;0),"Bear","Mixed")))</f>
        <v/>
      </c>
      <c r="AO10">
        <f>IF(OR(AK10="",AL10=""),"",IF(AND(AK10&gt;0,AL10&gt;0),"Bull",IF(AND(AK10&lt;0,AL10&lt;0),"Bear","Mixed")))</f>
        <v/>
      </c>
      <c r="AP10">
        <f>IF(OR(AN10="",AO10=""),"",IF(AND(AN10="Bull",AO10="Bull"),"YES","NO"))</f>
        <v/>
      </c>
      <c r="AQ10">
        <f>IF(OR(AN10="",AO10=""),"",IF(AND(AN10="Bear",AO10="Bear"),"YES","NO"))</f>
        <v/>
      </c>
      <c r="AR10">
        <f>IF(AP10="YES",IF(SUM(N(X10),N(Y10),N(Z10))&gt;0,"SOXL","TQQQ"),IF(AQ10="YES",IF(SUM(N(AA10),N(AB10),N(AC10))&gt;0,"SOXS","SQQQ"),"WAIT"))</f>
        <v/>
      </c>
      <c r="AS10">
        <f>IF(AP10="YES",IF(SUM(N(X10),N(Y10),N(Z10))&gt;0,"TQQQ","SOXL"),IF(AQ10="YES",IF(SUM(N(AA10),N(AB10),N(AC10))&gt;0,"SQQQ","SOXS"),""))</f>
        <v/>
      </c>
      <c r="AT10" s="23">
        <f>IF(AR10="WAIT","",IF(AS10="",1,0.6))</f>
        <v/>
      </c>
      <c r="AU10" s="23">
        <f>IF(AS10="",0,0.4)</f>
        <v/>
      </c>
      <c r="AV10">
        <f>IF(AR10="WAIT","WAIT",IF(AP10="YES","BULL",IF(AQ10="YES","BEAR","WAIT")))</f>
        <v/>
      </c>
      <c r="AW10">
        <f>IF(AR10="WAIT","Low",IF(OR(AND(AV10="BULL",ABS(SUM(N(X10),N(Y10),N(Z10)))&gt;=0.15),AND(AV10="BEAR",ABS(SUM(N(AA10),N(AB10),N(AC10)))&gt;=0.15)),"Strong",IF(OR(AND(AV10="BULL",ABS(SUM(N(X10),N(Y10),N(Z10)))&gt;=0.05),AND(AV10="BEAR",ABS(SUM(N(AA10),N(AB10),N(AC10)))&gt;=0.05)),"Moderate","Low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13" t="n"/>
      <c r="AF11" s="23">
        <f>IF(OR(AD11="",AD10=""),"",IF(AD10=0,"",(AD11/AD10)-1))</f>
        <v/>
      </c>
      <c r="AG11" s="23">
        <f>IF(ROW()&lt;7,"",IF(OR(AD11="",AD8=""),"",IF(AD8=0,"",(AD11/AD8)-1)))</f>
        <v/>
      </c>
      <c r="AH11" s="23">
        <f>IF(ROW()&lt;9,"",IF(OR(AD11="",AD6=""),"",IF(AD6=0,"",(AD11/AD6)-1)))</f>
        <v/>
      </c>
      <c r="AJ11" s="23">
        <f>IF(OR(AE11="",AE10=""),"",IF(AE10=0,"",(AE11/AE10)-1))</f>
        <v/>
      </c>
      <c r="AK11" s="23">
        <f>IF(ROW()&lt;7,"",IF(OR(AE11="",AE8=""),"",IF(AE8=0,"",(AE11/AE8)-1)))</f>
        <v/>
      </c>
      <c r="AL11" s="23">
        <f>IF(ROW()&lt;9,"",IF(OR(AE11="",AE6=""),"",IF(AE6=0,"",(AE11/AE6)-1)))</f>
        <v/>
      </c>
      <c r="AN11">
        <f>IF(OR(AG11="",AH11=""),"",IF(AND(AG11&gt;0,AH11&gt;0),"Bull",IF(AND(AG11&lt;0,AH11&lt;0),"Bear","Mixed")))</f>
        <v/>
      </c>
      <c r="AO11">
        <f>IF(OR(AK11="",AL11=""),"",IF(AND(AK11&gt;0,AL11&gt;0),"Bull",IF(AND(AK11&lt;0,AL11&lt;0),"Bear","Mixed")))</f>
        <v/>
      </c>
      <c r="AP11">
        <f>IF(OR(AN11="",AO11=""),"",IF(AND(AN11="Bull",AO11="Bull"),"YES","NO"))</f>
        <v/>
      </c>
      <c r="AQ11">
        <f>IF(OR(AN11="",AO11=""),"",IF(AND(AN11="Bear",AO11="Bear"),"YES","NO"))</f>
        <v/>
      </c>
      <c r="AR11">
        <f>IF(AP11="YES",IF(SUM(N(X11),N(Y11),N(Z11))&gt;0,"SOXL","TQQQ"),IF(AQ11="YES",IF(SUM(N(AA11),N(AB11),N(AC11))&gt;0,"SOXS","SQQQ"),"WAIT"))</f>
        <v/>
      </c>
      <c r="AS11">
        <f>IF(AP11="YES",IF(SUM(N(X11),N(Y11),N(Z11))&gt;0,"TQQQ","SOXL"),IF(AQ11="YES",IF(SUM(N(AA11),N(AB11),N(AC11))&gt;0,"SQQQ","SOXS"),""))</f>
        <v/>
      </c>
      <c r="AT11" s="23">
        <f>IF(AR11="WAIT","",IF(AS11="",1,0.6))</f>
        <v/>
      </c>
      <c r="AU11" s="23">
        <f>IF(AS11="",0,0.4)</f>
        <v/>
      </c>
      <c r="AV11">
        <f>IF(AR11="WAIT","WAIT",IF(AP11="YES","BULL",IF(AQ11="YES","BEAR","WAIT")))</f>
        <v/>
      </c>
      <c r="AW11">
        <f>IF(AR11="WAIT","Low",IF(OR(AND(AV11="BULL",ABS(SUM(N(X11),N(Y11),N(Z11)))&gt;=0.15),AND(AV11="BEAR",ABS(SUM(N(AA11),N(AB11),N(AC11)))&gt;=0.15)),"Strong",IF(OR(AND(AV11="BULL",ABS(SUM(N(X11),N(Y11),N(Z11)))&gt;=0.05),AND(AV11="BEAR",ABS(SUM(N(AA11),N(AB11),N(AC11)))&gt;=0.05)),"Moderate","Low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13" t="n"/>
      <c r="AF12" s="23">
        <f>IF(OR(AD12="",AD11=""),"",IF(AD11=0,"",(AD12/AD11)-1))</f>
        <v/>
      </c>
      <c r="AG12" s="23">
        <f>IF(ROW()&lt;7,"",IF(OR(AD12="",AD9=""),"",IF(AD9=0,"",(AD12/AD9)-1)))</f>
        <v/>
      </c>
      <c r="AH12" s="23">
        <f>IF(ROW()&lt;9,"",IF(OR(AD12="",AD7=""),"",IF(AD7=0,"",(AD12/AD7)-1)))</f>
        <v/>
      </c>
      <c r="AJ12" s="23">
        <f>IF(OR(AE12="",AE11=""),"",IF(AE11=0,"",(AE12/AE11)-1))</f>
        <v/>
      </c>
      <c r="AK12" s="23">
        <f>IF(ROW()&lt;7,"",IF(OR(AE12="",AE9=""),"",IF(AE9=0,"",(AE12/AE9)-1)))</f>
        <v/>
      </c>
      <c r="AL12" s="23">
        <f>IF(ROW()&lt;9,"",IF(OR(AE12="",AE7=""),"",IF(AE7=0,"",(AE12/AE7)-1)))</f>
        <v/>
      </c>
      <c r="AN12">
        <f>IF(OR(AG12="",AH12=""),"",IF(AND(AG12&gt;0,AH12&gt;0),"Bull",IF(AND(AG12&lt;0,AH12&lt;0),"Bear","Mixed")))</f>
        <v/>
      </c>
      <c r="AO12">
        <f>IF(OR(AK12="",AL12=""),"",IF(AND(AK12&gt;0,AL12&gt;0),"Bull",IF(AND(AK12&lt;0,AL12&lt;0),"Bear","Mixed")))</f>
        <v/>
      </c>
      <c r="AP12">
        <f>IF(OR(AN12="",AO12=""),"",IF(AND(AN12="Bull",AO12="Bull"),"YES","NO"))</f>
        <v/>
      </c>
      <c r="AQ12">
        <f>IF(OR(AN12="",AO12=""),"",IF(AND(AN12="Bear",AO12="Bear"),"YES","NO"))</f>
        <v/>
      </c>
      <c r="AR12">
        <f>IF(AP12="YES",IF(SUM(N(X12),N(Y12),N(Z12))&gt;0,"SOXL","TQQQ"),IF(AQ12="YES",IF(SUM(N(AA12),N(AB12),N(AC12))&gt;0,"SOXS","SQQQ"),"WAIT"))</f>
        <v/>
      </c>
      <c r="AS12">
        <f>IF(AP12="YES",IF(SUM(N(X12),N(Y12),N(Z12))&gt;0,"TQQQ","SOXL"),IF(AQ12="YES",IF(SUM(N(AA12),N(AB12),N(AC12))&gt;0,"SQQQ","SOXS"),""))</f>
        <v/>
      </c>
      <c r="AT12" s="23">
        <f>IF(AR12="WAIT","",IF(AS12="",1,0.6))</f>
        <v/>
      </c>
      <c r="AU12" s="23">
        <f>IF(AS12="",0,0.4)</f>
        <v/>
      </c>
      <c r="AV12">
        <f>IF(AR12="WAIT","WAIT",IF(AP12="YES","BULL",IF(AQ12="YES","BEAR","WAIT")))</f>
        <v/>
      </c>
      <c r="AW12">
        <f>IF(AR12="WAIT","Low",IF(OR(AND(AV12="BULL",ABS(SUM(N(X12),N(Y12),N(Z12)))&gt;=0.15),AND(AV12="BEAR",ABS(SUM(N(AA12),N(AB12),N(AC12)))&gt;=0.15)),"Strong",IF(OR(AND(AV12="BULL",ABS(SUM(N(X12),N(Y12),N(Z12)))&gt;=0.05),AND(AV12="BEAR",ABS(SUM(N(AA12),N(AB12),N(AC12)))&gt;=0.05)),"Moderate","Low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13" t="n"/>
      <c r="AF13" s="23">
        <f>IF(OR(AD13="",AD12=""),"",IF(AD12=0,"",(AD13/AD12)-1))</f>
        <v/>
      </c>
      <c r="AG13" s="23">
        <f>IF(ROW()&lt;7,"",IF(OR(AD13="",AD10=""),"",IF(AD10=0,"",(AD13/AD10)-1)))</f>
        <v/>
      </c>
      <c r="AH13" s="23">
        <f>IF(ROW()&lt;9,"",IF(OR(AD13="",AD8=""),"",IF(AD8=0,"",(AD13/AD8)-1)))</f>
        <v/>
      </c>
      <c r="AJ13" s="23">
        <f>IF(OR(AE13="",AE12=""),"",IF(AE12=0,"",(AE13/AE12)-1))</f>
        <v/>
      </c>
      <c r="AK13" s="23">
        <f>IF(ROW()&lt;7,"",IF(OR(AE13="",AE10=""),"",IF(AE10=0,"",(AE13/AE10)-1)))</f>
        <v/>
      </c>
      <c r="AL13" s="23">
        <f>IF(ROW()&lt;9,"",IF(OR(AE13="",AE8=""),"",IF(AE8=0,"",(AE13/AE8)-1)))</f>
        <v/>
      </c>
      <c r="AN13">
        <f>IF(OR(AG13="",AH13=""),"",IF(AND(AG13&gt;0,AH13&gt;0),"Bull",IF(AND(AG13&lt;0,AH13&lt;0),"Bear","Mixed")))</f>
        <v/>
      </c>
      <c r="AO13">
        <f>IF(OR(AK13="",AL13=""),"",IF(AND(AK13&gt;0,AL13&gt;0),"Bull",IF(AND(AK13&lt;0,AL13&lt;0),"Bear","Mixed")))</f>
        <v/>
      </c>
      <c r="AP13">
        <f>IF(OR(AN13="",AO13=""),"",IF(AND(AN13="Bull",AO13="Bull"),"YES","NO"))</f>
        <v/>
      </c>
      <c r="AQ13">
        <f>IF(OR(AN13="",AO13=""),"",IF(AND(AN13="Bear",AO13="Bear"),"YES","NO"))</f>
        <v/>
      </c>
      <c r="AR13">
        <f>IF(AP13="YES",IF(SUM(N(X13),N(Y13),N(Z13))&gt;0,"SOXL","TQQQ"),IF(AQ13="YES",IF(SUM(N(AA13),N(AB13),N(AC13))&gt;0,"SOXS","SQQQ"),"WAIT"))</f>
        <v/>
      </c>
      <c r="AS13">
        <f>IF(AP13="YES",IF(SUM(N(X13),N(Y13),N(Z13))&gt;0,"TQQQ","SOXL"),IF(AQ13="YES",IF(SUM(N(AA13),N(AB13),N(AC13))&gt;0,"SQQQ","SOXS"),""))</f>
        <v/>
      </c>
      <c r="AT13" s="23">
        <f>IF(AR13="WAIT","",IF(AS13="",1,0.6))</f>
        <v/>
      </c>
      <c r="AU13" s="23">
        <f>IF(AS13="",0,0.4)</f>
        <v/>
      </c>
      <c r="AV13">
        <f>IF(AR13="WAIT","WAIT",IF(AP13="YES","BULL",IF(AQ13="YES","BEAR","WAIT")))</f>
        <v/>
      </c>
      <c r="AW13">
        <f>IF(AR13="WAIT","Low",IF(OR(AND(AV13="BULL",ABS(SUM(N(X13),N(Y13),N(Z13)))&gt;=0.15),AND(AV13="BEAR",ABS(SUM(N(AA13),N(AB13),N(AC13)))&gt;=0.15)),"Strong",IF(OR(AND(AV13="BULL",ABS(SUM(N(X13),N(Y13),N(Z13)))&gt;=0.05),AND(AV13="BEAR",ABS(SUM(N(AA13),N(AB13),N(AC13)))&gt;=0.05)),"Moderate","Low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13" t="n"/>
      <c r="AF14" s="23">
        <f>IF(OR(AD14="",AD13=""),"",IF(AD13=0,"",(AD14/AD13)-1))</f>
        <v/>
      </c>
      <c r="AG14" s="23">
        <f>IF(ROW()&lt;7,"",IF(OR(AD14="",AD11=""),"",IF(AD11=0,"",(AD14/AD11)-1)))</f>
        <v/>
      </c>
      <c r="AH14" s="23">
        <f>IF(ROW()&lt;9,"",IF(OR(AD14="",AD9=""),"",IF(AD9=0,"",(AD14/AD9)-1)))</f>
        <v/>
      </c>
      <c r="AJ14" s="23">
        <f>IF(OR(AE14="",AE13=""),"",IF(AE13=0,"",(AE14/AE13)-1))</f>
        <v/>
      </c>
      <c r="AK14" s="23">
        <f>IF(ROW()&lt;7,"",IF(OR(AE14="",AE11=""),"",IF(AE11=0,"",(AE14/AE11)-1)))</f>
        <v/>
      </c>
      <c r="AL14" s="23">
        <f>IF(ROW()&lt;9,"",IF(OR(AE14="",AE9=""),"",IF(AE9=0,"",(AE14/AE9)-1)))</f>
        <v/>
      </c>
      <c r="AN14">
        <f>IF(OR(AG14="",AH14=""),"",IF(AND(AG14&gt;0,AH14&gt;0),"Bull",IF(AND(AG14&lt;0,AH14&lt;0),"Bear","Mixed")))</f>
        <v/>
      </c>
      <c r="AO14">
        <f>IF(OR(AK14="",AL14=""),"",IF(AND(AK14&gt;0,AL14&gt;0),"Bull",IF(AND(AK14&lt;0,AL14&lt;0),"Bear","Mixed")))</f>
        <v/>
      </c>
      <c r="AP14">
        <f>IF(OR(AN14="",AO14=""),"",IF(AND(AN14="Bull",AO14="Bull"),"YES","NO"))</f>
        <v/>
      </c>
      <c r="AQ14">
        <f>IF(OR(AN14="",AO14=""),"",IF(AND(AN14="Bear",AO14="Bear"),"YES","NO"))</f>
        <v/>
      </c>
      <c r="AR14">
        <f>IF(AP14="YES",IF(SUM(N(X14),N(Y14),N(Z14))&gt;0,"SOXL","TQQQ"),IF(AQ14="YES",IF(SUM(N(AA14),N(AB14),N(AC14))&gt;0,"SOXS","SQQQ"),"WAIT"))</f>
        <v/>
      </c>
      <c r="AS14">
        <f>IF(AP14="YES",IF(SUM(N(X14),N(Y14),N(Z14))&gt;0,"TQQQ","SOXL"),IF(AQ14="YES",IF(SUM(N(AA14),N(AB14),N(AC14))&gt;0,"SQQQ","SOXS"),""))</f>
        <v/>
      </c>
      <c r="AT14" s="23">
        <f>IF(AR14="WAIT","",IF(AS14="",1,0.6))</f>
        <v/>
      </c>
      <c r="AU14" s="23">
        <f>IF(AS14="",0,0.4)</f>
        <v/>
      </c>
      <c r="AV14">
        <f>IF(AR14="WAIT","WAIT",IF(AP14="YES","BULL",IF(AQ14="YES","BEAR","WAIT")))</f>
        <v/>
      </c>
      <c r="AW14">
        <f>IF(AR14="WAIT","Low",IF(OR(AND(AV14="BULL",ABS(SUM(N(X14),N(Y14),N(Z14)))&gt;=0.15),AND(AV14="BEAR",ABS(SUM(N(AA14),N(AB14),N(AC14)))&gt;=0.15)),"Strong",IF(OR(AND(AV14="BULL",ABS(SUM(N(X14),N(Y14),N(Z14)))&gt;=0.05),AND(AV14="BEAR",ABS(SUM(N(AA14),N(AB14),N(AC14)))&gt;=0.05)),"Moderate","Low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13" t="n"/>
      <c r="AF15" s="23">
        <f>IF(OR(AD15="",AD14=""),"",IF(AD14=0,"",(AD15/AD14)-1))</f>
        <v/>
      </c>
      <c r="AG15" s="23">
        <f>IF(ROW()&lt;7,"",IF(OR(AD15="",AD12=""),"",IF(AD12=0,"",(AD15/AD12)-1)))</f>
        <v/>
      </c>
      <c r="AH15" s="23">
        <f>IF(ROW()&lt;9,"",IF(OR(AD15="",AD10=""),"",IF(AD10=0,"",(AD15/AD10)-1)))</f>
        <v/>
      </c>
      <c r="AJ15" s="23">
        <f>IF(OR(AE15="",AE14=""),"",IF(AE14=0,"",(AE15/AE14)-1))</f>
        <v/>
      </c>
      <c r="AK15" s="23">
        <f>IF(ROW()&lt;7,"",IF(OR(AE15="",AE12=""),"",IF(AE12=0,"",(AE15/AE12)-1)))</f>
        <v/>
      </c>
      <c r="AL15" s="23">
        <f>IF(ROW()&lt;9,"",IF(OR(AE15="",AE10=""),"",IF(AE10=0,"",(AE15/AE10)-1)))</f>
        <v/>
      </c>
      <c r="AN15">
        <f>IF(OR(AG15="",AH15=""),"",IF(AND(AG15&gt;0,AH15&gt;0),"Bull",IF(AND(AG15&lt;0,AH15&lt;0),"Bear","Mixed")))</f>
        <v/>
      </c>
      <c r="AO15">
        <f>IF(OR(AK15="",AL15=""),"",IF(AND(AK15&gt;0,AL15&gt;0),"Bull",IF(AND(AK15&lt;0,AL15&lt;0),"Bear","Mixed")))</f>
        <v/>
      </c>
      <c r="AP15">
        <f>IF(OR(AN15="",AO15=""),"",IF(AND(AN15="Bull",AO15="Bull"),"YES","NO"))</f>
        <v/>
      </c>
      <c r="AQ15">
        <f>IF(OR(AN15="",AO15=""),"",IF(AND(AN15="Bear",AO15="Bear"),"YES","NO"))</f>
        <v/>
      </c>
      <c r="AR15">
        <f>IF(AP15="YES",IF(SUM(N(X15),N(Y15),N(Z15))&gt;0,"SOXL","TQQQ"),IF(AQ15="YES",IF(SUM(N(AA15),N(AB15),N(AC15))&gt;0,"SOXS","SQQQ"),"WAIT"))</f>
        <v/>
      </c>
      <c r="AS15">
        <f>IF(AP15="YES",IF(SUM(N(X15),N(Y15),N(Z15))&gt;0,"TQQQ","SOXL"),IF(AQ15="YES",IF(SUM(N(AA15),N(AB15),N(AC15))&gt;0,"SQQQ","SOXS"),""))</f>
        <v/>
      </c>
      <c r="AT15" s="23">
        <f>IF(AR15="WAIT","",IF(AS15="",1,0.6))</f>
        <v/>
      </c>
      <c r="AU15" s="23">
        <f>IF(AS15="",0,0.4)</f>
        <v/>
      </c>
      <c r="AV15">
        <f>IF(AR15="WAIT","WAIT",IF(AP15="YES","BULL",IF(AQ15="YES","BEAR","WAIT")))</f>
        <v/>
      </c>
      <c r="AW15">
        <f>IF(AR15="WAIT","Low",IF(OR(AND(AV15="BULL",ABS(SUM(N(X15),N(Y15),N(Z15)))&gt;=0.15),AND(AV15="BEAR",ABS(SUM(N(AA15),N(AB15),N(AC15)))&gt;=0.15)),"Strong",IF(OR(AND(AV15="BULL",ABS(SUM(N(X15),N(Y15),N(Z15)))&gt;=0.05),AND(AV15="BEAR",ABS(SUM(N(AA15),N(AB15),N(AC15)))&gt;=0.05)),"Moderate","Low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13" t="n"/>
      <c r="AF16" s="23">
        <f>IF(OR(AD16="",AD15=""),"",IF(AD15=0,"",(AD16/AD15)-1))</f>
        <v/>
      </c>
      <c r="AG16" s="23">
        <f>IF(ROW()&lt;7,"",IF(OR(AD16="",AD13=""),"",IF(AD13=0,"",(AD16/AD13)-1)))</f>
        <v/>
      </c>
      <c r="AH16" s="23">
        <f>IF(ROW()&lt;9,"",IF(OR(AD16="",AD11=""),"",IF(AD11=0,"",(AD16/AD11)-1)))</f>
        <v/>
      </c>
      <c r="AJ16" s="23">
        <f>IF(OR(AE16="",AE15=""),"",IF(AE15=0,"",(AE16/AE15)-1))</f>
        <v/>
      </c>
      <c r="AK16" s="23">
        <f>IF(ROW()&lt;7,"",IF(OR(AE16="",AE13=""),"",IF(AE13=0,"",(AE16/AE13)-1)))</f>
        <v/>
      </c>
      <c r="AL16" s="23">
        <f>IF(ROW()&lt;9,"",IF(OR(AE16="",AE11=""),"",IF(AE11=0,"",(AE16/AE11)-1)))</f>
        <v/>
      </c>
      <c r="AN16">
        <f>IF(OR(AG16="",AH16=""),"",IF(AND(AG16&gt;0,AH16&gt;0),"Bull",IF(AND(AG16&lt;0,AH16&lt;0),"Bear","Mixed")))</f>
        <v/>
      </c>
      <c r="AO16">
        <f>IF(OR(AK16="",AL16=""),"",IF(AND(AK16&gt;0,AL16&gt;0),"Bull",IF(AND(AK16&lt;0,AL16&lt;0),"Bear","Mixed")))</f>
        <v/>
      </c>
      <c r="AP16">
        <f>IF(OR(AN16="",AO16=""),"",IF(AND(AN16="Bull",AO16="Bull"),"YES","NO"))</f>
        <v/>
      </c>
      <c r="AQ16">
        <f>IF(OR(AN16="",AO16=""),"",IF(AND(AN16="Bear",AO16="Bear"),"YES","NO"))</f>
        <v/>
      </c>
      <c r="AR16">
        <f>IF(AP16="YES",IF(SUM(N(X16),N(Y16),N(Z16))&gt;0,"SOXL","TQQQ"),IF(AQ16="YES",IF(SUM(N(AA16),N(AB16),N(AC16))&gt;0,"SOXS","SQQQ"),"WAIT"))</f>
        <v/>
      </c>
      <c r="AS16">
        <f>IF(AP16="YES",IF(SUM(N(X16),N(Y16),N(Z16))&gt;0,"TQQQ","SOXL"),IF(AQ16="YES",IF(SUM(N(AA16),N(AB16),N(AC16))&gt;0,"SQQQ","SOXS"),""))</f>
        <v/>
      </c>
      <c r="AT16" s="23">
        <f>IF(AR16="WAIT","",IF(AS16="",1,0.6))</f>
        <v/>
      </c>
      <c r="AU16" s="23">
        <f>IF(AS16="",0,0.4)</f>
        <v/>
      </c>
      <c r="AV16">
        <f>IF(AR16="WAIT","WAIT",IF(AP16="YES","BULL",IF(AQ16="YES","BEAR","WAIT")))</f>
        <v/>
      </c>
      <c r="AW16">
        <f>IF(AR16="WAIT","Low",IF(OR(AND(AV16="BULL",ABS(SUM(N(X16),N(Y16),N(Z16)))&gt;=0.15),AND(AV16="BEAR",ABS(SUM(N(AA16),N(AB16),N(AC16)))&gt;=0.15)),"Strong",IF(OR(AND(AV16="BULL",ABS(SUM(N(X16),N(Y16),N(Z16)))&gt;=0.05),AND(AV16="BEAR",ABS(SUM(N(AA16),N(AB16),N(AC16)))&gt;=0.05)),"Moderate","Low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13" t="n"/>
      <c r="AF17" s="23">
        <f>IF(OR(AD17="",AD16=""),"",IF(AD16=0,"",(AD17/AD16)-1))</f>
        <v/>
      </c>
      <c r="AG17" s="23">
        <f>IF(ROW()&lt;7,"",IF(OR(AD17="",AD14=""),"",IF(AD14=0,"",(AD17/AD14)-1)))</f>
        <v/>
      </c>
      <c r="AH17" s="23">
        <f>IF(ROW()&lt;9,"",IF(OR(AD17="",AD12=""),"",IF(AD12=0,"",(AD17/AD12)-1)))</f>
        <v/>
      </c>
      <c r="AJ17" s="23">
        <f>IF(OR(AE17="",AE16=""),"",IF(AE16=0,"",(AE17/AE16)-1))</f>
        <v/>
      </c>
      <c r="AK17" s="23">
        <f>IF(ROW()&lt;7,"",IF(OR(AE17="",AE14=""),"",IF(AE14=0,"",(AE17/AE14)-1)))</f>
        <v/>
      </c>
      <c r="AL17" s="23">
        <f>IF(ROW()&lt;9,"",IF(OR(AE17="",AE12=""),"",IF(AE12=0,"",(AE17/AE12)-1)))</f>
        <v/>
      </c>
      <c r="AN17">
        <f>IF(OR(AG17="",AH17=""),"",IF(AND(AG17&gt;0,AH17&gt;0),"Bull",IF(AND(AG17&lt;0,AH17&lt;0),"Bear","Mixed")))</f>
        <v/>
      </c>
      <c r="AO17">
        <f>IF(OR(AK17="",AL17=""),"",IF(AND(AK17&gt;0,AL17&gt;0),"Bull",IF(AND(AK17&lt;0,AL17&lt;0),"Bear","Mixed")))</f>
        <v/>
      </c>
      <c r="AP17">
        <f>IF(OR(AN17="",AO17=""),"",IF(AND(AN17="Bull",AO17="Bull"),"YES","NO"))</f>
        <v/>
      </c>
      <c r="AQ17">
        <f>IF(OR(AN17="",AO17=""),"",IF(AND(AN17="Bear",AO17="Bear"),"YES","NO"))</f>
        <v/>
      </c>
      <c r="AR17">
        <f>IF(AP17="YES",IF(SUM(N(X17),N(Y17),N(Z17))&gt;0,"SOXL","TQQQ"),IF(AQ17="YES",IF(SUM(N(AA17),N(AB17),N(AC17))&gt;0,"SOXS","SQQQ"),"WAIT"))</f>
        <v/>
      </c>
      <c r="AS17">
        <f>IF(AP17="YES",IF(SUM(N(X17),N(Y17),N(Z17))&gt;0,"TQQQ","SOXL"),IF(AQ17="YES",IF(SUM(N(AA17),N(AB17),N(AC17))&gt;0,"SQQQ","SOXS"),""))</f>
        <v/>
      </c>
      <c r="AT17" s="23">
        <f>IF(AR17="WAIT","",IF(AS17="",1,0.6))</f>
        <v/>
      </c>
      <c r="AU17" s="23">
        <f>IF(AS17="",0,0.4)</f>
        <v/>
      </c>
      <c r="AV17">
        <f>IF(AR17="WAIT","WAIT",IF(AP17="YES","BULL",IF(AQ17="YES","BEAR","WAIT")))</f>
        <v/>
      </c>
      <c r="AW17">
        <f>IF(AR17="WAIT","Low",IF(OR(AND(AV17="BULL",ABS(SUM(N(X17),N(Y17),N(Z17)))&gt;=0.15),AND(AV17="BEAR",ABS(SUM(N(AA17),N(AB17),N(AC17)))&gt;=0.15)),"Strong",IF(OR(AND(AV17="BULL",ABS(SUM(N(X17),N(Y17),N(Z17)))&gt;=0.05),AND(AV17="BEAR",ABS(SUM(N(AA17),N(AB17),N(AC17)))&gt;=0.05)),"Moderate","Low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13" t="n"/>
      <c r="AF18" s="23">
        <f>IF(OR(AD18="",AD17=""),"",IF(AD17=0,"",(AD18/AD17)-1))</f>
        <v/>
      </c>
      <c r="AG18" s="23">
        <f>IF(ROW()&lt;7,"",IF(OR(AD18="",AD15=""),"",IF(AD15=0,"",(AD18/AD15)-1)))</f>
        <v/>
      </c>
      <c r="AH18" s="23">
        <f>IF(ROW()&lt;9,"",IF(OR(AD18="",AD13=""),"",IF(AD13=0,"",(AD18/AD13)-1)))</f>
        <v/>
      </c>
      <c r="AJ18" s="23">
        <f>IF(OR(AE18="",AE17=""),"",IF(AE17=0,"",(AE18/AE17)-1))</f>
        <v/>
      </c>
      <c r="AK18" s="23">
        <f>IF(ROW()&lt;7,"",IF(OR(AE18="",AE15=""),"",IF(AE15=0,"",(AE18/AE15)-1)))</f>
        <v/>
      </c>
      <c r="AL18" s="23">
        <f>IF(ROW()&lt;9,"",IF(OR(AE18="",AE13=""),"",IF(AE13=0,"",(AE18/AE13)-1)))</f>
        <v/>
      </c>
      <c r="AN18">
        <f>IF(OR(AG18="",AH18=""),"",IF(AND(AG18&gt;0,AH18&gt;0),"Bull",IF(AND(AG18&lt;0,AH18&lt;0),"Bear","Mixed")))</f>
        <v/>
      </c>
      <c r="AO18">
        <f>IF(OR(AK18="",AL18=""),"",IF(AND(AK18&gt;0,AL18&gt;0),"Bull",IF(AND(AK18&lt;0,AL18&lt;0),"Bear","Mixed")))</f>
        <v/>
      </c>
      <c r="AP18">
        <f>IF(OR(AN18="",AO18=""),"",IF(AND(AN18="Bull",AO18="Bull"),"YES","NO"))</f>
        <v/>
      </c>
      <c r="AQ18">
        <f>IF(OR(AN18="",AO18=""),"",IF(AND(AN18="Bear",AO18="Bear"),"YES","NO"))</f>
        <v/>
      </c>
      <c r="AR18">
        <f>IF(AP18="YES",IF(SUM(N(X18),N(Y18),N(Z18))&gt;0,"SOXL","TQQQ"),IF(AQ18="YES",IF(SUM(N(AA18),N(AB18),N(AC18))&gt;0,"SOXS","SQQQ"),"WAIT"))</f>
        <v/>
      </c>
      <c r="AS18">
        <f>IF(AP18="YES",IF(SUM(N(X18),N(Y18),N(Z18))&gt;0,"TQQQ","SOXL"),IF(AQ18="YES",IF(SUM(N(AA18),N(AB18),N(AC18))&gt;0,"SQQQ","SOXS"),""))</f>
        <v/>
      </c>
      <c r="AT18" s="23">
        <f>IF(AR18="WAIT","",IF(AS18="",1,0.6))</f>
        <v/>
      </c>
      <c r="AU18" s="23">
        <f>IF(AS18="",0,0.4)</f>
        <v/>
      </c>
      <c r="AV18">
        <f>IF(AR18="WAIT","WAIT",IF(AP18="YES","BULL",IF(AQ18="YES","BEAR","WAIT")))</f>
        <v/>
      </c>
      <c r="AW18">
        <f>IF(AR18="WAIT","Low",IF(OR(AND(AV18="BULL",ABS(SUM(N(X18),N(Y18),N(Z18)))&gt;=0.15),AND(AV18="BEAR",ABS(SUM(N(AA18),N(AB18),N(AC18)))&gt;=0.15)),"Strong",IF(OR(AND(AV18="BULL",ABS(SUM(N(X18),N(Y18),N(Z18)))&gt;=0.05),AND(AV18="BEAR",ABS(SUM(N(AA18),N(AB18),N(AC18)))&gt;=0.05)),"Moderate","Low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13" t="n"/>
      <c r="AF19" s="23">
        <f>IF(OR(AD19="",AD18=""),"",IF(AD18=0,"",(AD19/AD18)-1))</f>
        <v/>
      </c>
      <c r="AG19" s="23">
        <f>IF(ROW()&lt;7,"",IF(OR(AD19="",AD16=""),"",IF(AD16=0,"",(AD19/AD16)-1)))</f>
        <v/>
      </c>
      <c r="AH19" s="23">
        <f>IF(ROW()&lt;9,"",IF(OR(AD19="",AD14=""),"",IF(AD14=0,"",(AD19/AD14)-1)))</f>
        <v/>
      </c>
      <c r="AJ19" s="23">
        <f>IF(OR(AE19="",AE18=""),"",IF(AE18=0,"",(AE19/AE18)-1))</f>
        <v/>
      </c>
      <c r="AK19" s="23">
        <f>IF(ROW()&lt;7,"",IF(OR(AE19="",AE16=""),"",IF(AE16=0,"",(AE19/AE16)-1)))</f>
        <v/>
      </c>
      <c r="AL19" s="23">
        <f>IF(ROW()&lt;9,"",IF(OR(AE19="",AE14=""),"",IF(AE14=0,"",(AE19/AE14)-1)))</f>
        <v/>
      </c>
      <c r="AN19">
        <f>IF(OR(AG19="",AH19=""),"",IF(AND(AG19&gt;0,AH19&gt;0),"Bull",IF(AND(AG19&lt;0,AH19&lt;0),"Bear","Mixed")))</f>
        <v/>
      </c>
      <c r="AO19">
        <f>IF(OR(AK19="",AL19=""),"",IF(AND(AK19&gt;0,AL19&gt;0),"Bull",IF(AND(AK19&lt;0,AL19&lt;0),"Bear","Mixed")))</f>
        <v/>
      </c>
      <c r="AP19">
        <f>IF(OR(AN19="",AO19=""),"",IF(AND(AN19="Bull",AO19="Bull"),"YES","NO"))</f>
        <v/>
      </c>
      <c r="AQ19">
        <f>IF(OR(AN19="",AO19=""),"",IF(AND(AN19="Bear",AO19="Bear"),"YES","NO"))</f>
        <v/>
      </c>
      <c r="AR19">
        <f>IF(AP19="YES",IF(SUM(N(X19),N(Y19),N(Z19))&gt;0,"SOXL","TQQQ"),IF(AQ19="YES",IF(SUM(N(AA19),N(AB19),N(AC19))&gt;0,"SOXS","SQQQ"),"WAIT"))</f>
        <v/>
      </c>
      <c r="AS19">
        <f>IF(AP19="YES",IF(SUM(N(X19),N(Y19),N(Z19))&gt;0,"TQQQ","SOXL"),IF(AQ19="YES",IF(SUM(N(AA19),N(AB19),N(AC19))&gt;0,"SQQQ","SOXS"),""))</f>
        <v/>
      </c>
      <c r="AT19" s="23">
        <f>IF(AR19="WAIT","",IF(AS19="",1,0.6))</f>
        <v/>
      </c>
      <c r="AU19" s="23">
        <f>IF(AS19="",0,0.4)</f>
        <v/>
      </c>
      <c r="AV19">
        <f>IF(AR19="WAIT","WAIT",IF(AP19="YES","BULL",IF(AQ19="YES","BEAR","WAIT")))</f>
        <v/>
      </c>
      <c r="AW19">
        <f>IF(AR19="WAIT","Low",IF(OR(AND(AV19="BULL",ABS(SUM(N(X19),N(Y19),N(Z19)))&gt;=0.15),AND(AV19="BEAR",ABS(SUM(N(AA19),N(AB19),N(AC19)))&gt;=0.15)),"Strong",IF(OR(AND(AV19="BULL",ABS(SUM(N(X19),N(Y19),N(Z19)))&gt;=0.05),AND(AV19="BEAR",ABS(SUM(N(AA19),N(AB19),N(AC19)))&gt;=0.05)),"Moderate","Low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13" t="n"/>
      <c r="AF20" s="23">
        <f>IF(OR(AD20="",AD19=""),"",IF(AD19=0,"",(AD20/AD19)-1))</f>
        <v/>
      </c>
      <c r="AG20" s="23">
        <f>IF(ROW()&lt;7,"",IF(OR(AD20="",AD17=""),"",IF(AD17=0,"",(AD20/AD17)-1)))</f>
        <v/>
      </c>
      <c r="AH20" s="23">
        <f>IF(ROW()&lt;9,"",IF(OR(AD20="",AD15=""),"",IF(AD15=0,"",(AD20/AD15)-1)))</f>
        <v/>
      </c>
      <c r="AJ20" s="23">
        <f>IF(OR(AE20="",AE19=""),"",IF(AE19=0,"",(AE20/AE19)-1))</f>
        <v/>
      </c>
      <c r="AK20" s="23">
        <f>IF(ROW()&lt;7,"",IF(OR(AE20="",AE17=""),"",IF(AE17=0,"",(AE20/AE17)-1)))</f>
        <v/>
      </c>
      <c r="AL20" s="23">
        <f>IF(ROW()&lt;9,"",IF(OR(AE20="",AE15=""),"",IF(AE15=0,"",(AE20/AE15)-1)))</f>
        <v/>
      </c>
      <c r="AN20">
        <f>IF(OR(AG20="",AH20=""),"",IF(AND(AG20&gt;0,AH20&gt;0),"Bull",IF(AND(AG20&lt;0,AH20&lt;0),"Bear","Mixed")))</f>
        <v/>
      </c>
      <c r="AO20">
        <f>IF(OR(AK20="",AL20=""),"",IF(AND(AK20&gt;0,AL20&gt;0),"Bull",IF(AND(AK20&lt;0,AL20&lt;0),"Bear","Mixed")))</f>
        <v/>
      </c>
      <c r="AP20">
        <f>IF(OR(AN20="",AO20=""),"",IF(AND(AN20="Bull",AO20="Bull"),"YES","NO"))</f>
        <v/>
      </c>
      <c r="AQ20">
        <f>IF(OR(AN20="",AO20=""),"",IF(AND(AN20="Bear",AO20="Bear"),"YES","NO"))</f>
        <v/>
      </c>
      <c r="AR20">
        <f>IF(AP20="YES",IF(SUM(N(X20),N(Y20),N(Z20))&gt;0,"SOXL","TQQQ"),IF(AQ20="YES",IF(SUM(N(AA20),N(AB20),N(AC20))&gt;0,"SOXS","SQQQ"),"WAIT"))</f>
        <v/>
      </c>
      <c r="AS20">
        <f>IF(AP20="YES",IF(SUM(N(X20),N(Y20),N(Z20))&gt;0,"TQQQ","SOXL"),IF(AQ20="YES",IF(SUM(N(AA20),N(AB20),N(AC20))&gt;0,"SQQQ","SOXS"),""))</f>
        <v/>
      </c>
      <c r="AT20" s="23">
        <f>IF(AR20="WAIT","",IF(AS20="",1,0.6))</f>
        <v/>
      </c>
      <c r="AU20" s="23">
        <f>IF(AS20="",0,0.4)</f>
        <v/>
      </c>
      <c r="AV20">
        <f>IF(AR20="WAIT","WAIT",IF(AP20="YES","BULL",IF(AQ20="YES","BEAR","WAIT")))</f>
        <v/>
      </c>
      <c r="AW20">
        <f>IF(AR20="WAIT","Low",IF(OR(AND(AV20="BULL",ABS(SUM(N(X20),N(Y20),N(Z20)))&gt;=0.15),AND(AV20="BEAR",ABS(SUM(N(AA20),N(AB20),N(AC20)))&gt;=0.15)),"Strong",IF(OR(AND(AV20="BULL",ABS(SUM(N(X20),N(Y20),N(Z20)))&gt;=0.05),AND(AV20="BEAR",ABS(SUM(N(AA20),N(AB20),N(AC20)))&gt;=0.05)),"Moderate","Low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13" t="n"/>
      <c r="AF21" s="23">
        <f>IF(OR(AD21="",AD20=""),"",IF(AD20=0,"",(AD21/AD20)-1))</f>
        <v/>
      </c>
      <c r="AG21" s="23">
        <f>IF(ROW()&lt;7,"",IF(OR(AD21="",AD18=""),"",IF(AD18=0,"",(AD21/AD18)-1)))</f>
        <v/>
      </c>
      <c r="AH21" s="23">
        <f>IF(ROW()&lt;9,"",IF(OR(AD21="",AD16=""),"",IF(AD16=0,"",(AD21/AD16)-1)))</f>
        <v/>
      </c>
      <c r="AJ21" s="23">
        <f>IF(OR(AE21="",AE20=""),"",IF(AE20=0,"",(AE21/AE20)-1))</f>
        <v/>
      </c>
      <c r="AK21" s="23">
        <f>IF(ROW()&lt;7,"",IF(OR(AE21="",AE18=""),"",IF(AE18=0,"",(AE21/AE18)-1)))</f>
        <v/>
      </c>
      <c r="AL21" s="23">
        <f>IF(ROW()&lt;9,"",IF(OR(AE21="",AE16=""),"",IF(AE16=0,"",(AE21/AE16)-1)))</f>
        <v/>
      </c>
      <c r="AN21">
        <f>IF(OR(AG21="",AH21=""),"",IF(AND(AG21&gt;0,AH21&gt;0),"Bull",IF(AND(AG21&lt;0,AH21&lt;0),"Bear","Mixed")))</f>
        <v/>
      </c>
      <c r="AO21">
        <f>IF(OR(AK21="",AL21=""),"",IF(AND(AK21&gt;0,AL21&gt;0),"Bull",IF(AND(AK21&lt;0,AL21&lt;0),"Bear","Mixed")))</f>
        <v/>
      </c>
      <c r="AP21">
        <f>IF(OR(AN21="",AO21=""),"",IF(AND(AN21="Bull",AO21="Bull"),"YES","NO"))</f>
        <v/>
      </c>
      <c r="AQ21">
        <f>IF(OR(AN21="",AO21=""),"",IF(AND(AN21="Bear",AO21="Bear"),"YES","NO"))</f>
        <v/>
      </c>
      <c r="AR21">
        <f>IF(AP21="YES",IF(SUM(N(X21),N(Y21),N(Z21))&gt;0,"SOXL","TQQQ"),IF(AQ21="YES",IF(SUM(N(AA21),N(AB21),N(AC21))&gt;0,"SOXS","SQQQ"),"WAIT"))</f>
        <v/>
      </c>
      <c r="AS21">
        <f>IF(AP21="YES",IF(SUM(N(X21),N(Y21),N(Z21))&gt;0,"TQQQ","SOXL"),IF(AQ21="YES",IF(SUM(N(AA21),N(AB21),N(AC21))&gt;0,"SQQQ","SOXS"),""))</f>
        <v/>
      </c>
      <c r="AT21" s="23">
        <f>IF(AR21="WAIT","",IF(AS21="",1,0.6))</f>
        <v/>
      </c>
      <c r="AU21" s="23">
        <f>IF(AS21="",0,0.4)</f>
        <v/>
      </c>
      <c r="AV21">
        <f>IF(AR21="WAIT","WAIT",IF(AP21="YES","BULL",IF(AQ21="YES","BEAR","WAIT")))</f>
        <v/>
      </c>
      <c r="AW21">
        <f>IF(AR21="WAIT","Low",IF(OR(AND(AV21="BULL",ABS(SUM(N(X21),N(Y21),N(Z21)))&gt;=0.15),AND(AV21="BEAR",ABS(SUM(N(AA21),N(AB21),N(AC21)))&gt;=0.15)),"Strong",IF(OR(AND(AV21="BULL",ABS(SUM(N(X21),N(Y21),N(Z21)))&gt;=0.05),AND(AV21="BEAR",ABS(SUM(N(AA21),N(AB21),N(AC21)))&gt;=0.05)),"Moderate","Low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13" t="n"/>
      <c r="AF22" s="23">
        <f>IF(OR(AD22="",AD21=""),"",IF(AD21=0,"",(AD22/AD21)-1))</f>
        <v/>
      </c>
      <c r="AG22" s="23">
        <f>IF(ROW()&lt;7,"",IF(OR(AD22="",AD19=""),"",IF(AD19=0,"",(AD22/AD19)-1)))</f>
        <v/>
      </c>
      <c r="AH22" s="23">
        <f>IF(ROW()&lt;9,"",IF(OR(AD22="",AD17=""),"",IF(AD17=0,"",(AD22/AD17)-1)))</f>
        <v/>
      </c>
      <c r="AJ22" s="23">
        <f>IF(OR(AE22="",AE21=""),"",IF(AE21=0,"",(AE22/AE21)-1))</f>
        <v/>
      </c>
      <c r="AK22" s="23">
        <f>IF(ROW()&lt;7,"",IF(OR(AE22="",AE19=""),"",IF(AE19=0,"",(AE22/AE19)-1)))</f>
        <v/>
      </c>
      <c r="AL22" s="23">
        <f>IF(ROW()&lt;9,"",IF(OR(AE22="",AE17=""),"",IF(AE17=0,"",(AE22/AE17)-1)))</f>
        <v/>
      </c>
      <c r="AN22">
        <f>IF(OR(AG22="",AH22=""),"",IF(AND(AG22&gt;0,AH22&gt;0),"Bull",IF(AND(AG22&lt;0,AH22&lt;0),"Bear","Mixed")))</f>
        <v/>
      </c>
      <c r="AO22">
        <f>IF(OR(AK22="",AL22=""),"",IF(AND(AK22&gt;0,AL22&gt;0),"Bull",IF(AND(AK22&lt;0,AL22&lt;0),"Bear","Mixed")))</f>
        <v/>
      </c>
      <c r="AP22">
        <f>IF(OR(AN22="",AO22=""),"",IF(AND(AN22="Bull",AO22="Bull"),"YES","NO"))</f>
        <v/>
      </c>
      <c r="AQ22">
        <f>IF(OR(AN22="",AO22=""),"",IF(AND(AN22="Bear",AO22="Bear"),"YES","NO"))</f>
        <v/>
      </c>
      <c r="AR22">
        <f>IF(AP22="YES",IF(SUM(N(X22),N(Y22),N(Z22))&gt;0,"SOXL","TQQQ"),IF(AQ22="YES",IF(SUM(N(AA22),N(AB22),N(AC22))&gt;0,"SOXS","SQQQ"),"WAIT"))</f>
        <v/>
      </c>
      <c r="AS22">
        <f>IF(AP22="YES",IF(SUM(N(X22),N(Y22),N(Z22))&gt;0,"TQQQ","SOXL"),IF(AQ22="YES",IF(SUM(N(AA22),N(AB22),N(AC22))&gt;0,"SQQQ","SOXS"),""))</f>
        <v/>
      </c>
      <c r="AT22" s="23">
        <f>IF(AR22="WAIT","",IF(AS22="",1,0.6))</f>
        <v/>
      </c>
      <c r="AU22" s="23">
        <f>IF(AS22="",0,0.4)</f>
        <v/>
      </c>
      <c r="AV22">
        <f>IF(AR22="WAIT","WAIT",IF(AP22="YES","BULL",IF(AQ22="YES","BEAR","WAIT")))</f>
        <v/>
      </c>
      <c r="AW22">
        <f>IF(AR22="WAIT","Low",IF(OR(AND(AV22="BULL",ABS(SUM(N(X22),N(Y22),N(Z22)))&gt;=0.15),AND(AV22="BEAR",ABS(SUM(N(AA22),N(AB22),N(AC22)))&gt;=0.15)),"Strong",IF(OR(AND(AV22="BULL",ABS(SUM(N(X22),N(Y22),N(Z22)))&gt;=0.05),AND(AV22="BEAR",ABS(SUM(N(AA22),N(AB22),N(AC22)))&gt;=0.05)),"Moderate","Low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13" t="n"/>
      <c r="AF23" s="23">
        <f>IF(OR(AD23="",AD22=""),"",IF(AD22=0,"",(AD23/AD22)-1))</f>
        <v/>
      </c>
      <c r="AG23" s="23">
        <f>IF(ROW()&lt;7,"",IF(OR(AD23="",AD20=""),"",IF(AD20=0,"",(AD23/AD20)-1)))</f>
        <v/>
      </c>
      <c r="AH23" s="23">
        <f>IF(ROW()&lt;9,"",IF(OR(AD23="",AD18=""),"",IF(AD18=0,"",(AD23/AD18)-1)))</f>
        <v/>
      </c>
      <c r="AJ23" s="23">
        <f>IF(OR(AE23="",AE22=""),"",IF(AE22=0,"",(AE23/AE22)-1))</f>
        <v/>
      </c>
      <c r="AK23" s="23">
        <f>IF(ROW()&lt;7,"",IF(OR(AE23="",AE20=""),"",IF(AE20=0,"",(AE23/AE20)-1)))</f>
        <v/>
      </c>
      <c r="AL23" s="23">
        <f>IF(ROW()&lt;9,"",IF(OR(AE23="",AE18=""),"",IF(AE18=0,"",(AE23/AE18)-1)))</f>
        <v/>
      </c>
      <c r="AN23">
        <f>IF(OR(AG23="",AH23=""),"",IF(AND(AG23&gt;0,AH23&gt;0),"Bull",IF(AND(AG23&lt;0,AH23&lt;0),"Bear","Mixed")))</f>
        <v/>
      </c>
      <c r="AO23">
        <f>IF(OR(AK23="",AL23=""),"",IF(AND(AK23&gt;0,AL23&gt;0),"Bull",IF(AND(AK23&lt;0,AL23&lt;0),"Bear","Mixed")))</f>
        <v/>
      </c>
      <c r="AP23">
        <f>IF(OR(AN23="",AO23=""),"",IF(AND(AN23="Bull",AO23="Bull"),"YES","NO"))</f>
        <v/>
      </c>
      <c r="AQ23">
        <f>IF(OR(AN23="",AO23=""),"",IF(AND(AN23="Bear",AO23="Bear"),"YES","NO"))</f>
        <v/>
      </c>
      <c r="AR23">
        <f>IF(AP23="YES",IF(SUM(N(X23),N(Y23),N(Z23))&gt;0,"SOXL","TQQQ"),IF(AQ23="YES",IF(SUM(N(AA23),N(AB23),N(AC23))&gt;0,"SOXS","SQQQ"),"WAIT"))</f>
        <v/>
      </c>
      <c r="AS23">
        <f>IF(AP23="YES",IF(SUM(N(X23),N(Y23),N(Z23))&gt;0,"TQQQ","SOXL"),IF(AQ23="YES",IF(SUM(N(AA23),N(AB23),N(AC23))&gt;0,"SQQQ","SOXS"),""))</f>
        <v/>
      </c>
      <c r="AT23" s="23">
        <f>IF(AR23="WAIT","",IF(AS23="",1,0.6))</f>
        <v/>
      </c>
      <c r="AU23" s="23">
        <f>IF(AS23="",0,0.4)</f>
        <v/>
      </c>
      <c r="AV23">
        <f>IF(AR23="WAIT","WAIT",IF(AP23="YES","BULL",IF(AQ23="YES","BEAR","WAIT")))</f>
        <v/>
      </c>
      <c r="AW23">
        <f>IF(AR23="WAIT","Low",IF(OR(AND(AV23="BULL",ABS(SUM(N(X23),N(Y23),N(Z23)))&gt;=0.15),AND(AV23="BEAR",ABS(SUM(N(AA23),N(AB23),N(AC23)))&gt;=0.15)),"Strong",IF(OR(AND(AV23="BULL",ABS(SUM(N(X23),N(Y23),N(Z23)))&gt;=0.05),AND(AV23="BEAR",ABS(SUM(N(AA23),N(AB23),N(AC23)))&gt;=0.05)),"Moderate","Low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13" t="n"/>
      <c r="AF24" s="23">
        <f>IF(OR(AD24="",AD23=""),"",IF(AD23=0,"",(AD24/AD23)-1))</f>
        <v/>
      </c>
      <c r="AG24" s="23">
        <f>IF(ROW()&lt;7,"",IF(OR(AD24="",AD21=""),"",IF(AD21=0,"",(AD24/AD21)-1)))</f>
        <v/>
      </c>
      <c r="AH24" s="23">
        <f>IF(ROW()&lt;9,"",IF(OR(AD24="",AD19=""),"",IF(AD19=0,"",(AD24/AD19)-1)))</f>
        <v/>
      </c>
      <c r="AJ24" s="23">
        <f>IF(OR(AE24="",AE23=""),"",IF(AE23=0,"",(AE24/AE23)-1))</f>
        <v/>
      </c>
      <c r="AK24" s="23">
        <f>IF(ROW()&lt;7,"",IF(OR(AE24="",AE21=""),"",IF(AE21=0,"",(AE24/AE21)-1)))</f>
        <v/>
      </c>
      <c r="AL24" s="23">
        <f>IF(ROW()&lt;9,"",IF(OR(AE24="",AE19=""),"",IF(AE19=0,"",(AE24/AE19)-1)))</f>
        <v/>
      </c>
      <c r="AN24">
        <f>IF(OR(AG24="",AH24=""),"",IF(AND(AG24&gt;0,AH24&gt;0),"Bull",IF(AND(AG24&lt;0,AH24&lt;0),"Bear","Mixed")))</f>
        <v/>
      </c>
      <c r="AO24">
        <f>IF(OR(AK24="",AL24=""),"",IF(AND(AK24&gt;0,AL24&gt;0),"Bull",IF(AND(AK24&lt;0,AL24&lt;0),"Bear","Mixed")))</f>
        <v/>
      </c>
      <c r="AP24">
        <f>IF(OR(AN24="",AO24=""),"",IF(AND(AN24="Bull",AO24="Bull"),"YES","NO"))</f>
        <v/>
      </c>
      <c r="AQ24">
        <f>IF(OR(AN24="",AO24=""),"",IF(AND(AN24="Bear",AO24="Bear"),"YES","NO"))</f>
        <v/>
      </c>
      <c r="AR24">
        <f>IF(AP24="YES",IF(SUM(N(X24),N(Y24),N(Z24))&gt;0,"SOXL","TQQQ"),IF(AQ24="YES",IF(SUM(N(AA24),N(AB24),N(AC24))&gt;0,"SOXS","SQQQ"),"WAIT"))</f>
        <v/>
      </c>
      <c r="AS24">
        <f>IF(AP24="YES",IF(SUM(N(X24),N(Y24),N(Z24))&gt;0,"TQQQ","SOXL"),IF(AQ24="YES",IF(SUM(N(AA24),N(AB24),N(AC24))&gt;0,"SQQQ","SOXS"),""))</f>
        <v/>
      </c>
      <c r="AT24" s="23">
        <f>IF(AR24="WAIT","",IF(AS24="",1,0.6))</f>
        <v/>
      </c>
      <c r="AU24" s="23">
        <f>IF(AS24="",0,0.4)</f>
        <v/>
      </c>
      <c r="AV24">
        <f>IF(AR24="WAIT","WAIT",IF(AP24="YES","BULL",IF(AQ24="YES","BEAR","WAIT")))</f>
        <v/>
      </c>
      <c r="AW24">
        <f>IF(AR24="WAIT","Low",IF(OR(AND(AV24="BULL",ABS(SUM(N(X24),N(Y24),N(Z24)))&gt;=0.15),AND(AV24="BEAR",ABS(SUM(N(AA24),N(AB24),N(AC24)))&gt;=0.15)),"Strong",IF(OR(AND(AV24="BULL",ABS(SUM(N(X24),N(Y24),N(Z24)))&gt;=0.05),AND(AV24="BEAR",ABS(SUM(N(AA24),N(AB24),N(AC24)))&gt;=0.05)),"Moderate","Low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13" t="n"/>
      <c r="AF25" s="23">
        <f>IF(OR(AD25="",AD24=""),"",IF(AD24=0,"",(AD25/AD24)-1))</f>
        <v/>
      </c>
      <c r="AG25" s="23">
        <f>IF(ROW()&lt;7,"",IF(OR(AD25="",AD22=""),"",IF(AD22=0,"",(AD25/AD22)-1)))</f>
        <v/>
      </c>
      <c r="AH25" s="23">
        <f>IF(ROW()&lt;9,"",IF(OR(AD25="",AD20=""),"",IF(AD20=0,"",(AD25/AD20)-1)))</f>
        <v/>
      </c>
      <c r="AJ25" s="23">
        <f>IF(OR(AE25="",AE24=""),"",IF(AE24=0,"",(AE25/AE24)-1))</f>
        <v/>
      </c>
      <c r="AK25" s="23">
        <f>IF(ROW()&lt;7,"",IF(OR(AE25="",AE22=""),"",IF(AE22=0,"",(AE25/AE22)-1)))</f>
        <v/>
      </c>
      <c r="AL25" s="23">
        <f>IF(ROW()&lt;9,"",IF(OR(AE25="",AE20=""),"",IF(AE20=0,"",(AE25/AE20)-1)))</f>
        <v/>
      </c>
      <c r="AN25">
        <f>IF(OR(AG25="",AH25=""),"",IF(AND(AG25&gt;0,AH25&gt;0),"Bull",IF(AND(AG25&lt;0,AH25&lt;0),"Bear","Mixed")))</f>
        <v/>
      </c>
      <c r="AO25">
        <f>IF(OR(AK25="",AL25=""),"",IF(AND(AK25&gt;0,AL25&gt;0),"Bull",IF(AND(AK25&lt;0,AL25&lt;0),"Bear","Mixed")))</f>
        <v/>
      </c>
      <c r="AP25">
        <f>IF(OR(AN25="",AO25=""),"",IF(AND(AN25="Bull",AO25="Bull"),"YES","NO"))</f>
        <v/>
      </c>
      <c r="AQ25">
        <f>IF(OR(AN25="",AO25=""),"",IF(AND(AN25="Bear",AO25="Bear"),"YES","NO"))</f>
        <v/>
      </c>
      <c r="AR25">
        <f>IF(AP25="YES",IF(SUM(N(X25),N(Y25),N(Z25))&gt;0,"SOXL","TQQQ"),IF(AQ25="YES",IF(SUM(N(AA25),N(AB25),N(AC25))&gt;0,"SOXS","SQQQ"),"WAIT"))</f>
        <v/>
      </c>
      <c r="AS25">
        <f>IF(AP25="YES",IF(SUM(N(X25),N(Y25),N(Z25))&gt;0,"TQQQ","SOXL"),IF(AQ25="YES",IF(SUM(N(AA25),N(AB25),N(AC25))&gt;0,"SQQQ","SOXS"),""))</f>
        <v/>
      </c>
      <c r="AT25" s="23">
        <f>IF(AR25="WAIT","",IF(AS25="",1,0.6))</f>
        <v/>
      </c>
      <c r="AU25" s="23">
        <f>IF(AS25="",0,0.4)</f>
        <v/>
      </c>
      <c r="AV25">
        <f>IF(AR25="WAIT","WAIT",IF(AP25="YES","BULL",IF(AQ25="YES","BEAR","WAIT")))</f>
        <v/>
      </c>
      <c r="AW25">
        <f>IF(AR25="WAIT","Low",IF(OR(AND(AV25="BULL",ABS(SUM(N(X25),N(Y25),N(Z25)))&gt;=0.15),AND(AV25="BEAR",ABS(SUM(N(AA25),N(AB25),N(AC25)))&gt;=0.15)),"Strong",IF(OR(AND(AV25="BULL",ABS(SUM(N(X25),N(Y25),N(Z25)))&gt;=0.05),AND(AV25="BEAR",ABS(SUM(N(AA25),N(AB25),N(AC25)))&gt;=0.05)),"Moderate","Low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13" t="n"/>
      <c r="AF26" s="23">
        <f>IF(OR(AD26="",AD25=""),"",IF(AD25=0,"",(AD26/AD25)-1))</f>
        <v/>
      </c>
      <c r="AG26" s="23">
        <f>IF(ROW()&lt;7,"",IF(OR(AD26="",AD23=""),"",IF(AD23=0,"",(AD26/AD23)-1)))</f>
        <v/>
      </c>
      <c r="AH26" s="23">
        <f>IF(ROW()&lt;9,"",IF(OR(AD26="",AD21=""),"",IF(AD21=0,"",(AD26/AD21)-1)))</f>
        <v/>
      </c>
      <c r="AJ26" s="23">
        <f>IF(OR(AE26="",AE25=""),"",IF(AE25=0,"",(AE26/AE25)-1))</f>
        <v/>
      </c>
      <c r="AK26" s="23">
        <f>IF(ROW()&lt;7,"",IF(OR(AE26="",AE23=""),"",IF(AE23=0,"",(AE26/AE23)-1)))</f>
        <v/>
      </c>
      <c r="AL26" s="23">
        <f>IF(ROW()&lt;9,"",IF(OR(AE26="",AE21=""),"",IF(AE21=0,"",(AE26/AE21)-1)))</f>
        <v/>
      </c>
      <c r="AN26">
        <f>IF(OR(AG26="",AH26=""),"",IF(AND(AG26&gt;0,AH26&gt;0),"Bull",IF(AND(AG26&lt;0,AH26&lt;0),"Bear","Mixed")))</f>
        <v/>
      </c>
      <c r="AO26">
        <f>IF(OR(AK26="",AL26=""),"",IF(AND(AK26&gt;0,AL26&gt;0),"Bull",IF(AND(AK26&lt;0,AL26&lt;0),"Bear","Mixed")))</f>
        <v/>
      </c>
      <c r="AP26">
        <f>IF(OR(AN26="",AO26=""),"",IF(AND(AN26="Bull",AO26="Bull"),"YES","NO"))</f>
        <v/>
      </c>
      <c r="AQ26">
        <f>IF(OR(AN26="",AO26=""),"",IF(AND(AN26="Bear",AO26="Bear"),"YES","NO"))</f>
        <v/>
      </c>
      <c r="AR26">
        <f>IF(AP26="YES",IF(SUM(N(X26),N(Y26),N(Z26))&gt;0,"SOXL","TQQQ"),IF(AQ26="YES",IF(SUM(N(AA26),N(AB26),N(AC26))&gt;0,"SOXS","SQQQ"),"WAIT"))</f>
        <v/>
      </c>
      <c r="AS26">
        <f>IF(AP26="YES",IF(SUM(N(X26),N(Y26),N(Z26))&gt;0,"TQQQ","SOXL"),IF(AQ26="YES",IF(SUM(N(AA26),N(AB26),N(AC26))&gt;0,"SQQQ","SOXS"),""))</f>
        <v/>
      </c>
      <c r="AT26" s="23">
        <f>IF(AR26="WAIT","",IF(AS26="",1,0.6))</f>
        <v/>
      </c>
      <c r="AU26" s="23">
        <f>IF(AS26="",0,0.4)</f>
        <v/>
      </c>
      <c r="AV26">
        <f>IF(AR26="WAIT","WAIT",IF(AP26="YES","BULL",IF(AQ26="YES","BEAR","WAIT")))</f>
        <v/>
      </c>
      <c r="AW26">
        <f>IF(AR26="WAIT","Low",IF(OR(AND(AV26="BULL",ABS(SUM(N(X26),N(Y26),N(Z26)))&gt;=0.15),AND(AV26="BEAR",ABS(SUM(N(AA26),N(AB26),N(AC26)))&gt;=0.15)),"Strong",IF(OR(AND(AV26="BULL",ABS(SUM(N(X26),N(Y26),N(Z26)))&gt;=0.05),AND(AV26="BEAR",ABS(SUM(N(AA26),N(AB26),N(AC26)))&gt;=0.05)),"Moderate","Low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13" t="n"/>
      <c r="AF27" s="23">
        <f>IF(OR(AD27="",AD26=""),"",IF(AD26=0,"",(AD27/AD26)-1))</f>
        <v/>
      </c>
      <c r="AG27" s="23">
        <f>IF(ROW()&lt;7,"",IF(OR(AD27="",AD24=""),"",IF(AD24=0,"",(AD27/AD24)-1)))</f>
        <v/>
      </c>
      <c r="AH27" s="23">
        <f>IF(ROW()&lt;9,"",IF(OR(AD27="",AD22=""),"",IF(AD22=0,"",(AD27/AD22)-1)))</f>
        <v/>
      </c>
      <c r="AJ27" s="23">
        <f>IF(OR(AE27="",AE26=""),"",IF(AE26=0,"",(AE27/AE26)-1))</f>
        <v/>
      </c>
      <c r="AK27" s="23">
        <f>IF(ROW()&lt;7,"",IF(OR(AE27="",AE24=""),"",IF(AE24=0,"",(AE27/AE24)-1)))</f>
        <v/>
      </c>
      <c r="AL27" s="23">
        <f>IF(ROW()&lt;9,"",IF(OR(AE27="",AE22=""),"",IF(AE22=0,"",(AE27/AE22)-1)))</f>
        <v/>
      </c>
      <c r="AN27">
        <f>IF(OR(AG27="",AH27=""),"",IF(AND(AG27&gt;0,AH27&gt;0),"Bull",IF(AND(AG27&lt;0,AH27&lt;0),"Bear","Mixed")))</f>
        <v/>
      </c>
      <c r="AO27">
        <f>IF(OR(AK27="",AL27=""),"",IF(AND(AK27&gt;0,AL27&gt;0),"Bull",IF(AND(AK27&lt;0,AL27&lt;0),"Bear","Mixed")))</f>
        <v/>
      </c>
      <c r="AP27">
        <f>IF(OR(AN27="",AO27=""),"",IF(AND(AN27="Bull",AO27="Bull"),"YES","NO"))</f>
        <v/>
      </c>
      <c r="AQ27">
        <f>IF(OR(AN27="",AO27=""),"",IF(AND(AN27="Bear",AO27="Bear"),"YES","NO"))</f>
        <v/>
      </c>
      <c r="AR27">
        <f>IF(AP27="YES",IF(SUM(N(X27),N(Y27),N(Z27))&gt;0,"SOXL","TQQQ"),IF(AQ27="YES",IF(SUM(N(AA27),N(AB27),N(AC27))&gt;0,"SOXS","SQQQ"),"WAIT"))</f>
        <v/>
      </c>
      <c r="AS27">
        <f>IF(AP27="YES",IF(SUM(N(X27),N(Y27),N(Z27))&gt;0,"TQQQ","SOXL"),IF(AQ27="YES",IF(SUM(N(AA27),N(AB27),N(AC27))&gt;0,"SQQQ","SOXS"),""))</f>
        <v/>
      </c>
      <c r="AT27" s="23">
        <f>IF(AR27="WAIT","",IF(AS27="",1,0.6))</f>
        <v/>
      </c>
      <c r="AU27" s="23">
        <f>IF(AS27="",0,0.4)</f>
        <v/>
      </c>
      <c r="AV27">
        <f>IF(AR27="WAIT","WAIT",IF(AP27="YES","BULL",IF(AQ27="YES","BEAR","WAIT")))</f>
        <v/>
      </c>
      <c r="AW27">
        <f>IF(AR27="WAIT","Low",IF(OR(AND(AV27="BULL",ABS(SUM(N(X27),N(Y27),N(Z27)))&gt;=0.15),AND(AV27="BEAR",ABS(SUM(N(AA27),N(AB27),N(AC27)))&gt;=0.15)),"Strong",IF(OR(AND(AV27="BULL",ABS(SUM(N(X27),N(Y27),N(Z27)))&gt;=0.05),AND(AV27="BEAR",ABS(SUM(N(AA27),N(AB27),N(AC27)))&gt;=0.05)),"Moderate","Low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13" t="n"/>
      <c r="AF28" s="23">
        <f>IF(OR(AD28="",AD27=""),"",IF(AD27=0,"",(AD28/AD27)-1))</f>
        <v/>
      </c>
      <c r="AG28" s="23">
        <f>IF(ROW()&lt;7,"",IF(OR(AD28="",AD25=""),"",IF(AD25=0,"",(AD28/AD25)-1)))</f>
        <v/>
      </c>
      <c r="AH28" s="23">
        <f>IF(ROW()&lt;9,"",IF(OR(AD28="",AD23=""),"",IF(AD23=0,"",(AD28/AD23)-1)))</f>
        <v/>
      </c>
      <c r="AJ28" s="23">
        <f>IF(OR(AE28="",AE27=""),"",IF(AE27=0,"",(AE28/AE27)-1))</f>
        <v/>
      </c>
      <c r="AK28" s="23">
        <f>IF(ROW()&lt;7,"",IF(OR(AE28="",AE25=""),"",IF(AE25=0,"",(AE28/AE25)-1)))</f>
        <v/>
      </c>
      <c r="AL28" s="23">
        <f>IF(ROW()&lt;9,"",IF(OR(AE28="",AE23=""),"",IF(AE23=0,"",(AE28/AE23)-1)))</f>
        <v/>
      </c>
      <c r="AN28">
        <f>IF(OR(AG28="",AH28=""),"",IF(AND(AG28&gt;0,AH28&gt;0),"Bull",IF(AND(AG28&lt;0,AH28&lt;0),"Bear","Mixed")))</f>
        <v/>
      </c>
      <c r="AO28">
        <f>IF(OR(AK28="",AL28=""),"",IF(AND(AK28&gt;0,AL28&gt;0),"Bull",IF(AND(AK28&lt;0,AL28&lt;0),"Bear","Mixed")))</f>
        <v/>
      </c>
      <c r="AP28">
        <f>IF(OR(AN28="",AO28=""),"",IF(AND(AN28="Bull",AO28="Bull"),"YES","NO"))</f>
        <v/>
      </c>
      <c r="AQ28">
        <f>IF(OR(AN28="",AO28=""),"",IF(AND(AN28="Bear",AO28="Bear"),"YES","NO"))</f>
        <v/>
      </c>
      <c r="AR28">
        <f>IF(AP28="YES",IF(SUM(N(X28),N(Y28),N(Z28))&gt;0,"SOXL","TQQQ"),IF(AQ28="YES",IF(SUM(N(AA28),N(AB28),N(AC28))&gt;0,"SOXS","SQQQ"),"WAIT"))</f>
        <v/>
      </c>
      <c r="AS28">
        <f>IF(AP28="YES",IF(SUM(N(X28),N(Y28),N(Z28))&gt;0,"TQQQ","SOXL"),IF(AQ28="YES",IF(SUM(N(AA28),N(AB28),N(AC28))&gt;0,"SQQQ","SOXS"),""))</f>
        <v/>
      </c>
      <c r="AT28" s="23">
        <f>IF(AR28="WAIT","",IF(AS28="",1,0.6))</f>
        <v/>
      </c>
      <c r="AU28" s="23">
        <f>IF(AS28="",0,0.4)</f>
        <v/>
      </c>
      <c r="AV28">
        <f>IF(AR28="WAIT","WAIT",IF(AP28="YES","BULL",IF(AQ28="YES","BEAR","WAIT")))</f>
        <v/>
      </c>
      <c r="AW28">
        <f>IF(AR28="WAIT","Low",IF(OR(AND(AV28="BULL",ABS(SUM(N(X28),N(Y28),N(Z28)))&gt;=0.15),AND(AV28="BEAR",ABS(SUM(N(AA28),N(AB28),N(AC28)))&gt;=0.15)),"Strong",IF(OR(AND(AV28="BULL",ABS(SUM(N(X28),N(Y28),N(Z28)))&gt;=0.05),AND(AV28="BEAR",ABS(SUM(N(AA28),N(AB28),N(AC28)))&gt;=0.05)),"Moderate","Low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13" t="n"/>
      <c r="AF29" s="23">
        <f>IF(OR(AD29="",AD28=""),"",IF(AD28=0,"",(AD29/AD28)-1))</f>
        <v/>
      </c>
      <c r="AG29" s="23">
        <f>IF(ROW()&lt;7,"",IF(OR(AD29="",AD26=""),"",IF(AD26=0,"",(AD29/AD26)-1)))</f>
        <v/>
      </c>
      <c r="AH29" s="23">
        <f>IF(ROW()&lt;9,"",IF(OR(AD29="",AD24=""),"",IF(AD24=0,"",(AD29/AD24)-1)))</f>
        <v/>
      </c>
      <c r="AJ29" s="23">
        <f>IF(OR(AE29="",AE28=""),"",IF(AE28=0,"",(AE29/AE28)-1))</f>
        <v/>
      </c>
      <c r="AK29" s="23">
        <f>IF(ROW()&lt;7,"",IF(OR(AE29="",AE26=""),"",IF(AE26=0,"",(AE29/AE26)-1)))</f>
        <v/>
      </c>
      <c r="AL29" s="23">
        <f>IF(ROW()&lt;9,"",IF(OR(AE29="",AE24=""),"",IF(AE24=0,"",(AE29/AE24)-1)))</f>
        <v/>
      </c>
      <c r="AN29">
        <f>IF(OR(AG29="",AH29=""),"",IF(AND(AG29&gt;0,AH29&gt;0),"Bull",IF(AND(AG29&lt;0,AH29&lt;0),"Bear","Mixed")))</f>
        <v/>
      </c>
      <c r="AO29">
        <f>IF(OR(AK29="",AL29=""),"",IF(AND(AK29&gt;0,AL29&gt;0),"Bull",IF(AND(AK29&lt;0,AL29&lt;0),"Bear","Mixed")))</f>
        <v/>
      </c>
      <c r="AP29">
        <f>IF(OR(AN29="",AO29=""),"",IF(AND(AN29="Bull",AO29="Bull"),"YES","NO"))</f>
        <v/>
      </c>
      <c r="AQ29">
        <f>IF(OR(AN29="",AO29=""),"",IF(AND(AN29="Bear",AO29="Bear"),"YES","NO"))</f>
        <v/>
      </c>
      <c r="AR29">
        <f>IF(AP29="YES",IF(SUM(N(X29),N(Y29),N(Z29))&gt;0,"SOXL","TQQQ"),IF(AQ29="YES",IF(SUM(N(AA29),N(AB29),N(AC29))&gt;0,"SOXS","SQQQ"),"WAIT"))</f>
        <v/>
      </c>
      <c r="AS29">
        <f>IF(AP29="YES",IF(SUM(N(X29),N(Y29),N(Z29))&gt;0,"TQQQ","SOXL"),IF(AQ29="YES",IF(SUM(N(AA29),N(AB29),N(AC29))&gt;0,"SQQQ","SOXS"),""))</f>
        <v/>
      </c>
      <c r="AT29" s="23">
        <f>IF(AR29="WAIT","",IF(AS29="",1,0.6))</f>
        <v/>
      </c>
      <c r="AU29" s="23">
        <f>IF(AS29="",0,0.4)</f>
        <v/>
      </c>
      <c r="AV29">
        <f>IF(AR29="WAIT","WAIT",IF(AP29="YES","BULL",IF(AQ29="YES","BEAR","WAIT")))</f>
        <v/>
      </c>
      <c r="AW29">
        <f>IF(AR29="WAIT","Low",IF(OR(AND(AV29="BULL",ABS(SUM(N(X29),N(Y29),N(Z29)))&gt;=0.15),AND(AV29="BEAR",ABS(SUM(N(AA29),N(AB29),N(AC29)))&gt;=0.15)),"Strong",IF(OR(AND(AV29="BULL",ABS(SUM(N(X29),N(Y29),N(Z29)))&gt;=0.05),AND(AV29="BEAR",ABS(SUM(N(AA29),N(AB29),N(AC29)))&gt;=0.05)),"Moderate","Low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13" t="n"/>
      <c r="AF30" s="23">
        <f>IF(OR(AD30="",AD29=""),"",IF(AD29=0,"",(AD30/AD29)-1))</f>
        <v/>
      </c>
      <c r="AG30" s="23">
        <f>IF(ROW()&lt;7,"",IF(OR(AD30="",AD27=""),"",IF(AD27=0,"",(AD30/AD27)-1)))</f>
        <v/>
      </c>
      <c r="AH30" s="23">
        <f>IF(ROW()&lt;9,"",IF(OR(AD30="",AD25=""),"",IF(AD25=0,"",(AD30/AD25)-1)))</f>
        <v/>
      </c>
      <c r="AJ30" s="23">
        <f>IF(OR(AE30="",AE29=""),"",IF(AE29=0,"",(AE30/AE29)-1))</f>
        <v/>
      </c>
      <c r="AK30" s="23">
        <f>IF(ROW()&lt;7,"",IF(OR(AE30="",AE27=""),"",IF(AE27=0,"",(AE30/AE27)-1)))</f>
        <v/>
      </c>
      <c r="AL30" s="23">
        <f>IF(ROW()&lt;9,"",IF(OR(AE30="",AE25=""),"",IF(AE25=0,"",(AE30/AE25)-1)))</f>
        <v/>
      </c>
      <c r="AN30">
        <f>IF(OR(AG30="",AH30=""),"",IF(AND(AG30&gt;0,AH30&gt;0),"Bull",IF(AND(AG30&lt;0,AH30&lt;0),"Bear","Mixed")))</f>
        <v/>
      </c>
      <c r="AO30">
        <f>IF(OR(AK30="",AL30=""),"",IF(AND(AK30&gt;0,AL30&gt;0),"Bull",IF(AND(AK30&lt;0,AL30&lt;0),"Bear","Mixed")))</f>
        <v/>
      </c>
      <c r="AP30">
        <f>IF(OR(AN30="",AO30=""),"",IF(AND(AN30="Bull",AO30="Bull"),"YES","NO"))</f>
        <v/>
      </c>
      <c r="AQ30">
        <f>IF(OR(AN30="",AO30=""),"",IF(AND(AN30="Bear",AO30="Bear"),"YES","NO"))</f>
        <v/>
      </c>
      <c r="AR30">
        <f>IF(AP30="YES",IF(SUM(N(X30),N(Y30),N(Z30))&gt;0,"SOXL","TQQQ"),IF(AQ30="YES",IF(SUM(N(AA30),N(AB30),N(AC30))&gt;0,"SOXS","SQQQ"),"WAIT"))</f>
        <v/>
      </c>
      <c r="AS30">
        <f>IF(AP30="YES",IF(SUM(N(X30),N(Y30),N(Z30))&gt;0,"TQQQ","SOXL"),IF(AQ30="YES",IF(SUM(N(AA30),N(AB30),N(AC30))&gt;0,"SQQQ","SOXS"),""))</f>
        <v/>
      </c>
      <c r="AT30" s="23">
        <f>IF(AR30="WAIT","",IF(AS30="",1,0.6))</f>
        <v/>
      </c>
      <c r="AU30" s="23">
        <f>IF(AS30="",0,0.4)</f>
        <v/>
      </c>
      <c r="AV30">
        <f>IF(AR30="WAIT","WAIT",IF(AP30="YES","BULL",IF(AQ30="YES","BEAR","WAIT")))</f>
        <v/>
      </c>
      <c r="AW30">
        <f>IF(AR30="WAIT","Low",IF(OR(AND(AV30="BULL",ABS(SUM(N(X30),N(Y30),N(Z30)))&gt;=0.15),AND(AV30="BEAR",ABS(SUM(N(AA30),N(AB30),N(AC30)))&gt;=0.15)),"Strong",IF(OR(AND(AV30="BULL",ABS(SUM(N(X30),N(Y30),N(Z30)))&gt;=0.05),AND(AV30="BEAR",ABS(SUM(N(AA30),N(AB30),N(AC30)))&gt;=0.05)),"Moderate","Low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13" t="n"/>
      <c r="AF31" s="23">
        <f>IF(OR(AD31="",AD30=""),"",IF(AD30=0,"",(AD31/AD30)-1))</f>
        <v/>
      </c>
      <c r="AG31" s="23">
        <f>IF(ROW()&lt;7,"",IF(OR(AD31="",AD28=""),"",IF(AD28=0,"",(AD31/AD28)-1)))</f>
        <v/>
      </c>
      <c r="AH31" s="23">
        <f>IF(ROW()&lt;9,"",IF(OR(AD31="",AD26=""),"",IF(AD26=0,"",(AD31/AD26)-1)))</f>
        <v/>
      </c>
      <c r="AJ31" s="23">
        <f>IF(OR(AE31="",AE30=""),"",IF(AE30=0,"",(AE31/AE30)-1))</f>
        <v/>
      </c>
      <c r="AK31" s="23">
        <f>IF(ROW()&lt;7,"",IF(OR(AE31="",AE28=""),"",IF(AE28=0,"",(AE31/AE28)-1)))</f>
        <v/>
      </c>
      <c r="AL31" s="23">
        <f>IF(ROW()&lt;9,"",IF(OR(AE31="",AE26=""),"",IF(AE26=0,"",(AE31/AE26)-1)))</f>
        <v/>
      </c>
      <c r="AN31">
        <f>IF(OR(AG31="",AH31=""),"",IF(AND(AG31&gt;0,AH31&gt;0),"Bull",IF(AND(AG31&lt;0,AH31&lt;0),"Bear","Mixed")))</f>
        <v/>
      </c>
      <c r="AO31">
        <f>IF(OR(AK31="",AL31=""),"",IF(AND(AK31&gt;0,AL31&gt;0),"Bull",IF(AND(AK31&lt;0,AL31&lt;0),"Bear","Mixed")))</f>
        <v/>
      </c>
      <c r="AP31">
        <f>IF(OR(AN31="",AO31=""),"",IF(AND(AN31="Bull",AO31="Bull"),"YES","NO"))</f>
        <v/>
      </c>
      <c r="AQ31">
        <f>IF(OR(AN31="",AO31=""),"",IF(AND(AN31="Bear",AO31="Bear"),"YES","NO"))</f>
        <v/>
      </c>
      <c r="AR31">
        <f>IF(AP31="YES",IF(SUM(N(X31),N(Y31),N(Z31))&gt;0,"SOXL","TQQQ"),IF(AQ31="YES",IF(SUM(N(AA31),N(AB31),N(AC31))&gt;0,"SOXS","SQQQ"),"WAIT"))</f>
        <v/>
      </c>
      <c r="AS31">
        <f>IF(AP31="YES",IF(SUM(N(X31),N(Y31),N(Z31))&gt;0,"TQQQ","SOXL"),IF(AQ31="YES",IF(SUM(N(AA31),N(AB31),N(AC31))&gt;0,"SQQQ","SOXS"),""))</f>
        <v/>
      </c>
      <c r="AT31" s="23">
        <f>IF(AR31="WAIT","",IF(AS31="",1,0.6))</f>
        <v/>
      </c>
      <c r="AU31" s="23">
        <f>IF(AS31="",0,0.4)</f>
        <v/>
      </c>
      <c r="AV31">
        <f>IF(AR31="WAIT","WAIT",IF(AP31="YES","BULL",IF(AQ31="YES","BEAR","WAIT")))</f>
        <v/>
      </c>
      <c r="AW31">
        <f>IF(AR31="WAIT","Low",IF(OR(AND(AV31="BULL",ABS(SUM(N(X31),N(Y31),N(Z31)))&gt;=0.15),AND(AV31="BEAR",ABS(SUM(N(AA31),N(AB31),N(AC31)))&gt;=0.15)),"Strong",IF(OR(AND(AV31="BULL",ABS(SUM(N(X31),N(Y31),N(Z31)))&gt;=0.05),AND(AV31="BEAR",ABS(SUM(N(AA31),N(AB31),N(AC31)))&gt;=0.05)),"Moderate","Low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13" t="n"/>
      <c r="AF32" s="23">
        <f>IF(OR(AD32="",AD31=""),"",IF(AD31=0,"",(AD32/AD31)-1))</f>
        <v/>
      </c>
      <c r="AG32" s="23">
        <f>IF(ROW()&lt;7,"",IF(OR(AD32="",AD29=""),"",IF(AD29=0,"",(AD32/AD29)-1)))</f>
        <v/>
      </c>
      <c r="AH32" s="23">
        <f>IF(ROW()&lt;9,"",IF(OR(AD32="",AD27=""),"",IF(AD27=0,"",(AD32/AD27)-1)))</f>
        <v/>
      </c>
      <c r="AJ32" s="23">
        <f>IF(OR(AE32="",AE31=""),"",IF(AE31=0,"",(AE32/AE31)-1))</f>
        <v/>
      </c>
      <c r="AK32" s="23">
        <f>IF(ROW()&lt;7,"",IF(OR(AE32="",AE29=""),"",IF(AE29=0,"",(AE32/AE29)-1)))</f>
        <v/>
      </c>
      <c r="AL32" s="23">
        <f>IF(ROW()&lt;9,"",IF(OR(AE32="",AE27=""),"",IF(AE27=0,"",(AE32/AE27)-1)))</f>
        <v/>
      </c>
      <c r="AN32">
        <f>IF(OR(AG32="",AH32=""),"",IF(AND(AG32&gt;0,AH32&gt;0),"Bull",IF(AND(AG32&lt;0,AH32&lt;0),"Bear","Mixed")))</f>
        <v/>
      </c>
      <c r="AO32">
        <f>IF(OR(AK32="",AL32=""),"",IF(AND(AK32&gt;0,AL32&gt;0),"Bull",IF(AND(AK32&lt;0,AL32&lt;0),"Bear","Mixed")))</f>
        <v/>
      </c>
      <c r="AP32">
        <f>IF(OR(AN32="",AO32=""),"",IF(AND(AN32="Bull",AO32="Bull"),"YES","NO"))</f>
        <v/>
      </c>
      <c r="AQ32">
        <f>IF(OR(AN32="",AO32=""),"",IF(AND(AN32="Bear",AO32="Bear"),"YES","NO"))</f>
        <v/>
      </c>
      <c r="AR32">
        <f>IF(AP32="YES",IF(SUM(N(X32),N(Y32),N(Z32))&gt;0,"SOXL","TQQQ"),IF(AQ32="YES",IF(SUM(N(AA32),N(AB32),N(AC32))&gt;0,"SOXS","SQQQ"),"WAIT"))</f>
        <v/>
      </c>
      <c r="AS32">
        <f>IF(AP32="YES",IF(SUM(N(X32),N(Y32),N(Z32))&gt;0,"TQQQ","SOXL"),IF(AQ32="YES",IF(SUM(N(AA32),N(AB32),N(AC32))&gt;0,"SQQQ","SOXS"),""))</f>
        <v/>
      </c>
      <c r="AT32" s="23">
        <f>IF(AR32="WAIT","",IF(AS32="",1,0.6))</f>
        <v/>
      </c>
      <c r="AU32" s="23">
        <f>IF(AS32="",0,0.4)</f>
        <v/>
      </c>
      <c r="AV32">
        <f>IF(AR32="WAIT","WAIT",IF(AP32="YES","BULL",IF(AQ32="YES","BEAR","WAIT")))</f>
        <v/>
      </c>
      <c r="AW32">
        <f>IF(AR32="WAIT","Low",IF(OR(AND(AV32="BULL",ABS(SUM(N(X32),N(Y32),N(Z32)))&gt;=0.15),AND(AV32="BEAR",ABS(SUM(N(AA32),N(AB32),N(AC32)))&gt;=0.15)),"Strong",IF(OR(AND(AV32="BULL",ABS(SUM(N(X32),N(Y32),N(Z32)))&gt;=0.05),AND(AV32="BEAR",ABS(SUM(N(AA32),N(AB32),N(AC32)))&gt;=0.05)),"Moderate","Low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13" t="n"/>
      <c r="AF33" s="23">
        <f>IF(OR(AD33="",AD32=""),"",IF(AD32=0,"",(AD33/AD32)-1))</f>
        <v/>
      </c>
      <c r="AG33" s="23">
        <f>IF(ROW()&lt;7,"",IF(OR(AD33="",AD30=""),"",IF(AD30=0,"",(AD33/AD30)-1)))</f>
        <v/>
      </c>
      <c r="AH33" s="23">
        <f>IF(ROW()&lt;9,"",IF(OR(AD33="",AD28=""),"",IF(AD28=0,"",(AD33/AD28)-1)))</f>
        <v/>
      </c>
      <c r="AJ33" s="23">
        <f>IF(OR(AE33="",AE32=""),"",IF(AE32=0,"",(AE33/AE32)-1))</f>
        <v/>
      </c>
      <c r="AK33" s="23">
        <f>IF(ROW()&lt;7,"",IF(OR(AE33="",AE30=""),"",IF(AE30=0,"",(AE33/AE30)-1)))</f>
        <v/>
      </c>
      <c r="AL33" s="23">
        <f>IF(ROW()&lt;9,"",IF(OR(AE33="",AE28=""),"",IF(AE28=0,"",(AE33/AE28)-1)))</f>
        <v/>
      </c>
      <c r="AN33">
        <f>IF(OR(AG33="",AH33=""),"",IF(AND(AG33&gt;0,AH33&gt;0),"Bull",IF(AND(AG33&lt;0,AH33&lt;0),"Bear","Mixed")))</f>
        <v/>
      </c>
      <c r="AO33">
        <f>IF(OR(AK33="",AL33=""),"",IF(AND(AK33&gt;0,AL33&gt;0),"Bull",IF(AND(AK33&lt;0,AL33&lt;0),"Bear","Mixed")))</f>
        <v/>
      </c>
      <c r="AP33">
        <f>IF(OR(AN33="",AO33=""),"",IF(AND(AN33="Bull",AO33="Bull"),"YES","NO"))</f>
        <v/>
      </c>
      <c r="AQ33">
        <f>IF(OR(AN33="",AO33=""),"",IF(AND(AN33="Bear",AO33="Bear"),"YES","NO"))</f>
        <v/>
      </c>
      <c r="AR33">
        <f>IF(AP33="YES",IF(SUM(N(X33),N(Y33),N(Z33))&gt;0,"SOXL","TQQQ"),IF(AQ33="YES",IF(SUM(N(AA33),N(AB33),N(AC33))&gt;0,"SOXS","SQQQ"),"WAIT"))</f>
        <v/>
      </c>
      <c r="AS33">
        <f>IF(AP33="YES",IF(SUM(N(X33),N(Y33),N(Z33))&gt;0,"TQQQ","SOXL"),IF(AQ33="YES",IF(SUM(N(AA33),N(AB33),N(AC33))&gt;0,"SQQQ","SOXS"),""))</f>
        <v/>
      </c>
      <c r="AT33" s="23">
        <f>IF(AR33="WAIT","",IF(AS33="",1,0.6))</f>
        <v/>
      </c>
      <c r="AU33" s="23">
        <f>IF(AS33="",0,0.4)</f>
        <v/>
      </c>
      <c r="AV33">
        <f>IF(AR33="WAIT","WAIT",IF(AP33="YES","BULL",IF(AQ33="YES","BEAR","WAIT")))</f>
        <v/>
      </c>
      <c r="AW33">
        <f>IF(AR33="WAIT","Low",IF(OR(AND(AV33="BULL",ABS(SUM(N(X33),N(Y33),N(Z33)))&gt;=0.15),AND(AV33="BEAR",ABS(SUM(N(AA33),N(AB33),N(AC33)))&gt;=0.15)),"Strong",IF(OR(AND(AV33="BULL",ABS(SUM(N(X33),N(Y33),N(Z33)))&gt;=0.05),AND(AV33="BEAR",ABS(SUM(N(AA33),N(AB33),N(AC33)))&gt;=0.05)),"Moderate","Low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13" t="n"/>
      <c r="AF34" s="23">
        <f>IF(OR(AD34="",AD33=""),"",IF(AD33=0,"",(AD34/AD33)-1))</f>
        <v/>
      </c>
      <c r="AG34" s="23">
        <f>IF(ROW()&lt;7,"",IF(OR(AD34="",AD31=""),"",IF(AD31=0,"",(AD34/AD31)-1)))</f>
        <v/>
      </c>
      <c r="AH34" s="23">
        <f>IF(ROW()&lt;9,"",IF(OR(AD34="",AD29=""),"",IF(AD29=0,"",(AD34/AD29)-1)))</f>
        <v/>
      </c>
      <c r="AJ34" s="23">
        <f>IF(OR(AE34="",AE33=""),"",IF(AE33=0,"",(AE34/AE33)-1))</f>
        <v/>
      </c>
      <c r="AK34" s="23">
        <f>IF(ROW()&lt;7,"",IF(OR(AE34="",AE31=""),"",IF(AE31=0,"",(AE34/AE31)-1)))</f>
        <v/>
      </c>
      <c r="AL34" s="23">
        <f>IF(ROW()&lt;9,"",IF(OR(AE34="",AE29=""),"",IF(AE29=0,"",(AE34/AE29)-1)))</f>
        <v/>
      </c>
      <c r="AN34">
        <f>IF(OR(AG34="",AH34=""),"",IF(AND(AG34&gt;0,AH34&gt;0),"Bull",IF(AND(AG34&lt;0,AH34&lt;0),"Bear","Mixed")))</f>
        <v/>
      </c>
      <c r="AO34">
        <f>IF(OR(AK34="",AL34=""),"",IF(AND(AK34&gt;0,AL34&gt;0),"Bull",IF(AND(AK34&lt;0,AL34&lt;0),"Bear","Mixed")))</f>
        <v/>
      </c>
      <c r="AP34">
        <f>IF(OR(AN34="",AO34=""),"",IF(AND(AN34="Bull",AO34="Bull"),"YES","NO"))</f>
        <v/>
      </c>
      <c r="AQ34">
        <f>IF(OR(AN34="",AO34=""),"",IF(AND(AN34="Bear",AO34="Bear"),"YES","NO"))</f>
        <v/>
      </c>
      <c r="AR34">
        <f>IF(AP34="YES",IF(SUM(N(X34),N(Y34),N(Z34))&gt;0,"SOXL","TQQQ"),IF(AQ34="YES",IF(SUM(N(AA34),N(AB34),N(AC34))&gt;0,"SOXS","SQQQ"),"WAIT"))</f>
        <v/>
      </c>
      <c r="AS34">
        <f>IF(AP34="YES",IF(SUM(N(X34),N(Y34),N(Z34))&gt;0,"TQQQ","SOXL"),IF(AQ34="YES",IF(SUM(N(AA34),N(AB34),N(AC34))&gt;0,"SQQQ","SOXS"),""))</f>
        <v/>
      </c>
      <c r="AT34" s="23">
        <f>IF(AR34="WAIT","",IF(AS34="",1,0.6))</f>
        <v/>
      </c>
      <c r="AU34" s="23">
        <f>IF(AS34="",0,0.4)</f>
        <v/>
      </c>
      <c r="AV34">
        <f>IF(AR34="WAIT","WAIT",IF(AP34="YES","BULL",IF(AQ34="YES","BEAR","WAIT")))</f>
        <v/>
      </c>
      <c r="AW34">
        <f>IF(AR34="WAIT","Low",IF(OR(AND(AV34="BULL",ABS(SUM(N(X34),N(Y34),N(Z34)))&gt;=0.15),AND(AV34="BEAR",ABS(SUM(N(AA34),N(AB34),N(AC34)))&gt;=0.15)),"Strong",IF(OR(AND(AV34="BULL",ABS(SUM(N(X34),N(Y34),N(Z34)))&gt;=0.05),AND(AV34="BEAR",ABS(SUM(N(AA34),N(AB34),N(AC34)))&gt;=0.05)),"Moderate","Low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13" t="n"/>
      <c r="AF35" s="23">
        <f>IF(OR(AD35="",AD34=""),"",IF(AD34=0,"",(AD35/AD34)-1))</f>
        <v/>
      </c>
      <c r="AG35" s="23">
        <f>IF(ROW()&lt;7,"",IF(OR(AD35="",AD32=""),"",IF(AD32=0,"",(AD35/AD32)-1)))</f>
        <v/>
      </c>
      <c r="AH35" s="23">
        <f>IF(ROW()&lt;9,"",IF(OR(AD35="",AD30=""),"",IF(AD30=0,"",(AD35/AD30)-1)))</f>
        <v/>
      </c>
      <c r="AJ35" s="23">
        <f>IF(OR(AE35="",AE34=""),"",IF(AE34=0,"",(AE35/AE34)-1))</f>
        <v/>
      </c>
      <c r="AK35" s="23">
        <f>IF(ROW()&lt;7,"",IF(OR(AE35="",AE32=""),"",IF(AE32=0,"",(AE35/AE32)-1)))</f>
        <v/>
      </c>
      <c r="AL35" s="23">
        <f>IF(ROW()&lt;9,"",IF(OR(AE35="",AE30=""),"",IF(AE30=0,"",(AE35/AE30)-1)))</f>
        <v/>
      </c>
      <c r="AN35">
        <f>IF(OR(AG35="",AH35=""),"",IF(AND(AG35&gt;0,AH35&gt;0),"Bull",IF(AND(AG35&lt;0,AH35&lt;0),"Bear","Mixed")))</f>
        <v/>
      </c>
      <c r="AO35">
        <f>IF(OR(AK35="",AL35=""),"",IF(AND(AK35&gt;0,AL35&gt;0),"Bull",IF(AND(AK35&lt;0,AL35&lt;0),"Bear","Mixed")))</f>
        <v/>
      </c>
      <c r="AP35">
        <f>IF(OR(AN35="",AO35=""),"",IF(AND(AN35="Bull",AO35="Bull"),"YES","NO"))</f>
        <v/>
      </c>
      <c r="AQ35">
        <f>IF(OR(AN35="",AO35=""),"",IF(AND(AN35="Bear",AO35="Bear"),"YES","NO"))</f>
        <v/>
      </c>
      <c r="AR35">
        <f>IF(AP35="YES",IF(SUM(N(X35),N(Y35),N(Z35))&gt;0,"SOXL","TQQQ"),IF(AQ35="YES",IF(SUM(N(AA35),N(AB35),N(AC35))&gt;0,"SOXS","SQQQ"),"WAIT"))</f>
        <v/>
      </c>
      <c r="AS35">
        <f>IF(AP35="YES",IF(SUM(N(X35),N(Y35),N(Z35))&gt;0,"TQQQ","SOXL"),IF(AQ35="YES",IF(SUM(N(AA35),N(AB35),N(AC35))&gt;0,"SQQQ","SOXS"),""))</f>
        <v/>
      </c>
      <c r="AT35" s="23">
        <f>IF(AR35="WAIT","",IF(AS35="",1,0.6))</f>
        <v/>
      </c>
      <c r="AU35" s="23">
        <f>IF(AS35="",0,0.4)</f>
        <v/>
      </c>
      <c r="AV35">
        <f>IF(AR35="WAIT","WAIT",IF(AP35="YES","BULL",IF(AQ35="YES","BEAR","WAIT")))</f>
        <v/>
      </c>
      <c r="AW35">
        <f>IF(AR35="WAIT","Low",IF(OR(AND(AV35="BULL",ABS(SUM(N(X35),N(Y35),N(Z35)))&gt;=0.15),AND(AV35="BEAR",ABS(SUM(N(AA35),N(AB35),N(AC35)))&gt;=0.15)),"Strong",IF(OR(AND(AV35="BULL",ABS(SUM(N(X35),N(Y35),N(Z35)))&gt;=0.05),AND(AV35="BEAR",ABS(SUM(N(AA35),N(AB35),N(AC35)))&gt;=0.05)),"Moderate","Low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13" t="n"/>
      <c r="AF36" s="23">
        <f>IF(OR(AD36="",AD35=""),"",IF(AD35=0,"",(AD36/AD35)-1))</f>
        <v/>
      </c>
      <c r="AG36" s="23">
        <f>IF(ROW()&lt;7,"",IF(OR(AD36="",AD33=""),"",IF(AD33=0,"",(AD36/AD33)-1)))</f>
        <v/>
      </c>
      <c r="AH36" s="23">
        <f>IF(ROW()&lt;9,"",IF(OR(AD36="",AD31=""),"",IF(AD31=0,"",(AD36/AD31)-1)))</f>
        <v/>
      </c>
      <c r="AJ36" s="23">
        <f>IF(OR(AE36="",AE35=""),"",IF(AE35=0,"",(AE36/AE35)-1))</f>
        <v/>
      </c>
      <c r="AK36" s="23">
        <f>IF(ROW()&lt;7,"",IF(OR(AE36="",AE33=""),"",IF(AE33=0,"",(AE36/AE33)-1)))</f>
        <v/>
      </c>
      <c r="AL36" s="23">
        <f>IF(ROW()&lt;9,"",IF(OR(AE36="",AE31=""),"",IF(AE31=0,"",(AE36/AE31)-1)))</f>
        <v/>
      </c>
      <c r="AN36">
        <f>IF(OR(AG36="",AH36=""),"",IF(AND(AG36&gt;0,AH36&gt;0),"Bull",IF(AND(AG36&lt;0,AH36&lt;0),"Bear","Mixed")))</f>
        <v/>
      </c>
      <c r="AO36">
        <f>IF(OR(AK36="",AL36=""),"",IF(AND(AK36&gt;0,AL36&gt;0),"Bull",IF(AND(AK36&lt;0,AL36&lt;0),"Bear","Mixed")))</f>
        <v/>
      </c>
      <c r="AP36">
        <f>IF(OR(AN36="",AO36=""),"",IF(AND(AN36="Bull",AO36="Bull"),"YES","NO"))</f>
        <v/>
      </c>
      <c r="AQ36">
        <f>IF(OR(AN36="",AO36=""),"",IF(AND(AN36="Bear",AO36="Bear"),"YES","NO"))</f>
        <v/>
      </c>
      <c r="AR36">
        <f>IF(AP36="YES",IF(SUM(N(X36),N(Y36),N(Z36))&gt;0,"SOXL","TQQQ"),IF(AQ36="YES",IF(SUM(N(AA36),N(AB36),N(AC36))&gt;0,"SOXS","SQQQ"),"WAIT"))</f>
        <v/>
      </c>
      <c r="AS36">
        <f>IF(AP36="YES",IF(SUM(N(X36),N(Y36),N(Z36))&gt;0,"TQQQ","SOXL"),IF(AQ36="YES",IF(SUM(N(AA36),N(AB36),N(AC36))&gt;0,"SQQQ","SOXS"),""))</f>
        <v/>
      </c>
      <c r="AT36" s="23">
        <f>IF(AR36="WAIT","",IF(AS36="",1,0.6))</f>
        <v/>
      </c>
      <c r="AU36" s="23">
        <f>IF(AS36="",0,0.4)</f>
        <v/>
      </c>
      <c r="AV36">
        <f>IF(AR36="WAIT","WAIT",IF(AP36="YES","BULL",IF(AQ36="YES","BEAR","WAIT")))</f>
        <v/>
      </c>
      <c r="AW36">
        <f>IF(AR36="WAIT","Low",IF(OR(AND(AV36="BULL",ABS(SUM(N(X36),N(Y36),N(Z36)))&gt;=0.15),AND(AV36="BEAR",ABS(SUM(N(AA36),N(AB36),N(AC36)))&gt;=0.15)),"Strong",IF(OR(AND(AV36="BULL",ABS(SUM(N(X36),N(Y36),N(Z36)))&gt;=0.05),AND(AV36="BEAR",ABS(SUM(N(AA36),N(AB36),N(AC36)))&gt;=0.05)),"Moderate","Low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13" t="n"/>
      <c r="AF37" s="23">
        <f>IF(OR(AD37="",AD36=""),"",IF(AD36=0,"",(AD37/AD36)-1))</f>
        <v/>
      </c>
      <c r="AG37" s="23">
        <f>IF(ROW()&lt;7,"",IF(OR(AD37="",AD34=""),"",IF(AD34=0,"",(AD37/AD34)-1)))</f>
        <v/>
      </c>
      <c r="AH37" s="23">
        <f>IF(ROW()&lt;9,"",IF(OR(AD37="",AD32=""),"",IF(AD32=0,"",(AD37/AD32)-1)))</f>
        <v/>
      </c>
      <c r="AJ37" s="23">
        <f>IF(OR(AE37="",AE36=""),"",IF(AE36=0,"",(AE37/AE36)-1))</f>
        <v/>
      </c>
      <c r="AK37" s="23">
        <f>IF(ROW()&lt;7,"",IF(OR(AE37="",AE34=""),"",IF(AE34=0,"",(AE37/AE34)-1)))</f>
        <v/>
      </c>
      <c r="AL37" s="23">
        <f>IF(ROW()&lt;9,"",IF(OR(AE37="",AE32=""),"",IF(AE32=0,"",(AE37/AE32)-1)))</f>
        <v/>
      </c>
      <c r="AN37">
        <f>IF(OR(AG37="",AH37=""),"",IF(AND(AG37&gt;0,AH37&gt;0),"Bull",IF(AND(AG37&lt;0,AH37&lt;0),"Bear","Mixed")))</f>
        <v/>
      </c>
      <c r="AO37">
        <f>IF(OR(AK37="",AL37=""),"",IF(AND(AK37&gt;0,AL37&gt;0),"Bull",IF(AND(AK37&lt;0,AL37&lt;0),"Bear","Mixed")))</f>
        <v/>
      </c>
      <c r="AP37">
        <f>IF(OR(AN37="",AO37=""),"",IF(AND(AN37="Bull",AO37="Bull"),"YES","NO"))</f>
        <v/>
      </c>
      <c r="AQ37">
        <f>IF(OR(AN37="",AO37=""),"",IF(AND(AN37="Bear",AO37="Bear"),"YES","NO"))</f>
        <v/>
      </c>
      <c r="AR37">
        <f>IF(AP37="YES",IF(SUM(N(X37),N(Y37),N(Z37))&gt;0,"SOXL","TQQQ"),IF(AQ37="YES",IF(SUM(N(AA37),N(AB37),N(AC37))&gt;0,"SOXS","SQQQ"),"WAIT"))</f>
        <v/>
      </c>
      <c r="AS37">
        <f>IF(AP37="YES",IF(SUM(N(X37),N(Y37),N(Z37))&gt;0,"TQQQ","SOXL"),IF(AQ37="YES",IF(SUM(N(AA37),N(AB37),N(AC37))&gt;0,"SQQQ","SOXS"),""))</f>
        <v/>
      </c>
      <c r="AT37" s="23">
        <f>IF(AR37="WAIT","",IF(AS37="",1,0.6))</f>
        <v/>
      </c>
      <c r="AU37" s="23">
        <f>IF(AS37="",0,0.4)</f>
        <v/>
      </c>
      <c r="AV37">
        <f>IF(AR37="WAIT","WAIT",IF(AP37="YES","BULL",IF(AQ37="YES","BEAR","WAIT")))</f>
        <v/>
      </c>
      <c r="AW37">
        <f>IF(AR37="WAIT","Low",IF(OR(AND(AV37="BULL",ABS(SUM(N(X37),N(Y37),N(Z37)))&gt;=0.15),AND(AV37="BEAR",ABS(SUM(N(AA37),N(AB37),N(AC37)))&gt;=0.15)),"Strong",IF(OR(AND(AV37="BULL",ABS(SUM(N(X37),N(Y37),N(Z37)))&gt;=0.05),AND(AV37="BEAR",ABS(SUM(N(AA37),N(AB37),N(AC37)))&gt;=0.05)),"Moderate","Low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13" t="n"/>
      <c r="AF38" s="23">
        <f>IF(OR(AD38="",AD37=""),"",IF(AD37=0,"",(AD38/AD37)-1))</f>
        <v/>
      </c>
      <c r="AG38" s="23">
        <f>IF(ROW()&lt;7,"",IF(OR(AD38="",AD35=""),"",IF(AD35=0,"",(AD38/AD35)-1)))</f>
        <v/>
      </c>
      <c r="AH38" s="23">
        <f>IF(ROW()&lt;9,"",IF(OR(AD38="",AD33=""),"",IF(AD33=0,"",(AD38/AD33)-1)))</f>
        <v/>
      </c>
      <c r="AJ38" s="23">
        <f>IF(OR(AE38="",AE37=""),"",IF(AE37=0,"",(AE38/AE37)-1))</f>
        <v/>
      </c>
      <c r="AK38" s="23">
        <f>IF(ROW()&lt;7,"",IF(OR(AE38="",AE35=""),"",IF(AE35=0,"",(AE38/AE35)-1)))</f>
        <v/>
      </c>
      <c r="AL38" s="23">
        <f>IF(ROW()&lt;9,"",IF(OR(AE38="",AE33=""),"",IF(AE33=0,"",(AE38/AE33)-1)))</f>
        <v/>
      </c>
      <c r="AN38">
        <f>IF(OR(AG38="",AH38=""),"",IF(AND(AG38&gt;0,AH38&gt;0),"Bull",IF(AND(AG38&lt;0,AH38&lt;0),"Bear","Mixed")))</f>
        <v/>
      </c>
      <c r="AO38">
        <f>IF(OR(AK38="",AL38=""),"",IF(AND(AK38&gt;0,AL38&gt;0),"Bull",IF(AND(AK38&lt;0,AL38&lt;0),"Bear","Mixed")))</f>
        <v/>
      </c>
      <c r="AP38">
        <f>IF(OR(AN38="",AO38=""),"",IF(AND(AN38="Bull",AO38="Bull"),"YES","NO"))</f>
        <v/>
      </c>
      <c r="AQ38">
        <f>IF(OR(AN38="",AO38=""),"",IF(AND(AN38="Bear",AO38="Bear"),"YES","NO"))</f>
        <v/>
      </c>
      <c r="AR38">
        <f>IF(AP38="YES",IF(SUM(N(X38),N(Y38),N(Z38))&gt;0,"SOXL","TQQQ"),IF(AQ38="YES",IF(SUM(N(AA38),N(AB38),N(AC38))&gt;0,"SOXS","SQQQ"),"WAIT"))</f>
        <v/>
      </c>
      <c r="AS38">
        <f>IF(AP38="YES",IF(SUM(N(X38),N(Y38),N(Z38))&gt;0,"TQQQ","SOXL"),IF(AQ38="YES",IF(SUM(N(AA38),N(AB38),N(AC38))&gt;0,"SQQQ","SOXS"),""))</f>
        <v/>
      </c>
      <c r="AT38" s="23">
        <f>IF(AR38="WAIT","",IF(AS38="",1,0.6))</f>
        <v/>
      </c>
      <c r="AU38" s="23">
        <f>IF(AS38="",0,0.4)</f>
        <v/>
      </c>
      <c r="AV38">
        <f>IF(AR38="WAIT","WAIT",IF(AP38="YES","BULL",IF(AQ38="YES","BEAR","WAIT")))</f>
        <v/>
      </c>
      <c r="AW38">
        <f>IF(AR38="WAIT","Low",IF(OR(AND(AV38="BULL",ABS(SUM(N(X38),N(Y38),N(Z38)))&gt;=0.15),AND(AV38="BEAR",ABS(SUM(N(AA38),N(AB38),N(AC38)))&gt;=0.15)),"Strong",IF(OR(AND(AV38="BULL",ABS(SUM(N(X38),N(Y38),N(Z38)))&gt;=0.05),AND(AV38="BEAR",ABS(SUM(N(AA38),N(AB38),N(AC38)))&gt;=0.05)),"Moderate","Low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13" t="n"/>
      <c r="AF39" s="23">
        <f>IF(OR(AD39="",AD38=""),"",IF(AD38=0,"",(AD39/AD38)-1))</f>
        <v/>
      </c>
      <c r="AG39" s="23">
        <f>IF(ROW()&lt;7,"",IF(OR(AD39="",AD36=""),"",IF(AD36=0,"",(AD39/AD36)-1)))</f>
        <v/>
      </c>
      <c r="AH39" s="23">
        <f>IF(ROW()&lt;9,"",IF(OR(AD39="",AD34=""),"",IF(AD34=0,"",(AD39/AD34)-1)))</f>
        <v/>
      </c>
      <c r="AJ39" s="23">
        <f>IF(OR(AE39="",AE38=""),"",IF(AE38=0,"",(AE39/AE38)-1))</f>
        <v/>
      </c>
      <c r="AK39" s="23">
        <f>IF(ROW()&lt;7,"",IF(OR(AE39="",AE36=""),"",IF(AE36=0,"",(AE39/AE36)-1)))</f>
        <v/>
      </c>
      <c r="AL39" s="23">
        <f>IF(ROW()&lt;9,"",IF(OR(AE39="",AE34=""),"",IF(AE34=0,"",(AE39/AE34)-1)))</f>
        <v/>
      </c>
      <c r="AN39">
        <f>IF(OR(AG39="",AH39=""),"",IF(AND(AG39&gt;0,AH39&gt;0),"Bull",IF(AND(AG39&lt;0,AH39&lt;0),"Bear","Mixed")))</f>
        <v/>
      </c>
      <c r="AO39">
        <f>IF(OR(AK39="",AL39=""),"",IF(AND(AK39&gt;0,AL39&gt;0),"Bull",IF(AND(AK39&lt;0,AL39&lt;0),"Bear","Mixed")))</f>
        <v/>
      </c>
      <c r="AP39">
        <f>IF(OR(AN39="",AO39=""),"",IF(AND(AN39="Bull",AO39="Bull"),"YES","NO"))</f>
        <v/>
      </c>
      <c r="AQ39">
        <f>IF(OR(AN39="",AO39=""),"",IF(AND(AN39="Bear",AO39="Bear"),"YES","NO"))</f>
        <v/>
      </c>
      <c r="AR39">
        <f>IF(AP39="YES",IF(SUM(N(X39),N(Y39),N(Z39))&gt;0,"SOXL","TQQQ"),IF(AQ39="YES",IF(SUM(N(AA39),N(AB39),N(AC39))&gt;0,"SOXS","SQQQ"),"WAIT"))</f>
        <v/>
      </c>
      <c r="AS39">
        <f>IF(AP39="YES",IF(SUM(N(X39),N(Y39),N(Z39))&gt;0,"TQQQ","SOXL"),IF(AQ39="YES",IF(SUM(N(AA39),N(AB39),N(AC39))&gt;0,"SQQQ","SOXS"),""))</f>
        <v/>
      </c>
      <c r="AT39" s="23">
        <f>IF(AR39="WAIT","",IF(AS39="",1,0.6))</f>
        <v/>
      </c>
      <c r="AU39" s="23">
        <f>IF(AS39="",0,0.4)</f>
        <v/>
      </c>
      <c r="AV39">
        <f>IF(AR39="WAIT","WAIT",IF(AP39="YES","BULL",IF(AQ39="YES","BEAR","WAIT")))</f>
        <v/>
      </c>
      <c r="AW39">
        <f>IF(AR39="WAIT","Low",IF(OR(AND(AV39="BULL",ABS(SUM(N(X39),N(Y39),N(Z39)))&gt;=0.15),AND(AV39="BEAR",ABS(SUM(N(AA39),N(AB39),N(AC39)))&gt;=0.15)),"Strong",IF(OR(AND(AV39="BULL",ABS(SUM(N(X39),N(Y39),N(Z39)))&gt;=0.05),AND(AV39="BEAR",ABS(SUM(N(AA39),N(AB39),N(AC39)))&gt;=0.05)),"Moderate","Low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13" t="n"/>
      <c r="AF40" s="23">
        <f>IF(OR(AD40="",AD39=""),"",IF(AD39=0,"",(AD40/AD39)-1))</f>
        <v/>
      </c>
      <c r="AG40" s="23">
        <f>IF(ROW()&lt;7,"",IF(OR(AD40="",AD37=""),"",IF(AD37=0,"",(AD40/AD37)-1)))</f>
        <v/>
      </c>
      <c r="AH40" s="23">
        <f>IF(ROW()&lt;9,"",IF(OR(AD40="",AD35=""),"",IF(AD35=0,"",(AD40/AD35)-1)))</f>
        <v/>
      </c>
      <c r="AJ40" s="23">
        <f>IF(OR(AE40="",AE39=""),"",IF(AE39=0,"",(AE40/AE39)-1))</f>
        <v/>
      </c>
      <c r="AK40" s="23">
        <f>IF(ROW()&lt;7,"",IF(OR(AE40="",AE37=""),"",IF(AE37=0,"",(AE40/AE37)-1)))</f>
        <v/>
      </c>
      <c r="AL40" s="23">
        <f>IF(ROW()&lt;9,"",IF(OR(AE40="",AE35=""),"",IF(AE35=0,"",(AE40/AE35)-1)))</f>
        <v/>
      </c>
      <c r="AN40">
        <f>IF(OR(AG40="",AH40=""),"",IF(AND(AG40&gt;0,AH40&gt;0),"Bull",IF(AND(AG40&lt;0,AH40&lt;0),"Bear","Mixed")))</f>
        <v/>
      </c>
      <c r="AO40">
        <f>IF(OR(AK40="",AL40=""),"",IF(AND(AK40&gt;0,AL40&gt;0),"Bull",IF(AND(AK40&lt;0,AL40&lt;0),"Bear","Mixed")))</f>
        <v/>
      </c>
      <c r="AP40">
        <f>IF(OR(AN40="",AO40=""),"",IF(AND(AN40="Bull",AO40="Bull"),"YES","NO"))</f>
        <v/>
      </c>
      <c r="AQ40">
        <f>IF(OR(AN40="",AO40=""),"",IF(AND(AN40="Bear",AO40="Bear"),"YES","NO"))</f>
        <v/>
      </c>
      <c r="AR40">
        <f>IF(AP40="YES",IF(SUM(N(X40),N(Y40),N(Z40))&gt;0,"SOXL","TQQQ"),IF(AQ40="YES",IF(SUM(N(AA40),N(AB40),N(AC40))&gt;0,"SOXS","SQQQ"),"WAIT"))</f>
        <v/>
      </c>
      <c r="AS40">
        <f>IF(AP40="YES",IF(SUM(N(X40),N(Y40),N(Z40))&gt;0,"TQQQ","SOXL"),IF(AQ40="YES",IF(SUM(N(AA40),N(AB40),N(AC40))&gt;0,"SQQQ","SOXS"),""))</f>
        <v/>
      </c>
      <c r="AT40" s="23">
        <f>IF(AR40="WAIT","",IF(AS40="",1,0.6))</f>
        <v/>
      </c>
      <c r="AU40" s="23">
        <f>IF(AS40="",0,0.4)</f>
        <v/>
      </c>
      <c r="AV40">
        <f>IF(AR40="WAIT","WAIT",IF(AP40="YES","BULL",IF(AQ40="YES","BEAR","WAIT")))</f>
        <v/>
      </c>
      <c r="AW40">
        <f>IF(AR40="WAIT","Low",IF(OR(AND(AV40="BULL",ABS(SUM(N(X40),N(Y40),N(Z40)))&gt;=0.15),AND(AV40="BEAR",ABS(SUM(N(AA40),N(AB40),N(AC40)))&gt;=0.15)),"Strong",IF(OR(AND(AV40="BULL",ABS(SUM(N(X40),N(Y40),N(Z40)))&gt;=0.05),AND(AV40="BEAR",ABS(SUM(N(AA40),N(AB40),N(AC40)))&gt;=0.05)),"Moderate","Low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13" t="n"/>
      <c r="AF41" s="23">
        <f>IF(OR(AD41="",AD40=""),"",IF(AD40=0,"",(AD41/AD40)-1))</f>
        <v/>
      </c>
      <c r="AG41" s="23">
        <f>IF(ROW()&lt;7,"",IF(OR(AD41="",AD38=""),"",IF(AD38=0,"",(AD41/AD38)-1)))</f>
        <v/>
      </c>
      <c r="AH41" s="23">
        <f>IF(ROW()&lt;9,"",IF(OR(AD41="",AD36=""),"",IF(AD36=0,"",(AD41/AD36)-1)))</f>
        <v/>
      </c>
      <c r="AJ41" s="23">
        <f>IF(OR(AE41="",AE40=""),"",IF(AE40=0,"",(AE41/AE40)-1))</f>
        <v/>
      </c>
      <c r="AK41" s="23">
        <f>IF(ROW()&lt;7,"",IF(OR(AE41="",AE38=""),"",IF(AE38=0,"",(AE41/AE38)-1)))</f>
        <v/>
      </c>
      <c r="AL41" s="23">
        <f>IF(ROW()&lt;9,"",IF(OR(AE41="",AE36=""),"",IF(AE36=0,"",(AE41/AE36)-1)))</f>
        <v/>
      </c>
      <c r="AN41">
        <f>IF(OR(AG41="",AH41=""),"",IF(AND(AG41&gt;0,AH41&gt;0),"Bull",IF(AND(AG41&lt;0,AH41&lt;0),"Bear","Mixed")))</f>
        <v/>
      </c>
      <c r="AO41">
        <f>IF(OR(AK41="",AL41=""),"",IF(AND(AK41&gt;0,AL41&gt;0),"Bull",IF(AND(AK41&lt;0,AL41&lt;0),"Bear","Mixed")))</f>
        <v/>
      </c>
      <c r="AP41">
        <f>IF(OR(AN41="",AO41=""),"",IF(AND(AN41="Bull",AO41="Bull"),"YES","NO"))</f>
        <v/>
      </c>
      <c r="AQ41">
        <f>IF(OR(AN41="",AO41=""),"",IF(AND(AN41="Bear",AO41="Bear"),"YES","NO"))</f>
        <v/>
      </c>
      <c r="AR41">
        <f>IF(AP41="YES",IF(SUM(N(X41),N(Y41),N(Z41))&gt;0,"SOXL","TQQQ"),IF(AQ41="YES",IF(SUM(N(AA41),N(AB41),N(AC41))&gt;0,"SOXS","SQQQ"),"WAIT"))</f>
        <v/>
      </c>
      <c r="AS41">
        <f>IF(AP41="YES",IF(SUM(N(X41),N(Y41),N(Z41))&gt;0,"TQQQ","SOXL"),IF(AQ41="YES",IF(SUM(N(AA41),N(AB41),N(AC41))&gt;0,"SQQQ","SOXS"),""))</f>
        <v/>
      </c>
      <c r="AT41" s="23">
        <f>IF(AR41="WAIT","",IF(AS41="",1,0.6))</f>
        <v/>
      </c>
      <c r="AU41" s="23">
        <f>IF(AS41="",0,0.4)</f>
        <v/>
      </c>
      <c r="AV41">
        <f>IF(AR41="WAIT","WAIT",IF(AP41="YES","BULL",IF(AQ41="YES","BEAR","WAIT")))</f>
        <v/>
      </c>
      <c r="AW41">
        <f>IF(AR41="WAIT","Low",IF(OR(AND(AV41="BULL",ABS(SUM(N(X41),N(Y41),N(Z41)))&gt;=0.15),AND(AV41="BEAR",ABS(SUM(N(AA41),N(AB41),N(AC41)))&gt;=0.15)),"Strong",IF(OR(AND(AV41="BULL",ABS(SUM(N(X41),N(Y41),N(Z41)))&gt;=0.05),AND(AV41="BEAR",ABS(SUM(N(AA41),N(AB41),N(AC41)))&gt;=0.05)),"Moderate","Low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13" t="n"/>
      <c r="AF42" s="23">
        <f>IF(OR(AD42="",AD41=""),"",IF(AD41=0,"",(AD42/AD41)-1))</f>
        <v/>
      </c>
      <c r="AG42" s="23">
        <f>IF(ROW()&lt;7,"",IF(OR(AD42="",AD39=""),"",IF(AD39=0,"",(AD42/AD39)-1)))</f>
        <v/>
      </c>
      <c r="AH42" s="23">
        <f>IF(ROW()&lt;9,"",IF(OR(AD42="",AD37=""),"",IF(AD37=0,"",(AD42/AD37)-1)))</f>
        <v/>
      </c>
      <c r="AJ42" s="23">
        <f>IF(OR(AE42="",AE41=""),"",IF(AE41=0,"",(AE42/AE41)-1))</f>
        <v/>
      </c>
      <c r="AK42" s="23">
        <f>IF(ROW()&lt;7,"",IF(OR(AE42="",AE39=""),"",IF(AE39=0,"",(AE42/AE39)-1)))</f>
        <v/>
      </c>
      <c r="AL42" s="23">
        <f>IF(ROW()&lt;9,"",IF(OR(AE42="",AE37=""),"",IF(AE37=0,"",(AE42/AE37)-1)))</f>
        <v/>
      </c>
      <c r="AN42">
        <f>IF(OR(AG42="",AH42=""),"",IF(AND(AG42&gt;0,AH42&gt;0),"Bull",IF(AND(AG42&lt;0,AH42&lt;0),"Bear","Mixed")))</f>
        <v/>
      </c>
      <c r="AO42">
        <f>IF(OR(AK42="",AL42=""),"",IF(AND(AK42&gt;0,AL42&gt;0),"Bull",IF(AND(AK42&lt;0,AL42&lt;0),"Bear","Mixed")))</f>
        <v/>
      </c>
      <c r="AP42">
        <f>IF(OR(AN42="",AO42=""),"",IF(AND(AN42="Bull",AO42="Bull"),"YES","NO"))</f>
        <v/>
      </c>
      <c r="AQ42">
        <f>IF(OR(AN42="",AO42=""),"",IF(AND(AN42="Bear",AO42="Bear"),"YES","NO"))</f>
        <v/>
      </c>
      <c r="AR42">
        <f>IF(AP42="YES",IF(SUM(N(X42),N(Y42),N(Z42))&gt;0,"SOXL","TQQQ"),IF(AQ42="YES",IF(SUM(N(AA42),N(AB42),N(AC42))&gt;0,"SOXS","SQQQ"),"WAIT"))</f>
        <v/>
      </c>
      <c r="AS42">
        <f>IF(AP42="YES",IF(SUM(N(X42),N(Y42),N(Z42))&gt;0,"TQQQ","SOXL"),IF(AQ42="YES",IF(SUM(N(AA42),N(AB42),N(AC42))&gt;0,"SQQQ","SOXS"),""))</f>
        <v/>
      </c>
      <c r="AT42" s="23">
        <f>IF(AR42="WAIT","",IF(AS42="",1,0.6))</f>
        <v/>
      </c>
      <c r="AU42" s="23">
        <f>IF(AS42="",0,0.4)</f>
        <v/>
      </c>
      <c r="AV42">
        <f>IF(AR42="WAIT","WAIT",IF(AP42="YES","BULL",IF(AQ42="YES","BEAR","WAIT")))</f>
        <v/>
      </c>
      <c r="AW42">
        <f>IF(AR42="WAIT","Low",IF(OR(AND(AV42="BULL",ABS(SUM(N(X42),N(Y42),N(Z42)))&gt;=0.15),AND(AV42="BEAR",ABS(SUM(N(AA42),N(AB42),N(AC42)))&gt;=0.15)),"Strong",IF(OR(AND(AV42="BULL",ABS(SUM(N(X42),N(Y42),N(Z42)))&gt;=0.05),AND(AV42="BEAR",ABS(SUM(N(AA42),N(AB42),N(AC42)))&gt;=0.05)),"Moderate","Low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13" t="n"/>
      <c r="AF43" s="23">
        <f>IF(OR(AD43="",AD42=""),"",IF(AD42=0,"",(AD43/AD42)-1))</f>
        <v/>
      </c>
      <c r="AG43" s="23">
        <f>IF(ROW()&lt;7,"",IF(OR(AD43="",AD40=""),"",IF(AD40=0,"",(AD43/AD40)-1)))</f>
        <v/>
      </c>
      <c r="AH43" s="23">
        <f>IF(ROW()&lt;9,"",IF(OR(AD43="",AD38=""),"",IF(AD38=0,"",(AD43/AD38)-1)))</f>
        <v/>
      </c>
      <c r="AJ43" s="23">
        <f>IF(OR(AE43="",AE42=""),"",IF(AE42=0,"",(AE43/AE42)-1))</f>
        <v/>
      </c>
      <c r="AK43" s="23">
        <f>IF(ROW()&lt;7,"",IF(OR(AE43="",AE40=""),"",IF(AE40=0,"",(AE43/AE40)-1)))</f>
        <v/>
      </c>
      <c r="AL43" s="23">
        <f>IF(ROW()&lt;9,"",IF(OR(AE43="",AE38=""),"",IF(AE38=0,"",(AE43/AE38)-1)))</f>
        <v/>
      </c>
      <c r="AN43">
        <f>IF(OR(AG43="",AH43=""),"",IF(AND(AG43&gt;0,AH43&gt;0),"Bull",IF(AND(AG43&lt;0,AH43&lt;0),"Bear","Mixed")))</f>
        <v/>
      </c>
      <c r="AO43">
        <f>IF(OR(AK43="",AL43=""),"",IF(AND(AK43&gt;0,AL43&gt;0),"Bull",IF(AND(AK43&lt;0,AL43&lt;0),"Bear","Mixed")))</f>
        <v/>
      </c>
      <c r="AP43">
        <f>IF(OR(AN43="",AO43=""),"",IF(AND(AN43="Bull",AO43="Bull"),"YES","NO"))</f>
        <v/>
      </c>
      <c r="AQ43">
        <f>IF(OR(AN43="",AO43=""),"",IF(AND(AN43="Bear",AO43="Bear"),"YES","NO"))</f>
        <v/>
      </c>
      <c r="AR43">
        <f>IF(AP43="YES",IF(SUM(N(X43),N(Y43),N(Z43))&gt;0,"SOXL","TQQQ"),IF(AQ43="YES",IF(SUM(N(AA43),N(AB43),N(AC43))&gt;0,"SOXS","SQQQ"),"WAIT"))</f>
        <v/>
      </c>
      <c r="AS43">
        <f>IF(AP43="YES",IF(SUM(N(X43),N(Y43),N(Z43))&gt;0,"TQQQ","SOXL"),IF(AQ43="YES",IF(SUM(N(AA43),N(AB43),N(AC43))&gt;0,"SQQQ","SOXS"),""))</f>
        <v/>
      </c>
      <c r="AT43" s="23">
        <f>IF(AR43="WAIT","",IF(AS43="",1,0.6))</f>
        <v/>
      </c>
      <c r="AU43" s="23">
        <f>IF(AS43="",0,0.4)</f>
        <v/>
      </c>
      <c r="AV43">
        <f>IF(AR43="WAIT","WAIT",IF(AP43="YES","BULL",IF(AQ43="YES","BEAR","WAIT")))</f>
        <v/>
      </c>
      <c r="AW43">
        <f>IF(AR43="WAIT","Low",IF(OR(AND(AV43="BULL",ABS(SUM(N(X43),N(Y43),N(Z43)))&gt;=0.15),AND(AV43="BEAR",ABS(SUM(N(AA43),N(AB43),N(AC43)))&gt;=0.15)),"Strong",IF(OR(AND(AV43="BULL",ABS(SUM(N(X43),N(Y43),N(Z43)))&gt;=0.05),AND(AV43="BEAR",ABS(SUM(N(AA43),N(AB43),N(AC43)))&gt;=0.05)),"Moderate","Low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13" t="n"/>
      <c r="AF44" s="23">
        <f>IF(OR(AD44="",AD43=""),"",IF(AD43=0,"",(AD44/AD43)-1))</f>
        <v/>
      </c>
      <c r="AG44" s="23">
        <f>IF(ROW()&lt;7,"",IF(OR(AD44="",AD41=""),"",IF(AD41=0,"",(AD44/AD41)-1)))</f>
        <v/>
      </c>
      <c r="AH44" s="23">
        <f>IF(ROW()&lt;9,"",IF(OR(AD44="",AD39=""),"",IF(AD39=0,"",(AD44/AD39)-1)))</f>
        <v/>
      </c>
      <c r="AJ44" s="23">
        <f>IF(OR(AE44="",AE43=""),"",IF(AE43=0,"",(AE44/AE43)-1))</f>
        <v/>
      </c>
      <c r="AK44" s="23">
        <f>IF(ROW()&lt;7,"",IF(OR(AE44="",AE41=""),"",IF(AE41=0,"",(AE44/AE41)-1)))</f>
        <v/>
      </c>
      <c r="AL44" s="23">
        <f>IF(ROW()&lt;9,"",IF(OR(AE44="",AE39=""),"",IF(AE39=0,"",(AE44/AE39)-1)))</f>
        <v/>
      </c>
      <c r="AN44">
        <f>IF(OR(AG44="",AH44=""),"",IF(AND(AG44&gt;0,AH44&gt;0),"Bull",IF(AND(AG44&lt;0,AH44&lt;0),"Bear","Mixed")))</f>
        <v/>
      </c>
      <c r="AO44">
        <f>IF(OR(AK44="",AL44=""),"",IF(AND(AK44&gt;0,AL44&gt;0),"Bull",IF(AND(AK44&lt;0,AL44&lt;0),"Bear","Mixed")))</f>
        <v/>
      </c>
      <c r="AP44">
        <f>IF(OR(AN44="",AO44=""),"",IF(AND(AN44="Bull",AO44="Bull"),"YES","NO"))</f>
        <v/>
      </c>
      <c r="AQ44">
        <f>IF(OR(AN44="",AO44=""),"",IF(AND(AN44="Bear",AO44="Bear"),"YES","NO"))</f>
        <v/>
      </c>
      <c r="AR44">
        <f>IF(AP44="YES",IF(SUM(N(X44),N(Y44),N(Z44))&gt;0,"SOXL","TQQQ"),IF(AQ44="YES",IF(SUM(N(AA44),N(AB44),N(AC44))&gt;0,"SOXS","SQQQ"),"WAIT"))</f>
        <v/>
      </c>
      <c r="AS44">
        <f>IF(AP44="YES",IF(SUM(N(X44),N(Y44),N(Z44))&gt;0,"TQQQ","SOXL"),IF(AQ44="YES",IF(SUM(N(AA44),N(AB44),N(AC44))&gt;0,"SQQQ","SOXS"),""))</f>
        <v/>
      </c>
      <c r="AT44" s="23">
        <f>IF(AR44="WAIT","",IF(AS44="",1,0.6))</f>
        <v/>
      </c>
      <c r="AU44" s="23">
        <f>IF(AS44="",0,0.4)</f>
        <v/>
      </c>
      <c r="AV44">
        <f>IF(AR44="WAIT","WAIT",IF(AP44="YES","BULL",IF(AQ44="YES","BEAR","WAIT")))</f>
        <v/>
      </c>
      <c r="AW44">
        <f>IF(AR44="WAIT","Low",IF(OR(AND(AV44="BULL",ABS(SUM(N(X44),N(Y44),N(Z44)))&gt;=0.15),AND(AV44="BEAR",ABS(SUM(N(AA44),N(AB44),N(AC44)))&gt;=0.15)),"Strong",IF(OR(AND(AV44="BULL",ABS(SUM(N(X44),N(Y44),N(Z44)))&gt;=0.05),AND(AV44="BEAR",ABS(SUM(N(AA44),N(AB44),N(AC44)))&gt;=0.05)),"Moderate","Low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13" t="n"/>
      <c r="AF45" s="23">
        <f>IF(OR(AD45="",AD44=""),"",IF(AD44=0,"",(AD45/AD44)-1))</f>
        <v/>
      </c>
      <c r="AG45" s="23">
        <f>IF(ROW()&lt;7,"",IF(OR(AD45="",AD42=""),"",IF(AD42=0,"",(AD45/AD42)-1)))</f>
        <v/>
      </c>
      <c r="AH45" s="23">
        <f>IF(ROW()&lt;9,"",IF(OR(AD45="",AD40=""),"",IF(AD40=0,"",(AD45/AD40)-1)))</f>
        <v/>
      </c>
      <c r="AJ45" s="23">
        <f>IF(OR(AE45="",AE44=""),"",IF(AE44=0,"",(AE45/AE44)-1))</f>
        <v/>
      </c>
      <c r="AK45" s="23">
        <f>IF(ROW()&lt;7,"",IF(OR(AE45="",AE42=""),"",IF(AE42=0,"",(AE45/AE42)-1)))</f>
        <v/>
      </c>
      <c r="AL45" s="23">
        <f>IF(ROW()&lt;9,"",IF(OR(AE45="",AE40=""),"",IF(AE40=0,"",(AE45/AE40)-1)))</f>
        <v/>
      </c>
      <c r="AN45">
        <f>IF(OR(AG45="",AH45=""),"",IF(AND(AG45&gt;0,AH45&gt;0),"Bull",IF(AND(AG45&lt;0,AH45&lt;0),"Bear","Mixed")))</f>
        <v/>
      </c>
      <c r="AO45">
        <f>IF(OR(AK45="",AL45=""),"",IF(AND(AK45&gt;0,AL45&gt;0),"Bull",IF(AND(AK45&lt;0,AL45&lt;0),"Bear","Mixed")))</f>
        <v/>
      </c>
      <c r="AP45">
        <f>IF(OR(AN45="",AO45=""),"",IF(AND(AN45="Bull",AO45="Bull"),"YES","NO"))</f>
        <v/>
      </c>
      <c r="AQ45">
        <f>IF(OR(AN45="",AO45=""),"",IF(AND(AN45="Bear",AO45="Bear"),"YES","NO"))</f>
        <v/>
      </c>
      <c r="AR45">
        <f>IF(AP45="YES",IF(SUM(N(X45),N(Y45),N(Z45))&gt;0,"SOXL","TQQQ"),IF(AQ45="YES",IF(SUM(N(AA45),N(AB45),N(AC45))&gt;0,"SOXS","SQQQ"),"WAIT"))</f>
        <v/>
      </c>
      <c r="AS45">
        <f>IF(AP45="YES",IF(SUM(N(X45),N(Y45),N(Z45))&gt;0,"TQQQ","SOXL"),IF(AQ45="YES",IF(SUM(N(AA45),N(AB45),N(AC45))&gt;0,"SQQQ","SOXS"),""))</f>
        <v/>
      </c>
      <c r="AT45" s="23">
        <f>IF(AR45="WAIT","",IF(AS45="",1,0.6))</f>
        <v/>
      </c>
      <c r="AU45" s="23">
        <f>IF(AS45="",0,0.4)</f>
        <v/>
      </c>
      <c r="AV45">
        <f>IF(AR45="WAIT","WAIT",IF(AP45="YES","BULL",IF(AQ45="YES","BEAR","WAIT")))</f>
        <v/>
      </c>
      <c r="AW45">
        <f>IF(AR45="WAIT","Low",IF(OR(AND(AV45="BULL",ABS(SUM(N(X45),N(Y45),N(Z45)))&gt;=0.15),AND(AV45="BEAR",ABS(SUM(N(AA45),N(AB45),N(AC45)))&gt;=0.15)),"Strong",IF(OR(AND(AV45="BULL",ABS(SUM(N(X45),N(Y45),N(Z45)))&gt;=0.05),AND(AV45="BEAR",ABS(SUM(N(AA45),N(AB45),N(AC45)))&gt;=0.05)),"Moderate","Low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13" t="n"/>
      <c r="AF46" s="23">
        <f>IF(OR(AD46="",AD45=""),"",IF(AD45=0,"",(AD46/AD45)-1))</f>
        <v/>
      </c>
      <c r="AG46" s="23">
        <f>IF(ROW()&lt;7,"",IF(OR(AD46="",AD43=""),"",IF(AD43=0,"",(AD46/AD43)-1)))</f>
        <v/>
      </c>
      <c r="AH46" s="23">
        <f>IF(ROW()&lt;9,"",IF(OR(AD46="",AD41=""),"",IF(AD41=0,"",(AD46/AD41)-1)))</f>
        <v/>
      </c>
      <c r="AJ46" s="23">
        <f>IF(OR(AE46="",AE45=""),"",IF(AE45=0,"",(AE46/AE45)-1))</f>
        <v/>
      </c>
      <c r="AK46" s="23">
        <f>IF(ROW()&lt;7,"",IF(OR(AE46="",AE43=""),"",IF(AE43=0,"",(AE46/AE43)-1)))</f>
        <v/>
      </c>
      <c r="AL46" s="23">
        <f>IF(ROW()&lt;9,"",IF(OR(AE46="",AE41=""),"",IF(AE41=0,"",(AE46/AE41)-1)))</f>
        <v/>
      </c>
      <c r="AN46">
        <f>IF(OR(AG46="",AH46=""),"",IF(AND(AG46&gt;0,AH46&gt;0),"Bull",IF(AND(AG46&lt;0,AH46&lt;0),"Bear","Mixed")))</f>
        <v/>
      </c>
      <c r="AO46">
        <f>IF(OR(AK46="",AL46=""),"",IF(AND(AK46&gt;0,AL46&gt;0),"Bull",IF(AND(AK46&lt;0,AL46&lt;0),"Bear","Mixed")))</f>
        <v/>
      </c>
      <c r="AP46">
        <f>IF(OR(AN46="",AO46=""),"",IF(AND(AN46="Bull",AO46="Bull"),"YES","NO"))</f>
        <v/>
      </c>
      <c r="AQ46">
        <f>IF(OR(AN46="",AO46=""),"",IF(AND(AN46="Bear",AO46="Bear"),"YES","NO"))</f>
        <v/>
      </c>
      <c r="AR46">
        <f>IF(AP46="YES",IF(SUM(N(X46),N(Y46),N(Z46))&gt;0,"SOXL","TQQQ"),IF(AQ46="YES",IF(SUM(N(AA46),N(AB46),N(AC46))&gt;0,"SOXS","SQQQ"),"WAIT"))</f>
        <v/>
      </c>
      <c r="AS46">
        <f>IF(AP46="YES",IF(SUM(N(X46),N(Y46),N(Z46))&gt;0,"TQQQ","SOXL"),IF(AQ46="YES",IF(SUM(N(AA46),N(AB46),N(AC46))&gt;0,"SQQQ","SOXS"),""))</f>
        <v/>
      </c>
      <c r="AT46" s="23">
        <f>IF(AR46="WAIT","",IF(AS46="",1,0.6))</f>
        <v/>
      </c>
      <c r="AU46" s="23">
        <f>IF(AS46="",0,0.4)</f>
        <v/>
      </c>
      <c r="AV46">
        <f>IF(AR46="WAIT","WAIT",IF(AP46="YES","BULL",IF(AQ46="YES","BEAR","WAIT")))</f>
        <v/>
      </c>
      <c r="AW46">
        <f>IF(AR46="WAIT","Low",IF(OR(AND(AV46="BULL",ABS(SUM(N(X46),N(Y46),N(Z46)))&gt;=0.15),AND(AV46="BEAR",ABS(SUM(N(AA46),N(AB46),N(AC46)))&gt;=0.15)),"Strong",IF(OR(AND(AV46="BULL",ABS(SUM(N(X46),N(Y46),N(Z46)))&gt;=0.05),AND(AV46="BEAR",ABS(SUM(N(AA46),N(AB46),N(AC46)))&gt;=0.05)),"Moderate","Low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13" t="n"/>
      <c r="AF47" s="23">
        <f>IF(OR(AD47="",AD46=""),"",IF(AD46=0,"",(AD47/AD46)-1))</f>
        <v/>
      </c>
      <c r="AG47" s="23">
        <f>IF(ROW()&lt;7,"",IF(OR(AD47="",AD44=""),"",IF(AD44=0,"",(AD47/AD44)-1)))</f>
        <v/>
      </c>
      <c r="AH47" s="23">
        <f>IF(ROW()&lt;9,"",IF(OR(AD47="",AD42=""),"",IF(AD42=0,"",(AD47/AD42)-1)))</f>
        <v/>
      </c>
      <c r="AJ47" s="23">
        <f>IF(OR(AE47="",AE46=""),"",IF(AE46=0,"",(AE47/AE46)-1))</f>
        <v/>
      </c>
      <c r="AK47" s="23">
        <f>IF(ROW()&lt;7,"",IF(OR(AE47="",AE44=""),"",IF(AE44=0,"",(AE47/AE44)-1)))</f>
        <v/>
      </c>
      <c r="AL47" s="23">
        <f>IF(ROW()&lt;9,"",IF(OR(AE47="",AE42=""),"",IF(AE42=0,"",(AE47/AE42)-1)))</f>
        <v/>
      </c>
      <c r="AN47">
        <f>IF(OR(AG47="",AH47=""),"",IF(AND(AG47&gt;0,AH47&gt;0),"Bull",IF(AND(AG47&lt;0,AH47&lt;0),"Bear","Mixed")))</f>
        <v/>
      </c>
      <c r="AO47">
        <f>IF(OR(AK47="",AL47=""),"",IF(AND(AK47&gt;0,AL47&gt;0),"Bull",IF(AND(AK47&lt;0,AL47&lt;0),"Bear","Mixed")))</f>
        <v/>
      </c>
      <c r="AP47">
        <f>IF(OR(AN47="",AO47=""),"",IF(AND(AN47="Bull",AO47="Bull"),"YES","NO"))</f>
        <v/>
      </c>
      <c r="AQ47">
        <f>IF(OR(AN47="",AO47=""),"",IF(AND(AN47="Bear",AO47="Bear"),"YES","NO"))</f>
        <v/>
      </c>
      <c r="AR47">
        <f>IF(AP47="YES",IF(SUM(N(X47),N(Y47),N(Z47))&gt;0,"SOXL","TQQQ"),IF(AQ47="YES",IF(SUM(N(AA47),N(AB47),N(AC47))&gt;0,"SOXS","SQQQ"),"WAIT"))</f>
        <v/>
      </c>
      <c r="AS47">
        <f>IF(AP47="YES",IF(SUM(N(X47),N(Y47),N(Z47))&gt;0,"TQQQ","SOXL"),IF(AQ47="YES",IF(SUM(N(AA47),N(AB47),N(AC47))&gt;0,"SQQQ","SOXS"),""))</f>
        <v/>
      </c>
      <c r="AT47" s="23">
        <f>IF(AR47="WAIT","",IF(AS47="",1,0.6))</f>
        <v/>
      </c>
      <c r="AU47" s="23">
        <f>IF(AS47="",0,0.4)</f>
        <v/>
      </c>
      <c r="AV47">
        <f>IF(AR47="WAIT","WAIT",IF(AP47="YES","BULL",IF(AQ47="YES","BEAR","WAIT")))</f>
        <v/>
      </c>
      <c r="AW47">
        <f>IF(AR47="WAIT","Low",IF(OR(AND(AV47="BULL",ABS(SUM(N(X47),N(Y47),N(Z47)))&gt;=0.15),AND(AV47="BEAR",ABS(SUM(N(AA47),N(AB47),N(AC47)))&gt;=0.15)),"Strong",IF(OR(AND(AV47="BULL",ABS(SUM(N(X47),N(Y47),N(Z47)))&gt;=0.05),AND(AV47="BEAR",ABS(SUM(N(AA47),N(AB47),N(AC47)))&gt;=0.05)),"Moderate","Low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13" t="n"/>
      <c r="AF48" s="23">
        <f>IF(OR(AD48="",AD47=""),"",IF(AD47=0,"",(AD48/AD47)-1))</f>
        <v/>
      </c>
      <c r="AG48" s="23">
        <f>IF(ROW()&lt;7,"",IF(OR(AD48="",AD45=""),"",IF(AD45=0,"",(AD48/AD45)-1)))</f>
        <v/>
      </c>
      <c r="AH48" s="23">
        <f>IF(ROW()&lt;9,"",IF(OR(AD48="",AD43=""),"",IF(AD43=0,"",(AD48/AD43)-1)))</f>
        <v/>
      </c>
      <c r="AJ48" s="23">
        <f>IF(OR(AE48="",AE47=""),"",IF(AE47=0,"",(AE48/AE47)-1))</f>
        <v/>
      </c>
      <c r="AK48" s="23">
        <f>IF(ROW()&lt;7,"",IF(OR(AE48="",AE45=""),"",IF(AE45=0,"",(AE48/AE45)-1)))</f>
        <v/>
      </c>
      <c r="AL48" s="23">
        <f>IF(ROW()&lt;9,"",IF(OR(AE48="",AE43=""),"",IF(AE43=0,"",(AE48/AE43)-1)))</f>
        <v/>
      </c>
      <c r="AN48">
        <f>IF(OR(AG48="",AH48=""),"",IF(AND(AG48&gt;0,AH48&gt;0),"Bull",IF(AND(AG48&lt;0,AH48&lt;0),"Bear","Mixed")))</f>
        <v/>
      </c>
      <c r="AO48">
        <f>IF(OR(AK48="",AL48=""),"",IF(AND(AK48&gt;0,AL48&gt;0),"Bull",IF(AND(AK48&lt;0,AL48&lt;0),"Bear","Mixed")))</f>
        <v/>
      </c>
      <c r="AP48">
        <f>IF(OR(AN48="",AO48=""),"",IF(AND(AN48="Bull",AO48="Bull"),"YES","NO"))</f>
        <v/>
      </c>
      <c r="AQ48">
        <f>IF(OR(AN48="",AO48=""),"",IF(AND(AN48="Bear",AO48="Bear"),"YES","NO"))</f>
        <v/>
      </c>
      <c r="AR48">
        <f>IF(AP48="YES",IF(SUM(N(X48),N(Y48),N(Z48))&gt;0,"SOXL","TQQQ"),IF(AQ48="YES",IF(SUM(N(AA48),N(AB48),N(AC48))&gt;0,"SOXS","SQQQ"),"WAIT"))</f>
        <v/>
      </c>
      <c r="AS48">
        <f>IF(AP48="YES",IF(SUM(N(X48),N(Y48),N(Z48))&gt;0,"TQQQ","SOXL"),IF(AQ48="YES",IF(SUM(N(AA48),N(AB48),N(AC48))&gt;0,"SQQQ","SOXS"),""))</f>
        <v/>
      </c>
      <c r="AT48" s="23">
        <f>IF(AR48="WAIT","",IF(AS48="",1,0.6))</f>
        <v/>
      </c>
      <c r="AU48" s="23">
        <f>IF(AS48="",0,0.4)</f>
        <v/>
      </c>
      <c r="AV48">
        <f>IF(AR48="WAIT","WAIT",IF(AP48="YES","BULL",IF(AQ48="YES","BEAR","WAIT")))</f>
        <v/>
      </c>
      <c r="AW48">
        <f>IF(AR48="WAIT","Low",IF(OR(AND(AV48="BULL",ABS(SUM(N(X48),N(Y48),N(Z48)))&gt;=0.15),AND(AV48="BEAR",ABS(SUM(N(AA48),N(AB48),N(AC48)))&gt;=0.15)),"Strong",IF(OR(AND(AV48="BULL",ABS(SUM(N(X48),N(Y48),N(Z48)))&gt;=0.05),AND(AV48="BEAR",ABS(SUM(N(AA48),N(AB48),N(AC48)))&gt;=0.05)),"Moderate","Low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13" t="n"/>
      <c r="AF49" s="23">
        <f>IF(OR(AD49="",AD48=""),"",IF(AD48=0,"",(AD49/AD48)-1))</f>
        <v/>
      </c>
      <c r="AG49" s="23">
        <f>IF(ROW()&lt;7,"",IF(OR(AD49="",AD46=""),"",IF(AD46=0,"",(AD49/AD46)-1)))</f>
        <v/>
      </c>
      <c r="AH49" s="23">
        <f>IF(ROW()&lt;9,"",IF(OR(AD49="",AD44=""),"",IF(AD44=0,"",(AD49/AD44)-1)))</f>
        <v/>
      </c>
      <c r="AJ49" s="23">
        <f>IF(OR(AE49="",AE48=""),"",IF(AE48=0,"",(AE49/AE48)-1))</f>
        <v/>
      </c>
      <c r="AK49" s="23">
        <f>IF(ROW()&lt;7,"",IF(OR(AE49="",AE46=""),"",IF(AE46=0,"",(AE49/AE46)-1)))</f>
        <v/>
      </c>
      <c r="AL49" s="23">
        <f>IF(ROW()&lt;9,"",IF(OR(AE49="",AE44=""),"",IF(AE44=0,"",(AE49/AE44)-1)))</f>
        <v/>
      </c>
      <c r="AN49">
        <f>IF(OR(AG49="",AH49=""),"",IF(AND(AG49&gt;0,AH49&gt;0),"Bull",IF(AND(AG49&lt;0,AH49&lt;0),"Bear","Mixed")))</f>
        <v/>
      </c>
      <c r="AO49">
        <f>IF(OR(AK49="",AL49=""),"",IF(AND(AK49&gt;0,AL49&gt;0),"Bull",IF(AND(AK49&lt;0,AL49&lt;0),"Bear","Mixed")))</f>
        <v/>
      </c>
      <c r="AP49">
        <f>IF(OR(AN49="",AO49=""),"",IF(AND(AN49="Bull",AO49="Bull"),"YES","NO"))</f>
        <v/>
      </c>
      <c r="AQ49">
        <f>IF(OR(AN49="",AO49=""),"",IF(AND(AN49="Bear",AO49="Bear"),"YES","NO"))</f>
        <v/>
      </c>
      <c r="AR49">
        <f>IF(AP49="YES",IF(SUM(N(X49),N(Y49),N(Z49))&gt;0,"SOXL","TQQQ"),IF(AQ49="YES",IF(SUM(N(AA49),N(AB49),N(AC49))&gt;0,"SOXS","SQQQ"),"WAIT"))</f>
        <v/>
      </c>
      <c r="AS49">
        <f>IF(AP49="YES",IF(SUM(N(X49),N(Y49),N(Z49))&gt;0,"TQQQ","SOXL"),IF(AQ49="YES",IF(SUM(N(AA49),N(AB49),N(AC49))&gt;0,"SQQQ","SOXS"),""))</f>
        <v/>
      </c>
      <c r="AT49" s="23">
        <f>IF(AR49="WAIT","",IF(AS49="",1,0.6))</f>
        <v/>
      </c>
      <c r="AU49" s="23">
        <f>IF(AS49="",0,0.4)</f>
        <v/>
      </c>
      <c r="AV49">
        <f>IF(AR49="WAIT","WAIT",IF(AP49="YES","BULL",IF(AQ49="YES","BEAR","WAIT")))</f>
        <v/>
      </c>
      <c r="AW49">
        <f>IF(AR49="WAIT","Low",IF(OR(AND(AV49="BULL",ABS(SUM(N(X49),N(Y49),N(Z49)))&gt;=0.15),AND(AV49="BEAR",ABS(SUM(N(AA49),N(AB49),N(AC49)))&gt;=0.15)),"Strong",IF(OR(AND(AV49="BULL",ABS(SUM(N(X49),N(Y49),N(Z49)))&gt;=0.05),AND(AV49="BEAR",ABS(SUM(N(AA49),N(AB49),N(AC49)))&gt;=0.05)),"Moderate","Low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13" t="n"/>
      <c r="AF50" s="23">
        <f>IF(OR(AD50="",AD49=""),"",IF(AD49=0,"",(AD50/AD49)-1))</f>
        <v/>
      </c>
      <c r="AG50" s="23">
        <f>IF(ROW()&lt;7,"",IF(OR(AD50="",AD47=""),"",IF(AD47=0,"",(AD50/AD47)-1)))</f>
        <v/>
      </c>
      <c r="AH50" s="23">
        <f>IF(ROW()&lt;9,"",IF(OR(AD50="",AD45=""),"",IF(AD45=0,"",(AD50/AD45)-1)))</f>
        <v/>
      </c>
      <c r="AJ50" s="23">
        <f>IF(OR(AE50="",AE49=""),"",IF(AE49=0,"",(AE50/AE49)-1))</f>
        <v/>
      </c>
      <c r="AK50" s="23">
        <f>IF(ROW()&lt;7,"",IF(OR(AE50="",AE47=""),"",IF(AE47=0,"",(AE50/AE47)-1)))</f>
        <v/>
      </c>
      <c r="AL50" s="23">
        <f>IF(ROW()&lt;9,"",IF(OR(AE50="",AE45=""),"",IF(AE45=0,"",(AE50/AE45)-1)))</f>
        <v/>
      </c>
      <c r="AN50">
        <f>IF(OR(AG50="",AH50=""),"",IF(AND(AG50&gt;0,AH50&gt;0),"Bull",IF(AND(AG50&lt;0,AH50&lt;0),"Bear","Mixed")))</f>
        <v/>
      </c>
      <c r="AO50">
        <f>IF(OR(AK50="",AL50=""),"",IF(AND(AK50&gt;0,AL50&gt;0),"Bull",IF(AND(AK50&lt;0,AL50&lt;0),"Bear","Mixed")))</f>
        <v/>
      </c>
      <c r="AP50">
        <f>IF(OR(AN50="",AO50=""),"",IF(AND(AN50="Bull",AO50="Bull"),"YES","NO"))</f>
        <v/>
      </c>
      <c r="AQ50">
        <f>IF(OR(AN50="",AO50=""),"",IF(AND(AN50="Bear",AO50="Bear"),"YES","NO"))</f>
        <v/>
      </c>
      <c r="AR50">
        <f>IF(AP50="YES",IF(SUM(N(X50),N(Y50),N(Z50))&gt;0,"SOXL","TQQQ"),IF(AQ50="YES",IF(SUM(N(AA50),N(AB50),N(AC50))&gt;0,"SOXS","SQQQ"),"WAIT"))</f>
        <v/>
      </c>
      <c r="AS50">
        <f>IF(AP50="YES",IF(SUM(N(X50),N(Y50),N(Z50))&gt;0,"TQQQ","SOXL"),IF(AQ50="YES",IF(SUM(N(AA50),N(AB50),N(AC50))&gt;0,"SQQQ","SOXS"),""))</f>
        <v/>
      </c>
      <c r="AT50" s="23">
        <f>IF(AR50="WAIT","",IF(AS50="",1,0.6))</f>
        <v/>
      </c>
      <c r="AU50" s="23">
        <f>IF(AS50="",0,0.4)</f>
        <v/>
      </c>
      <c r="AV50">
        <f>IF(AR50="WAIT","WAIT",IF(AP50="YES","BULL",IF(AQ50="YES","BEAR","WAIT")))</f>
        <v/>
      </c>
      <c r="AW50">
        <f>IF(AR50="WAIT","Low",IF(OR(AND(AV50="BULL",ABS(SUM(N(X50),N(Y50),N(Z50)))&gt;=0.15),AND(AV50="BEAR",ABS(SUM(N(AA50),N(AB50),N(AC50)))&gt;=0.15)),"Strong",IF(OR(AND(AV50="BULL",ABS(SUM(N(X50),N(Y50),N(Z50)))&gt;=0.05),AND(AV50="BEAR",ABS(SUM(N(AA50),N(AB50),N(AC50)))&gt;=0.05)),"Moderate","Low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13" t="n"/>
      <c r="AF51" s="23">
        <f>IF(OR(AD51="",AD50=""),"",IF(AD50=0,"",(AD51/AD50)-1))</f>
        <v/>
      </c>
      <c r="AG51" s="23">
        <f>IF(ROW()&lt;7,"",IF(OR(AD51="",AD48=""),"",IF(AD48=0,"",(AD51/AD48)-1)))</f>
        <v/>
      </c>
      <c r="AH51" s="23">
        <f>IF(ROW()&lt;9,"",IF(OR(AD51="",AD46=""),"",IF(AD46=0,"",(AD51/AD46)-1)))</f>
        <v/>
      </c>
      <c r="AJ51" s="23">
        <f>IF(OR(AE51="",AE50=""),"",IF(AE50=0,"",(AE51/AE50)-1))</f>
        <v/>
      </c>
      <c r="AK51" s="23">
        <f>IF(ROW()&lt;7,"",IF(OR(AE51="",AE48=""),"",IF(AE48=0,"",(AE51/AE48)-1)))</f>
        <v/>
      </c>
      <c r="AL51" s="23">
        <f>IF(ROW()&lt;9,"",IF(OR(AE51="",AE46=""),"",IF(AE46=0,"",(AE51/AE46)-1)))</f>
        <v/>
      </c>
      <c r="AN51">
        <f>IF(OR(AG51="",AH51=""),"",IF(AND(AG51&gt;0,AH51&gt;0),"Bull",IF(AND(AG51&lt;0,AH51&lt;0),"Bear","Mixed")))</f>
        <v/>
      </c>
      <c r="AO51">
        <f>IF(OR(AK51="",AL51=""),"",IF(AND(AK51&gt;0,AL51&gt;0),"Bull",IF(AND(AK51&lt;0,AL51&lt;0),"Bear","Mixed")))</f>
        <v/>
      </c>
      <c r="AP51">
        <f>IF(OR(AN51="",AO51=""),"",IF(AND(AN51="Bull",AO51="Bull"),"YES","NO"))</f>
        <v/>
      </c>
      <c r="AQ51">
        <f>IF(OR(AN51="",AO51=""),"",IF(AND(AN51="Bear",AO51="Bear"),"YES","NO"))</f>
        <v/>
      </c>
      <c r="AR51">
        <f>IF(AP51="YES",IF(SUM(N(X51),N(Y51),N(Z51))&gt;0,"SOXL","TQQQ"),IF(AQ51="YES",IF(SUM(N(AA51),N(AB51),N(AC51))&gt;0,"SOXS","SQQQ"),"WAIT"))</f>
        <v/>
      </c>
      <c r="AS51">
        <f>IF(AP51="YES",IF(SUM(N(X51),N(Y51),N(Z51))&gt;0,"TQQQ","SOXL"),IF(AQ51="YES",IF(SUM(N(AA51),N(AB51),N(AC51))&gt;0,"SQQQ","SOXS"),""))</f>
        <v/>
      </c>
      <c r="AT51" s="23">
        <f>IF(AR51="WAIT","",IF(AS51="",1,0.6))</f>
        <v/>
      </c>
      <c r="AU51" s="23">
        <f>IF(AS51="",0,0.4)</f>
        <v/>
      </c>
      <c r="AV51">
        <f>IF(AR51="WAIT","WAIT",IF(AP51="YES","BULL",IF(AQ51="YES","BEAR","WAIT")))</f>
        <v/>
      </c>
      <c r="AW51">
        <f>IF(AR51="WAIT","Low",IF(OR(AND(AV51="BULL",ABS(SUM(N(X51),N(Y51),N(Z51)))&gt;=0.15),AND(AV51="BEAR",ABS(SUM(N(AA51),N(AB51),N(AC51)))&gt;=0.15)),"Strong",IF(OR(AND(AV51="BULL",ABS(SUM(N(X51),N(Y51),N(Z51)))&gt;=0.05),AND(AV51="BEAR",ABS(SUM(N(AA51),N(AB51),N(AC51)))&gt;=0.05)),"Moderate","Low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13" t="n"/>
      <c r="AF52" s="23">
        <f>IF(OR(AD52="",AD51=""),"",IF(AD51=0,"",(AD52/AD51)-1))</f>
        <v/>
      </c>
      <c r="AG52" s="23">
        <f>IF(ROW()&lt;7,"",IF(OR(AD52="",AD49=""),"",IF(AD49=0,"",(AD52/AD49)-1)))</f>
        <v/>
      </c>
      <c r="AH52" s="23">
        <f>IF(ROW()&lt;9,"",IF(OR(AD52="",AD47=""),"",IF(AD47=0,"",(AD52/AD47)-1)))</f>
        <v/>
      </c>
      <c r="AJ52" s="23">
        <f>IF(OR(AE52="",AE51=""),"",IF(AE51=0,"",(AE52/AE51)-1))</f>
        <v/>
      </c>
      <c r="AK52" s="23">
        <f>IF(ROW()&lt;7,"",IF(OR(AE52="",AE49=""),"",IF(AE49=0,"",(AE52/AE49)-1)))</f>
        <v/>
      </c>
      <c r="AL52" s="23">
        <f>IF(ROW()&lt;9,"",IF(OR(AE52="",AE47=""),"",IF(AE47=0,"",(AE52/AE47)-1)))</f>
        <v/>
      </c>
      <c r="AN52">
        <f>IF(OR(AG52="",AH52=""),"",IF(AND(AG52&gt;0,AH52&gt;0),"Bull",IF(AND(AG52&lt;0,AH52&lt;0),"Bear","Mixed")))</f>
        <v/>
      </c>
      <c r="AO52">
        <f>IF(OR(AK52="",AL52=""),"",IF(AND(AK52&gt;0,AL52&gt;0),"Bull",IF(AND(AK52&lt;0,AL52&lt;0),"Bear","Mixed")))</f>
        <v/>
      </c>
      <c r="AP52">
        <f>IF(OR(AN52="",AO52=""),"",IF(AND(AN52="Bull",AO52="Bull"),"YES","NO"))</f>
        <v/>
      </c>
      <c r="AQ52">
        <f>IF(OR(AN52="",AO52=""),"",IF(AND(AN52="Bear",AO52="Bear"),"YES","NO"))</f>
        <v/>
      </c>
      <c r="AR52">
        <f>IF(AP52="YES",IF(SUM(N(X52),N(Y52),N(Z52))&gt;0,"SOXL","TQQQ"),IF(AQ52="YES",IF(SUM(N(AA52),N(AB52),N(AC52))&gt;0,"SOXS","SQQQ"),"WAIT"))</f>
        <v/>
      </c>
      <c r="AS52">
        <f>IF(AP52="YES",IF(SUM(N(X52),N(Y52),N(Z52))&gt;0,"TQQQ","SOXL"),IF(AQ52="YES",IF(SUM(N(AA52),N(AB52),N(AC52))&gt;0,"SQQQ","SOXS"),""))</f>
        <v/>
      </c>
      <c r="AT52" s="23">
        <f>IF(AR52="WAIT","",IF(AS52="",1,0.6))</f>
        <v/>
      </c>
      <c r="AU52" s="23">
        <f>IF(AS52="",0,0.4)</f>
        <v/>
      </c>
      <c r="AV52">
        <f>IF(AR52="WAIT","WAIT",IF(AP52="YES","BULL",IF(AQ52="YES","BEAR","WAIT")))</f>
        <v/>
      </c>
      <c r="AW52">
        <f>IF(AR52="WAIT","Low",IF(OR(AND(AV52="BULL",ABS(SUM(N(X52),N(Y52),N(Z52)))&gt;=0.15),AND(AV52="BEAR",ABS(SUM(N(AA52),N(AB52),N(AC52)))&gt;=0.15)),"Strong",IF(OR(AND(AV52="BULL",ABS(SUM(N(X52),N(Y52),N(Z52)))&gt;=0.05),AND(AV52="BEAR",ABS(SUM(N(AA52),N(AB52),N(AC52)))&gt;=0.05)),"Moderate","Low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13" t="n"/>
      <c r="AF53" s="23">
        <f>IF(OR(AD53="",AD52=""),"",IF(AD52=0,"",(AD53/AD52)-1))</f>
        <v/>
      </c>
      <c r="AG53" s="23">
        <f>IF(ROW()&lt;7,"",IF(OR(AD53="",AD50=""),"",IF(AD50=0,"",(AD53/AD50)-1)))</f>
        <v/>
      </c>
      <c r="AH53" s="23">
        <f>IF(ROW()&lt;9,"",IF(OR(AD53="",AD48=""),"",IF(AD48=0,"",(AD53/AD48)-1)))</f>
        <v/>
      </c>
      <c r="AJ53" s="23">
        <f>IF(OR(AE53="",AE52=""),"",IF(AE52=0,"",(AE53/AE52)-1))</f>
        <v/>
      </c>
      <c r="AK53" s="23">
        <f>IF(ROW()&lt;7,"",IF(OR(AE53="",AE50=""),"",IF(AE50=0,"",(AE53/AE50)-1)))</f>
        <v/>
      </c>
      <c r="AL53" s="23">
        <f>IF(ROW()&lt;9,"",IF(OR(AE53="",AE48=""),"",IF(AE48=0,"",(AE53/AE48)-1)))</f>
        <v/>
      </c>
      <c r="AN53">
        <f>IF(OR(AG53="",AH53=""),"",IF(AND(AG53&gt;0,AH53&gt;0),"Bull",IF(AND(AG53&lt;0,AH53&lt;0),"Bear","Mixed")))</f>
        <v/>
      </c>
      <c r="AO53">
        <f>IF(OR(AK53="",AL53=""),"",IF(AND(AK53&gt;0,AL53&gt;0),"Bull",IF(AND(AK53&lt;0,AL53&lt;0),"Bear","Mixed")))</f>
        <v/>
      </c>
      <c r="AP53">
        <f>IF(OR(AN53="",AO53=""),"",IF(AND(AN53="Bull",AO53="Bull"),"YES","NO"))</f>
        <v/>
      </c>
      <c r="AQ53">
        <f>IF(OR(AN53="",AO53=""),"",IF(AND(AN53="Bear",AO53="Bear"),"YES","NO"))</f>
        <v/>
      </c>
      <c r="AR53">
        <f>IF(AP53="YES",IF(SUM(N(X53),N(Y53),N(Z53))&gt;0,"SOXL","TQQQ"),IF(AQ53="YES",IF(SUM(N(AA53),N(AB53),N(AC53))&gt;0,"SOXS","SQQQ"),"WAIT"))</f>
        <v/>
      </c>
      <c r="AS53">
        <f>IF(AP53="YES",IF(SUM(N(X53),N(Y53),N(Z53))&gt;0,"TQQQ","SOXL"),IF(AQ53="YES",IF(SUM(N(AA53),N(AB53),N(AC53))&gt;0,"SQQQ","SOXS"),""))</f>
        <v/>
      </c>
      <c r="AT53" s="23">
        <f>IF(AR53="WAIT","",IF(AS53="",1,0.6))</f>
        <v/>
      </c>
      <c r="AU53" s="23">
        <f>IF(AS53="",0,0.4)</f>
        <v/>
      </c>
      <c r="AV53">
        <f>IF(AR53="WAIT","WAIT",IF(AP53="YES","BULL",IF(AQ53="YES","BEAR","WAIT")))</f>
        <v/>
      </c>
      <c r="AW53">
        <f>IF(AR53="WAIT","Low",IF(OR(AND(AV53="BULL",ABS(SUM(N(X53),N(Y53),N(Z53)))&gt;=0.15),AND(AV53="BEAR",ABS(SUM(N(AA53),N(AB53),N(AC53)))&gt;=0.15)),"Strong",IF(OR(AND(AV53="BULL",ABS(SUM(N(X53),N(Y53),N(Z53)))&gt;=0.05),AND(AV53="BEAR",ABS(SUM(N(AA53),N(AB53),N(AC53)))&gt;=0.05)),"Moderate","Low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13" t="n"/>
      <c r="AF54" s="23">
        <f>IF(OR(AD54="",AD53=""),"",IF(AD53=0,"",(AD54/AD53)-1))</f>
        <v/>
      </c>
      <c r="AG54" s="23">
        <f>IF(ROW()&lt;7,"",IF(OR(AD54="",AD51=""),"",IF(AD51=0,"",(AD54/AD51)-1)))</f>
        <v/>
      </c>
      <c r="AH54" s="23">
        <f>IF(ROW()&lt;9,"",IF(OR(AD54="",AD49=""),"",IF(AD49=0,"",(AD54/AD49)-1)))</f>
        <v/>
      </c>
      <c r="AJ54" s="23">
        <f>IF(OR(AE54="",AE53=""),"",IF(AE53=0,"",(AE54/AE53)-1))</f>
        <v/>
      </c>
      <c r="AK54" s="23">
        <f>IF(ROW()&lt;7,"",IF(OR(AE54="",AE51=""),"",IF(AE51=0,"",(AE54/AE51)-1)))</f>
        <v/>
      </c>
      <c r="AL54" s="23">
        <f>IF(ROW()&lt;9,"",IF(OR(AE54="",AE49=""),"",IF(AE49=0,"",(AE54/AE49)-1)))</f>
        <v/>
      </c>
      <c r="AN54">
        <f>IF(OR(AG54="",AH54=""),"",IF(AND(AG54&gt;0,AH54&gt;0),"Bull",IF(AND(AG54&lt;0,AH54&lt;0),"Bear","Mixed")))</f>
        <v/>
      </c>
      <c r="AO54">
        <f>IF(OR(AK54="",AL54=""),"",IF(AND(AK54&gt;0,AL54&gt;0),"Bull",IF(AND(AK54&lt;0,AL54&lt;0),"Bear","Mixed")))</f>
        <v/>
      </c>
      <c r="AP54">
        <f>IF(OR(AN54="",AO54=""),"",IF(AND(AN54="Bull",AO54="Bull"),"YES","NO"))</f>
        <v/>
      </c>
      <c r="AQ54">
        <f>IF(OR(AN54="",AO54=""),"",IF(AND(AN54="Bear",AO54="Bear"),"YES","NO"))</f>
        <v/>
      </c>
      <c r="AR54">
        <f>IF(AP54="YES",IF(SUM(N(X54),N(Y54),N(Z54))&gt;0,"SOXL","TQQQ"),IF(AQ54="YES",IF(SUM(N(AA54),N(AB54),N(AC54))&gt;0,"SOXS","SQQQ"),"WAIT"))</f>
        <v/>
      </c>
      <c r="AS54">
        <f>IF(AP54="YES",IF(SUM(N(X54),N(Y54),N(Z54))&gt;0,"TQQQ","SOXL"),IF(AQ54="YES",IF(SUM(N(AA54),N(AB54),N(AC54))&gt;0,"SQQQ","SOXS"),""))</f>
        <v/>
      </c>
      <c r="AT54" s="23">
        <f>IF(AR54="WAIT","",IF(AS54="",1,0.6))</f>
        <v/>
      </c>
      <c r="AU54" s="23">
        <f>IF(AS54="",0,0.4)</f>
        <v/>
      </c>
      <c r="AV54">
        <f>IF(AR54="WAIT","WAIT",IF(AP54="YES","BULL",IF(AQ54="YES","BEAR","WAIT")))</f>
        <v/>
      </c>
      <c r="AW54">
        <f>IF(AR54="WAIT","Low",IF(OR(AND(AV54="BULL",ABS(SUM(N(X54),N(Y54),N(Z54)))&gt;=0.15),AND(AV54="BEAR",ABS(SUM(N(AA54),N(AB54),N(AC54)))&gt;=0.15)),"Strong",IF(OR(AND(AV54="BULL",ABS(SUM(N(X54),N(Y54),N(Z54)))&gt;=0.05),AND(AV54="BEAR",ABS(SUM(N(AA54),N(AB54),N(AC54)))&gt;=0.05)),"Moderate","Low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13" t="n"/>
      <c r="AF55" s="23">
        <f>IF(OR(AD55="",AD54=""),"",IF(AD54=0,"",(AD55/AD54)-1))</f>
        <v/>
      </c>
      <c r="AG55" s="23">
        <f>IF(ROW()&lt;7,"",IF(OR(AD55="",AD52=""),"",IF(AD52=0,"",(AD55/AD52)-1)))</f>
        <v/>
      </c>
      <c r="AH55" s="23">
        <f>IF(ROW()&lt;9,"",IF(OR(AD55="",AD50=""),"",IF(AD50=0,"",(AD55/AD50)-1)))</f>
        <v/>
      </c>
      <c r="AJ55" s="23">
        <f>IF(OR(AE55="",AE54=""),"",IF(AE54=0,"",(AE55/AE54)-1))</f>
        <v/>
      </c>
      <c r="AK55" s="23">
        <f>IF(ROW()&lt;7,"",IF(OR(AE55="",AE52=""),"",IF(AE52=0,"",(AE55/AE52)-1)))</f>
        <v/>
      </c>
      <c r="AL55" s="23">
        <f>IF(ROW()&lt;9,"",IF(OR(AE55="",AE50=""),"",IF(AE50=0,"",(AE55/AE50)-1)))</f>
        <v/>
      </c>
      <c r="AN55">
        <f>IF(OR(AG55="",AH55=""),"",IF(AND(AG55&gt;0,AH55&gt;0),"Bull",IF(AND(AG55&lt;0,AH55&lt;0),"Bear","Mixed")))</f>
        <v/>
      </c>
      <c r="AO55">
        <f>IF(OR(AK55="",AL55=""),"",IF(AND(AK55&gt;0,AL55&gt;0),"Bull",IF(AND(AK55&lt;0,AL55&lt;0),"Bear","Mixed")))</f>
        <v/>
      </c>
      <c r="AP55">
        <f>IF(OR(AN55="",AO55=""),"",IF(AND(AN55="Bull",AO55="Bull"),"YES","NO"))</f>
        <v/>
      </c>
      <c r="AQ55">
        <f>IF(OR(AN55="",AO55=""),"",IF(AND(AN55="Bear",AO55="Bear"),"YES","NO"))</f>
        <v/>
      </c>
      <c r="AR55">
        <f>IF(AP55="YES",IF(SUM(N(X55),N(Y55),N(Z55))&gt;0,"SOXL","TQQQ"),IF(AQ55="YES",IF(SUM(N(AA55),N(AB55),N(AC55))&gt;0,"SOXS","SQQQ"),"WAIT"))</f>
        <v/>
      </c>
      <c r="AS55">
        <f>IF(AP55="YES",IF(SUM(N(X55),N(Y55),N(Z55))&gt;0,"TQQQ","SOXL"),IF(AQ55="YES",IF(SUM(N(AA55),N(AB55),N(AC55))&gt;0,"SQQQ","SOXS"),""))</f>
        <v/>
      </c>
      <c r="AT55" s="23">
        <f>IF(AR55="WAIT","",IF(AS55="",1,0.6))</f>
        <v/>
      </c>
      <c r="AU55" s="23">
        <f>IF(AS55="",0,0.4)</f>
        <v/>
      </c>
      <c r="AV55">
        <f>IF(AR55="WAIT","WAIT",IF(AP55="YES","BULL",IF(AQ55="YES","BEAR","WAIT")))</f>
        <v/>
      </c>
      <c r="AW55">
        <f>IF(AR55="WAIT","Low",IF(OR(AND(AV55="BULL",ABS(SUM(N(X55),N(Y55),N(Z55)))&gt;=0.15),AND(AV55="BEAR",ABS(SUM(N(AA55),N(AB55),N(AC55)))&gt;=0.15)),"Strong",IF(OR(AND(AV55="BULL",ABS(SUM(N(X55),N(Y55),N(Z55)))&gt;=0.05),AND(AV55="BEAR",ABS(SUM(N(AA55),N(AB55),N(AC55)))&gt;=0.05)),"Moderate","Low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13" t="n"/>
      <c r="AF56" s="23">
        <f>IF(OR(AD56="",AD55=""),"",IF(AD55=0,"",(AD56/AD55)-1))</f>
        <v/>
      </c>
      <c r="AG56" s="23">
        <f>IF(ROW()&lt;7,"",IF(OR(AD56="",AD53=""),"",IF(AD53=0,"",(AD56/AD53)-1)))</f>
        <v/>
      </c>
      <c r="AH56" s="23">
        <f>IF(ROW()&lt;9,"",IF(OR(AD56="",AD51=""),"",IF(AD51=0,"",(AD56/AD51)-1)))</f>
        <v/>
      </c>
      <c r="AJ56" s="23">
        <f>IF(OR(AE56="",AE55=""),"",IF(AE55=0,"",(AE56/AE55)-1))</f>
        <v/>
      </c>
      <c r="AK56" s="23">
        <f>IF(ROW()&lt;7,"",IF(OR(AE56="",AE53=""),"",IF(AE53=0,"",(AE56/AE53)-1)))</f>
        <v/>
      </c>
      <c r="AL56" s="23">
        <f>IF(ROW()&lt;9,"",IF(OR(AE56="",AE51=""),"",IF(AE51=0,"",(AE56/AE51)-1)))</f>
        <v/>
      </c>
      <c r="AN56">
        <f>IF(OR(AG56="",AH56=""),"",IF(AND(AG56&gt;0,AH56&gt;0),"Bull",IF(AND(AG56&lt;0,AH56&lt;0),"Bear","Mixed")))</f>
        <v/>
      </c>
      <c r="AO56">
        <f>IF(OR(AK56="",AL56=""),"",IF(AND(AK56&gt;0,AL56&gt;0),"Bull",IF(AND(AK56&lt;0,AL56&lt;0),"Bear","Mixed")))</f>
        <v/>
      </c>
      <c r="AP56">
        <f>IF(OR(AN56="",AO56=""),"",IF(AND(AN56="Bull",AO56="Bull"),"YES","NO"))</f>
        <v/>
      </c>
      <c r="AQ56">
        <f>IF(OR(AN56="",AO56=""),"",IF(AND(AN56="Bear",AO56="Bear"),"YES","NO"))</f>
        <v/>
      </c>
      <c r="AR56">
        <f>IF(AP56="YES",IF(SUM(N(X56),N(Y56),N(Z56))&gt;0,"SOXL","TQQQ"),IF(AQ56="YES",IF(SUM(N(AA56),N(AB56),N(AC56))&gt;0,"SOXS","SQQQ"),"WAIT"))</f>
        <v/>
      </c>
      <c r="AS56">
        <f>IF(AP56="YES",IF(SUM(N(X56),N(Y56),N(Z56))&gt;0,"TQQQ","SOXL"),IF(AQ56="YES",IF(SUM(N(AA56),N(AB56),N(AC56))&gt;0,"SQQQ","SOXS"),""))</f>
        <v/>
      </c>
      <c r="AT56" s="23">
        <f>IF(AR56="WAIT","",IF(AS56="",1,0.6))</f>
        <v/>
      </c>
      <c r="AU56" s="23">
        <f>IF(AS56="",0,0.4)</f>
        <v/>
      </c>
      <c r="AV56">
        <f>IF(AR56="WAIT","WAIT",IF(AP56="YES","BULL",IF(AQ56="YES","BEAR","WAIT")))</f>
        <v/>
      </c>
      <c r="AW56">
        <f>IF(AR56="WAIT","Low",IF(OR(AND(AV56="BULL",ABS(SUM(N(X56),N(Y56),N(Z56)))&gt;=0.15),AND(AV56="BEAR",ABS(SUM(N(AA56),N(AB56),N(AC56)))&gt;=0.15)),"Strong",IF(OR(AND(AV56="BULL",ABS(SUM(N(X56),N(Y56),N(Z56)))&gt;=0.05),AND(AV56="BEAR",ABS(SUM(N(AA56),N(AB56),N(AC56)))&gt;=0.05)),"Moderate","Low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13" t="n"/>
      <c r="AF57" s="23">
        <f>IF(OR(AD57="",AD56=""),"",IF(AD56=0,"",(AD57/AD56)-1))</f>
        <v/>
      </c>
      <c r="AG57" s="23">
        <f>IF(ROW()&lt;7,"",IF(OR(AD57="",AD54=""),"",IF(AD54=0,"",(AD57/AD54)-1)))</f>
        <v/>
      </c>
      <c r="AH57" s="23">
        <f>IF(ROW()&lt;9,"",IF(OR(AD57="",AD52=""),"",IF(AD52=0,"",(AD57/AD52)-1)))</f>
        <v/>
      </c>
      <c r="AJ57" s="23">
        <f>IF(OR(AE57="",AE56=""),"",IF(AE56=0,"",(AE57/AE56)-1))</f>
        <v/>
      </c>
      <c r="AK57" s="23">
        <f>IF(ROW()&lt;7,"",IF(OR(AE57="",AE54=""),"",IF(AE54=0,"",(AE57/AE54)-1)))</f>
        <v/>
      </c>
      <c r="AL57" s="23">
        <f>IF(ROW()&lt;9,"",IF(OR(AE57="",AE52=""),"",IF(AE52=0,"",(AE57/AE52)-1)))</f>
        <v/>
      </c>
      <c r="AN57">
        <f>IF(OR(AG57="",AH57=""),"",IF(AND(AG57&gt;0,AH57&gt;0),"Bull",IF(AND(AG57&lt;0,AH57&lt;0),"Bear","Mixed")))</f>
        <v/>
      </c>
      <c r="AO57">
        <f>IF(OR(AK57="",AL57=""),"",IF(AND(AK57&gt;0,AL57&gt;0),"Bull",IF(AND(AK57&lt;0,AL57&lt;0),"Bear","Mixed")))</f>
        <v/>
      </c>
      <c r="AP57">
        <f>IF(OR(AN57="",AO57=""),"",IF(AND(AN57="Bull",AO57="Bull"),"YES","NO"))</f>
        <v/>
      </c>
      <c r="AQ57">
        <f>IF(OR(AN57="",AO57=""),"",IF(AND(AN57="Bear",AO57="Bear"),"YES","NO"))</f>
        <v/>
      </c>
      <c r="AR57">
        <f>IF(AP57="YES",IF(SUM(N(X57),N(Y57),N(Z57))&gt;0,"SOXL","TQQQ"),IF(AQ57="YES",IF(SUM(N(AA57),N(AB57),N(AC57))&gt;0,"SOXS","SQQQ"),"WAIT"))</f>
        <v/>
      </c>
      <c r="AS57">
        <f>IF(AP57="YES",IF(SUM(N(X57),N(Y57),N(Z57))&gt;0,"TQQQ","SOXL"),IF(AQ57="YES",IF(SUM(N(AA57),N(AB57),N(AC57))&gt;0,"SQQQ","SOXS"),""))</f>
        <v/>
      </c>
      <c r="AT57" s="23">
        <f>IF(AR57="WAIT","",IF(AS57="",1,0.6))</f>
        <v/>
      </c>
      <c r="AU57" s="23">
        <f>IF(AS57="",0,0.4)</f>
        <v/>
      </c>
      <c r="AV57">
        <f>IF(AR57="WAIT","WAIT",IF(AP57="YES","BULL",IF(AQ57="YES","BEAR","WAIT")))</f>
        <v/>
      </c>
      <c r="AW57">
        <f>IF(AR57="WAIT","Low",IF(OR(AND(AV57="BULL",ABS(SUM(N(X57),N(Y57),N(Z57)))&gt;=0.15),AND(AV57="BEAR",ABS(SUM(N(AA57),N(AB57),N(AC57)))&gt;=0.15)),"Strong",IF(OR(AND(AV57="BULL",ABS(SUM(N(X57),N(Y57),N(Z57)))&gt;=0.05),AND(AV57="BEAR",ABS(SUM(N(AA57),N(AB57),N(AC57)))&gt;=0.05)),"Moderate","Low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13" t="n"/>
      <c r="AF58" s="23">
        <f>IF(OR(AD58="",AD57=""),"",IF(AD57=0,"",(AD58/AD57)-1))</f>
        <v/>
      </c>
      <c r="AG58" s="23">
        <f>IF(ROW()&lt;7,"",IF(OR(AD58="",AD55=""),"",IF(AD55=0,"",(AD58/AD55)-1)))</f>
        <v/>
      </c>
      <c r="AH58" s="23">
        <f>IF(ROW()&lt;9,"",IF(OR(AD58="",AD53=""),"",IF(AD53=0,"",(AD58/AD53)-1)))</f>
        <v/>
      </c>
      <c r="AJ58" s="23">
        <f>IF(OR(AE58="",AE57=""),"",IF(AE57=0,"",(AE58/AE57)-1))</f>
        <v/>
      </c>
      <c r="AK58" s="23">
        <f>IF(ROW()&lt;7,"",IF(OR(AE58="",AE55=""),"",IF(AE55=0,"",(AE58/AE55)-1)))</f>
        <v/>
      </c>
      <c r="AL58" s="23">
        <f>IF(ROW()&lt;9,"",IF(OR(AE58="",AE53=""),"",IF(AE53=0,"",(AE58/AE53)-1)))</f>
        <v/>
      </c>
      <c r="AN58">
        <f>IF(OR(AG58="",AH58=""),"",IF(AND(AG58&gt;0,AH58&gt;0),"Bull",IF(AND(AG58&lt;0,AH58&lt;0),"Bear","Mixed")))</f>
        <v/>
      </c>
      <c r="AO58">
        <f>IF(OR(AK58="",AL58=""),"",IF(AND(AK58&gt;0,AL58&gt;0),"Bull",IF(AND(AK58&lt;0,AL58&lt;0),"Bear","Mixed")))</f>
        <v/>
      </c>
      <c r="AP58">
        <f>IF(OR(AN58="",AO58=""),"",IF(AND(AN58="Bull",AO58="Bull"),"YES","NO"))</f>
        <v/>
      </c>
      <c r="AQ58">
        <f>IF(OR(AN58="",AO58=""),"",IF(AND(AN58="Bear",AO58="Bear"),"YES","NO"))</f>
        <v/>
      </c>
      <c r="AR58">
        <f>IF(AP58="YES",IF(SUM(N(X58),N(Y58),N(Z58))&gt;0,"SOXL","TQQQ"),IF(AQ58="YES",IF(SUM(N(AA58),N(AB58),N(AC58))&gt;0,"SOXS","SQQQ"),"WAIT"))</f>
        <v/>
      </c>
      <c r="AS58">
        <f>IF(AP58="YES",IF(SUM(N(X58),N(Y58),N(Z58))&gt;0,"TQQQ","SOXL"),IF(AQ58="YES",IF(SUM(N(AA58),N(AB58),N(AC58))&gt;0,"SQQQ","SOXS"),""))</f>
        <v/>
      </c>
      <c r="AT58" s="23">
        <f>IF(AR58="WAIT","",IF(AS58="",1,0.6))</f>
        <v/>
      </c>
      <c r="AU58" s="23">
        <f>IF(AS58="",0,0.4)</f>
        <v/>
      </c>
      <c r="AV58">
        <f>IF(AR58="WAIT","WAIT",IF(AP58="YES","BULL",IF(AQ58="YES","BEAR","WAIT")))</f>
        <v/>
      </c>
      <c r="AW58">
        <f>IF(AR58="WAIT","Low",IF(OR(AND(AV58="BULL",ABS(SUM(N(X58),N(Y58),N(Z58)))&gt;=0.15),AND(AV58="BEAR",ABS(SUM(N(AA58),N(AB58),N(AC58)))&gt;=0.15)),"Strong",IF(OR(AND(AV58="BULL",ABS(SUM(N(X58),N(Y58),N(Z58)))&gt;=0.05),AND(AV58="BEAR",ABS(SUM(N(AA58),N(AB58),N(AC58)))&gt;=0.05)),"Moderate","Low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13" t="n"/>
      <c r="AF59" s="23">
        <f>IF(OR(AD59="",AD58=""),"",IF(AD58=0,"",(AD59/AD58)-1))</f>
        <v/>
      </c>
      <c r="AG59" s="23">
        <f>IF(ROW()&lt;7,"",IF(OR(AD59="",AD56=""),"",IF(AD56=0,"",(AD59/AD56)-1)))</f>
        <v/>
      </c>
      <c r="AH59" s="23">
        <f>IF(ROW()&lt;9,"",IF(OR(AD59="",AD54=""),"",IF(AD54=0,"",(AD59/AD54)-1)))</f>
        <v/>
      </c>
      <c r="AJ59" s="23">
        <f>IF(OR(AE59="",AE58=""),"",IF(AE58=0,"",(AE59/AE58)-1))</f>
        <v/>
      </c>
      <c r="AK59" s="23">
        <f>IF(ROW()&lt;7,"",IF(OR(AE59="",AE56=""),"",IF(AE56=0,"",(AE59/AE56)-1)))</f>
        <v/>
      </c>
      <c r="AL59" s="23">
        <f>IF(ROW()&lt;9,"",IF(OR(AE59="",AE54=""),"",IF(AE54=0,"",(AE59/AE54)-1)))</f>
        <v/>
      </c>
      <c r="AN59">
        <f>IF(OR(AG59="",AH59=""),"",IF(AND(AG59&gt;0,AH59&gt;0),"Bull",IF(AND(AG59&lt;0,AH59&lt;0),"Bear","Mixed")))</f>
        <v/>
      </c>
      <c r="AO59">
        <f>IF(OR(AK59="",AL59=""),"",IF(AND(AK59&gt;0,AL59&gt;0),"Bull",IF(AND(AK59&lt;0,AL59&lt;0),"Bear","Mixed")))</f>
        <v/>
      </c>
      <c r="AP59">
        <f>IF(OR(AN59="",AO59=""),"",IF(AND(AN59="Bull",AO59="Bull"),"YES","NO"))</f>
        <v/>
      </c>
      <c r="AQ59">
        <f>IF(OR(AN59="",AO59=""),"",IF(AND(AN59="Bear",AO59="Bear"),"YES","NO"))</f>
        <v/>
      </c>
      <c r="AR59">
        <f>IF(AP59="YES",IF(SUM(N(X59),N(Y59),N(Z59))&gt;0,"SOXL","TQQQ"),IF(AQ59="YES",IF(SUM(N(AA59),N(AB59),N(AC59))&gt;0,"SOXS","SQQQ"),"WAIT"))</f>
        <v/>
      </c>
      <c r="AS59">
        <f>IF(AP59="YES",IF(SUM(N(X59),N(Y59),N(Z59))&gt;0,"TQQQ","SOXL"),IF(AQ59="YES",IF(SUM(N(AA59),N(AB59),N(AC59))&gt;0,"SQQQ","SOXS"),""))</f>
        <v/>
      </c>
      <c r="AT59" s="23">
        <f>IF(AR59="WAIT","",IF(AS59="",1,0.6))</f>
        <v/>
      </c>
      <c r="AU59" s="23">
        <f>IF(AS59="",0,0.4)</f>
        <v/>
      </c>
      <c r="AV59">
        <f>IF(AR59="WAIT","WAIT",IF(AP59="YES","BULL",IF(AQ59="YES","BEAR","WAIT")))</f>
        <v/>
      </c>
      <c r="AW59">
        <f>IF(AR59="WAIT","Low",IF(OR(AND(AV59="BULL",ABS(SUM(N(X59),N(Y59),N(Z59)))&gt;=0.15),AND(AV59="BEAR",ABS(SUM(N(AA59),N(AB59),N(AC59)))&gt;=0.15)),"Strong",IF(OR(AND(AV59="BULL",ABS(SUM(N(X59),N(Y59),N(Z59)))&gt;=0.05),AND(AV59="BEAR",ABS(SUM(N(AA59),N(AB59),N(AC59)))&gt;=0.05)),"Moderate","Low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13" t="n"/>
      <c r="AF60" s="23">
        <f>IF(OR(AD60="",AD59=""),"",IF(AD59=0,"",(AD60/AD59)-1))</f>
        <v/>
      </c>
      <c r="AG60" s="23">
        <f>IF(ROW()&lt;7,"",IF(OR(AD60="",AD57=""),"",IF(AD57=0,"",(AD60/AD57)-1)))</f>
        <v/>
      </c>
      <c r="AH60" s="23">
        <f>IF(ROW()&lt;9,"",IF(OR(AD60="",AD55=""),"",IF(AD55=0,"",(AD60/AD55)-1)))</f>
        <v/>
      </c>
      <c r="AJ60" s="23">
        <f>IF(OR(AE60="",AE59=""),"",IF(AE59=0,"",(AE60/AE59)-1))</f>
        <v/>
      </c>
      <c r="AK60" s="23">
        <f>IF(ROW()&lt;7,"",IF(OR(AE60="",AE57=""),"",IF(AE57=0,"",(AE60/AE57)-1)))</f>
        <v/>
      </c>
      <c r="AL60" s="23">
        <f>IF(ROW()&lt;9,"",IF(OR(AE60="",AE55=""),"",IF(AE55=0,"",(AE60/AE55)-1)))</f>
        <v/>
      </c>
      <c r="AN60">
        <f>IF(OR(AG60="",AH60=""),"",IF(AND(AG60&gt;0,AH60&gt;0),"Bull",IF(AND(AG60&lt;0,AH60&lt;0),"Bear","Mixed")))</f>
        <v/>
      </c>
      <c r="AO60">
        <f>IF(OR(AK60="",AL60=""),"",IF(AND(AK60&gt;0,AL60&gt;0),"Bull",IF(AND(AK60&lt;0,AL60&lt;0),"Bear","Mixed")))</f>
        <v/>
      </c>
      <c r="AP60">
        <f>IF(OR(AN60="",AO60=""),"",IF(AND(AN60="Bull",AO60="Bull"),"YES","NO"))</f>
        <v/>
      </c>
      <c r="AQ60">
        <f>IF(OR(AN60="",AO60=""),"",IF(AND(AN60="Bear",AO60="Bear"),"YES","NO"))</f>
        <v/>
      </c>
      <c r="AR60">
        <f>IF(AP60="YES",IF(SUM(N(X60),N(Y60),N(Z60))&gt;0,"SOXL","TQQQ"),IF(AQ60="YES",IF(SUM(N(AA60),N(AB60),N(AC60))&gt;0,"SOXS","SQQQ"),"WAIT"))</f>
        <v/>
      </c>
      <c r="AS60">
        <f>IF(AP60="YES",IF(SUM(N(X60),N(Y60),N(Z60))&gt;0,"TQQQ","SOXL"),IF(AQ60="YES",IF(SUM(N(AA60),N(AB60),N(AC60))&gt;0,"SQQQ","SOXS"),""))</f>
        <v/>
      </c>
      <c r="AT60" s="23">
        <f>IF(AR60="WAIT","",IF(AS60="",1,0.6))</f>
        <v/>
      </c>
      <c r="AU60" s="23">
        <f>IF(AS60="",0,0.4)</f>
        <v/>
      </c>
      <c r="AV60">
        <f>IF(AR60="WAIT","WAIT",IF(AP60="YES","BULL",IF(AQ60="YES","BEAR","WAIT")))</f>
        <v/>
      </c>
      <c r="AW60">
        <f>IF(AR60="WAIT","Low",IF(OR(AND(AV60="BULL",ABS(SUM(N(X60),N(Y60),N(Z60)))&gt;=0.15),AND(AV60="BEAR",ABS(SUM(N(AA60),N(AB60),N(AC60)))&gt;=0.15)),"Strong",IF(OR(AND(AV60="BULL",ABS(SUM(N(X60),N(Y60),N(Z60)))&gt;=0.05),AND(AV60="BEAR",ABS(SUM(N(AA60),N(AB60),N(AC60)))&gt;=0.05)),"Moderate","Low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13" t="n"/>
      <c r="AF61" s="23">
        <f>IF(OR(AD61="",AD60=""),"",IF(AD60=0,"",(AD61/AD60)-1))</f>
        <v/>
      </c>
      <c r="AG61" s="23">
        <f>IF(ROW()&lt;7,"",IF(OR(AD61="",AD58=""),"",IF(AD58=0,"",(AD61/AD58)-1)))</f>
        <v/>
      </c>
      <c r="AH61" s="23">
        <f>IF(ROW()&lt;9,"",IF(OR(AD61="",AD56=""),"",IF(AD56=0,"",(AD61/AD56)-1)))</f>
        <v/>
      </c>
      <c r="AJ61" s="23">
        <f>IF(OR(AE61="",AE60=""),"",IF(AE60=0,"",(AE61/AE60)-1))</f>
        <v/>
      </c>
      <c r="AK61" s="23">
        <f>IF(ROW()&lt;7,"",IF(OR(AE61="",AE58=""),"",IF(AE58=0,"",(AE61/AE58)-1)))</f>
        <v/>
      </c>
      <c r="AL61" s="23">
        <f>IF(ROW()&lt;9,"",IF(OR(AE61="",AE56=""),"",IF(AE56=0,"",(AE61/AE56)-1)))</f>
        <v/>
      </c>
      <c r="AN61">
        <f>IF(OR(AG61="",AH61=""),"",IF(AND(AG61&gt;0,AH61&gt;0),"Bull",IF(AND(AG61&lt;0,AH61&lt;0),"Bear","Mixed")))</f>
        <v/>
      </c>
      <c r="AO61">
        <f>IF(OR(AK61="",AL61=""),"",IF(AND(AK61&gt;0,AL61&gt;0),"Bull",IF(AND(AK61&lt;0,AL61&lt;0),"Bear","Mixed")))</f>
        <v/>
      </c>
      <c r="AP61">
        <f>IF(OR(AN61="",AO61=""),"",IF(AND(AN61="Bull",AO61="Bull"),"YES","NO"))</f>
        <v/>
      </c>
      <c r="AQ61">
        <f>IF(OR(AN61="",AO61=""),"",IF(AND(AN61="Bear",AO61="Bear"),"YES","NO"))</f>
        <v/>
      </c>
      <c r="AR61">
        <f>IF(AP61="YES",IF(SUM(N(X61),N(Y61),N(Z61))&gt;0,"SOXL","TQQQ"),IF(AQ61="YES",IF(SUM(N(AA61),N(AB61),N(AC61))&gt;0,"SOXS","SQQQ"),"WAIT"))</f>
        <v/>
      </c>
      <c r="AS61">
        <f>IF(AP61="YES",IF(SUM(N(X61),N(Y61),N(Z61))&gt;0,"TQQQ","SOXL"),IF(AQ61="YES",IF(SUM(N(AA61),N(AB61),N(AC61))&gt;0,"SQQQ","SOXS"),""))</f>
        <v/>
      </c>
      <c r="AT61" s="23">
        <f>IF(AR61="WAIT","",IF(AS61="",1,0.6))</f>
        <v/>
      </c>
      <c r="AU61" s="23">
        <f>IF(AS61="",0,0.4)</f>
        <v/>
      </c>
      <c r="AV61">
        <f>IF(AR61="WAIT","WAIT",IF(AP61="YES","BULL",IF(AQ61="YES","BEAR","WAIT")))</f>
        <v/>
      </c>
      <c r="AW61">
        <f>IF(AR61="WAIT","Low",IF(OR(AND(AV61="BULL",ABS(SUM(N(X61),N(Y61),N(Z61)))&gt;=0.15),AND(AV61="BEAR",ABS(SUM(N(AA61),N(AB61),N(AC61)))&gt;=0.15)),"Strong",IF(OR(AND(AV61="BULL",ABS(SUM(N(X61),N(Y61),N(Z61)))&gt;=0.05),AND(AV61="BEAR",ABS(SUM(N(AA61),N(AB61),N(AC61)))&gt;=0.05)),"Moderate","Low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13" t="n"/>
      <c r="AF62" s="23">
        <f>IF(OR(AD62="",AD61=""),"",IF(AD61=0,"",(AD62/AD61)-1))</f>
        <v/>
      </c>
      <c r="AG62" s="23">
        <f>IF(ROW()&lt;7,"",IF(OR(AD62="",AD59=""),"",IF(AD59=0,"",(AD62/AD59)-1)))</f>
        <v/>
      </c>
      <c r="AH62" s="23">
        <f>IF(ROW()&lt;9,"",IF(OR(AD62="",AD57=""),"",IF(AD57=0,"",(AD62/AD57)-1)))</f>
        <v/>
      </c>
      <c r="AJ62" s="23">
        <f>IF(OR(AE62="",AE61=""),"",IF(AE61=0,"",(AE62/AE61)-1))</f>
        <v/>
      </c>
      <c r="AK62" s="23">
        <f>IF(ROW()&lt;7,"",IF(OR(AE62="",AE59=""),"",IF(AE59=0,"",(AE62/AE59)-1)))</f>
        <v/>
      </c>
      <c r="AL62" s="23">
        <f>IF(ROW()&lt;9,"",IF(OR(AE62="",AE57=""),"",IF(AE57=0,"",(AE62/AE57)-1)))</f>
        <v/>
      </c>
      <c r="AN62">
        <f>IF(OR(AG62="",AH62=""),"",IF(AND(AG62&gt;0,AH62&gt;0),"Bull",IF(AND(AG62&lt;0,AH62&lt;0),"Bear","Mixed")))</f>
        <v/>
      </c>
      <c r="AO62">
        <f>IF(OR(AK62="",AL62=""),"",IF(AND(AK62&gt;0,AL62&gt;0),"Bull",IF(AND(AK62&lt;0,AL62&lt;0),"Bear","Mixed")))</f>
        <v/>
      </c>
      <c r="AP62">
        <f>IF(OR(AN62="",AO62=""),"",IF(AND(AN62="Bull",AO62="Bull"),"YES","NO"))</f>
        <v/>
      </c>
      <c r="AQ62">
        <f>IF(OR(AN62="",AO62=""),"",IF(AND(AN62="Bear",AO62="Bear"),"YES","NO"))</f>
        <v/>
      </c>
      <c r="AR62">
        <f>IF(AP62="YES",IF(SUM(N(X62),N(Y62),N(Z62))&gt;0,"SOXL","TQQQ"),IF(AQ62="YES",IF(SUM(N(AA62),N(AB62),N(AC62))&gt;0,"SOXS","SQQQ"),"WAIT"))</f>
        <v/>
      </c>
      <c r="AS62">
        <f>IF(AP62="YES",IF(SUM(N(X62),N(Y62),N(Z62))&gt;0,"TQQQ","SOXL"),IF(AQ62="YES",IF(SUM(N(AA62),N(AB62),N(AC62))&gt;0,"SQQQ","SOXS"),""))</f>
        <v/>
      </c>
      <c r="AT62" s="23">
        <f>IF(AR62="WAIT","",IF(AS62="",1,0.6))</f>
        <v/>
      </c>
      <c r="AU62" s="23">
        <f>IF(AS62="",0,0.4)</f>
        <v/>
      </c>
      <c r="AV62">
        <f>IF(AR62="WAIT","WAIT",IF(AP62="YES","BULL",IF(AQ62="YES","BEAR","WAIT")))</f>
        <v/>
      </c>
      <c r="AW62">
        <f>IF(AR62="WAIT","Low",IF(OR(AND(AV62="BULL",ABS(SUM(N(X62),N(Y62),N(Z62)))&gt;=0.15),AND(AV62="BEAR",ABS(SUM(N(AA62),N(AB62),N(AC62)))&gt;=0.15)),"Strong",IF(OR(AND(AV62="BULL",ABS(SUM(N(X62),N(Y62),N(Z62)))&gt;=0.05),AND(AV62="BEAR",ABS(SUM(N(AA62),N(AB62),N(AC62)))&gt;=0.05)),"Moderate","Low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13" t="n"/>
      <c r="AF63" s="23">
        <f>IF(OR(AD63="",AD62=""),"",IF(AD62=0,"",(AD63/AD62)-1))</f>
        <v/>
      </c>
      <c r="AG63" s="23">
        <f>IF(ROW()&lt;7,"",IF(OR(AD63="",AD60=""),"",IF(AD60=0,"",(AD63/AD60)-1)))</f>
        <v/>
      </c>
      <c r="AH63" s="23">
        <f>IF(ROW()&lt;9,"",IF(OR(AD63="",AD58=""),"",IF(AD58=0,"",(AD63/AD58)-1)))</f>
        <v/>
      </c>
      <c r="AJ63" s="23">
        <f>IF(OR(AE63="",AE62=""),"",IF(AE62=0,"",(AE63/AE62)-1))</f>
        <v/>
      </c>
      <c r="AK63" s="23">
        <f>IF(ROW()&lt;7,"",IF(OR(AE63="",AE60=""),"",IF(AE60=0,"",(AE63/AE60)-1)))</f>
        <v/>
      </c>
      <c r="AL63" s="23">
        <f>IF(ROW()&lt;9,"",IF(OR(AE63="",AE58=""),"",IF(AE58=0,"",(AE63/AE58)-1)))</f>
        <v/>
      </c>
      <c r="AN63">
        <f>IF(OR(AG63="",AH63=""),"",IF(AND(AG63&gt;0,AH63&gt;0),"Bull",IF(AND(AG63&lt;0,AH63&lt;0),"Bear","Mixed")))</f>
        <v/>
      </c>
      <c r="AO63">
        <f>IF(OR(AK63="",AL63=""),"",IF(AND(AK63&gt;0,AL63&gt;0),"Bull",IF(AND(AK63&lt;0,AL63&lt;0),"Bear","Mixed")))</f>
        <v/>
      </c>
      <c r="AP63">
        <f>IF(OR(AN63="",AO63=""),"",IF(AND(AN63="Bull",AO63="Bull"),"YES","NO"))</f>
        <v/>
      </c>
      <c r="AQ63">
        <f>IF(OR(AN63="",AO63=""),"",IF(AND(AN63="Bear",AO63="Bear"),"YES","NO"))</f>
        <v/>
      </c>
      <c r="AR63">
        <f>IF(AP63="YES",IF(SUM(N(X63),N(Y63),N(Z63))&gt;0,"SOXL","TQQQ"),IF(AQ63="YES",IF(SUM(N(AA63),N(AB63),N(AC63))&gt;0,"SOXS","SQQQ"),"WAIT"))</f>
        <v/>
      </c>
      <c r="AS63">
        <f>IF(AP63="YES",IF(SUM(N(X63),N(Y63),N(Z63))&gt;0,"TQQQ","SOXL"),IF(AQ63="YES",IF(SUM(N(AA63),N(AB63),N(AC63))&gt;0,"SQQQ","SOXS"),""))</f>
        <v/>
      </c>
      <c r="AT63" s="23">
        <f>IF(AR63="WAIT","",IF(AS63="",1,0.6))</f>
        <v/>
      </c>
      <c r="AU63" s="23">
        <f>IF(AS63="",0,0.4)</f>
        <v/>
      </c>
      <c r="AV63">
        <f>IF(AR63="WAIT","WAIT",IF(AP63="YES","BULL",IF(AQ63="YES","BEAR","WAIT")))</f>
        <v/>
      </c>
      <c r="AW63">
        <f>IF(AR63="WAIT","Low",IF(OR(AND(AV63="BULL",ABS(SUM(N(X63),N(Y63),N(Z63)))&gt;=0.15),AND(AV63="BEAR",ABS(SUM(N(AA63),N(AB63),N(AC63)))&gt;=0.15)),"Strong",IF(OR(AND(AV63="BULL",ABS(SUM(N(X63),N(Y63),N(Z63)))&gt;=0.05),AND(AV63="BEAR",ABS(SUM(N(AA63),N(AB63),N(AC63)))&gt;=0.05)),"Moderate","Low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13" t="n"/>
      <c r="AF64" s="23">
        <f>IF(OR(AD64="",AD63=""),"",IF(AD63=0,"",(AD64/AD63)-1))</f>
        <v/>
      </c>
      <c r="AG64" s="23">
        <f>IF(ROW()&lt;7,"",IF(OR(AD64="",AD61=""),"",IF(AD61=0,"",(AD64/AD61)-1)))</f>
        <v/>
      </c>
      <c r="AH64" s="23">
        <f>IF(ROW()&lt;9,"",IF(OR(AD64="",AD59=""),"",IF(AD59=0,"",(AD64/AD59)-1)))</f>
        <v/>
      </c>
      <c r="AJ64" s="23">
        <f>IF(OR(AE64="",AE63=""),"",IF(AE63=0,"",(AE64/AE63)-1))</f>
        <v/>
      </c>
      <c r="AK64" s="23">
        <f>IF(ROW()&lt;7,"",IF(OR(AE64="",AE61=""),"",IF(AE61=0,"",(AE64/AE61)-1)))</f>
        <v/>
      </c>
      <c r="AL64" s="23">
        <f>IF(ROW()&lt;9,"",IF(OR(AE64="",AE59=""),"",IF(AE59=0,"",(AE64/AE59)-1)))</f>
        <v/>
      </c>
      <c r="AN64">
        <f>IF(OR(AG64="",AH64=""),"",IF(AND(AG64&gt;0,AH64&gt;0),"Bull",IF(AND(AG64&lt;0,AH64&lt;0),"Bear","Mixed")))</f>
        <v/>
      </c>
      <c r="AO64">
        <f>IF(OR(AK64="",AL64=""),"",IF(AND(AK64&gt;0,AL64&gt;0),"Bull",IF(AND(AK64&lt;0,AL64&lt;0),"Bear","Mixed")))</f>
        <v/>
      </c>
      <c r="AP64">
        <f>IF(OR(AN64="",AO64=""),"",IF(AND(AN64="Bull",AO64="Bull"),"YES","NO"))</f>
        <v/>
      </c>
      <c r="AQ64">
        <f>IF(OR(AN64="",AO64=""),"",IF(AND(AN64="Bear",AO64="Bear"),"YES","NO"))</f>
        <v/>
      </c>
      <c r="AR64">
        <f>IF(AP64="YES",IF(SUM(N(X64),N(Y64),N(Z64))&gt;0,"SOXL","TQQQ"),IF(AQ64="YES",IF(SUM(N(AA64),N(AB64),N(AC64))&gt;0,"SOXS","SQQQ"),"WAIT"))</f>
        <v/>
      </c>
      <c r="AS64">
        <f>IF(AP64="YES",IF(SUM(N(X64),N(Y64),N(Z64))&gt;0,"TQQQ","SOXL"),IF(AQ64="YES",IF(SUM(N(AA64),N(AB64),N(AC64))&gt;0,"SQQQ","SOXS"),""))</f>
        <v/>
      </c>
      <c r="AT64" s="23">
        <f>IF(AR64="WAIT","",IF(AS64="",1,0.6))</f>
        <v/>
      </c>
      <c r="AU64" s="23">
        <f>IF(AS64="",0,0.4)</f>
        <v/>
      </c>
      <c r="AV64">
        <f>IF(AR64="WAIT","WAIT",IF(AP64="YES","BULL",IF(AQ64="YES","BEAR","WAIT")))</f>
        <v/>
      </c>
      <c r="AW64">
        <f>IF(AR64="WAIT","Low",IF(OR(AND(AV64="BULL",ABS(SUM(N(X64),N(Y64),N(Z64)))&gt;=0.15),AND(AV64="BEAR",ABS(SUM(N(AA64),N(AB64),N(AC64)))&gt;=0.15)),"Strong",IF(OR(AND(AV64="BULL",ABS(SUM(N(X64),N(Y64),N(Z64)))&gt;=0.05),AND(AV64="BEAR",ABS(SUM(N(AA64),N(AB64),N(AC64)))&gt;=0.05)),"Moderate","Low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13" t="n"/>
      <c r="AF65" s="23">
        <f>IF(OR(AD65="",AD64=""),"",IF(AD64=0,"",(AD65/AD64)-1))</f>
        <v/>
      </c>
      <c r="AG65" s="23">
        <f>IF(ROW()&lt;7,"",IF(OR(AD65="",AD62=""),"",IF(AD62=0,"",(AD65/AD62)-1)))</f>
        <v/>
      </c>
      <c r="AH65" s="23">
        <f>IF(ROW()&lt;9,"",IF(OR(AD65="",AD60=""),"",IF(AD60=0,"",(AD65/AD60)-1)))</f>
        <v/>
      </c>
      <c r="AJ65" s="23">
        <f>IF(OR(AE65="",AE64=""),"",IF(AE64=0,"",(AE65/AE64)-1))</f>
        <v/>
      </c>
      <c r="AK65" s="23">
        <f>IF(ROW()&lt;7,"",IF(OR(AE65="",AE62=""),"",IF(AE62=0,"",(AE65/AE62)-1)))</f>
        <v/>
      </c>
      <c r="AL65" s="23">
        <f>IF(ROW()&lt;9,"",IF(OR(AE65="",AE60=""),"",IF(AE60=0,"",(AE65/AE60)-1)))</f>
        <v/>
      </c>
      <c r="AN65">
        <f>IF(OR(AG65="",AH65=""),"",IF(AND(AG65&gt;0,AH65&gt;0),"Bull",IF(AND(AG65&lt;0,AH65&lt;0),"Bear","Mixed")))</f>
        <v/>
      </c>
      <c r="AO65">
        <f>IF(OR(AK65="",AL65=""),"",IF(AND(AK65&gt;0,AL65&gt;0),"Bull",IF(AND(AK65&lt;0,AL65&lt;0),"Bear","Mixed")))</f>
        <v/>
      </c>
      <c r="AP65">
        <f>IF(OR(AN65="",AO65=""),"",IF(AND(AN65="Bull",AO65="Bull"),"YES","NO"))</f>
        <v/>
      </c>
      <c r="AQ65">
        <f>IF(OR(AN65="",AO65=""),"",IF(AND(AN65="Bear",AO65="Bear"),"YES","NO"))</f>
        <v/>
      </c>
      <c r="AR65">
        <f>IF(AP65="YES",IF(SUM(N(X65),N(Y65),N(Z65))&gt;0,"SOXL","TQQQ"),IF(AQ65="YES",IF(SUM(N(AA65),N(AB65),N(AC65))&gt;0,"SOXS","SQQQ"),"WAIT"))</f>
        <v/>
      </c>
      <c r="AS65">
        <f>IF(AP65="YES",IF(SUM(N(X65),N(Y65),N(Z65))&gt;0,"TQQQ","SOXL"),IF(AQ65="YES",IF(SUM(N(AA65),N(AB65),N(AC65))&gt;0,"SQQQ","SOXS"),""))</f>
        <v/>
      </c>
      <c r="AT65" s="23">
        <f>IF(AR65="WAIT","",IF(AS65="",1,0.6))</f>
        <v/>
      </c>
      <c r="AU65" s="23">
        <f>IF(AS65="",0,0.4)</f>
        <v/>
      </c>
      <c r="AV65">
        <f>IF(AR65="WAIT","WAIT",IF(AP65="YES","BULL",IF(AQ65="YES","BEAR","WAIT")))</f>
        <v/>
      </c>
      <c r="AW65">
        <f>IF(AR65="WAIT","Low",IF(OR(AND(AV65="BULL",ABS(SUM(N(X65),N(Y65),N(Z65)))&gt;=0.15),AND(AV65="BEAR",ABS(SUM(N(AA65),N(AB65),N(AC65)))&gt;=0.15)),"Strong",IF(OR(AND(AV65="BULL",ABS(SUM(N(X65),N(Y65),N(Z65)))&gt;=0.05),AND(AV65="BEAR",ABS(SUM(N(AA65),N(AB65),N(AC65)))&gt;=0.05)),"Moderate","Low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13" t="n"/>
      <c r="AF66" s="23">
        <f>IF(OR(AD66="",AD65=""),"",IF(AD65=0,"",(AD66/AD65)-1))</f>
        <v/>
      </c>
      <c r="AG66" s="23">
        <f>IF(ROW()&lt;7,"",IF(OR(AD66="",AD63=""),"",IF(AD63=0,"",(AD66/AD63)-1)))</f>
        <v/>
      </c>
      <c r="AH66" s="23">
        <f>IF(ROW()&lt;9,"",IF(OR(AD66="",AD61=""),"",IF(AD61=0,"",(AD66/AD61)-1)))</f>
        <v/>
      </c>
      <c r="AJ66" s="23">
        <f>IF(OR(AE66="",AE65=""),"",IF(AE65=0,"",(AE66/AE65)-1))</f>
        <v/>
      </c>
      <c r="AK66" s="23">
        <f>IF(ROW()&lt;7,"",IF(OR(AE66="",AE63=""),"",IF(AE63=0,"",(AE66/AE63)-1)))</f>
        <v/>
      </c>
      <c r="AL66" s="23">
        <f>IF(ROW()&lt;9,"",IF(OR(AE66="",AE61=""),"",IF(AE61=0,"",(AE66/AE61)-1)))</f>
        <v/>
      </c>
      <c r="AN66">
        <f>IF(OR(AG66="",AH66=""),"",IF(AND(AG66&gt;0,AH66&gt;0),"Bull",IF(AND(AG66&lt;0,AH66&lt;0),"Bear","Mixed")))</f>
        <v/>
      </c>
      <c r="AO66">
        <f>IF(OR(AK66="",AL66=""),"",IF(AND(AK66&gt;0,AL66&gt;0),"Bull",IF(AND(AK66&lt;0,AL66&lt;0),"Bear","Mixed")))</f>
        <v/>
      </c>
      <c r="AP66">
        <f>IF(OR(AN66="",AO66=""),"",IF(AND(AN66="Bull",AO66="Bull"),"YES","NO"))</f>
        <v/>
      </c>
      <c r="AQ66">
        <f>IF(OR(AN66="",AO66=""),"",IF(AND(AN66="Bear",AO66="Bear"),"YES","NO"))</f>
        <v/>
      </c>
      <c r="AR66">
        <f>IF(AP66="YES",IF(SUM(N(X66),N(Y66),N(Z66))&gt;0,"SOXL","TQQQ"),IF(AQ66="YES",IF(SUM(N(AA66),N(AB66),N(AC66))&gt;0,"SOXS","SQQQ"),"WAIT"))</f>
        <v/>
      </c>
      <c r="AS66">
        <f>IF(AP66="YES",IF(SUM(N(X66),N(Y66),N(Z66))&gt;0,"TQQQ","SOXL"),IF(AQ66="YES",IF(SUM(N(AA66),N(AB66),N(AC66))&gt;0,"SQQQ","SOXS"),""))</f>
        <v/>
      </c>
      <c r="AT66" s="23">
        <f>IF(AR66="WAIT","",IF(AS66="",1,0.6))</f>
        <v/>
      </c>
      <c r="AU66" s="23">
        <f>IF(AS66="",0,0.4)</f>
        <v/>
      </c>
      <c r="AV66">
        <f>IF(AR66="WAIT","WAIT",IF(AP66="YES","BULL",IF(AQ66="YES","BEAR","WAIT")))</f>
        <v/>
      </c>
      <c r="AW66">
        <f>IF(AR66="WAIT","Low",IF(OR(AND(AV66="BULL",ABS(SUM(N(X66),N(Y66),N(Z66)))&gt;=0.15),AND(AV66="BEAR",ABS(SUM(N(AA66),N(AB66),N(AC66)))&gt;=0.15)),"Strong",IF(OR(AND(AV66="BULL",ABS(SUM(N(X66),N(Y66),N(Z66)))&gt;=0.05),AND(AV66="BEAR",ABS(SUM(N(AA66),N(AB66),N(AC66)))&gt;=0.05)),"Moderate","Low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13" t="n"/>
      <c r="AF67" s="23">
        <f>IF(OR(AD67="",AD66=""),"",IF(AD66=0,"",(AD67/AD66)-1))</f>
        <v/>
      </c>
      <c r="AG67" s="23">
        <f>IF(ROW()&lt;7,"",IF(OR(AD67="",AD64=""),"",IF(AD64=0,"",(AD67/AD64)-1)))</f>
        <v/>
      </c>
      <c r="AH67" s="23">
        <f>IF(ROW()&lt;9,"",IF(OR(AD67="",AD62=""),"",IF(AD62=0,"",(AD67/AD62)-1)))</f>
        <v/>
      </c>
      <c r="AJ67" s="23">
        <f>IF(OR(AE67="",AE66=""),"",IF(AE66=0,"",(AE67/AE66)-1))</f>
        <v/>
      </c>
      <c r="AK67" s="23">
        <f>IF(ROW()&lt;7,"",IF(OR(AE67="",AE64=""),"",IF(AE64=0,"",(AE67/AE64)-1)))</f>
        <v/>
      </c>
      <c r="AL67" s="23">
        <f>IF(ROW()&lt;9,"",IF(OR(AE67="",AE62=""),"",IF(AE62=0,"",(AE67/AE62)-1)))</f>
        <v/>
      </c>
      <c r="AN67">
        <f>IF(OR(AG67="",AH67=""),"",IF(AND(AG67&gt;0,AH67&gt;0),"Bull",IF(AND(AG67&lt;0,AH67&lt;0),"Bear","Mixed")))</f>
        <v/>
      </c>
      <c r="AO67">
        <f>IF(OR(AK67="",AL67=""),"",IF(AND(AK67&gt;0,AL67&gt;0),"Bull",IF(AND(AK67&lt;0,AL67&lt;0),"Bear","Mixed")))</f>
        <v/>
      </c>
      <c r="AP67">
        <f>IF(OR(AN67="",AO67=""),"",IF(AND(AN67="Bull",AO67="Bull"),"YES","NO"))</f>
        <v/>
      </c>
      <c r="AQ67">
        <f>IF(OR(AN67="",AO67=""),"",IF(AND(AN67="Bear",AO67="Bear"),"YES","NO"))</f>
        <v/>
      </c>
      <c r="AR67">
        <f>IF(AP67="YES",IF(SUM(N(X67),N(Y67),N(Z67))&gt;0,"SOXL","TQQQ"),IF(AQ67="YES",IF(SUM(N(AA67),N(AB67),N(AC67))&gt;0,"SOXS","SQQQ"),"WAIT"))</f>
        <v/>
      </c>
      <c r="AS67">
        <f>IF(AP67="YES",IF(SUM(N(X67),N(Y67),N(Z67))&gt;0,"TQQQ","SOXL"),IF(AQ67="YES",IF(SUM(N(AA67),N(AB67),N(AC67))&gt;0,"SQQQ","SOXS"),""))</f>
        <v/>
      </c>
      <c r="AT67" s="23">
        <f>IF(AR67="WAIT","",IF(AS67="",1,0.6))</f>
        <v/>
      </c>
      <c r="AU67" s="23">
        <f>IF(AS67="",0,0.4)</f>
        <v/>
      </c>
      <c r="AV67">
        <f>IF(AR67="WAIT","WAIT",IF(AP67="YES","BULL",IF(AQ67="YES","BEAR","WAIT")))</f>
        <v/>
      </c>
      <c r="AW67">
        <f>IF(AR67="WAIT","Low",IF(OR(AND(AV67="BULL",ABS(SUM(N(X67),N(Y67),N(Z67)))&gt;=0.15),AND(AV67="BEAR",ABS(SUM(N(AA67),N(AB67),N(AC67)))&gt;=0.15)),"Strong",IF(OR(AND(AV67="BULL",ABS(SUM(N(X67),N(Y67),N(Z67)))&gt;=0.05),AND(AV67="BEAR",ABS(SUM(N(AA67),N(AB67),N(AC67)))&gt;=0.05)),"Moderate","Low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13" t="n"/>
      <c r="AF68" s="23">
        <f>IF(OR(AD68="",AD67=""),"",IF(AD67=0,"",(AD68/AD67)-1))</f>
        <v/>
      </c>
      <c r="AG68" s="23">
        <f>IF(ROW()&lt;7,"",IF(OR(AD68="",AD65=""),"",IF(AD65=0,"",(AD68/AD65)-1)))</f>
        <v/>
      </c>
      <c r="AH68" s="23">
        <f>IF(ROW()&lt;9,"",IF(OR(AD68="",AD63=""),"",IF(AD63=0,"",(AD68/AD63)-1)))</f>
        <v/>
      </c>
      <c r="AJ68" s="23">
        <f>IF(OR(AE68="",AE67=""),"",IF(AE67=0,"",(AE68/AE67)-1))</f>
        <v/>
      </c>
      <c r="AK68" s="23">
        <f>IF(ROW()&lt;7,"",IF(OR(AE68="",AE65=""),"",IF(AE65=0,"",(AE68/AE65)-1)))</f>
        <v/>
      </c>
      <c r="AL68" s="23">
        <f>IF(ROW()&lt;9,"",IF(OR(AE68="",AE63=""),"",IF(AE63=0,"",(AE68/AE63)-1)))</f>
        <v/>
      </c>
      <c r="AN68">
        <f>IF(OR(AG68="",AH68=""),"",IF(AND(AG68&gt;0,AH68&gt;0),"Bull",IF(AND(AG68&lt;0,AH68&lt;0),"Bear","Mixed")))</f>
        <v/>
      </c>
      <c r="AO68">
        <f>IF(OR(AK68="",AL68=""),"",IF(AND(AK68&gt;0,AL68&gt;0),"Bull",IF(AND(AK68&lt;0,AL68&lt;0),"Bear","Mixed")))</f>
        <v/>
      </c>
      <c r="AP68">
        <f>IF(OR(AN68="",AO68=""),"",IF(AND(AN68="Bull",AO68="Bull"),"YES","NO"))</f>
        <v/>
      </c>
      <c r="AQ68">
        <f>IF(OR(AN68="",AO68=""),"",IF(AND(AN68="Bear",AO68="Bear"),"YES","NO"))</f>
        <v/>
      </c>
      <c r="AR68">
        <f>IF(AP68="YES",IF(SUM(N(X68),N(Y68),N(Z68))&gt;0,"SOXL","TQQQ"),IF(AQ68="YES",IF(SUM(N(AA68),N(AB68),N(AC68))&gt;0,"SOXS","SQQQ"),"WAIT"))</f>
        <v/>
      </c>
      <c r="AS68">
        <f>IF(AP68="YES",IF(SUM(N(X68),N(Y68),N(Z68))&gt;0,"TQQQ","SOXL"),IF(AQ68="YES",IF(SUM(N(AA68),N(AB68),N(AC68))&gt;0,"SQQQ","SOXS"),""))</f>
        <v/>
      </c>
      <c r="AT68" s="23">
        <f>IF(AR68="WAIT","",IF(AS68="",1,0.6))</f>
        <v/>
      </c>
      <c r="AU68" s="23">
        <f>IF(AS68="",0,0.4)</f>
        <v/>
      </c>
      <c r="AV68">
        <f>IF(AR68="WAIT","WAIT",IF(AP68="YES","BULL",IF(AQ68="YES","BEAR","WAIT")))</f>
        <v/>
      </c>
      <c r="AW68">
        <f>IF(AR68="WAIT","Low",IF(OR(AND(AV68="BULL",ABS(SUM(N(X68),N(Y68),N(Z68)))&gt;=0.15),AND(AV68="BEAR",ABS(SUM(N(AA68),N(AB68),N(AC68)))&gt;=0.15)),"Strong",IF(OR(AND(AV68="BULL",ABS(SUM(N(X68),N(Y68),N(Z68)))&gt;=0.05),AND(AV68="BEAR",ABS(SUM(N(AA68),N(AB68),N(AC68)))&gt;=0.05)),"Moderate","Low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13" t="n"/>
      <c r="AF69" s="23">
        <f>IF(OR(AD69="",AD68=""),"",IF(AD68=0,"",(AD69/AD68)-1))</f>
        <v/>
      </c>
      <c r="AG69" s="23">
        <f>IF(ROW()&lt;7,"",IF(OR(AD69="",AD66=""),"",IF(AD66=0,"",(AD69/AD66)-1)))</f>
        <v/>
      </c>
      <c r="AH69" s="23">
        <f>IF(ROW()&lt;9,"",IF(OR(AD69="",AD64=""),"",IF(AD64=0,"",(AD69/AD64)-1)))</f>
        <v/>
      </c>
      <c r="AJ69" s="23">
        <f>IF(OR(AE69="",AE68=""),"",IF(AE68=0,"",(AE69/AE68)-1))</f>
        <v/>
      </c>
      <c r="AK69" s="23">
        <f>IF(ROW()&lt;7,"",IF(OR(AE69="",AE66=""),"",IF(AE66=0,"",(AE69/AE66)-1)))</f>
        <v/>
      </c>
      <c r="AL69" s="23">
        <f>IF(ROW()&lt;9,"",IF(OR(AE69="",AE64=""),"",IF(AE64=0,"",(AE69/AE64)-1)))</f>
        <v/>
      </c>
      <c r="AN69">
        <f>IF(OR(AG69="",AH69=""),"",IF(AND(AG69&gt;0,AH69&gt;0),"Bull",IF(AND(AG69&lt;0,AH69&lt;0),"Bear","Mixed")))</f>
        <v/>
      </c>
      <c r="AO69">
        <f>IF(OR(AK69="",AL69=""),"",IF(AND(AK69&gt;0,AL69&gt;0),"Bull",IF(AND(AK69&lt;0,AL69&lt;0),"Bear","Mixed")))</f>
        <v/>
      </c>
      <c r="AP69">
        <f>IF(OR(AN69="",AO69=""),"",IF(AND(AN69="Bull",AO69="Bull"),"YES","NO"))</f>
        <v/>
      </c>
      <c r="AQ69">
        <f>IF(OR(AN69="",AO69=""),"",IF(AND(AN69="Bear",AO69="Bear"),"YES","NO"))</f>
        <v/>
      </c>
      <c r="AR69">
        <f>IF(AP69="YES",IF(SUM(N(X69),N(Y69),N(Z69))&gt;0,"SOXL","TQQQ"),IF(AQ69="YES",IF(SUM(N(AA69),N(AB69),N(AC69))&gt;0,"SOXS","SQQQ"),"WAIT"))</f>
        <v/>
      </c>
      <c r="AS69">
        <f>IF(AP69="YES",IF(SUM(N(X69),N(Y69),N(Z69))&gt;0,"TQQQ","SOXL"),IF(AQ69="YES",IF(SUM(N(AA69),N(AB69),N(AC69))&gt;0,"SQQQ","SOXS"),""))</f>
        <v/>
      </c>
      <c r="AT69" s="23">
        <f>IF(AR69="WAIT","",IF(AS69="",1,0.6))</f>
        <v/>
      </c>
      <c r="AU69" s="23">
        <f>IF(AS69="",0,0.4)</f>
        <v/>
      </c>
      <c r="AV69">
        <f>IF(AR69="WAIT","WAIT",IF(AP69="YES","BULL",IF(AQ69="YES","BEAR","WAIT")))</f>
        <v/>
      </c>
      <c r="AW69">
        <f>IF(AR69="WAIT","Low",IF(OR(AND(AV69="BULL",ABS(SUM(N(X69),N(Y69),N(Z69)))&gt;=0.15),AND(AV69="BEAR",ABS(SUM(N(AA69),N(AB69),N(AC69)))&gt;=0.15)),"Strong",IF(OR(AND(AV69="BULL",ABS(SUM(N(X69),N(Y69),N(Z69)))&gt;=0.05),AND(AV69="BEAR",ABS(SUM(N(AA69),N(AB69),N(AC69)))&gt;=0.05)),"Moderate","Low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13" t="n"/>
      <c r="AF70" s="23">
        <f>IF(OR(AD70="",AD69=""),"",IF(AD69=0,"",(AD70/AD69)-1))</f>
        <v/>
      </c>
      <c r="AG70" s="23">
        <f>IF(ROW()&lt;7,"",IF(OR(AD70="",AD67=""),"",IF(AD67=0,"",(AD70/AD67)-1)))</f>
        <v/>
      </c>
      <c r="AH70" s="23">
        <f>IF(ROW()&lt;9,"",IF(OR(AD70="",AD65=""),"",IF(AD65=0,"",(AD70/AD65)-1)))</f>
        <v/>
      </c>
      <c r="AJ70" s="23">
        <f>IF(OR(AE70="",AE69=""),"",IF(AE69=0,"",(AE70/AE69)-1))</f>
        <v/>
      </c>
      <c r="AK70" s="23">
        <f>IF(ROW()&lt;7,"",IF(OR(AE70="",AE67=""),"",IF(AE67=0,"",(AE70/AE67)-1)))</f>
        <v/>
      </c>
      <c r="AL70" s="23">
        <f>IF(ROW()&lt;9,"",IF(OR(AE70="",AE65=""),"",IF(AE65=0,"",(AE70/AE65)-1)))</f>
        <v/>
      </c>
      <c r="AN70">
        <f>IF(OR(AG70="",AH70=""),"",IF(AND(AG70&gt;0,AH70&gt;0),"Bull",IF(AND(AG70&lt;0,AH70&lt;0),"Bear","Mixed")))</f>
        <v/>
      </c>
      <c r="AO70">
        <f>IF(OR(AK70="",AL70=""),"",IF(AND(AK70&gt;0,AL70&gt;0),"Bull",IF(AND(AK70&lt;0,AL70&lt;0),"Bear","Mixed")))</f>
        <v/>
      </c>
      <c r="AP70">
        <f>IF(OR(AN70="",AO70=""),"",IF(AND(AN70="Bull",AO70="Bull"),"YES","NO"))</f>
        <v/>
      </c>
      <c r="AQ70">
        <f>IF(OR(AN70="",AO70=""),"",IF(AND(AN70="Bear",AO70="Bear"),"YES","NO"))</f>
        <v/>
      </c>
      <c r="AR70">
        <f>IF(AP70="YES",IF(SUM(N(X70),N(Y70),N(Z70))&gt;0,"SOXL","TQQQ"),IF(AQ70="YES",IF(SUM(N(AA70),N(AB70),N(AC70))&gt;0,"SOXS","SQQQ"),"WAIT"))</f>
        <v/>
      </c>
      <c r="AS70">
        <f>IF(AP70="YES",IF(SUM(N(X70),N(Y70),N(Z70))&gt;0,"TQQQ","SOXL"),IF(AQ70="YES",IF(SUM(N(AA70),N(AB70),N(AC70))&gt;0,"SQQQ","SOXS"),""))</f>
        <v/>
      </c>
      <c r="AT70" s="23">
        <f>IF(AR70="WAIT","",IF(AS70="",1,0.6))</f>
        <v/>
      </c>
      <c r="AU70" s="23">
        <f>IF(AS70="",0,0.4)</f>
        <v/>
      </c>
      <c r="AV70">
        <f>IF(AR70="WAIT","WAIT",IF(AP70="YES","BULL",IF(AQ70="YES","BEAR","WAIT")))</f>
        <v/>
      </c>
      <c r="AW70">
        <f>IF(AR70="WAIT","Low",IF(OR(AND(AV70="BULL",ABS(SUM(N(X70),N(Y70),N(Z70)))&gt;=0.15),AND(AV70="BEAR",ABS(SUM(N(AA70),N(AB70),N(AC70)))&gt;=0.15)),"Strong",IF(OR(AND(AV70="BULL",ABS(SUM(N(X70),N(Y70),N(Z70)))&gt;=0.05),AND(AV70="BEAR",ABS(SUM(N(AA70),N(AB70),N(AC70)))&gt;=0.05)),"Moderate","Low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13" t="n"/>
      <c r="AF71" s="23">
        <f>IF(OR(AD71="",AD70=""),"",IF(AD70=0,"",(AD71/AD70)-1))</f>
        <v/>
      </c>
      <c r="AG71" s="23">
        <f>IF(ROW()&lt;7,"",IF(OR(AD71="",AD68=""),"",IF(AD68=0,"",(AD71/AD68)-1)))</f>
        <v/>
      </c>
      <c r="AH71" s="23">
        <f>IF(ROW()&lt;9,"",IF(OR(AD71="",AD66=""),"",IF(AD66=0,"",(AD71/AD66)-1)))</f>
        <v/>
      </c>
      <c r="AJ71" s="23">
        <f>IF(OR(AE71="",AE70=""),"",IF(AE70=0,"",(AE71/AE70)-1))</f>
        <v/>
      </c>
      <c r="AK71" s="23">
        <f>IF(ROW()&lt;7,"",IF(OR(AE71="",AE68=""),"",IF(AE68=0,"",(AE71/AE68)-1)))</f>
        <v/>
      </c>
      <c r="AL71" s="23">
        <f>IF(ROW()&lt;9,"",IF(OR(AE71="",AE66=""),"",IF(AE66=0,"",(AE71/AE66)-1)))</f>
        <v/>
      </c>
      <c r="AN71">
        <f>IF(OR(AG71="",AH71=""),"",IF(AND(AG71&gt;0,AH71&gt;0),"Bull",IF(AND(AG71&lt;0,AH71&lt;0),"Bear","Mixed")))</f>
        <v/>
      </c>
      <c r="AO71">
        <f>IF(OR(AK71="",AL71=""),"",IF(AND(AK71&gt;0,AL71&gt;0),"Bull",IF(AND(AK71&lt;0,AL71&lt;0),"Bear","Mixed")))</f>
        <v/>
      </c>
      <c r="AP71">
        <f>IF(OR(AN71="",AO71=""),"",IF(AND(AN71="Bull",AO71="Bull"),"YES","NO"))</f>
        <v/>
      </c>
      <c r="AQ71">
        <f>IF(OR(AN71="",AO71=""),"",IF(AND(AN71="Bear",AO71="Bear"),"YES","NO"))</f>
        <v/>
      </c>
      <c r="AR71">
        <f>IF(AP71="YES",IF(SUM(N(X71),N(Y71),N(Z71))&gt;0,"SOXL","TQQQ"),IF(AQ71="YES",IF(SUM(N(AA71),N(AB71),N(AC71))&gt;0,"SOXS","SQQQ"),"WAIT"))</f>
        <v/>
      </c>
      <c r="AS71">
        <f>IF(AP71="YES",IF(SUM(N(X71),N(Y71),N(Z71))&gt;0,"TQQQ","SOXL"),IF(AQ71="YES",IF(SUM(N(AA71),N(AB71),N(AC71))&gt;0,"SQQQ","SOXS"),""))</f>
        <v/>
      </c>
      <c r="AT71" s="23">
        <f>IF(AR71="WAIT","",IF(AS71="",1,0.6))</f>
        <v/>
      </c>
      <c r="AU71" s="23">
        <f>IF(AS71="",0,0.4)</f>
        <v/>
      </c>
      <c r="AV71">
        <f>IF(AR71="WAIT","WAIT",IF(AP71="YES","BULL",IF(AQ71="YES","BEAR","WAIT")))</f>
        <v/>
      </c>
      <c r="AW71">
        <f>IF(AR71="WAIT","Low",IF(OR(AND(AV71="BULL",ABS(SUM(N(X71),N(Y71),N(Z71)))&gt;=0.15),AND(AV71="BEAR",ABS(SUM(N(AA71),N(AB71),N(AC71)))&gt;=0.15)),"Strong",IF(OR(AND(AV71="BULL",ABS(SUM(N(X71),N(Y71),N(Z71)))&gt;=0.05),AND(AV71="BEAR",ABS(SUM(N(AA71),N(AB71),N(AC71)))&gt;=0.05)),"Moderate","Low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13" t="n"/>
      <c r="AF72" s="23">
        <f>IF(OR(AD72="",AD71=""),"",IF(AD71=0,"",(AD72/AD71)-1))</f>
        <v/>
      </c>
      <c r="AG72" s="23">
        <f>IF(ROW()&lt;7,"",IF(OR(AD72="",AD69=""),"",IF(AD69=0,"",(AD72/AD69)-1)))</f>
        <v/>
      </c>
      <c r="AH72" s="23">
        <f>IF(ROW()&lt;9,"",IF(OR(AD72="",AD67=""),"",IF(AD67=0,"",(AD72/AD67)-1)))</f>
        <v/>
      </c>
      <c r="AJ72" s="23">
        <f>IF(OR(AE72="",AE71=""),"",IF(AE71=0,"",(AE72/AE71)-1))</f>
        <v/>
      </c>
      <c r="AK72" s="23">
        <f>IF(ROW()&lt;7,"",IF(OR(AE72="",AE69=""),"",IF(AE69=0,"",(AE72/AE69)-1)))</f>
        <v/>
      </c>
      <c r="AL72" s="23">
        <f>IF(ROW()&lt;9,"",IF(OR(AE72="",AE67=""),"",IF(AE67=0,"",(AE72/AE67)-1)))</f>
        <v/>
      </c>
      <c r="AN72">
        <f>IF(OR(AG72="",AH72=""),"",IF(AND(AG72&gt;0,AH72&gt;0),"Bull",IF(AND(AG72&lt;0,AH72&lt;0),"Bear","Mixed")))</f>
        <v/>
      </c>
      <c r="AO72">
        <f>IF(OR(AK72="",AL72=""),"",IF(AND(AK72&gt;0,AL72&gt;0),"Bull",IF(AND(AK72&lt;0,AL72&lt;0),"Bear","Mixed")))</f>
        <v/>
      </c>
      <c r="AP72">
        <f>IF(OR(AN72="",AO72=""),"",IF(AND(AN72="Bull",AO72="Bull"),"YES","NO"))</f>
        <v/>
      </c>
      <c r="AQ72">
        <f>IF(OR(AN72="",AO72=""),"",IF(AND(AN72="Bear",AO72="Bear"),"YES","NO"))</f>
        <v/>
      </c>
      <c r="AR72">
        <f>IF(AP72="YES",IF(SUM(N(X72),N(Y72),N(Z72))&gt;0,"SOXL","TQQQ"),IF(AQ72="YES",IF(SUM(N(AA72),N(AB72),N(AC72))&gt;0,"SOXS","SQQQ"),"WAIT"))</f>
        <v/>
      </c>
      <c r="AS72">
        <f>IF(AP72="YES",IF(SUM(N(X72),N(Y72),N(Z72))&gt;0,"TQQQ","SOXL"),IF(AQ72="YES",IF(SUM(N(AA72),N(AB72),N(AC72))&gt;0,"SQQQ","SOXS"),""))</f>
        <v/>
      </c>
      <c r="AT72" s="23">
        <f>IF(AR72="WAIT","",IF(AS72="",1,0.6))</f>
        <v/>
      </c>
      <c r="AU72" s="23">
        <f>IF(AS72="",0,0.4)</f>
        <v/>
      </c>
      <c r="AV72">
        <f>IF(AR72="WAIT","WAIT",IF(AP72="YES","BULL",IF(AQ72="YES","BEAR","WAIT")))</f>
        <v/>
      </c>
      <c r="AW72">
        <f>IF(AR72="WAIT","Low",IF(OR(AND(AV72="BULL",ABS(SUM(N(X72),N(Y72),N(Z72)))&gt;=0.15),AND(AV72="BEAR",ABS(SUM(N(AA72),N(AB72),N(AC72)))&gt;=0.15)),"Strong",IF(OR(AND(AV72="BULL",ABS(SUM(N(X72),N(Y72),N(Z72)))&gt;=0.05),AND(AV72="BEAR",ABS(SUM(N(AA72),N(AB72),N(AC72)))&gt;=0.05)),"Moderate","Low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13" t="n"/>
      <c r="AF73" s="23">
        <f>IF(OR(AD73="",AD72=""),"",IF(AD72=0,"",(AD73/AD72)-1))</f>
        <v/>
      </c>
      <c r="AG73" s="23">
        <f>IF(ROW()&lt;7,"",IF(OR(AD73="",AD70=""),"",IF(AD70=0,"",(AD73/AD70)-1)))</f>
        <v/>
      </c>
      <c r="AH73" s="23">
        <f>IF(ROW()&lt;9,"",IF(OR(AD73="",AD68=""),"",IF(AD68=0,"",(AD73/AD68)-1)))</f>
        <v/>
      </c>
      <c r="AJ73" s="23">
        <f>IF(OR(AE73="",AE72=""),"",IF(AE72=0,"",(AE73/AE72)-1))</f>
        <v/>
      </c>
      <c r="AK73" s="23">
        <f>IF(ROW()&lt;7,"",IF(OR(AE73="",AE70=""),"",IF(AE70=0,"",(AE73/AE70)-1)))</f>
        <v/>
      </c>
      <c r="AL73" s="23">
        <f>IF(ROW()&lt;9,"",IF(OR(AE73="",AE68=""),"",IF(AE68=0,"",(AE73/AE68)-1)))</f>
        <v/>
      </c>
      <c r="AN73">
        <f>IF(OR(AG73="",AH73=""),"",IF(AND(AG73&gt;0,AH73&gt;0),"Bull",IF(AND(AG73&lt;0,AH73&lt;0),"Bear","Mixed")))</f>
        <v/>
      </c>
      <c r="AO73">
        <f>IF(OR(AK73="",AL73=""),"",IF(AND(AK73&gt;0,AL73&gt;0),"Bull",IF(AND(AK73&lt;0,AL73&lt;0),"Bear","Mixed")))</f>
        <v/>
      </c>
      <c r="AP73">
        <f>IF(OR(AN73="",AO73=""),"",IF(AND(AN73="Bull",AO73="Bull"),"YES","NO"))</f>
        <v/>
      </c>
      <c r="AQ73">
        <f>IF(OR(AN73="",AO73=""),"",IF(AND(AN73="Bear",AO73="Bear"),"YES","NO"))</f>
        <v/>
      </c>
      <c r="AR73">
        <f>IF(AP73="YES",IF(SUM(N(X73),N(Y73),N(Z73))&gt;0,"SOXL","TQQQ"),IF(AQ73="YES",IF(SUM(N(AA73),N(AB73),N(AC73))&gt;0,"SOXS","SQQQ"),"WAIT"))</f>
        <v/>
      </c>
      <c r="AS73">
        <f>IF(AP73="YES",IF(SUM(N(X73),N(Y73),N(Z73))&gt;0,"TQQQ","SOXL"),IF(AQ73="YES",IF(SUM(N(AA73),N(AB73),N(AC73))&gt;0,"SQQQ","SOXS"),""))</f>
        <v/>
      </c>
      <c r="AT73" s="23">
        <f>IF(AR73="WAIT","",IF(AS73="",1,0.6))</f>
        <v/>
      </c>
      <c r="AU73" s="23">
        <f>IF(AS73="",0,0.4)</f>
        <v/>
      </c>
      <c r="AV73">
        <f>IF(AR73="WAIT","WAIT",IF(AP73="YES","BULL",IF(AQ73="YES","BEAR","WAIT")))</f>
        <v/>
      </c>
      <c r="AW73">
        <f>IF(AR73="WAIT","Low",IF(OR(AND(AV73="BULL",ABS(SUM(N(X73),N(Y73),N(Z73)))&gt;=0.15),AND(AV73="BEAR",ABS(SUM(N(AA73),N(AB73),N(AC73)))&gt;=0.15)),"Strong",IF(OR(AND(AV73="BULL",ABS(SUM(N(X73),N(Y73),N(Z73)))&gt;=0.05),AND(AV73="BEAR",ABS(SUM(N(AA73),N(AB73),N(AC73)))&gt;=0.05)),"Moderate","Low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13" t="n"/>
      <c r="AF74" s="23">
        <f>IF(OR(AD74="",AD73=""),"",IF(AD73=0,"",(AD74/AD73)-1))</f>
        <v/>
      </c>
      <c r="AG74" s="23">
        <f>IF(ROW()&lt;7,"",IF(OR(AD74="",AD71=""),"",IF(AD71=0,"",(AD74/AD71)-1)))</f>
        <v/>
      </c>
      <c r="AH74" s="23">
        <f>IF(ROW()&lt;9,"",IF(OR(AD74="",AD69=""),"",IF(AD69=0,"",(AD74/AD69)-1)))</f>
        <v/>
      </c>
      <c r="AJ74" s="23">
        <f>IF(OR(AE74="",AE73=""),"",IF(AE73=0,"",(AE74/AE73)-1))</f>
        <v/>
      </c>
      <c r="AK74" s="23">
        <f>IF(ROW()&lt;7,"",IF(OR(AE74="",AE71=""),"",IF(AE71=0,"",(AE74/AE71)-1)))</f>
        <v/>
      </c>
      <c r="AL74" s="23">
        <f>IF(ROW()&lt;9,"",IF(OR(AE74="",AE69=""),"",IF(AE69=0,"",(AE74/AE69)-1)))</f>
        <v/>
      </c>
      <c r="AN74">
        <f>IF(OR(AG74="",AH74=""),"",IF(AND(AG74&gt;0,AH74&gt;0),"Bull",IF(AND(AG74&lt;0,AH74&lt;0),"Bear","Mixed")))</f>
        <v/>
      </c>
      <c r="AO74">
        <f>IF(OR(AK74="",AL74=""),"",IF(AND(AK74&gt;0,AL74&gt;0),"Bull",IF(AND(AK74&lt;0,AL74&lt;0),"Bear","Mixed")))</f>
        <v/>
      </c>
      <c r="AP74">
        <f>IF(OR(AN74="",AO74=""),"",IF(AND(AN74="Bull",AO74="Bull"),"YES","NO"))</f>
        <v/>
      </c>
      <c r="AQ74">
        <f>IF(OR(AN74="",AO74=""),"",IF(AND(AN74="Bear",AO74="Bear"),"YES","NO"))</f>
        <v/>
      </c>
      <c r="AR74">
        <f>IF(AP74="YES",IF(SUM(N(X74),N(Y74),N(Z74))&gt;0,"SOXL","TQQQ"),IF(AQ74="YES",IF(SUM(N(AA74),N(AB74),N(AC74))&gt;0,"SOXS","SQQQ"),"WAIT"))</f>
        <v/>
      </c>
      <c r="AS74">
        <f>IF(AP74="YES",IF(SUM(N(X74),N(Y74),N(Z74))&gt;0,"TQQQ","SOXL"),IF(AQ74="YES",IF(SUM(N(AA74),N(AB74),N(AC74))&gt;0,"SQQQ","SOXS"),""))</f>
        <v/>
      </c>
      <c r="AT74" s="23">
        <f>IF(AR74="WAIT","",IF(AS74="",1,0.6))</f>
        <v/>
      </c>
      <c r="AU74" s="23">
        <f>IF(AS74="",0,0.4)</f>
        <v/>
      </c>
      <c r="AV74">
        <f>IF(AR74="WAIT","WAIT",IF(AP74="YES","BULL",IF(AQ74="YES","BEAR","WAIT")))</f>
        <v/>
      </c>
      <c r="AW74">
        <f>IF(AR74="WAIT","Low",IF(OR(AND(AV74="BULL",ABS(SUM(N(X74),N(Y74),N(Z74)))&gt;=0.15),AND(AV74="BEAR",ABS(SUM(N(AA74),N(AB74),N(AC74)))&gt;=0.15)),"Strong",IF(OR(AND(AV74="BULL",ABS(SUM(N(X74),N(Y74),N(Z74)))&gt;=0.05),AND(AV74="BEAR",ABS(SUM(N(AA74),N(AB74),N(AC74)))&gt;=0.05)),"Moderate","Low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13" t="n"/>
      <c r="AF75" s="23">
        <f>IF(OR(AD75="",AD74=""),"",IF(AD74=0,"",(AD75/AD74)-1))</f>
        <v/>
      </c>
      <c r="AG75" s="23">
        <f>IF(ROW()&lt;7,"",IF(OR(AD75="",AD72=""),"",IF(AD72=0,"",(AD75/AD72)-1)))</f>
        <v/>
      </c>
      <c r="AH75" s="23">
        <f>IF(ROW()&lt;9,"",IF(OR(AD75="",AD70=""),"",IF(AD70=0,"",(AD75/AD70)-1)))</f>
        <v/>
      </c>
      <c r="AJ75" s="23">
        <f>IF(OR(AE75="",AE74=""),"",IF(AE74=0,"",(AE75/AE74)-1))</f>
        <v/>
      </c>
      <c r="AK75" s="23">
        <f>IF(ROW()&lt;7,"",IF(OR(AE75="",AE72=""),"",IF(AE72=0,"",(AE75/AE72)-1)))</f>
        <v/>
      </c>
      <c r="AL75" s="23">
        <f>IF(ROW()&lt;9,"",IF(OR(AE75="",AE70=""),"",IF(AE70=0,"",(AE75/AE70)-1)))</f>
        <v/>
      </c>
      <c r="AN75">
        <f>IF(OR(AG75="",AH75=""),"",IF(AND(AG75&gt;0,AH75&gt;0),"Bull",IF(AND(AG75&lt;0,AH75&lt;0),"Bear","Mixed")))</f>
        <v/>
      </c>
      <c r="AO75">
        <f>IF(OR(AK75="",AL75=""),"",IF(AND(AK75&gt;0,AL75&gt;0),"Bull",IF(AND(AK75&lt;0,AL75&lt;0),"Bear","Mixed")))</f>
        <v/>
      </c>
      <c r="AP75">
        <f>IF(OR(AN75="",AO75=""),"",IF(AND(AN75="Bull",AO75="Bull"),"YES","NO"))</f>
        <v/>
      </c>
      <c r="AQ75">
        <f>IF(OR(AN75="",AO75=""),"",IF(AND(AN75="Bear",AO75="Bear"),"YES","NO"))</f>
        <v/>
      </c>
      <c r="AR75">
        <f>IF(AP75="YES",IF(SUM(N(X75),N(Y75),N(Z75))&gt;0,"SOXL","TQQQ"),IF(AQ75="YES",IF(SUM(N(AA75),N(AB75),N(AC75))&gt;0,"SOXS","SQQQ"),"WAIT"))</f>
        <v/>
      </c>
      <c r="AS75">
        <f>IF(AP75="YES",IF(SUM(N(X75),N(Y75),N(Z75))&gt;0,"TQQQ","SOXL"),IF(AQ75="YES",IF(SUM(N(AA75),N(AB75),N(AC75))&gt;0,"SQQQ","SOXS"),""))</f>
        <v/>
      </c>
      <c r="AT75" s="23">
        <f>IF(AR75="WAIT","",IF(AS75="",1,0.6))</f>
        <v/>
      </c>
      <c r="AU75" s="23">
        <f>IF(AS75="",0,0.4)</f>
        <v/>
      </c>
      <c r="AV75">
        <f>IF(AR75="WAIT","WAIT",IF(AP75="YES","BULL",IF(AQ75="YES","BEAR","WAIT")))</f>
        <v/>
      </c>
      <c r="AW75">
        <f>IF(AR75="WAIT","Low",IF(OR(AND(AV75="BULL",ABS(SUM(N(X75),N(Y75),N(Z75)))&gt;=0.15),AND(AV75="BEAR",ABS(SUM(N(AA75),N(AB75),N(AC75)))&gt;=0.15)),"Strong",IF(OR(AND(AV75="BULL",ABS(SUM(N(X75),N(Y75),N(Z75)))&gt;=0.05),AND(AV75="BEAR",ABS(SUM(N(AA75),N(AB75),N(AC75)))&gt;=0.05)),"Moderate","Low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13" t="n"/>
      <c r="AF76" s="23">
        <f>IF(OR(AD76="",AD75=""),"",IF(AD75=0,"",(AD76/AD75)-1))</f>
        <v/>
      </c>
      <c r="AG76" s="23">
        <f>IF(ROW()&lt;7,"",IF(OR(AD76="",AD73=""),"",IF(AD73=0,"",(AD76/AD73)-1)))</f>
        <v/>
      </c>
      <c r="AH76" s="23">
        <f>IF(ROW()&lt;9,"",IF(OR(AD76="",AD71=""),"",IF(AD71=0,"",(AD76/AD71)-1)))</f>
        <v/>
      </c>
      <c r="AJ76" s="23">
        <f>IF(OR(AE76="",AE75=""),"",IF(AE75=0,"",(AE76/AE75)-1))</f>
        <v/>
      </c>
      <c r="AK76" s="23">
        <f>IF(ROW()&lt;7,"",IF(OR(AE76="",AE73=""),"",IF(AE73=0,"",(AE76/AE73)-1)))</f>
        <v/>
      </c>
      <c r="AL76" s="23">
        <f>IF(ROW()&lt;9,"",IF(OR(AE76="",AE71=""),"",IF(AE71=0,"",(AE76/AE71)-1)))</f>
        <v/>
      </c>
      <c r="AN76">
        <f>IF(OR(AG76="",AH76=""),"",IF(AND(AG76&gt;0,AH76&gt;0),"Bull",IF(AND(AG76&lt;0,AH76&lt;0),"Bear","Mixed")))</f>
        <v/>
      </c>
      <c r="AO76">
        <f>IF(OR(AK76="",AL76=""),"",IF(AND(AK76&gt;0,AL76&gt;0),"Bull",IF(AND(AK76&lt;0,AL76&lt;0),"Bear","Mixed")))</f>
        <v/>
      </c>
      <c r="AP76">
        <f>IF(OR(AN76="",AO76=""),"",IF(AND(AN76="Bull",AO76="Bull"),"YES","NO"))</f>
        <v/>
      </c>
      <c r="AQ76">
        <f>IF(OR(AN76="",AO76=""),"",IF(AND(AN76="Bear",AO76="Bear"),"YES","NO"))</f>
        <v/>
      </c>
      <c r="AR76">
        <f>IF(AP76="YES",IF(SUM(N(X76),N(Y76),N(Z76))&gt;0,"SOXL","TQQQ"),IF(AQ76="YES",IF(SUM(N(AA76),N(AB76),N(AC76))&gt;0,"SOXS","SQQQ"),"WAIT"))</f>
        <v/>
      </c>
      <c r="AS76">
        <f>IF(AP76="YES",IF(SUM(N(X76),N(Y76),N(Z76))&gt;0,"TQQQ","SOXL"),IF(AQ76="YES",IF(SUM(N(AA76),N(AB76),N(AC76))&gt;0,"SQQQ","SOXS"),""))</f>
        <v/>
      </c>
      <c r="AT76" s="23">
        <f>IF(AR76="WAIT","",IF(AS76="",1,0.6))</f>
        <v/>
      </c>
      <c r="AU76" s="23">
        <f>IF(AS76="",0,0.4)</f>
        <v/>
      </c>
      <c r="AV76">
        <f>IF(AR76="WAIT","WAIT",IF(AP76="YES","BULL",IF(AQ76="YES","BEAR","WAIT")))</f>
        <v/>
      </c>
      <c r="AW76">
        <f>IF(AR76="WAIT","Low",IF(OR(AND(AV76="BULL",ABS(SUM(N(X76),N(Y76),N(Z76)))&gt;=0.15),AND(AV76="BEAR",ABS(SUM(N(AA76),N(AB76),N(AC76)))&gt;=0.15)),"Strong",IF(OR(AND(AV76="BULL",ABS(SUM(N(X76),N(Y76),N(Z76)))&gt;=0.05),AND(AV76="BEAR",ABS(SUM(N(AA76),N(AB76),N(AC76)))&gt;=0.05)),"Moderate","Low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13" t="n"/>
      <c r="AF77" s="23">
        <f>IF(OR(AD77="",AD76=""),"",IF(AD76=0,"",(AD77/AD76)-1))</f>
        <v/>
      </c>
      <c r="AG77" s="23">
        <f>IF(ROW()&lt;7,"",IF(OR(AD77="",AD74=""),"",IF(AD74=0,"",(AD77/AD74)-1)))</f>
        <v/>
      </c>
      <c r="AH77" s="23">
        <f>IF(ROW()&lt;9,"",IF(OR(AD77="",AD72=""),"",IF(AD72=0,"",(AD77/AD72)-1)))</f>
        <v/>
      </c>
      <c r="AJ77" s="23">
        <f>IF(OR(AE77="",AE76=""),"",IF(AE76=0,"",(AE77/AE76)-1))</f>
        <v/>
      </c>
      <c r="AK77" s="23">
        <f>IF(ROW()&lt;7,"",IF(OR(AE77="",AE74=""),"",IF(AE74=0,"",(AE77/AE74)-1)))</f>
        <v/>
      </c>
      <c r="AL77" s="23">
        <f>IF(ROW()&lt;9,"",IF(OR(AE77="",AE72=""),"",IF(AE72=0,"",(AE77/AE72)-1)))</f>
        <v/>
      </c>
      <c r="AN77">
        <f>IF(OR(AG77="",AH77=""),"",IF(AND(AG77&gt;0,AH77&gt;0),"Bull",IF(AND(AG77&lt;0,AH77&lt;0),"Bear","Mixed")))</f>
        <v/>
      </c>
      <c r="AO77">
        <f>IF(OR(AK77="",AL77=""),"",IF(AND(AK77&gt;0,AL77&gt;0),"Bull",IF(AND(AK77&lt;0,AL77&lt;0),"Bear","Mixed")))</f>
        <v/>
      </c>
      <c r="AP77">
        <f>IF(OR(AN77="",AO77=""),"",IF(AND(AN77="Bull",AO77="Bull"),"YES","NO"))</f>
        <v/>
      </c>
      <c r="AQ77">
        <f>IF(OR(AN77="",AO77=""),"",IF(AND(AN77="Bear",AO77="Bear"),"YES","NO"))</f>
        <v/>
      </c>
      <c r="AR77">
        <f>IF(AP77="YES",IF(SUM(N(X77),N(Y77),N(Z77))&gt;0,"SOXL","TQQQ"),IF(AQ77="YES",IF(SUM(N(AA77),N(AB77),N(AC77))&gt;0,"SOXS","SQQQ"),"WAIT"))</f>
        <v/>
      </c>
      <c r="AS77">
        <f>IF(AP77="YES",IF(SUM(N(X77),N(Y77),N(Z77))&gt;0,"TQQQ","SOXL"),IF(AQ77="YES",IF(SUM(N(AA77),N(AB77),N(AC77))&gt;0,"SQQQ","SOXS"),""))</f>
        <v/>
      </c>
      <c r="AT77" s="23">
        <f>IF(AR77="WAIT","",IF(AS77="",1,0.6))</f>
        <v/>
      </c>
      <c r="AU77" s="23">
        <f>IF(AS77="",0,0.4)</f>
        <v/>
      </c>
      <c r="AV77">
        <f>IF(AR77="WAIT","WAIT",IF(AP77="YES","BULL",IF(AQ77="YES","BEAR","WAIT")))</f>
        <v/>
      </c>
      <c r="AW77">
        <f>IF(AR77="WAIT","Low",IF(OR(AND(AV77="BULL",ABS(SUM(N(X77),N(Y77),N(Z77)))&gt;=0.15),AND(AV77="BEAR",ABS(SUM(N(AA77),N(AB77),N(AC77)))&gt;=0.15)),"Strong",IF(OR(AND(AV77="BULL",ABS(SUM(N(X77),N(Y77),N(Z77)))&gt;=0.05),AND(AV77="BEAR",ABS(SUM(N(AA77),N(AB77),N(AC77)))&gt;=0.05)),"Moderate","Low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13" t="n"/>
      <c r="AF78" s="23">
        <f>IF(OR(AD78="",AD77=""),"",IF(AD77=0,"",(AD78/AD77)-1))</f>
        <v/>
      </c>
      <c r="AG78" s="23">
        <f>IF(ROW()&lt;7,"",IF(OR(AD78="",AD75=""),"",IF(AD75=0,"",(AD78/AD75)-1)))</f>
        <v/>
      </c>
      <c r="AH78" s="23">
        <f>IF(ROW()&lt;9,"",IF(OR(AD78="",AD73=""),"",IF(AD73=0,"",(AD78/AD73)-1)))</f>
        <v/>
      </c>
      <c r="AJ78" s="23">
        <f>IF(OR(AE78="",AE77=""),"",IF(AE77=0,"",(AE78/AE77)-1))</f>
        <v/>
      </c>
      <c r="AK78" s="23">
        <f>IF(ROW()&lt;7,"",IF(OR(AE78="",AE75=""),"",IF(AE75=0,"",(AE78/AE75)-1)))</f>
        <v/>
      </c>
      <c r="AL78" s="23">
        <f>IF(ROW()&lt;9,"",IF(OR(AE78="",AE73=""),"",IF(AE73=0,"",(AE78/AE73)-1)))</f>
        <v/>
      </c>
      <c r="AN78">
        <f>IF(OR(AG78="",AH78=""),"",IF(AND(AG78&gt;0,AH78&gt;0),"Bull",IF(AND(AG78&lt;0,AH78&lt;0),"Bear","Mixed")))</f>
        <v/>
      </c>
      <c r="AO78">
        <f>IF(OR(AK78="",AL78=""),"",IF(AND(AK78&gt;0,AL78&gt;0),"Bull",IF(AND(AK78&lt;0,AL78&lt;0),"Bear","Mixed")))</f>
        <v/>
      </c>
      <c r="AP78">
        <f>IF(OR(AN78="",AO78=""),"",IF(AND(AN78="Bull",AO78="Bull"),"YES","NO"))</f>
        <v/>
      </c>
      <c r="AQ78">
        <f>IF(OR(AN78="",AO78=""),"",IF(AND(AN78="Bear",AO78="Bear"),"YES","NO"))</f>
        <v/>
      </c>
      <c r="AR78">
        <f>IF(AP78="YES",IF(SUM(N(X78),N(Y78),N(Z78))&gt;0,"SOXL","TQQQ"),IF(AQ78="YES",IF(SUM(N(AA78),N(AB78),N(AC78))&gt;0,"SOXS","SQQQ"),"WAIT"))</f>
        <v/>
      </c>
      <c r="AS78">
        <f>IF(AP78="YES",IF(SUM(N(X78),N(Y78),N(Z78))&gt;0,"TQQQ","SOXL"),IF(AQ78="YES",IF(SUM(N(AA78),N(AB78),N(AC78))&gt;0,"SQQQ","SOXS"),""))</f>
        <v/>
      </c>
      <c r="AT78" s="23">
        <f>IF(AR78="WAIT","",IF(AS78="",1,0.6))</f>
        <v/>
      </c>
      <c r="AU78" s="23">
        <f>IF(AS78="",0,0.4)</f>
        <v/>
      </c>
      <c r="AV78">
        <f>IF(AR78="WAIT","WAIT",IF(AP78="YES","BULL",IF(AQ78="YES","BEAR","WAIT")))</f>
        <v/>
      </c>
      <c r="AW78">
        <f>IF(AR78="WAIT","Low",IF(OR(AND(AV78="BULL",ABS(SUM(N(X78),N(Y78),N(Z78)))&gt;=0.15),AND(AV78="BEAR",ABS(SUM(N(AA78),N(AB78),N(AC78)))&gt;=0.15)),"Strong",IF(OR(AND(AV78="BULL",ABS(SUM(N(X78),N(Y78),N(Z78)))&gt;=0.05),AND(AV78="BEAR",ABS(SUM(N(AA78),N(AB78),N(AC78)))&gt;=0.05)),"Moderate","Low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13" t="n"/>
      <c r="AF79" s="23">
        <f>IF(OR(AD79="",AD78=""),"",IF(AD78=0,"",(AD79/AD78)-1))</f>
        <v/>
      </c>
      <c r="AG79" s="23">
        <f>IF(ROW()&lt;7,"",IF(OR(AD79="",AD76=""),"",IF(AD76=0,"",(AD79/AD76)-1)))</f>
        <v/>
      </c>
      <c r="AH79" s="23">
        <f>IF(ROW()&lt;9,"",IF(OR(AD79="",AD74=""),"",IF(AD74=0,"",(AD79/AD74)-1)))</f>
        <v/>
      </c>
      <c r="AJ79" s="23">
        <f>IF(OR(AE79="",AE78=""),"",IF(AE78=0,"",(AE79/AE78)-1))</f>
        <v/>
      </c>
      <c r="AK79" s="23">
        <f>IF(ROW()&lt;7,"",IF(OR(AE79="",AE76=""),"",IF(AE76=0,"",(AE79/AE76)-1)))</f>
        <v/>
      </c>
      <c r="AL79" s="23">
        <f>IF(ROW()&lt;9,"",IF(OR(AE79="",AE74=""),"",IF(AE74=0,"",(AE79/AE74)-1)))</f>
        <v/>
      </c>
      <c r="AN79">
        <f>IF(OR(AG79="",AH79=""),"",IF(AND(AG79&gt;0,AH79&gt;0),"Bull",IF(AND(AG79&lt;0,AH79&lt;0),"Bear","Mixed")))</f>
        <v/>
      </c>
      <c r="AO79">
        <f>IF(OR(AK79="",AL79=""),"",IF(AND(AK79&gt;0,AL79&gt;0),"Bull",IF(AND(AK79&lt;0,AL79&lt;0),"Bear","Mixed")))</f>
        <v/>
      </c>
      <c r="AP79">
        <f>IF(OR(AN79="",AO79=""),"",IF(AND(AN79="Bull",AO79="Bull"),"YES","NO"))</f>
        <v/>
      </c>
      <c r="AQ79">
        <f>IF(OR(AN79="",AO79=""),"",IF(AND(AN79="Bear",AO79="Bear"),"YES","NO"))</f>
        <v/>
      </c>
      <c r="AR79">
        <f>IF(AP79="YES",IF(SUM(N(X79),N(Y79),N(Z79))&gt;0,"SOXL","TQQQ"),IF(AQ79="YES",IF(SUM(N(AA79),N(AB79),N(AC79))&gt;0,"SOXS","SQQQ"),"WAIT"))</f>
        <v/>
      </c>
      <c r="AS79">
        <f>IF(AP79="YES",IF(SUM(N(X79),N(Y79),N(Z79))&gt;0,"TQQQ","SOXL"),IF(AQ79="YES",IF(SUM(N(AA79),N(AB79),N(AC79))&gt;0,"SQQQ","SOXS"),""))</f>
        <v/>
      </c>
      <c r="AT79" s="23">
        <f>IF(AR79="WAIT","",IF(AS79="",1,0.6))</f>
        <v/>
      </c>
      <c r="AU79" s="23">
        <f>IF(AS79="",0,0.4)</f>
        <v/>
      </c>
      <c r="AV79">
        <f>IF(AR79="WAIT","WAIT",IF(AP79="YES","BULL",IF(AQ79="YES","BEAR","WAIT")))</f>
        <v/>
      </c>
      <c r="AW79">
        <f>IF(AR79="WAIT","Low",IF(OR(AND(AV79="BULL",ABS(SUM(N(X79),N(Y79),N(Z79)))&gt;=0.15),AND(AV79="BEAR",ABS(SUM(N(AA79),N(AB79),N(AC79)))&gt;=0.15)),"Strong",IF(OR(AND(AV79="BULL",ABS(SUM(N(X79),N(Y79),N(Z79)))&gt;=0.05),AND(AV79="BEAR",ABS(SUM(N(AA79),N(AB79),N(AC79)))&gt;=0.05)),"Moderate","Low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13" t="n"/>
      <c r="AF80" s="23">
        <f>IF(OR(AD80="",AD79=""),"",IF(AD79=0,"",(AD80/AD79)-1))</f>
        <v/>
      </c>
      <c r="AG80" s="23">
        <f>IF(ROW()&lt;7,"",IF(OR(AD80="",AD77=""),"",IF(AD77=0,"",(AD80/AD77)-1)))</f>
        <v/>
      </c>
      <c r="AH80" s="23">
        <f>IF(ROW()&lt;9,"",IF(OR(AD80="",AD75=""),"",IF(AD75=0,"",(AD80/AD75)-1)))</f>
        <v/>
      </c>
      <c r="AJ80" s="23">
        <f>IF(OR(AE80="",AE79=""),"",IF(AE79=0,"",(AE80/AE79)-1))</f>
        <v/>
      </c>
      <c r="AK80" s="23">
        <f>IF(ROW()&lt;7,"",IF(OR(AE80="",AE77=""),"",IF(AE77=0,"",(AE80/AE77)-1)))</f>
        <v/>
      </c>
      <c r="AL80" s="23">
        <f>IF(ROW()&lt;9,"",IF(OR(AE80="",AE75=""),"",IF(AE75=0,"",(AE80/AE75)-1)))</f>
        <v/>
      </c>
      <c r="AN80">
        <f>IF(OR(AG80="",AH80=""),"",IF(AND(AG80&gt;0,AH80&gt;0),"Bull",IF(AND(AG80&lt;0,AH80&lt;0),"Bear","Mixed")))</f>
        <v/>
      </c>
      <c r="AO80">
        <f>IF(OR(AK80="",AL80=""),"",IF(AND(AK80&gt;0,AL80&gt;0),"Bull",IF(AND(AK80&lt;0,AL80&lt;0),"Bear","Mixed")))</f>
        <v/>
      </c>
      <c r="AP80">
        <f>IF(OR(AN80="",AO80=""),"",IF(AND(AN80="Bull",AO80="Bull"),"YES","NO"))</f>
        <v/>
      </c>
      <c r="AQ80">
        <f>IF(OR(AN80="",AO80=""),"",IF(AND(AN80="Bear",AO80="Bear"),"YES","NO"))</f>
        <v/>
      </c>
      <c r="AR80">
        <f>IF(AP80="YES",IF(SUM(N(X80),N(Y80),N(Z80))&gt;0,"SOXL","TQQQ"),IF(AQ80="YES",IF(SUM(N(AA80),N(AB80),N(AC80))&gt;0,"SOXS","SQQQ"),"WAIT"))</f>
        <v/>
      </c>
      <c r="AS80">
        <f>IF(AP80="YES",IF(SUM(N(X80),N(Y80),N(Z80))&gt;0,"TQQQ","SOXL"),IF(AQ80="YES",IF(SUM(N(AA80),N(AB80),N(AC80))&gt;0,"SQQQ","SOXS"),""))</f>
        <v/>
      </c>
      <c r="AT80" s="23">
        <f>IF(AR80="WAIT","",IF(AS80="",1,0.6))</f>
        <v/>
      </c>
      <c r="AU80" s="23">
        <f>IF(AS80="",0,0.4)</f>
        <v/>
      </c>
      <c r="AV80">
        <f>IF(AR80="WAIT","WAIT",IF(AP80="YES","BULL",IF(AQ80="YES","BEAR","WAIT")))</f>
        <v/>
      </c>
      <c r="AW80">
        <f>IF(AR80="WAIT","Low",IF(OR(AND(AV80="BULL",ABS(SUM(N(X80),N(Y80),N(Z80)))&gt;=0.15),AND(AV80="BEAR",ABS(SUM(N(AA80),N(AB80),N(AC80)))&gt;=0.15)),"Strong",IF(OR(AND(AV80="BULL",ABS(SUM(N(X80),N(Y80),N(Z80)))&gt;=0.05),AND(AV80="BEAR",ABS(SUM(N(AA80),N(AB80),N(AC80)))&gt;=0.05)),"Moderate","Low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13" t="n"/>
      <c r="AF81" s="23">
        <f>IF(OR(AD81="",AD80=""),"",IF(AD80=0,"",(AD81/AD80)-1))</f>
        <v/>
      </c>
      <c r="AG81" s="23">
        <f>IF(ROW()&lt;7,"",IF(OR(AD81="",AD78=""),"",IF(AD78=0,"",(AD81/AD78)-1)))</f>
        <v/>
      </c>
      <c r="AH81" s="23">
        <f>IF(ROW()&lt;9,"",IF(OR(AD81="",AD76=""),"",IF(AD76=0,"",(AD81/AD76)-1)))</f>
        <v/>
      </c>
      <c r="AJ81" s="23">
        <f>IF(OR(AE81="",AE80=""),"",IF(AE80=0,"",(AE81/AE80)-1))</f>
        <v/>
      </c>
      <c r="AK81" s="23">
        <f>IF(ROW()&lt;7,"",IF(OR(AE81="",AE78=""),"",IF(AE78=0,"",(AE81/AE78)-1)))</f>
        <v/>
      </c>
      <c r="AL81" s="23">
        <f>IF(ROW()&lt;9,"",IF(OR(AE81="",AE76=""),"",IF(AE76=0,"",(AE81/AE76)-1)))</f>
        <v/>
      </c>
      <c r="AN81">
        <f>IF(OR(AG81="",AH81=""),"",IF(AND(AG81&gt;0,AH81&gt;0),"Bull",IF(AND(AG81&lt;0,AH81&lt;0),"Bear","Mixed")))</f>
        <v/>
      </c>
      <c r="AO81">
        <f>IF(OR(AK81="",AL81=""),"",IF(AND(AK81&gt;0,AL81&gt;0),"Bull",IF(AND(AK81&lt;0,AL81&lt;0),"Bear","Mixed")))</f>
        <v/>
      </c>
      <c r="AP81">
        <f>IF(OR(AN81="",AO81=""),"",IF(AND(AN81="Bull",AO81="Bull"),"YES","NO"))</f>
        <v/>
      </c>
      <c r="AQ81">
        <f>IF(OR(AN81="",AO81=""),"",IF(AND(AN81="Bear",AO81="Bear"),"YES","NO"))</f>
        <v/>
      </c>
      <c r="AR81">
        <f>IF(AP81="YES",IF(SUM(N(X81),N(Y81),N(Z81))&gt;0,"SOXL","TQQQ"),IF(AQ81="YES",IF(SUM(N(AA81),N(AB81),N(AC81))&gt;0,"SOXS","SQQQ"),"WAIT"))</f>
        <v/>
      </c>
      <c r="AS81">
        <f>IF(AP81="YES",IF(SUM(N(X81),N(Y81),N(Z81))&gt;0,"TQQQ","SOXL"),IF(AQ81="YES",IF(SUM(N(AA81),N(AB81),N(AC81))&gt;0,"SQQQ","SOXS"),""))</f>
        <v/>
      </c>
      <c r="AT81" s="23">
        <f>IF(AR81="WAIT","",IF(AS81="",1,0.6))</f>
        <v/>
      </c>
      <c r="AU81" s="23">
        <f>IF(AS81="",0,0.4)</f>
        <v/>
      </c>
      <c r="AV81">
        <f>IF(AR81="WAIT","WAIT",IF(AP81="YES","BULL",IF(AQ81="YES","BEAR","WAIT")))</f>
        <v/>
      </c>
      <c r="AW81">
        <f>IF(AR81="WAIT","Low",IF(OR(AND(AV81="BULL",ABS(SUM(N(X81),N(Y81),N(Z81)))&gt;=0.15),AND(AV81="BEAR",ABS(SUM(N(AA81),N(AB81),N(AC81)))&gt;=0.15)),"Strong",IF(OR(AND(AV81="BULL",ABS(SUM(N(X81),N(Y81),N(Z81)))&gt;=0.05),AND(AV81="BEAR",ABS(SUM(N(AA81),N(AB81),N(AC81)))&gt;=0.05)),"Moderate","Low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13" t="n"/>
      <c r="AF82" s="23">
        <f>IF(OR(AD82="",AD81=""),"",IF(AD81=0,"",(AD82/AD81)-1))</f>
        <v/>
      </c>
      <c r="AG82" s="23">
        <f>IF(ROW()&lt;7,"",IF(OR(AD82="",AD79=""),"",IF(AD79=0,"",(AD82/AD79)-1)))</f>
        <v/>
      </c>
      <c r="AH82" s="23">
        <f>IF(ROW()&lt;9,"",IF(OR(AD82="",AD77=""),"",IF(AD77=0,"",(AD82/AD77)-1)))</f>
        <v/>
      </c>
      <c r="AJ82" s="23">
        <f>IF(OR(AE82="",AE81=""),"",IF(AE81=0,"",(AE82/AE81)-1))</f>
        <v/>
      </c>
      <c r="AK82" s="23">
        <f>IF(ROW()&lt;7,"",IF(OR(AE82="",AE79=""),"",IF(AE79=0,"",(AE82/AE79)-1)))</f>
        <v/>
      </c>
      <c r="AL82" s="23">
        <f>IF(ROW()&lt;9,"",IF(OR(AE82="",AE77=""),"",IF(AE77=0,"",(AE82/AE77)-1)))</f>
        <v/>
      </c>
      <c r="AN82">
        <f>IF(OR(AG82="",AH82=""),"",IF(AND(AG82&gt;0,AH82&gt;0),"Bull",IF(AND(AG82&lt;0,AH82&lt;0),"Bear","Mixed")))</f>
        <v/>
      </c>
      <c r="AO82">
        <f>IF(OR(AK82="",AL82=""),"",IF(AND(AK82&gt;0,AL82&gt;0),"Bull",IF(AND(AK82&lt;0,AL82&lt;0),"Bear","Mixed")))</f>
        <v/>
      </c>
      <c r="AP82">
        <f>IF(OR(AN82="",AO82=""),"",IF(AND(AN82="Bull",AO82="Bull"),"YES","NO"))</f>
        <v/>
      </c>
      <c r="AQ82">
        <f>IF(OR(AN82="",AO82=""),"",IF(AND(AN82="Bear",AO82="Bear"),"YES","NO"))</f>
        <v/>
      </c>
      <c r="AR82">
        <f>IF(AP82="YES",IF(SUM(N(X82),N(Y82),N(Z82))&gt;0,"SOXL","TQQQ"),IF(AQ82="YES",IF(SUM(N(AA82),N(AB82),N(AC82))&gt;0,"SOXS","SQQQ"),"WAIT"))</f>
        <v/>
      </c>
      <c r="AS82">
        <f>IF(AP82="YES",IF(SUM(N(X82),N(Y82),N(Z82))&gt;0,"TQQQ","SOXL"),IF(AQ82="YES",IF(SUM(N(AA82),N(AB82),N(AC82))&gt;0,"SQQQ","SOXS"),""))</f>
        <v/>
      </c>
      <c r="AT82" s="23">
        <f>IF(AR82="WAIT","",IF(AS82="",1,0.6))</f>
        <v/>
      </c>
      <c r="AU82" s="23">
        <f>IF(AS82="",0,0.4)</f>
        <v/>
      </c>
      <c r="AV82">
        <f>IF(AR82="WAIT","WAIT",IF(AP82="YES","BULL",IF(AQ82="YES","BEAR","WAIT")))</f>
        <v/>
      </c>
      <c r="AW82">
        <f>IF(AR82="WAIT","Low",IF(OR(AND(AV82="BULL",ABS(SUM(N(X82),N(Y82),N(Z82)))&gt;=0.15),AND(AV82="BEAR",ABS(SUM(N(AA82),N(AB82),N(AC82)))&gt;=0.15)),"Strong",IF(OR(AND(AV82="BULL",ABS(SUM(N(X82),N(Y82),N(Z82)))&gt;=0.05),AND(AV82="BEAR",ABS(SUM(N(AA82),N(AB82),N(AC82)))&gt;=0.05)),"Moderate","Low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13" t="n"/>
      <c r="AF83" s="23">
        <f>IF(OR(AD83="",AD82=""),"",IF(AD82=0,"",(AD83/AD82)-1))</f>
        <v/>
      </c>
      <c r="AG83" s="23">
        <f>IF(ROW()&lt;7,"",IF(OR(AD83="",AD80=""),"",IF(AD80=0,"",(AD83/AD80)-1)))</f>
        <v/>
      </c>
      <c r="AH83" s="23">
        <f>IF(ROW()&lt;9,"",IF(OR(AD83="",AD78=""),"",IF(AD78=0,"",(AD83/AD78)-1)))</f>
        <v/>
      </c>
      <c r="AJ83" s="23">
        <f>IF(OR(AE83="",AE82=""),"",IF(AE82=0,"",(AE83/AE82)-1))</f>
        <v/>
      </c>
      <c r="AK83" s="23">
        <f>IF(ROW()&lt;7,"",IF(OR(AE83="",AE80=""),"",IF(AE80=0,"",(AE83/AE80)-1)))</f>
        <v/>
      </c>
      <c r="AL83" s="23">
        <f>IF(ROW()&lt;9,"",IF(OR(AE83="",AE78=""),"",IF(AE78=0,"",(AE83/AE78)-1)))</f>
        <v/>
      </c>
      <c r="AN83">
        <f>IF(OR(AG83="",AH83=""),"",IF(AND(AG83&gt;0,AH83&gt;0),"Bull",IF(AND(AG83&lt;0,AH83&lt;0),"Bear","Mixed")))</f>
        <v/>
      </c>
      <c r="AO83">
        <f>IF(OR(AK83="",AL83=""),"",IF(AND(AK83&gt;0,AL83&gt;0),"Bull",IF(AND(AK83&lt;0,AL83&lt;0),"Bear","Mixed")))</f>
        <v/>
      </c>
      <c r="AP83">
        <f>IF(OR(AN83="",AO83=""),"",IF(AND(AN83="Bull",AO83="Bull"),"YES","NO"))</f>
        <v/>
      </c>
      <c r="AQ83">
        <f>IF(OR(AN83="",AO83=""),"",IF(AND(AN83="Bear",AO83="Bear"),"YES","NO"))</f>
        <v/>
      </c>
      <c r="AR83">
        <f>IF(AP83="YES",IF(SUM(N(X83),N(Y83),N(Z83))&gt;0,"SOXL","TQQQ"),IF(AQ83="YES",IF(SUM(N(AA83),N(AB83),N(AC83))&gt;0,"SOXS","SQQQ"),"WAIT"))</f>
        <v/>
      </c>
      <c r="AS83">
        <f>IF(AP83="YES",IF(SUM(N(X83),N(Y83),N(Z83))&gt;0,"TQQQ","SOXL"),IF(AQ83="YES",IF(SUM(N(AA83),N(AB83),N(AC83))&gt;0,"SQQQ","SOXS"),""))</f>
        <v/>
      </c>
      <c r="AT83" s="23">
        <f>IF(AR83="WAIT","",IF(AS83="",1,0.6))</f>
        <v/>
      </c>
      <c r="AU83" s="23">
        <f>IF(AS83="",0,0.4)</f>
        <v/>
      </c>
      <c r="AV83">
        <f>IF(AR83="WAIT","WAIT",IF(AP83="YES","BULL",IF(AQ83="YES","BEAR","WAIT")))</f>
        <v/>
      </c>
      <c r="AW83">
        <f>IF(AR83="WAIT","Low",IF(OR(AND(AV83="BULL",ABS(SUM(N(X83),N(Y83),N(Z83)))&gt;=0.15),AND(AV83="BEAR",ABS(SUM(N(AA83),N(AB83),N(AC83)))&gt;=0.15)),"Strong",IF(OR(AND(AV83="BULL",ABS(SUM(N(X83),N(Y83),N(Z83)))&gt;=0.05),AND(AV83="BEAR",ABS(SUM(N(AA83),N(AB83),N(AC83)))&gt;=0.05)),"Moderate","Low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13" t="n"/>
      <c r="AF84" s="23">
        <f>IF(OR(AD84="",AD83=""),"",IF(AD83=0,"",(AD84/AD83)-1))</f>
        <v/>
      </c>
      <c r="AG84" s="23">
        <f>IF(ROW()&lt;7,"",IF(OR(AD84="",AD81=""),"",IF(AD81=0,"",(AD84/AD81)-1)))</f>
        <v/>
      </c>
      <c r="AH84" s="23">
        <f>IF(ROW()&lt;9,"",IF(OR(AD84="",AD79=""),"",IF(AD79=0,"",(AD84/AD79)-1)))</f>
        <v/>
      </c>
      <c r="AJ84" s="23">
        <f>IF(OR(AE84="",AE83=""),"",IF(AE83=0,"",(AE84/AE83)-1))</f>
        <v/>
      </c>
      <c r="AK84" s="23">
        <f>IF(ROW()&lt;7,"",IF(OR(AE84="",AE81=""),"",IF(AE81=0,"",(AE84/AE81)-1)))</f>
        <v/>
      </c>
      <c r="AL84" s="23">
        <f>IF(ROW()&lt;9,"",IF(OR(AE84="",AE79=""),"",IF(AE79=0,"",(AE84/AE79)-1)))</f>
        <v/>
      </c>
      <c r="AN84">
        <f>IF(OR(AG84="",AH84=""),"",IF(AND(AG84&gt;0,AH84&gt;0),"Bull",IF(AND(AG84&lt;0,AH84&lt;0),"Bear","Mixed")))</f>
        <v/>
      </c>
      <c r="AO84">
        <f>IF(OR(AK84="",AL84=""),"",IF(AND(AK84&gt;0,AL84&gt;0),"Bull",IF(AND(AK84&lt;0,AL84&lt;0),"Bear","Mixed")))</f>
        <v/>
      </c>
      <c r="AP84">
        <f>IF(OR(AN84="",AO84=""),"",IF(AND(AN84="Bull",AO84="Bull"),"YES","NO"))</f>
        <v/>
      </c>
      <c r="AQ84">
        <f>IF(OR(AN84="",AO84=""),"",IF(AND(AN84="Bear",AO84="Bear"),"YES","NO"))</f>
        <v/>
      </c>
      <c r="AR84">
        <f>IF(AP84="YES",IF(SUM(N(X84),N(Y84),N(Z84))&gt;0,"SOXL","TQQQ"),IF(AQ84="YES",IF(SUM(N(AA84),N(AB84),N(AC84))&gt;0,"SOXS","SQQQ"),"WAIT"))</f>
        <v/>
      </c>
      <c r="AS84">
        <f>IF(AP84="YES",IF(SUM(N(X84),N(Y84),N(Z84))&gt;0,"TQQQ","SOXL"),IF(AQ84="YES",IF(SUM(N(AA84),N(AB84),N(AC84))&gt;0,"SQQQ","SOXS"),""))</f>
        <v/>
      </c>
      <c r="AT84" s="23">
        <f>IF(AR84="WAIT","",IF(AS84="",1,0.6))</f>
        <v/>
      </c>
      <c r="AU84" s="23">
        <f>IF(AS84="",0,0.4)</f>
        <v/>
      </c>
      <c r="AV84">
        <f>IF(AR84="WAIT","WAIT",IF(AP84="YES","BULL",IF(AQ84="YES","BEAR","WAIT")))</f>
        <v/>
      </c>
      <c r="AW84">
        <f>IF(AR84="WAIT","Low",IF(OR(AND(AV84="BULL",ABS(SUM(N(X84),N(Y84),N(Z84)))&gt;=0.15),AND(AV84="BEAR",ABS(SUM(N(AA84),N(AB84),N(AC84)))&gt;=0.15)),"Strong",IF(OR(AND(AV84="BULL",ABS(SUM(N(X84),N(Y84),N(Z84)))&gt;=0.05),AND(AV84="BEAR",ABS(SUM(N(AA84),N(AB84),N(AC84)))&gt;=0.05)),"Moderate","Low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13" t="n"/>
      <c r="AF85" s="23">
        <f>IF(OR(AD85="",AD84=""),"",IF(AD84=0,"",(AD85/AD84)-1))</f>
        <v/>
      </c>
      <c r="AG85" s="23">
        <f>IF(ROW()&lt;7,"",IF(OR(AD85="",AD82=""),"",IF(AD82=0,"",(AD85/AD82)-1)))</f>
        <v/>
      </c>
      <c r="AH85" s="23">
        <f>IF(ROW()&lt;9,"",IF(OR(AD85="",AD80=""),"",IF(AD80=0,"",(AD85/AD80)-1)))</f>
        <v/>
      </c>
      <c r="AJ85" s="23">
        <f>IF(OR(AE85="",AE84=""),"",IF(AE84=0,"",(AE85/AE84)-1))</f>
        <v/>
      </c>
      <c r="AK85" s="23">
        <f>IF(ROW()&lt;7,"",IF(OR(AE85="",AE82=""),"",IF(AE82=0,"",(AE85/AE82)-1)))</f>
        <v/>
      </c>
      <c r="AL85" s="23">
        <f>IF(ROW()&lt;9,"",IF(OR(AE85="",AE80=""),"",IF(AE80=0,"",(AE85/AE80)-1)))</f>
        <v/>
      </c>
      <c r="AN85">
        <f>IF(OR(AG85="",AH85=""),"",IF(AND(AG85&gt;0,AH85&gt;0),"Bull",IF(AND(AG85&lt;0,AH85&lt;0),"Bear","Mixed")))</f>
        <v/>
      </c>
      <c r="AO85">
        <f>IF(OR(AK85="",AL85=""),"",IF(AND(AK85&gt;0,AL85&gt;0),"Bull",IF(AND(AK85&lt;0,AL85&lt;0),"Bear","Mixed")))</f>
        <v/>
      </c>
      <c r="AP85">
        <f>IF(OR(AN85="",AO85=""),"",IF(AND(AN85="Bull",AO85="Bull"),"YES","NO"))</f>
        <v/>
      </c>
      <c r="AQ85">
        <f>IF(OR(AN85="",AO85=""),"",IF(AND(AN85="Bear",AO85="Bear"),"YES","NO"))</f>
        <v/>
      </c>
      <c r="AR85">
        <f>IF(AP85="YES",IF(SUM(N(X85),N(Y85),N(Z85))&gt;0,"SOXL","TQQQ"),IF(AQ85="YES",IF(SUM(N(AA85),N(AB85),N(AC85))&gt;0,"SOXS","SQQQ"),"WAIT"))</f>
        <v/>
      </c>
      <c r="AS85">
        <f>IF(AP85="YES",IF(SUM(N(X85),N(Y85),N(Z85))&gt;0,"TQQQ","SOXL"),IF(AQ85="YES",IF(SUM(N(AA85),N(AB85),N(AC85))&gt;0,"SQQQ","SOXS"),""))</f>
        <v/>
      </c>
      <c r="AT85" s="23">
        <f>IF(AR85="WAIT","",IF(AS85="",1,0.6))</f>
        <v/>
      </c>
      <c r="AU85" s="23">
        <f>IF(AS85="",0,0.4)</f>
        <v/>
      </c>
      <c r="AV85">
        <f>IF(AR85="WAIT","WAIT",IF(AP85="YES","BULL",IF(AQ85="YES","BEAR","WAIT")))</f>
        <v/>
      </c>
      <c r="AW85">
        <f>IF(AR85="WAIT","Low",IF(OR(AND(AV85="BULL",ABS(SUM(N(X85),N(Y85),N(Z85)))&gt;=0.15),AND(AV85="BEAR",ABS(SUM(N(AA85),N(AB85),N(AC85)))&gt;=0.15)),"Strong",IF(OR(AND(AV85="BULL",ABS(SUM(N(X85),N(Y85),N(Z85)))&gt;=0.05),AND(AV85="BEAR",ABS(SUM(N(AA85),N(AB85),N(AC85)))&gt;=0.05)),"Moderate","Low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13" t="n"/>
      <c r="AF86" s="23">
        <f>IF(OR(AD86="",AD85=""),"",IF(AD85=0,"",(AD86/AD85)-1))</f>
        <v/>
      </c>
      <c r="AG86" s="23">
        <f>IF(ROW()&lt;7,"",IF(OR(AD86="",AD83=""),"",IF(AD83=0,"",(AD86/AD83)-1)))</f>
        <v/>
      </c>
      <c r="AH86" s="23">
        <f>IF(ROW()&lt;9,"",IF(OR(AD86="",AD81=""),"",IF(AD81=0,"",(AD86/AD81)-1)))</f>
        <v/>
      </c>
      <c r="AJ86" s="23">
        <f>IF(OR(AE86="",AE85=""),"",IF(AE85=0,"",(AE86/AE85)-1))</f>
        <v/>
      </c>
      <c r="AK86" s="23">
        <f>IF(ROW()&lt;7,"",IF(OR(AE86="",AE83=""),"",IF(AE83=0,"",(AE86/AE83)-1)))</f>
        <v/>
      </c>
      <c r="AL86" s="23">
        <f>IF(ROW()&lt;9,"",IF(OR(AE86="",AE81=""),"",IF(AE81=0,"",(AE86/AE81)-1)))</f>
        <v/>
      </c>
      <c r="AN86">
        <f>IF(OR(AG86="",AH86=""),"",IF(AND(AG86&gt;0,AH86&gt;0),"Bull",IF(AND(AG86&lt;0,AH86&lt;0),"Bear","Mixed")))</f>
        <v/>
      </c>
      <c r="AO86">
        <f>IF(OR(AK86="",AL86=""),"",IF(AND(AK86&gt;0,AL86&gt;0),"Bull",IF(AND(AK86&lt;0,AL86&lt;0),"Bear","Mixed")))</f>
        <v/>
      </c>
      <c r="AP86">
        <f>IF(OR(AN86="",AO86=""),"",IF(AND(AN86="Bull",AO86="Bull"),"YES","NO"))</f>
        <v/>
      </c>
      <c r="AQ86">
        <f>IF(OR(AN86="",AO86=""),"",IF(AND(AN86="Bear",AO86="Bear"),"YES","NO"))</f>
        <v/>
      </c>
      <c r="AR86">
        <f>IF(AP86="YES",IF(SUM(N(X86),N(Y86),N(Z86))&gt;0,"SOXL","TQQQ"),IF(AQ86="YES",IF(SUM(N(AA86),N(AB86),N(AC86))&gt;0,"SOXS","SQQQ"),"WAIT"))</f>
        <v/>
      </c>
      <c r="AS86">
        <f>IF(AP86="YES",IF(SUM(N(X86),N(Y86),N(Z86))&gt;0,"TQQQ","SOXL"),IF(AQ86="YES",IF(SUM(N(AA86),N(AB86),N(AC86))&gt;0,"SQQQ","SOXS"),""))</f>
        <v/>
      </c>
      <c r="AT86" s="23">
        <f>IF(AR86="WAIT","",IF(AS86="",1,0.6))</f>
        <v/>
      </c>
      <c r="AU86" s="23">
        <f>IF(AS86="",0,0.4)</f>
        <v/>
      </c>
      <c r="AV86">
        <f>IF(AR86="WAIT","WAIT",IF(AP86="YES","BULL",IF(AQ86="YES","BEAR","WAIT")))</f>
        <v/>
      </c>
      <c r="AW86">
        <f>IF(AR86="WAIT","Low",IF(OR(AND(AV86="BULL",ABS(SUM(N(X86),N(Y86),N(Z86)))&gt;=0.15),AND(AV86="BEAR",ABS(SUM(N(AA86),N(AB86),N(AC86)))&gt;=0.15)),"Strong",IF(OR(AND(AV86="BULL",ABS(SUM(N(X86),N(Y86),N(Z86)))&gt;=0.05),AND(AV86="BEAR",ABS(SUM(N(AA86),N(AB86),N(AC86)))&gt;=0.05)),"Moderate","Low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13" t="n"/>
      <c r="AF87" s="23">
        <f>IF(OR(AD87="",AD86=""),"",IF(AD86=0,"",(AD87/AD86)-1))</f>
        <v/>
      </c>
      <c r="AG87" s="23">
        <f>IF(ROW()&lt;7,"",IF(OR(AD87="",AD84=""),"",IF(AD84=0,"",(AD87/AD84)-1)))</f>
        <v/>
      </c>
      <c r="AH87" s="23">
        <f>IF(ROW()&lt;9,"",IF(OR(AD87="",AD82=""),"",IF(AD82=0,"",(AD87/AD82)-1)))</f>
        <v/>
      </c>
      <c r="AJ87" s="23">
        <f>IF(OR(AE87="",AE86=""),"",IF(AE86=0,"",(AE87/AE86)-1))</f>
        <v/>
      </c>
      <c r="AK87" s="23">
        <f>IF(ROW()&lt;7,"",IF(OR(AE87="",AE84=""),"",IF(AE84=0,"",(AE87/AE84)-1)))</f>
        <v/>
      </c>
      <c r="AL87" s="23">
        <f>IF(ROW()&lt;9,"",IF(OR(AE87="",AE82=""),"",IF(AE82=0,"",(AE87/AE82)-1)))</f>
        <v/>
      </c>
      <c r="AN87">
        <f>IF(OR(AG87="",AH87=""),"",IF(AND(AG87&gt;0,AH87&gt;0),"Bull",IF(AND(AG87&lt;0,AH87&lt;0),"Bear","Mixed")))</f>
        <v/>
      </c>
      <c r="AO87">
        <f>IF(OR(AK87="",AL87=""),"",IF(AND(AK87&gt;0,AL87&gt;0),"Bull",IF(AND(AK87&lt;0,AL87&lt;0),"Bear","Mixed")))</f>
        <v/>
      </c>
      <c r="AP87">
        <f>IF(OR(AN87="",AO87=""),"",IF(AND(AN87="Bull",AO87="Bull"),"YES","NO"))</f>
        <v/>
      </c>
      <c r="AQ87">
        <f>IF(OR(AN87="",AO87=""),"",IF(AND(AN87="Bear",AO87="Bear"),"YES","NO"))</f>
        <v/>
      </c>
      <c r="AR87">
        <f>IF(AP87="YES",IF(SUM(N(X87),N(Y87),N(Z87))&gt;0,"SOXL","TQQQ"),IF(AQ87="YES",IF(SUM(N(AA87),N(AB87),N(AC87))&gt;0,"SOXS","SQQQ"),"WAIT"))</f>
        <v/>
      </c>
      <c r="AS87">
        <f>IF(AP87="YES",IF(SUM(N(X87),N(Y87),N(Z87))&gt;0,"TQQQ","SOXL"),IF(AQ87="YES",IF(SUM(N(AA87),N(AB87),N(AC87))&gt;0,"SQQQ","SOXS"),""))</f>
        <v/>
      </c>
      <c r="AT87" s="23">
        <f>IF(AR87="WAIT","",IF(AS87="",1,0.6))</f>
        <v/>
      </c>
      <c r="AU87" s="23">
        <f>IF(AS87="",0,0.4)</f>
        <v/>
      </c>
      <c r="AV87">
        <f>IF(AR87="WAIT","WAIT",IF(AP87="YES","BULL",IF(AQ87="YES","BEAR","WAIT")))</f>
        <v/>
      </c>
      <c r="AW87">
        <f>IF(AR87="WAIT","Low",IF(OR(AND(AV87="BULL",ABS(SUM(N(X87),N(Y87),N(Z87)))&gt;=0.15),AND(AV87="BEAR",ABS(SUM(N(AA87),N(AB87),N(AC87)))&gt;=0.15)),"Strong",IF(OR(AND(AV87="BULL",ABS(SUM(N(X87),N(Y87),N(Z87)))&gt;=0.05),AND(AV87="BEAR",ABS(SUM(N(AA87),N(AB87),N(AC87)))&gt;=0.05)),"Moderate","Low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13" t="n"/>
      <c r="AF88" s="23">
        <f>IF(OR(AD88="",AD87=""),"",IF(AD87=0,"",(AD88/AD87)-1))</f>
        <v/>
      </c>
      <c r="AG88" s="23">
        <f>IF(ROW()&lt;7,"",IF(OR(AD88="",AD85=""),"",IF(AD85=0,"",(AD88/AD85)-1)))</f>
        <v/>
      </c>
      <c r="AH88" s="23">
        <f>IF(ROW()&lt;9,"",IF(OR(AD88="",AD83=""),"",IF(AD83=0,"",(AD88/AD83)-1)))</f>
        <v/>
      </c>
      <c r="AJ88" s="23">
        <f>IF(OR(AE88="",AE87=""),"",IF(AE87=0,"",(AE88/AE87)-1))</f>
        <v/>
      </c>
      <c r="AK88" s="23">
        <f>IF(ROW()&lt;7,"",IF(OR(AE88="",AE85=""),"",IF(AE85=0,"",(AE88/AE85)-1)))</f>
        <v/>
      </c>
      <c r="AL88" s="23">
        <f>IF(ROW()&lt;9,"",IF(OR(AE88="",AE83=""),"",IF(AE83=0,"",(AE88/AE83)-1)))</f>
        <v/>
      </c>
      <c r="AN88">
        <f>IF(OR(AG88="",AH88=""),"",IF(AND(AG88&gt;0,AH88&gt;0),"Bull",IF(AND(AG88&lt;0,AH88&lt;0),"Bear","Mixed")))</f>
        <v/>
      </c>
      <c r="AO88">
        <f>IF(OR(AK88="",AL88=""),"",IF(AND(AK88&gt;0,AL88&gt;0),"Bull",IF(AND(AK88&lt;0,AL88&lt;0),"Bear","Mixed")))</f>
        <v/>
      </c>
      <c r="AP88">
        <f>IF(OR(AN88="",AO88=""),"",IF(AND(AN88="Bull",AO88="Bull"),"YES","NO"))</f>
        <v/>
      </c>
      <c r="AQ88">
        <f>IF(OR(AN88="",AO88=""),"",IF(AND(AN88="Bear",AO88="Bear"),"YES","NO"))</f>
        <v/>
      </c>
      <c r="AR88">
        <f>IF(AP88="YES",IF(SUM(N(X88),N(Y88),N(Z88))&gt;0,"SOXL","TQQQ"),IF(AQ88="YES",IF(SUM(N(AA88),N(AB88),N(AC88))&gt;0,"SOXS","SQQQ"),"WAIT"))</f>
        <v/>
      </c>
      <c r="AS88">
        <f>IF(AP88="YES",IF(SUM(N(X88),N(Y88),N(Z88))&gt;0,"TQQQ","SOXL"),IF(AQ88="YES",IF(SUM(N(AA88),N(AB88),N(AC88))&gt;0,"SQQQ","SOXS"),""))</f>
        <v/>
      </c>
      <c r="AT88" s="23">
        <f>IF(AR88="WAIT","",IF(AS88="",1,0.6))</f>
        <v/>
      </c>
      <c r="AU88" s="23">
        <f>IF(AS88="",0,0.4)</f>
        <v/>
      </c>
      <c r="AV88">
        <f>IF(AR88="WAIT","WAIT",IF(AP88="YES","BULL",IF(AQ88="YES","BEAR","WAIT")))</f>
        <v/>
      </c>
      <c r="AW88">
        <f>IF(AR88="WAIT","Low",IF(OR(AND(AV88="BULL",ABS(SUM(N(X88),N(Y88),N(Z88)))&gt;=0.15),AND(AV88="BEAR",ABS(SUM(N(AA88),N(AB88),N(AC88)))&gt;=0.15)),"Strong",IF(OR(AND(AV88="BULL",ABS(SUM(N(X88),N(Y88),N(Z88)))&gt;=0.05),AND(AV88="BEAR",ABS(SUM(N(AA88),N(AB88),N(AC88)))&gt;=0.05)),"Moderate","Low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13" t="n"/>
      <c r="AF89" s="23">
        <f>IF(OR(AD89="",AD88=""),"",IF(AD88=0,"",(AD89/AD88)-1))</f>
        <v/>
      </c>
      <c r="AG89" s="23">
        <f>IF(ROW()&lt;7,"",IF(OR(AD89="",AD86=""),"",IF(AD86=0,"",(AD89/AD86)-1)))</f>
        <v/>
      </c>
      <c r="AH89" s="23">
        <f>IF(ROW()&lt;9,"",IF(OR(AD89="",AD84=""),"",IF(AD84=0,"",(AD89/AD84)-1)))</f>
        <v/>
      </c>
      <c r="AJ89" s="23">
        <f>IF(OR(AE89="",AE88=""),"",IF(AE88=0,"",(AE89/AE88)-1))</f>
        <v/>
      </c>
      <c r="AK89" s="23">
        <f>IF(ROW()&lt;7,"",IF(OR(AE89="",AE86=""),"",IF(AE86=0,"",(AE89/AE86)-1)))</f>
        <v/>
      </c>
      <c r="AL89" s="23">
        <f>IF(ROW()&lt;9,"",IF(OR(AE89="",AE84=""),"",IF(AE84=0,"",(AE89/AE84)-1)))</f>
        <v/>
      </c>
      <c r="AN89">
        <f>IF(OR(AG89="",AH89=""),"",IF(AND(AG89&gt;0,AH89&gt;0),"Bull",IF(AND(AG89&lt;0,AH89&lt;0),"Bear","Mixed")))</f>
        <v/>
      </c>
      <c r="AO89">
        <f>IF(OR(AK89="",AL89=""),"",IF(AND(AK89&gt;0,AL89&gt;0),"Bull",IF(AND(AK89&lt;0,AL89&lt;0),"Bear","Mixed")))</f>
        <v/>
      </c>
      <c r="AP89">
        <f>IF(OR(AN89="",AO89=""),"",IF(AND(AN89="Bull",AO89="Bull"),"YES","NO"))</f>
        <v/>
      </c>
      <c r="AQ89">
        <f>IF(OR(AN89="",AO89=""),"",IF(AND(AN89="Bear",AO89="Bear"),"YES","NO"))</f>
        <v/>
      </c>
      <c r="AR89">
        <f>IF(AP89="YES",IF(SUM(N(X89),N(Y89),N(Z89))&gt;0,"SOXL","TQQQ"),IF(AQ89="YES",IF(SUM(N(AA89),N(AB89),N(AC89))&gt;0,"SOXS","SQQQ"),"WAIT"))</f>
        <v/>
      </c>
      <c r="AS89">
        <f>IF(AP89="YES",IF(SUM(N(X89),N(Y89),N(Z89))&gt;0,"TQQQ","SOXL"),IF(AQ89="YES",IF(SUM(N(AA89),N(AB89),N(AC89))&gt;0,"SQQQ","SOXS"),""))</f>
        <v/>
      </c>
      <c r="AT89" s="23">
        <f>IF(AR89="WAIT","",IF(AS89="",1,0.6))</f>
        <v/>
      </c>
      <c r="AU89" s="23">
        <f>IF(AS89="",0,0.4)</f>
        <v/>
      </c>
      <c r="AV89">
        <f>IF(AR89="WAIT","WAIT",IF(AP89="YES","BULL",IF(AQ89="YES","BEAR","WAIT")))</f>
        <v/>
      </c>
      <c r="AW89">
        <f>IF(AR89="WAIT","Low",IF(OR(AND(AV89="BULL",ABS(SUM(N(X89),N(Y89),N(Z89)))&gt;=0.15),AND(AV89="BEAR",ABS(SUM(N(AA89),N(AB89),N(AC89)))&gt;=0.15)),"Strong",IF(OR(AND(AV89="BULL",ABS(SUM(N(X89),N(Y89),N(Z89)))&gt;=0.05),AND(AV89="BEAR",ABS(SUM(N(AA89),N(AB89),N(AC89)))&gt;=0.05)),"Moderate","Low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13" t="n"/>
      <c r="AF90" s="23">
        <f>IF(OR(AD90="",AD89=""),"",IF(AD89=0,"",(AD90/AD89)-1))</f>
        <v/>
      </c>
      <c r="AG90" s="23">
        <f>IF(ROW()&lt;7,"",IF(OR(AD90="",AD87=""),"",IF(AD87=0,"",(AD90/AD87)-1)))</f>
        <v/>
      </c>
      <c r="AH90" s="23">
        <f>IF(ROW()&lt;9,"",IF(OR(AD90="",AD85=""),"",IF(AD85=0,"",(AD90/AD85)-1)))</f>
        <v/>
      </c>
      <c r="AJ90" s="23">
        <f>IF(OR(AE90="",AE89=""),"",IF(AE89=0,"",(AE90/AE89)-1))</f>
        <v/>
      </c>
      <c r="AK90" s="23">
        <f>IF(ROW()&lt;7,"",IF(OR(AE90="",AE87=""),"",IF(AE87=0,"",(AE90/AE87)-1)))</f>
        <v/>
      </c>
      <c r="AL90" s="23">
        <f>IF(ROW()&lt;9,"",IF(OR(AE90="",AE85=""),"",IF(AE85=0,"",(AE90/AE85)-1)))</f>
        <v/>
      </c>
      <c r="AN90">
        <f>IF(OR(AG90="",AH90=""),"",IF(AND(AG90&gt;0,AH90&gt;0),"Bull",IF(AND(AG90&lt;0,AH90&lt;0),"Bear","Mixed")))</f>
        <v/>
      </c>
      <c r="AO90">
        <f>IF(OR(AK90="",AL90=""),"",IF(AND(AK90&gt;0,AL90&gt;0),"Bull",IF(AND(AK90&lt;0,AL90&lt;0),"Bear","Mixed")))</f>
        <v/>
      </c>
      <c r="AP90">
        <f>IF(OR(AN90="",AO90=""),"",IF(AND(AN90="Bull",AO90="Bull"),"YES","NO"))</f>
        <v/>
      </c>
      <c r="AQ90">
        <f>IF(OR(AN90="",AO90=""),"",IF(AND(AN90="Bear",AO90="Bear"),"YES","NO"))</f>
        <v/>
      </c>
      <c r="AR90">
        <f>IF(AP90="YES",IF(SUM(N(X90),N(Y90),N(Z90))&gt;0,"SOXL","TQQQ"),IF(AQ90="YES",IF(SUM(N(AA90),N(AB90),N(AC90))&gt;0,"SOXS","SQQQ"),"WAIT"))</f>
        <v/>
      </c>
      <c r="AS90">
        <f>IF(AP90="YES",IF(SUM(N(X90),N(Y90),N(Z90))&gt;0,"TQQQ","SOXL"),IF(AQ90="YES",IF(SUM(N(AA90),N(AB90),N(AC90))&gt;0,"SQQQ","SOXS"),""))</f>
        <v/>
      </c>
      <c r="AT90" s="23">
        <f>IF(AR90="WAIT","",IF(AS90="",1,0.6))</f>
        <v/>
      </c>
      <c r="AU90" s="23">
        <f>IF(AS90="",0,0.4)</f>
        <v/>
      </c>
      <c r="AV90">
        <f>IF(AR90="WAIT","WAIT",IF(AP90="YES","BULL",IF(AQ90="YES","BEAR","WAIT")))</f>
        <v/>
      </c>
      <c r="AW90">
        <f>IF(AR90="WAIT","Low",IF(OR(AND(AV90="BULL",ABS(SUM(N(X90),N(Y90),N(Z90)))&gt;=0.15),AND(AV90="BEAR",ABS(SUM(N(AA90),N(AB90),N(AC90)))&gt;=0.15)),"Strong",IF(OR(AND(AV90="BULL",ABS(SUM(N(X90),N(Y90),N(Z90)))&gt;=0.05),AND(AV90="BEAR",ABS(SUM(N(AA90),N(AB90),N(AC90)))&gt;=0.05)),"Moderate","Low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13" t="n"/>
      <c r="AF91" s="23">
        <f>IF(OR(AD91="",AD90=""),"",IF(AD90=0,"",(AD91/AD90)-1))</f>
        <v/>
      </c>
      <c r="AG91" s="23">
        <f>IF(ROW()&lt;7,"",IF(OR(AD91="",AD88=""),"",IF(AD88=0,"",(AD91/AD88)-1)))</f>
        <v/>
      </c>
      <c r="AH91" s="23">
        <f>IF(ROW()&lt;9,"",IF(OR(AD91="",AD86=""),"",IF(AD86=0,"",(AD91/AD86)-1)))</f>
        <v/>
      </c>
      <c r="AJ91" s="23">
        <f>IF(OR(AE91="",AE90=""),"",IF(AE90=0,"",(AE91/AE90)-1))</f>
        <v/>
      </c>
      <c r="AK91" s="23">
        <f>IF(ROW()&lt;7,"",IF(OR(AE91="",AE88=""),"",IF(AE88=0,"",(AE91/AE88)-1)))</f>
        <v/>
      </c>
      <c r="AL91" s="23">
        <f>IF(ROW()&lt;9,"",IF(OR(AE91="",AE86=""),"",IF(AE86=0,"",(AE91/AE86)-1)))</f>
        <v/>
      </c>
      <c r="AN91">
        <f>IF(OR(AG91="",AH91=""),"",IF(AND(AG91&gt;0,AH91&gt;0),"Bull",IF(AND(AG91&lt;0,AH91&lt;0),"Bear","Mixed")))</f>
        <v/>
      </c>
      <c r="AO91">
        <f>IF(OR(AK91="",AL91=""),"",IF(AND(AK91&gt;0,AL91&gt;0),"Bull",IF(AND(AK91&lt;0,AL91&lt;0),"Bear","Mixed")))</f>
        <v/>
      </c>
      <c r="AP91">
        <f>IF(OR(AN91="",AO91=""),"",IF(AND(AN91="Bull",AO91="Bull"),"YES","NO"))</f>
        <v/>
      </c>
      <c r="AQ91">
        <f>IF(OR(AN91="",AO91=""),"",IF(AND(AN91="Bear",AO91="Bear"),"YES","NO"))</f>
        <v/>
      </c>
      <c r="AR91">
        <f>IF(AP91="YES",IF(SUM(N(X91),N(Y91),N(Z91))&gt;0,"SOXL","TQQQ"),IF(AQ91="YES",IF(SUM(N(AA91),N(AB91),N(AC91))&gt;0,"SOXS","SQQQ"),"WAIT"))</f>
        <v/>
      </c>
      <c r="AS91">
        <f>IF(AP91="YES",IF(SUM(N(X91),N(Y91),N(Z91))&gt;0,"TQQQ","SOXL"),IF(AQ91="YES",IF(SUM(N(AA91),N(AB91),N(AC91))&gt;0,"SQQQ","SOXS"),""))</f>
        <v/>
      </c>
      <c r="AT91" s="23">
        <f>IF(AR91="WAIT","",IF(AS91="",1,0.6))</f>
        <v/>
      </c>
      <c r="AU91" s="23">
        <f>IF(AS91="",0,0.4)</f>
        <v/>
      </c>
      <c r="AV91">
        <f>IF(AR91="WAIT","WAIT",IF(AP91="YES","BULL",IF(AQ91="YES","BEAR","WAIT")))</f>
        <v/>
      </c>
      <c r="AW91">
        <f>IF(AR91="WAIT","Low",IF(OR(AND(AV91="BULL",ABS(SUM(N(X91),N(Y91),N(Z91)))&gt;=0.15),AND(AV91="BEAR",ABS(SUM(N(AA91),N(AB91),N(AC91)))&gt;=0.15)),"Strong",IF(OR(AND(AV91="BULL",ABS(SUM(N(X91),N(Y91),N(Z91)))&gt;=0.05),AND(AV91="BEAR",ABS(SUM(N(AA91),N(AB91),N(AC91)))&gt;=0.05)),"Moderate","Low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13" t="n"/>
      <c r="AF92" s="23">
        <f>IF(OR(AD92="",AD91=""),"",IF(AD91=0,"",(AD92/AD91)-1))</f>
        <v/>
      </c>
      <c r="AG92" s="23">
        <f>IF(ROW()&lt;7,"",IF(OR(AD92="",AD89=""),"",IF(AD89=0,"",(AD92/AD89)-1)))</f>
        <v/>
      </c>
      <c r="AH92" s="23">
        <f>IF(ROW()&lt;9,"",IF(OR(AD92="",AD87=""),"",IF(AD87=0,"",(AD92/AD87)-1)))</f>
        <v/>
      </c>
      <c r="AJ92" s="23">
        <f>IF(OR(AE92="",AE91=""),"",IF(AE91=0,"",(AE92/AE91)-1))</f>
        <v/>
      </c>
      <c r="AK92" s="23">
        <f>IF(ROW()&lt;7,"",IF(OR(AE92="",AE89=""),"",IF(AE89=0,"",(AE92/AE89)-1)))</f>
        <v/>
      </c>
      <c r="AL92" s="23">
        <f>IF(ROW()&lt;9,"",IF(OR(AE92="",AE87=""),"",IF(AE87=0,"",(AE92/AE87)-1)))</f>
        <v/>
      </c>
      <c r="AN92">
        <f>IF(OR(AG92="",AH92=""),"",IF(AND(AG92&gt;0,AH92&gt;0),"Bull",IF(AND(AG92&lt;0,AH92&lt;0),"Bear","Mixed")))</f>
        <v/>
      </c>
      <c r="AO92">
        <f>IF(OR(AK92="",AL92=""),"",IF(AND(AK92&gt;0,AL92&gt;0),"Bull",IF(AND(AK92&lt;0,AL92&lt;0),"Bear","Mixed")))</f>
        <v/>
      </c>
      <c r="AP92">
        <f>IF(OR(AN92="",AO92=""),"",IF(AND(AN92="Bull",AO92="Bull"),"YES","NO"))</f>
        <v/>
      </c>
      <c r="AQ92">
        <f>IF(OR(AN92="",AO92=""),"",IF(AND(AN92="Bear",AO92="Bear"),"YES","NO"))</f>
        <v/>
      </c>
      <c r="AR92">
        <f>IF(AP92="YES",IF(SUM(N(X92),N(Y92),N(Z92))&gt;0,"SOXL","TQQQ"),IF(AQ92="YES",IF(SUM(N(AA92),N(AB92),N(AC92))&gt;0,"SOXS","SQQQ"),"WAIT"))</f>
        <v/>
      </c>
      <c r="AS92">
        <f>IF(AP92="YES",IF(SUM(N(X92),N(Y92),N(Z92))&gt;0,"TQQQ","SOXL"),IF(AQ92="YES",IF(SUM(N(AA92),N(AB92),N(AC92))&gt;0,"SQQQ","SOXS"),""))</f>
        <v/>
      </c>
      <c r="AT92" s="23">
        <f>IF(AR92="WAIT","",IF(AS92="",1,0.6))</f>
        <v/>
      </c>
      <c r="AU92" s="23">
        <f>IF(AS92="",0,0.4)</f>
        <v/>
      </c>
      <c r="AV92">
        <f>IF(AR92="WAIT","WAIT",IF(AP92="YES","BULL",IF(AQ92="YES","BEAR","WAIT")))</f>
        <v/>
      </c>
      <c r="AW92">
        <f>IF(AR92="WAIT","Low",IF(OR(AND(AV92="BULL",ABS(SUM(N(X92),N(Y92),N(Z92)))&gt;=0.15),AND(AV92="BEAR",ABS(SUM(N(AA92),N(AB92),N(AC92)))&gt;=0.15)),"Strong",IF(OR(AND(AV92="BULL",ABS(SUM(N(X92),N(Y92),N(Z92)))&gt;=0.05),AND(AV92="BEAR",ABS(SUM(N(AA92),N(AB92),N(AC92)))&gt;=0.05)),"Moderate","Low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13" t="n"/>
      <c r="AF93" s="23">
        <f>IF(OR(AD93="",AD92=""),"",IF(AD92=0,"",(AD93/AD92)-1))</f>
        <v/>
      </c>
      <c r="AG93" s="23">
        <f>IF(ROW()&lt;7,"",IF(OR(AD93="",AD90=""),"",IF(AD90=0,"",(AD93/AD90)-1)))</f>
        <v/>
      </c>
      <c r="AH93" s="23">
        <f>IF(ROW()&lt;9,"",IF(OR(AD93="",AD88=""),"",IF(AD88=0,"",(AD93/AD88)-1)))</f>
        <v/>
      </c>
      <c r="AJ93" s="23">
        <f>IF(OR(AE93="",AE92=""),"",IF(AE92=0,"",(AE93/AE92)-1))</f>
        <v/>
      </c>
      <c r="AK93" s="23">
        <f>IF(ROW()&lt;7,"",IF(OR(AE93="",AE90=""),"",IF(AE90=0,"",(AE93/AE90)-1)))</f>
        <v/>
      </c>
      <c r="AL93" s="23">
        <f>IF(ROW()&lt;9,"",IF(OR(AE93="",AE88=""),"",IF(AE88=0,"",(AE93/AE88)-1)))</f>
        <v/>
      </c>
      <c r="AN93">
        <f>IF(OR(AG93="",AH93=""),"",IF(AND(AG93&gt;0,AH93&gt;0),"Bull",IF(AND(AG93&lt;0,AH93&lt;0),"Bear","Mixed")))</f>
        <v/>
      </c>
      <c r="AO93">
        <f>IF(OR(AK93="",AL93=""),"",IF(AND(AK93&gt;0,AL93&gt;0),"Bull",IF(AND(AK93&lt;0,AL93&lt;0),"Bear","Mixed")))</f>
        <v/>
      </c>
      <c r="AP93">
        <f>IF(OR(AN93="",AO93=""),"",IF(AND(AN93="Bull",AO93="Bull"),"YES","NO"))</f>
        <v/>
      </c>
      <c r="AQ93">
        <f>IF(OR(AN93="",AO93=""),"",IF(AND(AN93="Bear",AO93="Bear"),"YES","NO"))</f>
        <v/>
      </c>
      <c r="AR93">
        <f>IF(AP93="YES",IF(SUM(N(X93),N(Y93),N(Z93))&gt;0,"SOXL","TQQQ"),IF(AQ93="YES",IF(SUM(N(AA93),N(AB93),N(AC93))&gt;0,"SOXS","SQQQ"),"WAIT"))</f>
        <v/>
      </c>
      <c r="AS93">
        <f>IF(AP93="YES",IF(SUM(N(X93),N(Y93),N(Z93))&gt;0,"TQQQ","SOXL"),IF(AQ93="YES",IF(SUM(N(AA93),N(AB93),N(AC93))&gt;0,"SQQQ","SOXS"),""))</f>
        <v/>
      </c>
      <c r="AT93" s="23">
        <f>IF(AR93="WAIT","",IF(AS93="",1,0.6))</f>
        <v/>
      </c>
      <c r="AU93" s="23">
        <f>IF(AS93="",0,0.4)</f>
        <v/>
      </c>
      <c r="AV93">
        <f>IF(AR93="WAIT","WAIT",IF(AP93="YES","BULL",IF(AQ93="YES","BEAR","WAIT")))</f>
        <v/>
      </c>
      <c r="AW93">
        <f>IF(AR93="WAIT","Low",IF(OR(AND(AV93="BULL",ABS(SUM(N(X93),N(Y93),N(Z93)))&gt;=0.15),AND(AV93="BEAR",ABS(SUM(N(AA93),N(AB93),N(AC93)))&gt;=0.15)),"Strong",IF(OR(AND(AV93="BULL",ABS(SUM(N(X93),N(Y93),N(Z93)))&gt;=0.05),AND(AV93="BEAR",ABS(SUM(N(AA93),N(AB93),N(AC93)))&gt;=0.05)),"Moderate","Low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13" t="n"/>
      <c r="AF94" s="23">
        <f>IF(OR(AD94="",AD93=""),"",IF(AD93=0,"",(AD94/AD93)-1))</f>
        <v/>
      </c>
      <c r="AG94" s="23">
        <f>IF(ROW()&lt;7,"",IF(OR(AD94="",AD91=""),"",IF(AD91=0,"",(AD94/AD91)-1)))</f>
        <v/>
      </c>
      <c r="AH94" s="23">
        <f>IF(ROW()&lt;9,"",IF(OR(AD94="",AD89=""),"",IF(AD89=0,"",(AD94/AD89)-1)))</f>
        <v/>
      </c>
      <c r="AJ94" s="23">
        <f>IF(OR(AE94="",AE93=""),"",IF(AE93=0,"",(AE94/AE93)-1))</f>
        <v/>
      </c>
      <c r="AK94" s="23">
        <f>IF(ROW()&lt;7,"",IF(OR(AE94="",AE91=""),"",IF(AE91=0,"",(AE94/AE91)-1)))</f>
        <v/>
      </c>
      <c r="AL94" s="23">
        <f>IF(ROW()&lt;9,"",IF(OR(AE94="",AE89=""),"",IF(AE89=0,"",(AE94/AE89)-1)))</f>
        <v/>
      </c>
      <c r="AN94">
        <f>IF(OR(AG94="",AH94=""),"",IF(AND(AG94&gt;0,AH94&gt;0),"Bull",IF(AND(AG94&lt;0,AH94&lt;0),"Bear","Mixed")))</f>
        <v/>
      </c>
      <c r="AO94">
        <f>IF(OR(AK94="",AL94=""),"",IF(AND(AK94&gt;0,AL94&gt;0),"Bull",IF(AND(AK94&lt;0,AL94&lt;0),"Bear","Mixed")))</f>
        <v/>
      </c>
      <c r="AP94">
        <f>IF(OR(AN94="",AO94=""),"",IF(AND(AN94="Bull",AO94="Bull"),"YES","NO"))</f>
        <v/>
      </c>
      <c r="AQ94">
        <f>IF(OR(AN94="",AO94=""),"",IF(AND(AN94="Bear",AO94="Bear"),"YES","NO"))</f>
        <v/>
      </c>
      <c r="AR94">
        <f>IF(AP94="YES",IF(SUM(N(X94),N(Y94),N(Z94))&gt;0,"SOXL","TQQQ"),IF(AQ94="YES",IF(SUM(N(AA94),N(AB94),N(AC94))&gt;0,"SOXS","SQQQ"),"WAIT"))</f>
        <v/>
      </c>
      <c r="AS94">
        <f>IF(AP94="YES",IF(SUM(N(X94),N(Y94),N(Z94))&gt;0,"TQQQ","SOXL"),IF(AQ94="YES",IF(SUM(N(AA94),N(AB94),N(AC94))&gt;0,"SQQQ","SOXS"),""))</f>
        <v/>
      </c>
      <c r="AT94" s="23">
        <f>IF(AR94="WAIT","",IF(AS94="",1,0.6))</f>
        <v/>
      </c>
      <c r="AU94" s="23">
        <f>IF(AS94="",0,0.4)</f>
        <v/>
      </c>
      <c r="AV94">
        <f>IF(AR94="WAIT","WAIT",IF(AP94="YES","BULL",IF(AQ94="YES","BEAR","WAIT")))</f>
        <v/>
      </c>
      <c r="AW94">
        <f>IF(AR94="WAIT","Low",IF(OR(AND(AV94="BULL",ABS(SUM(N(X94),N(Y94),N(Z94)))&gt;=0.15),AND(AV94="BEAR",ABS(SUM(N(AA94),N(AB94),N(AC94)))&gt;=0.15)),"Strong",IF(OR(AND(AV94="BULL",ABS(SUM(N(X94),N(Y94),N(Z94)))&gt;=0.05),AND(AV94="BEAR",ABS(SUM(N(AA94),N(AB94),N(AC94)))&gt;=0.05)),"Moderate","Low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13" t="n"/>
      <c r="AF95" s="23">
        <f>IF(OR(AD95="",AD94=""),"",IF(AD94=0,"",(AD95/AD94)-1))</f>
        <v/>
      </c>
      <c r="AG95" s="23">
        <f>IF(ROW()&lt;7,"",IF(OR(AD95="",AD92=""),"",IF(AD92=0,"",(AD95/AD92)-1)))</f>
        <v/>
      </c>
      <c r="AH95" s="23">
        <f>IF(ROW()&lt;9,"",IF(OR(AD95="",AD90=""),"",IF(AD90=0,"",(AD95/AD90)-1)))</f>
        <v/>
      </c>
      <c r="AJ95" s="23">
        <f>IF(OR(AE95="",AE94=""),"",IF(AE94=0,"",(AE95/AE94)-1))</f>
        <v/>
      </c>
      <c r="AK95" s="23">
        <f>IF(ROW()&lt;7,"",IF(OR(AE95="",AE92=""),"",IF(AE92=0,"",(AE95/AE92)-1)))</f>
        <v/>
      </c>
      <c r="AL95" s="23">
        <f>IF(ROW()&lt;9,"",IF(OR(AE95="",AE90=""),"",IF(AE90=0,"",(AE95/AE90)-1)))</f>
        <v/>
      </c>
      <c r="AN95">
        <f>IF(OR(AG95="",AH95=""),"",IF(AND(AG95&gt;0,AH95&gt;0),"Bull",IF(AND(AG95&lt;0,AH95&lt;0),"Bear","Mixed")))</f>
        <v/>
      </c>
      <c r="AO95">
        <f>IF(OR(AK95="",AL95=""),"",IF(AND(AK95&gt;0,AL95&gt;0),"Bull",IF(AND(AK95&lt;0,AL95&lt;0),"Bear","Mixed")))</f>
        <v/>
      </c>
      <c r="AP95">
        <f>IF(OR(AN95="",AO95=""),"",IF(AND(AN95="Bull",AO95="Bull"),"YES","NO"))</f>
        <v/>
      </c>
      <c r="AQ95">
        <f>IF(OR(AN95="",AO95=""),"",IF(AND(AN95="Bear",AO95="Bear"),"YES","NO"))</f>
        <v/>
      </c>
      <c r="AR95">
        <f>IF(AP95="YES",IF(SUM(N(X95),N(Y95),N(Z95))&gt;0,"SOXL","TQQQ"),IF(AQ95="YES",IF(SUM(N(AA95),N(AB95),N(AC95))&gt;0,"SOXS","SQQQ"),"WAIT"))</f>
        <v/>
      </c>
      <c r="AS95">
        <f>IF(AP95="YES",IF(SUM(N(X95),N(Y95),N(Z95))&gt;0,"TQQQ","SOXL"),IF(AQ95="YES",IF(SUM(N(AA95),N(AB95),N(AC95))&gt;0,"SQQQ","SOXS"),""))</f>
        <v/>
      </c>
      <c r="AT95" s="23">
        <f>IF(AR95="WAIT","",IF(AS95="",1,0.6))</f>
        <v/>
      </c>
      <c r="AU95" s="23">
        <f>IF(AS95="",0,0.4)</f>
        <v/>
      </c>
      <c r="AV95">
        <f>IF(AR95="WAIT","WAIT",IF(AP95="YES","BULL",IF(AQ95="YES","BEAR","WAIT")))</f>
        <v/>
      </c>
      <c r="AW95">
        <f>IF(AR95="WAIT","Low",IF(OR(AND(AV95="BULL",ABS(SUM(N(X95),N(Y95),N(Z95)))&gt;=0.15),AND(AV95="BEAR",ABS(SUM(N(AA95),N(AB95),N(AC95)))&gt;=0.15)),"Strong",IF(OR(AND(AV95="BULL",ABS(SUM(N(X95),N(Y95),N(Z95)))&gt;=0.05),AND(AV95="BEAR",ABS(SUM(N(AA95),N(AB95),N(AC95)))&gt;=0.05)),"Moderate","Low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13" t="n"/>
      <c r="AF96" s="23">
        <f>IF(OR(AD96="",AD95=""),"",IF(AD95=0,"",(AD96/AD95)-1))</f>
        <v/>
      </c>
      <c r="AG96" s="23">
        <f>IF(ROW()&lt;7,"",IF(OR(AD96="",AD93=""),"",IF(AD93=0,"",(AD96/AD93)-1)))</f>
        <v/>
      </c>
      <c r="AH96" s="23">
        <f>IF(ROW()&lt;9,"",IF(OR(AD96="",AD91=""),"",IF(AD91=0,"",(AD96/AD91)-1)))</f>
        <v/>
      </c>
      <c r="AJ96" s="23">
        <f>IF(OR(AE96="",AE95=""),"",IF(AE95=0,"",(AE96/AE95)-1))</f>
        <v/>
      </c>
      <c r="AK96" s="23">
        <f>IF(ROW()&lt;7,"",IF(OR(AE96="",AE93=""),"",IF(AE93=0,"",(AE96/AE93)-1)))</f>
        <v/>
      </c>
      <c r="AL96" s="23">
        <f>IF(ROW()&lt;9,"",IF(OR(AE96="",AE91=""),"",IF(AE91=0,"",(AE96/AE91)-1)))</f>
        <v/>
      </c>
      <c r="AN96">
        <f>IF(OR(AG96="",AH96=""),"",IF(AND(AG96&gt;0,AH96&gt;0),"Bull",IF(AND(AG96&lt;0,AH96&lt;0),"Bear","Mixed")))</f>
        <v/>
      </c>
      <c r="AO96">
        <f>IF(OR(AK96="",AL96=""),"",IF(AND(AK96&gt;0,AL96&gt;0),"Bull",IF(AND(AK96&lt;0,AL96&lt;0),"Bear","Mixed")))</f>
        <v/>
      </c>
      <c r="AP96">
        <f>IF(OR(AN96="",AO96=""),"",IF(AND(AN96="Bull",AO96="Bull"),"YES","NO"))</f>
        <v/>
      </c>
      <c r="AQ96">
        <f>IF(OR(AN96="",AO96=""),"",IF(AND(AN96="Bear",AO96="Bear"),"YES","NO"))</f>
        <v/>
      </c>
      <c r="AR96">
        <f>IF(AP96="YES",IF(SUM(N(X96),N(Y96),N(Z96))&gt;0,"SOXL","TQQQ"),IF(AQ96="YES",IF(SUM(N(AA96),N(AB96),N(AC96))&gt;0,"SOXS","SQQQ"),"WAIT"))</f>
        <v/>
      </c>
      <c r="AS96">
        <f>IF(AP96="YES",IF(SUM(N(X96),N(Y96),N(Z96))&gt;0,"TQQQ","SOXL"),IF(AQ96="YES",IF(SUM(N(AA96),N(AB96),N(AC96))&gt;0,"SQQQ","SOXS"),""))</f>
        <v/>
      </c>
      <c r="AT96" s="23">
        <f>IF(AR96="WAIT","",IF(AS96="",1,0.6))</f>
        <v/>
      </c>
      <c r="AU96" s="23">
        <f>IF(AS96="",0,0.4)</f>
        <v/>
      </c>
      <c r="AV96">
        <f>IF(AR96="WAIT","WAIT",IF(AP96="YES","BULL",IF(AQ96="YES","BEAR","WAIT")))</f>
        <v/>
      </c>
      <c r="AW96">
        <f>IF(AR96="WAIT","Low",IF(OR(AND(AV96="BULL",ABS(SUM(N(X96),N(Y96),N(Z96)))&gt;=0.15),AND(AV96="BEAR",ABS(SUM(N(AA96),N(AB96),N(AC96)))&gt;=0.15)),"Strong",IF(OR(AND(AV96="BULL",ABS(SUM(N(X96),N(Y96),N(Z96)))&gt;=0.05),AND(AV96="BEAR",ABS(SUM(N(AA96),N(AB96),N(AC96)))&gt;=0.05)),"Moderate","Low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13" t="n"/>
      <c r="AF97" s="23">
        <f>IF(OR(AD97="",AD96=""),"",IF(AD96=0,"",(AD97/AD96)-1))</f>
        <v/>
      </c>
      <c r="AG97" s="23">
        <f>IF(ROW()&lt;7,"",IF(OR(AD97="",AD94=""),"",IF(AD94=0,"",(AD97/AD94)-1)))</f>
        <v/>
      </c>
      <c r="AH97" s="23">
        <f>IF(ROW()&lt;9,"",IF(OR(AD97="",AD92=""),"",IF(AD92=0,"",(AD97/AD92)-1)))</f>
        <v/>
      </c>
      <c r="AJ97" s="23">
        <f>IF(OR(AE97="",AE96=""),"",IF(AE96=0,"",(AE97/AE96)-1))</f>
        <v/>
      </c>
      <c r="AK97" s="23">
        <f>IF(ROW()&lt;7,"",IF(OR(AE97="",AE94=""),"",IF(AE94=0,"",(AE97/AE94)-1)))</f>
        <v/>
      </c>
      <c r="AL97" s="23">
        <f>IF(ROW()&lt;9,"",IF(OR(AE97="",AE92=""),"",IF(AE92=0,"",(AE97/AE92)-1)))</f>
        <v/>
      </c>
      <c r="AN97">
        <f>IF(OR(AG97="",AH97=""),"",IF(AND(AG97&gt;0,AH97&gt;0),"Bull",IF(AND(AG97&lt;0,AH97&lt;0),"Bear","Mixed")))</f>
        <v/>
      </c>
      <c r="AO97">
        <f>IF(OR(AK97="",AL97=""),"",IF(AND(AK97&gt;0,AL97&gt;0),"Bull",IF(AND(AK97&lt;0,AL97&lt;0),"Bear","Mixed")))</f>
        <v/>
      </c>
      <c r="AP97">
        <f>IF(OR(AN97="",AO97=""),"",IF(AND(AN97="Bull",AO97="Bull"),"YES","NO"))</f>
        <v/>
      </c>
      <c r="AQ97">
        <f>IF(OR(AN97="",AO97=""),"",IF(AND(AN97="Bear",AO97="Bear"),"YES","NO"))</f>
        <v/>
      </c>
      <c r="AR97">
        <f>IF(AP97="YES",IF(SUM(N(X97),N(Y97),N(Z97))&gt;0,"SOXL","TQQQ"),IF(AQ97="YES",IF(SUM(N(AA97),N(AB97),N(AC97))&gt;0,"SOXS","SQQQ"),"WAIT"))</f>
        <v/>
      </c>
      <c r="AS97">
        <f>IF(AP97="YES",IF(SUM(N(X97),N(Y97),N(Z97))&gt;0,"TQQQ","SOXL"),IF(AQ97="YES",IF(SUM(N(AA97),N(AB97),N(AC97))&gt;0,"SQQQ","SOXS"),""))</f>
        <v/>
      </c>
      <c r="AT97" s="23">
        <f>IF(AR97="WAIT","",IF(AS97="",1,0.6))</f>
        <v/>
      </c>
      <c r="AU97" s="23">
        <f>IF(AS97="",0,0.4)</f>
        <v/>
      </c>
      <c r="AV97">
        <f>IF(AR97="WAIT","WAIT",IF(AP97="YES","BULL",IF(AQ97="YES","BEAR","WAIT")))</f>
        <v/>
      </c>
      <c r="AW97">
        <f>IF(AR97="WAIT","Low",IF(OR(AND(AV97="BULL",ABS(SUM(N(X97),N(Y97),N(Z97)))&gt;=0.15),AND(AV97="BEAR",ABS(SUM(N(AA97),N(AB97),N(AC97)))&gt;=0.15)),"Strong",IF(OR(AND(AV97="BULL",ABS(SUM(N(X97),N(Y97),N(Z97)))&gt;=0.05),AND(AV97="BEAR",ABS(SUM(N(AA97),N(AB97),N(AC97)))&gt;=0.05)),"Moderate","Low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13" t="n"/>
      <c r="AF98" s="23">
        <f>IF(OR(AD98="",AD97=""),"",IF(AD97=0,"",(AD98/AD97)-1))</f>
        <v/>
      </c>
      <c r="AG98" s="23">
        <f>IF(ROW()&lt;7,"",IF(OR(AD98="",AD95=""),"",IF(AD95=0,"",(AD98/AD95)-1)))</f>
        <v/>
      </c>
      <c r="AH98" s="23">
        <f>IF(ROW()&lt;9,"",IF(OR(AD98="",AD93=""),"",IF(AD93=0,"",(AD98/AD93)-1)))</f>
        <v/>
      </c>
      <c r="AJ98" s="23">
        <f>IF(OR(AE98="",AE97=""),"",IF(AE97=0,"",(AE98/AE97)-1))</f>
        <v/>
      </c>
      <c r="AK98" s="23">
        <f>IF(ROW()&lt;7,"",IF(OR(AE98="",AE95=""),"",IF(AE95=0,"",(AE98/AE95)-1)))</f>
        <v/>
      </c>
      <c r="AL98" s="23">
        <f>IF(ROW()&lt;9,"",IF(OR(AE98="",AE93=""),"",IF(AE93=0,"",(AE98/AE93)-1)))</f>
        <v/>
      </c>
      <c r="AN98">
        <f>IF(OR(AG98="",AH98=""),"",IF(AND(AG98&gt;0,AH98&gt;0),"Bull",IF(AND(AG98&lt;0,AH98&lt;0),"Bear","Mixed")))</f>
        <v/>
      </c>
      <c r="AO98">
        <f>IF(OR(AK98="",AL98=""),"",IF(AND(AK98&gt;0,AL98&gt;0),"Bull",IF(AND(AK98&lt;0,AL98&lt;0),"Bear","Mixed")))</f>
        <v/>
      </c>
      <c r="AP98">
        <f>IF(OR(AN98="",AO98=""),"",IF(AND(AN98="Bull",AO98="Bull"),"YES","NO"))</f>
        <v/>
      </c>
      <c r="AQ98">
        <f>IF(OR(AN98="",AO98=""),"",IF(AND(AN98="Bear",AO98="Bear"),"YES","NO"))</f>
        <v/>
      </c>
      <c r="AR98">
        <f>IF(AP98="YES",IF(SUM(N(X98),N(Y98),N(Z98))&gt;0,"SOXL","TQQQ"),IF(AQ98="YES",IF(SUM(N(AA98),N(AB98),N(AC98))&gt;0,"SOXS","SQQQ"),"WAIT"))</f>
        <v/>
      </c>
      <c r="AS98">
        <f>IF(AP98="YES",IF(SUM(N(X98),N(Y98),N(Z98))&gt;0,"TQQQ","SOXL"),IF(AQ98="YES",IF(SUM(N(AA98),N(AB98),N(AC98))&gt;0,"SQQQ","SOXS"),""))</f>
        <v/>
      </c>
      <c r="AT98" s="23">
        <f>IF(AR98="WAIT","",IF(AS98="",1,0.6))</f>
        <v/>
      </c>
      <c r="AU98" s="23">
        <f>IF(AS98="",0,0.4)</f>
        <v/>
      </c>
      <c r="AV98">
        <f>IF(AR98="WAIT","WAIT",IF(AP98="YES","BULL",IF(AQ98="YES","BEAR","WAIT")))</f>
        <v/>
      </c>
      <c r="AW98">
        <f>IF(AR98="WAIT","Low",IF(OR(AND(AV98="BULL",ABS(SUM(N(X98),N(Y98),N(Z98)))&gt;=0.15),AND(AV98="BEAR",ABS(SUM(N(AA98),N(AB98),N(AC98)))&gt;=0.15)),"Strong",IF(OR(AND(AV98="BULL",ABS(SUM(N(X98),N(Y98),N(Z98)))&gt;=0.05),AND(AV98="BEAR",ABS(SUM(N(AA98),N(AB98),N(AC98)))&gt;=0.05)),"Moderate","Low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13" t="n"/>
      <c r="AF99" s="23">
        <f>IF(OR(AD99="",AD98=""),"",IF(AD98=0,"",(AD99/AD98)-1))</f>
        <v/>
      </c>
      <c r="AG99" s="23">
        <f>IF(ROW()&lt;7,"",IF(OR(AD99="",AD96=""),"",IF(AD96=0,"",(AD99/AD96)-1)))</f>
        <v/>
      </c>
      <c r="AH99" s="23">
        <f>IF(ROW()&lt;9,"",IF(OR(AD99="",AD94=""),"",IF(AD94=0,"",(AD99/AD94)-1)))</f>
        <v/>
      </c>
      <c r="AJ99" s="23">
        <f>IF(OR(AE99="",AE98=""),"",IF(AE98=0,"",(AE99/AE98)-1))</f>
        <v/>
      </c>
      <c r="AK99" s="23">
        <f>IF(ROW()&lt;7,"",IF(OR(AE99="",AE96=""),"",IF(AE96=0,"",(AE99/AE96)-1)))</f>
        <v/>
      </c>
      <c r="AL99" s="23">
        <f>IF(ROW()&lt;9,"",IF(OR(AE99="",AE94=""),"",IF(AE94=0,"",(AE99/AE94)-1)))</f>
        <v/>
      </c>
      <c r="AN99">
        <f>IF(OR(AG99="",AH99=""),"",IF(AND(AG99&gt;0,AH99&gt;0),"Bull",IF(AND(AG99&lt;0,AH99&lt;0),"Bear","Mixed")))</f>
        <v/>
      </c>
      <c r="AO99">
        <f>IF(OR(AK99="",AL99=""),"",IF(AND(AK99&gt;0,AL99&gt;0),"Bull",IF(AND(AK99&lt;0,AL99&lt;0),"Bear","Mixed")))</f>
        <v/>
      </c>
      <c r="AP99">
        <f>IF(OR(AN99="",AO99=""),"",IF(AND(AN99="Bull",AO99="Bull"),"YES","NO"))</f>
        <v/>
      </c>
      <c r="AQ99">
        <f>IF(OR(AN99="",AO99=""),"",IF(AND(AN99="Bear",AO99="Bear"),"YES","NO"))</f>
        <v/>
      </c>
      <c r="AR99">
        <f>IF(AP99="YES",IF(SUM(N(X99),N(Y99),N(Z99))&gt;0,"SOXL","TQQQ"),IF(AQ99="YES",IF(SUM(N(AA99),N(AB99),N(AC99))&gt;0,"SOXS","SQQQ"),"WAIT"))</f>
        <v/>
      </c>
      <c r="AS99">
        <f>IF(AP99="YES",IF(SUM(N(X99),N(Y99),N(Z99))&gt;0,"TQQQ","SOXL"),IF(AQ99="YES",IF(SUM(N(AA99),N(AB99),N(AC99))&gt;0,"SQQQ","SOXS"),""))</f>
        <v/>
      </c>
      <c r="AT99" s="23">
        <f>IF(AR99="WAIT","",IF(AS99="",1,0.6))</f>
        <v/>
      </c>
      <c r="AU99" s="23">
        <f>IF(AS99="",0,0.4)</f>
        <v/>
      </c>
      <c r="AV99">
        <f>IF(AR99="WAIT","WAIT",IF(AP99="YES","BULL",IF(AQ99="YES","BEAR","WAIT")))</f>
        <v/>
      </c>
      <c r="AW99">
        <f>IF(AR99="WAIT","Low",IF(OR(AND(AV99="BULL",ABS(SUM(N(X99),N(Y99),N(Z99)))&gt;=0.15),AND(AV99="BEAR",ABS(SUM(N(AA99),N(AB99),N(AC99)))&gt;=0.15)),"Strong",IF(OR(AND(AV99="BULL",ABS(SUM(N(X99),N(Y99),N(Z99)))&gt;=0.05),AND(AV99="BEAR",ABS(SUM(N(AA99),N(AB99),N(AC99)))&gt;=0.05)),"Moderate","Low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13" t="n"/>
      <c r="AF100" s="23">
        <f>IF(OR(AD100="",AD99=""),"",IF(AD99=0,"",(AD100/AD99)-1))</f>
        <v/>
      </c>
      <c r="AG100" s="23">
        <f>IF(ROW()&lt;7,"",IF(OR(AD100="",AD97=""),"",IF(AD97=0,"",(AD100/AD97)-1)))</f>
        <v/>
      </c>
      <c r="AH100" s="23">
        <f>IF(ROW()&lt;9,"",IF(OR(AD100="",AD95=""),"",IF(AD95=0,"",(AD100/AD95)-1)))</f>
        <v/>
      </c>
      <c r="AJ100" s="23">
        <f>IF(OR(AE100="",AE99=""),"",IF(AE99=0,"",(AE100/AE99)-1))</f>
        <v/>
      </c>
      <c r="AK100" s="23">
        <f>IF(ROW()&lt;7,"",IF(OR(AE100="",AE97=""),"",IF(AE97=0,"",(AE100/AE97)-1)))</f>
        <v/>
      </c>
      <c r="AL100" s="23">
        <f>IF(ROW()&lt;9,"",IF(OR(AE100="",AE95=""),"",IF(AE95=0,"",(AE100/AE95)-1)))</f>
        <v/>
      </c>
      <c r="AN100">
        <f>IF(OR(AG100="",AH100=""),"",IF(AND(AG100&gt;0,AH100&gt;0),"Bull",IF(AND(AG100&lt;0,AH100&lt;0),"Bear","Mixed")))</f>
        <v/>
      </c>
      <c r="AO100">
        <f>IF(OR(AK100="",AL100=""),"",IF(AND(AK100&gt;0,AL100&gt;0),"Bull",IF(AND(AK100&lt;0,AL100&lt;0),"Bear","Mixed")))</f>
        <v/>
      </c>
      <c r="AP100">
        <f>IF(OR(AN100="",AO100=""),"",IF(AND(AN100="Bull",AO100="Bull"),"YES","NO"))</f>
        <v/>
      </c>
      <c r="AQ100">
        <f>IF(OR(AN100="",AO100=""),"",IF(AND(AN100="Bear",AO100="Bear"),"YES","NO"))</f>
        <v/>
      </c>
      <c r="AR100">
        <f>IF(AP100="YES",IF(SUM(N(X100),N(Y100),N(Z100))&gt;0,"SOXL","TQQQ"),IF(AQ100="YES",IF(SUM(N(AA100),N(AB100),N(AC100))&gt;0,"SOXS","SQQQ"),"WAIT"))</f>
        <v/>
      </c>
      <c r="AS100">
        <f>IF(AP100="YES",IF(SUM(N(X100),N(Y100),N(Z100))&gt;0,"TQQQ","SOXL"),IF(AQ100="YES",IF(SUM(N(AA100),N(AB100),N(AC100))&gt;0,"SQQQ","SOXS"),""))</f>
        <v/>
      </c>
      <c r="AT100" s="23">
        <f>IF(AR100="WAIT","",IF(AS100="",1,0.6))</f>
        <v/>
      </c>
      <c r="AU100" s="23">
        <f>IF(AS100="",0,0.4)</f>
        <v/>
      </c>
      <c r="AV100">
        <f>IF(AR100="WAIT","WAIT",IF(AP100="YES","BULL",IF(AQ100="YES","BEAR","WAIT")))</f>
        <v/>
      </c>
      <c r="AW100">
        <f>IF(AR100="WAIT","Low",IF(OR(AND(AV100="BULL",ABS(SUM(N(X100),N(Y100),N(Z100)))&gt;=0.15),AND(AV100="BEAR",ABS(SUM(N(AA100),N(AB100),N(AC100)))&gt;=0.15)),"Strong",IF(OR(AND(AV100="BULL",ABS(SUM(N(X100),N(Y100),N(Z100)))&gt;=0.05),AND(AV100="BEAR",ABS(SUM(N(AA100),N(AB100),N(AC100)))&gt;=0.05)),"Moderate","Low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13" t="n"/>
      <c r="AF101" s="23">
        <f>IF(OR(AD101="",AD100=""),"",IF(AD100=0,"",(AD101/AD100)-1))</f>
        <v/>
      </c>
      <c r="AG101" s="23">
        <f>IF(ROW()&lt;7,"",IF(OR(AD101="",AD98=""),"",IF(AD98=0,"",(AD101/AD98)-1)))</f>
        <v/>
      </c>
      <c r="AH101" s="23">
        <f>IF(ROW()&lt;9,"",IF(OR(AD101="",AD96=""),"",IF(AD96=0,"",(AD101/AD96)-1)))</f>
        <v/>
      </c>
      <c r="AJ101" s="23">
        <f>IF(OR(AE101="",AE100=""),"",IF(AE100=0,"",(AE101/AE100)-1))</f>
        <v/>
      </c>
      <c r="AK101" s="23">
        <f>IF(ROW()&lt;7,"",IF(OR(AE101="",AE98=""),"",IF(AE98=0,"",(AE101/AE98)-1)))</f>
        <v/>
      </c>
      <c r="AL101" s="23">
        <f>IF(ROW()&lt;9,"",IF(OR(AE101="",AE96=""),"",IF(AE96=0,"",(AE101/AE96)-1)))</f>
        <v/>
      </c>
      <c r="AN101">
        <f>IF(OR(AG101="",AH101=""),"",IF(AND(AG101&gt;0,AH101&gt;0),"Bull",IF(AND(AG101&lt;0,AH101&lt;0),"Bear","Mixed")))</f>
        <v/>
      </c>
      <c r="AO101">
        <f>IF(OR(AK101="",AL101=""),"",IF(AND(AK101&gt;0,AL101&gt;0),"Bull",IF(AND(AK101&lt;0,AL101&lt;0),"Bear","Mixed")))</f>
        <v/>
      </c>
      <c r="AP101">
        <f>IF(OR(AN101="",AO101=""),"",IF(AND(AN101="Bull",AO101="Bull"),"YES","NO"))</f>
        <v/>
      </c>
      <c r="AQ101">
        <f>IF(OR(AN101="",AO101=""),"",IF(AND(AN101="Bear",AO101="Bear"),"YES","NO"))</f>
        <v/>
      </c>
      <c r="AR101">
        <f>IF(AP101="YES",IF(SUM(N(X101),N(Y101),N(Z101))&gt;0,"SOXL","TQQQ"),IF(AQ101="YES",IF(SUM(N(AA101),N(AB101),N(AC101))&gt;0,"SOXS","SQQQ"),"WAIT"))</f>
        <v/>
      </c>
      <c r="AS101">
        <f>IF(AP101="YES",IF(SUM(N(X101),N(Y101),N(Z101))&gt;0,"TQQQ","SOXL"),IF(AQ101="YES",IF(SUM(N(AA101),N(AB101),N(AC101))&gt;0,"SQQQ","SOXS"),""))</f>
        <v/>
      </c>
      <c r="AT101" s="23">
        <f>IF(AR101="WAIT","",IF(AS101="",1,0.6))</f>
        <v/>
      </c>
      <c r="AU101" s="23">
        <f>IF(AS101="",0,0.4)</f>
        <v/>
      </c>
      <c r="AV101">
        <f>IF(AR101="WAIT","WAIT",IF(AP101="YES","BULL",IF(AQ101="YES","BEAR","WAIT")))</f>
        <v/>
      </c>
      <c r="AW101">
        <f>IF(AR101="WAIT","Low",IF(OR(AND(AV101="BULL",ABS(SUM(N(X101),N(Y101),N(Z101)))&gt;=0.15),AND(AV101="BEAR",ABS(SUM(N(AA101),N(AB101),N(AC101)))&gt;=0.15)),"Strong",IF(OR(AND(AV101="BULL",ABS(SUM(N(X101),N(Y101),N(Z101)))&gt;=0.05),AND(AV101="BEAR",ABS(SUM(N(AA101),N(AB101),N(AC101)))&gt;=0.05)),"Moderate","Low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13" t="n"/>
      <c r="AF102" s="23">
        <f>IF(OR(AD102="",AD101=""),"",IF(AD101=0,"",(AD102/AD101)-1))</f>
        <v/>
      </c>
      <c r="AG102" s="23">
        <f>IF(ROW()&lt;7,"",IF(OR(AD102="",AD99=""),"",IF(AD99=0,"",(AD102/AD99)-1)))</f>
        <v/>
      </c>
      <c r="AH102" s="23">
        <f>IF(ROW()&lt;9,"",IF(OR(AD102="",AD97=""),"",IF(AD97=0,"",(AD102/AD97)-1)))</f>
        <v/>
      </c>
      <c r="AJ102" s="23">
        <f>IF(OR(AE102="",AE101=""),"",IF(AE101=0,"",(AE102/AE101)-1))</f>
        <v/>
      </c>
      <c r="AK102" s="23">
        <f>IF(ROW()&lt;7,"",IF(OR(AE102="",AE99=""),"",IF(AE99=0,"",(AE102/AE99)-1)))</f>
        <v/>
      </c>
      <c r="AL102" s="23">
        <f>IF(ROW()&lt;9,"",IF(OR(AE102="",AE97=""),"",IF(AE97=0,"",(AE102/AE97)-1)))</f>
        <v/>
      </c>
      <c r="AN102">
        <f>IF(OR(AG102="",AH102=""),"",IF(AND(AG102&gt;0,AH102&gt;0),"Bull",IF(AND(AG102&lt;0,AH102&lt;0),"Bear","Mixed")))</f>
        <v/>
      </c>
      <c r="AO102">
        <f>IF(OR(AK102="",AL102=""),"",IF(AND(AK102&gt;0,AL102&gt;0),"Bull",IF(AND(AK102&lt;0,AL102&lt;0),"Bear","Mixed")))</f>
        <v/>
      </c>
      <c r="AP102">
        <f>IF(OR(AN102="",AO102=""),"",IF(AND(AN102="Bull",AO102="Bull"),"YES","NO"))</f>
        <v/>
      </c>
      <c r="AQ102">
        <f>IF(OR(AN102="",AO102=""),"",IF(AND(AN102="Bear",AO102="Bear"),"YES","NO"))</f>
        <v/>
      </c>
      <c r="AR102">
        <f>IF(AP102="YES",IF(SUM(N(X102),N(Y102),N(Z102))&gt;0,"SOXL","TQQQ"),IF(AQ102="YES",IF(SUM(N(AA102),N(AB102),N(AC102))&gt;0,"SOXS","SQQQ"),"WAIT"))</f>
        <v/>
      </c>
      <c r="AS102">
        <f>IF(AP102="YES",IF(SUM(N(X102),N(Y102),N(Z102))&gt;0,"TQQQ","SOXL"),IF(AQ102="YES",IF(SUM(N(AA102),N(AB102),N(AC102))&gt;0,"SQQQ","SOXS"),""))</f>
        <v/>
      </c>
      <c r="AT102" s="23">
        <f>IF(AR102="WAIT","",IF(AS102="",1,0.6))</f>
        <v/>
      </c>
      <c r="AU102" s="23">
        <f>IF(AS102="",0,0.4)</f>
        <v/>
      </c>
      <c r="AV102">
        <f>IF(AR102="WAIT","WAIT",IF(AP102="YES","BULL",IF(AQ102="YES","BEAR","WAIT")))</f>
        <v/>
      </c>
      <c r="AW102">
        <f>IF(AR102="WAIT","Low",IF(OR(AND(AV102="BULL",ABS(SUM(N(X102),N(Y102),N(Z102)))&gt;=0.15),AND(AV102="BEAR",ABS(SUM(N(AA102),N(AB102),N(AC102)))&gt;=0.15)),"Strong",IF(OR(AND(AV102="BULL",ABS(SUM(N(X102),N(Y102),N(Z102)))&gt;=0.05),AND(AV102="BEAR",ABS(SUM(N(AA102),N(AB102),N(AC102)))&gt;=0.05)),"Moderate","Low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13" t="n"/>
      <c r="AF103" s="23">
        <f>IF(OR(AD103="",AD102=""),"",IF(AD102=0,"",(AD103/AD102)-1))</f>
        <v/>
      </c>
      <c r="AG103" s="23">
        <f>IF(ROW()&lt;7,"",IF(OR(AD103="",AD100=""),"",IF(AD100=0,"",(AD103/AD100)-1)))</f>
        <v/>
      </c>
      <c r="AH103" s="23">
        <f>IF(ROW()&lt;9,"",IF(OR(AD103="",AD98=""),"",IF(AD98=0,"",(AD103/AD98)-1)))</f>
        <v/>
      </c>
      <c r="AJ103" s="23">
        <f>IF(OR(AE103="",AE102=""),"",IF(AE102=0,"",(AE103/AE102)-1))</f>
        <v/>
      </c>
      <c r="AK103" s="23">
        <f>IF(ROW()&lt;7,"",IF(OR(AE103="",AE100=""),"",IF(AE100=0,"",(AE103/AE100)-1)))</f>
        <v/>
      </c>
      <c r="AL103" s="23">
        <f>IF(ROW()&lt;9,"",IF(OR(AE103="",AE98=""),"",IF(AE98=0,"",(AE103/AE98)-1)))</f>
        <v/>
      </c>
      <c r="AN103">
        <f>IF(OR(AG103="",AH103=""),"",IF(AND(AG103&gt;0,AH103&gt;0),"Bull",IF(AND(AG103&lt;0,AH103&lt;0),"Bear","Mixed")))</f>
        <v/>
      </c>
      <c r="AO103">
        <f>IF(OR(AK103="",AL103=""),"",IF(AND(AK103&gt;0,AL103&gt;0),"Bull",IF(AND(AK103&lt;0,AL103&lt;0),"Bear","Mixed")))</f>
        <v/>
      </c>
      <c r="AP103">
        <f>IF(OR(AN103="",AO103=""),"",IF(AND(AN103="Bull",AO103="Bull"),"YES","NO"))</f>
        <v/>
      </c>
      <c r="AQ103">
        <f>IF(OR(AN103="",AO103=""),"",IF(AND(AN103="Bear",AO103="Bear"),"YES","NO"))</f>
        <v/>
      </c>
      <c r="AR103">
        <f>IF(AP103="YES",IF(SUM(N(X103),N(Y103),N(Z103))&gt;0,"SOXL","TQQQ"),IF(AQ103="YES",IF(SUM(N(AA103),N(AB103),N(AC103))&gt;0,"SOXS","SQQQ"),"WAIT"))</f>
        <v/>
      </c>
      <c r="AS103">
        <f>IF(AP103="YES",IF(SUM(N(X103),N(Y103),N(Z103))&gt;0,"TQQQ","SOXL"),IF(AQ103="YES",IF(SUM(N(AA103),N(AB103),N(AC103))&gt;0,"SQQQ","SOXS"),""))</f>
        <v/>
      </c>
      <c r="AT103" s="23">
        <f>IF(AR103="WAIT","",IF(AS103="",1,0.6))</f>
        <v/>
      </c>
      <c r="AU103" s="23">
        <f>IF(AS103="",0,0.4)</f>
        <v/>
      </c>
      <c r="AV103">
        <f>IF(AR103="WAIT","WAIT",IF(AP103="YES","BULL",IF(AQ103="YES","BEAR","WAIT")))</f>
        <v/>
      </c>
      <c r="AW103">
        <f>IF(AR103="WAIT","Low",IF(OR(AND(AV103="BULL",ABS(SUM(N(X103),N(Y103),N(Z103)))&gt;=0.15),AND(AV103="BEAR",ABS(SUM(N(AA103),N(AB103),N(AC103)))&gt;=0.15)),"Strong",IF(OR(AND(AV103="BULL",ABS(SUM(N(X103),N(Y103),N(Z103)))&gt;=0.05),AND(AV103="BEAR",ABS(SUM(N(AA103),N(AB103),N(AC103)))&gt;=0.05)),"Moderate","Low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13" t="n"/>
      <c r="AF104" s="23">
        <f>IF(OR(AD104="",AD103=""),"",IF(AD103=0,"",(AD104/AD103)-1))</f>
        <v/>
      </c>
      <c r="AG104" s="23">
        <f>IF(ROW()&lt;7,"",IF(OR(AD104="",AD101=""),"",IF(AD101=0,"",(AD104/AD101)-1)))</f>
        <v/>
      </c>
      <c r="AH104" s="23">
        <f>IF(ROW()&lt;9,"",IF(OR(AD104="",AD99=""),"",IF(AD99=0,"",(AD104/AD99)-1)))</f>
        <v/>
      </c>
      <c r="AJ104" s="23">
        <f>IF(OR(AE104="",AE103=""),"",IF(AE103=0,"",(AE104/AE103)-1))</f>
        <v/>
      </c>
      <c r="AK104" s="23">
        <f>IF(ROW()&lt;7,"",IF(OR(AE104="",AE101=""),"",IF(AE101=0,"",(AE104/AE101)-1)))</f>
        <v/>
      </c>
      <c r="AL104" s="23">
        <f>IF(ROW()&lt;9,"",IF(OR(AE104="",AE99=""),"",IF(AE99=0,"",(AE104/AE99)-1)))</f>
        <v/>
      </c>
      <c r="AN104">
        <f>IF(OR(AG104="",AH104=""),"",IF(AND(AG104&gt;0,AH104&gt;0),"Bull",IF(AND(AG104&lt;0,AH104&lt;0),"Bear","Mixed")))</f>
        <v/>
      </c>
      <c r="AO104">
        <f>IF(OR(AK104="",AL104=""),"",IF(AND(AK104&gt;0,AL104&gt;0),"Bull",IF(AND(AK104&lt;0,AL104&lt;0),"Bear","Mixed")))</f>
        <v/>
      </c>
      <c r="AP104">
        <f>IF(OR(AN104="",AO104=""),"",IF(AND(AN104="Bull",AO104="Bull"),"YES","NO"))</f>
        <v/>
      </c>
      <c r="AQ104">
        <f>IF(OR(AN104="",AO104=""),"",IF(AND(AN104="Bear",AO104="Bear"),"YES","NO"))</f>
        <v/>
      </c>
      <c r="AR104">
        <f>IF(AP104="YES",IF(SUM(N(X104),N(Y104),N(Z104))&gt;0,"SOXL","TQQQ"),IF(AQ104="YES",IF(SUM(N(AA104),N(AB104),N(AC104))&gt;0,"SOXS","SQQQ"),"WAIT"))</f>
        <v/>
      </c>
      <c r="AS104">
        <f>IF(AP104="YES",IF(SUM(N(X104),N(Y104),N(Z104))&gt;0,"TQQQ","SOXL"),IF(AQ104="YES",IF(SUM(N(AA104),N(AB104),N(AC104))&gt;0,"SQQQ","SOXS"),""))</f>
        <v/>
      </c>
      <c r="AT104" s="23">
        <f>IF(AR104="WAIT","",IF(AS104="",1,0.6))</f>
        <v/>
      </c>
      <c r="AU104" s="23">
        <f>IF(AS104="",0,0.4)</f>
        <v/>
      </c>
      <c r="AV104">
        <f>IF(AR104="WAIT","WAIT",IF(AP104="YES","BULL",IF(AQ104="YES","BEAR","WAIT")))</f>
        <v/>
      </c>
      <c r="AW104">
        <f>IF(AR104="WAIT","Low",IF(OR(AND(AV104="BULL",ABS(SUM(N(X104),N(Y104),N(Z104)))&gt;=0.15),AND(AV104="BEAR",ABS(SUM(N(AA104),N(AB104),N(AC104)))&gt;=0.15)),"Strong",IF(OR(AND(AV104="BULL",ABS(SUM(N(X104),N(Y104),N(Z104)))&gt;=0.05),AND(AV104="BEAR",ABS(SUM(N(AA104),N(AB104),N(AC104)))&gt;=0.05)),"Moderate","Low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13" t="n"/>
      <c r="AF105" s="23">
        <f>IF(OR(AD105="",AD104=""),"",IF(AD104=0,"",(AD105/AD104)-1))</f>
        <v/>
      </c>
      <c r="AG105" s="23">
        <f>IF(ROW()&lt;7,"",IF(OR(AD105="",AD102=""),"",IF(AD102=0,"",(AD105/AD102)-1)))</f>
        <v/>
      </c>
      <c r="AH105" s="23">
        <f>IF(ROW()&lt;9,"",IF(OR(AD105="",AD100=""),"",IF(AD100=0,"",(AD105/AD100)-1)))</f>
        <v/>
      </c>
      <c r="AJ105" s="23">
        <f>IF(OR(AE105="",AE104=""),"",IF(AE104=0,"",(AE105/AE104)-1))</f>
        <v/>
      </c>
      <c r="AK105" s="23">
        <f>IF(ROW()&lt;7,"",IF(OR(AE105="",AE102=""),"",IF(AE102=0,"",(AE105/AE102)-1)))</f>
        <v/>
      </c>
      <c r="AL105" s="23">
        <f>IF(ROW()&lt;9,"",IF(OR(AE105="",AE100=""),"",IF(AE100=0,"",(AE105/AE100)-1)))</f>
        <v/>
      </c>
      <c r="AN105">
        <f>IF(OR(AG105="",AH105=""),"",IF(AND(AG105&gt;0,AH105&gt;0),"Bull",IF(AND(AG105&lt;0,AH105&lt;0),"Bear","Mixed")))</f>
        <v/>
      </c>
      <c r="AO105">
        <f>IF(OR(AK105="",AL105=""),"",IF(AND(AK105&gt;0,AL105&gt;0),"Bull",IF(AND(AK105&lt;0,AL105&lt;0),"Bear","Mixed")))</f>
        <v/>
      </c>
      <c r="AP105">
        <f>IF(OR(AN105="",AO105=""),"",IF(AND(AN105="Bull",AO105="Bull"),"YES","NO"))</f>
        <v/>
      </c>
      <c r="AQ105">
        <f>IF(OR(AN105="",AO105=""),"",IF(AND(AN105="Bear",AO105="Bear"),"YES","NO"))</f>
        <v/>
      </c>
      <c r="AR105">
        <f>IF(AP105="YES",IF(SUM(N(X105),N(Y105),N(Z105))&gt;0,"SOXL","TQQQ"),IF(AQ105="YES",IF(SUM(N(AA105),N(AB105),N(AC105))&gt;0,"SOXS","SQQQ"),"WAIT"))</f>
        <v/>
      </c>
      <c r="AS105">
        <f>IF(AP105="YES",IF(SUM(N(X105),N(Y105),N(Z105))&gt;0,"TQQQ","SOXL"),IF(AQ105="YES",IF(SUM(N(AA105),N(AB105),N(AC105))&gt;0,"SQQQ","SOXS"),""))</f>
        <v/>
      </c>
      <c r="AT105" s="23">
        <f>IF(AR105="WAIT","",IF(AS105="",1,0.6))</f>
        <v/>
      </c>
      <c r="AU105" s="23">
        <f>IF(AS105="",0,0.4)</f>
        <v/>
      </c>
      <c r="AV105">
        <f>IF(AR105="WAIT","WAIT",IF(AP105="YES","BULL",IF(AQ105="YES","BEAR","WAIT")))</f>
        <v/>
      </c>
      <c r="AW105">
        <f>IF(AR105="WAIT","Low",IF(OR(AND(AV105="BULL",ABS(SUM(N(X105),N(Y105),N(Z105)))&gt;=0.15),AND(AV105="BEAR",ABS(SUM(N(AA105),N(AB105),N(AC105)))&gt;=0.15)),"Strong",IF(OR(AND(AV105="BULL",ABS(SUM(N(X105),N(Y105),N(Z105)))&gt;=0.05),AND(AV105="BEAR",ABS(SUM(N(AA105),N(AB105),N(AC105)))&gt;=0.05)),"Moderate","Low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13" t="n"/>
      <c r="AF106" s="23">
        <f>IF(OR(AD106="",AD105=""),"",IF(AD105=0,"",(AD106/AD105)-1))</f>
        <v/>
      </c>
      <c r="AG106" s="23">
        <f>IF(ROW()&lt;7,"",IF(OR(AD106="",AD103=""),"",IF(AD103=0,"",(AD106/AD103)-1)))</f>
        <v/>
      </c>
      <c r="AH106" s="23">
        <f>IF(ROW()&lt;9,"",IF(OR(AD106="",AD101=""),"",IF(AD101=0,"",(AD106/AD101)-1)))</f>
        <v/>
      </c>
      <c r="AJ106" s="23">
        <f>IF(OR(AE106="",AE105=""),"",IF(AE105=0,"",(AE106/AE105)-1))</f>
        <v/>
      </c>
      <c r="AK106" s="23">
        <f>IF(ROW()&lt;7,"",IF(OR(AE106="",AE103=""),"",IF(AE103=0,"",(AE106/AE103)-1)))</f>
        <v/>
      </c>
      <c r="AL106" s="23">
        <f>IF(ROW()&lt;9,"",IF(OR(AE106="",AE101=""),"",IF(AE101=0,"",(AE106/AE101)-1)))</f>
        <v/>
      </c>
      <c r="AN106">
        <f>IF(OR(AG106="",AH106=""),"",IF(AND(AG106&gt;0,AH106&gt;0),"Bull",IF(AND(AG106&lt;0,AH106&lt;0),"Bear","Mixed")))</f>
        <v/>
      </c>
      <c r="AO106">
        <f>IF(OR(AK106="",AL106=""),"",IF(AND(AK106&gt;0,AL106&gt;0),"Bull",IF(AND(AK106&lt;0,AL106&lt;0),"Bear","Mixed")))</f>
        <v/>
      </c>
      <c r="AP106">
        <f>IF(OR(AN106="",AO106=""),"",IF(AND(AN106="Bull",AO106="Bull"),"YES","NO"))</f>
        <v/>
      </c>
      <c r="AQ106">
        <f>IF(OR(AN106="",AO106=""),"",IF(AND(AN106="Bear",AO106="Bear"),"YES","NO"))</f>
        <v/>
      </c>
      <c r="AR106">
        <f>IF(AP106="YES",IF(SUM(N(X106),N(Y106),N(Z106))&gt;0,"SOXL","TQQQ"),IF(AQ106="YES",IF(SUM(N(AA106),N(AB106),N(AC106))&gt;0,"SOXS","SQQQ"),"WAIT"))</f>
        <v/>
      </c>
      <c r="AS106">
        <f>IF(AP106="YES",IF(SUM(N(X106),N(Y106),N(Z106))&gt;0,"TQQQ","SOXL"),IF(AQ106="YES",IF(SUM(N(AA106),N(AB106),N(AC106))&gt;0,"SQQQ","SOXS"),""))</f>
        <v/>
      </c>
      <c r="AT106" s="23">
        <f>IF(AR106="WAIT","",IF(AS106="",1,0.6))</f>
        <v/>
      </c>
      <c r="AU106" s="23">
        <f>IF(AS106="",0,0.4)</f>
        <v/>
      </c>
      <c r="AV106">
        <f>IF(AR106="WAIT","WAIT",IF(AP106="YES","BULL",IF(AQ106="YES","BEAR","WAIT")))</f>
        <v/>
      </c>
      <c r="AW106">
        <f>IF(AR106="WAIT","Low",IF(OR(AND(AV106="BULL",ABS(SUM(N(X106),N(Y106),N(Z106)))&gt;=0.15),AND(AV106="BEAR",ABS(SUM(N(AA106),N(AB106),N(AC106)))&gt;=0.15)),"Strong",IF(OR(AND(AV106="BULL",ABS(SUM(N(X106),N(Y106),N(Z106)))&gt;=0.05),AND(AV106="BEAR",ABS(SUM(N(AA106),N(AB106),N(AC106)))&gt;=0.05)),"Moderate","Low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13" t="n"/>
      <c r="AF107" s="23">
        <f>IF(OR(AD107="",AD106=""),"",IF(AD106=0,"",(AD107/AD106)-1))</f>
        <v/>
      </c>
      <c r="AG107" s="23">
        <f>IF(ROW()&lt;7,"",IF(OR(AD107="",AD104=""),"",IF(AD104=0,"",(AD107/AD104)-1)))</f>
        <v/>
      </c>
      <c r="AH107" s="23">
        <f>IF(ROW()&lt;9,"",IF(OR(AD107="",AD102=""),"",IF(AD102=0,"",(AD107/AD102)-1)))</f>
        <v/>
      </c>
      <c r="AJ107" s="23">
        <f>IF(OR(AE107="",AE106=""),"",IF(AE106=0,"",(AE107/AE106)-1))</f>
        <v/>
      </c>
      <c r="AK107" s="23">
        <f>IF(ROW()&lt;7,"",IF(OR(AE107="",AE104=""),"",IF(AE104=0,"",(AE107/AE104)-1)))</f>
        <v/>
      </c>
      <c r="AL107" s="23">
        <f>IF(ROW()&lt;9,"",IF(OR(AE107="",AE102=""),"",IF(AE102=0,"",(AE107/AE102)-1)))</f>
        <v/>
      </c>
      <c r="AN107">
        <f>IF(OR(AG107="",AH107=""),"",IF(AND(AG107&gt;0,AH107&gt;0),"Bull",IF(AND(AG107&lt;0,AH107&lt;0),"Bear","Mixed")))</f>
        <v/>
      </c>
      <c r="AO107">
        <f>IF(OR(AK107="",AL107=""),"",IF(AND(AK107&gt;0,AL107&gt;0),"Bull",IF(AND(AK107&lt;0,AL107&lt;0),"Bear","Mixed")))</f>
        <v/>
      </c>
      <c r="AP107">
        <f>IF(OR(AN107="",AO107=""),"",IF(AND(AN107="Bull",AO107="Bull"),"YES","NO"))</f>
        <v/>
      </c>
      <c r="AQ107">
        <f>IF(OR(AN107="",AO107=""),"",IF(AND(AN107="Bear",AO107="Bear"),"YES","NO"))</f>
        <v/>
      </c>
      <c r="AR107">
        <f>IF(AP107="YES",IF(SUM(N(X107),N(Y107),N(Z107))&gt;0,"SOXL","TQQQ"),IF(AQ107="YES",IF(SUM(N(AA107),N(AB107),N(AC107))&gt;0,"SOXS","SQQQ"),"WAIT"))</f>
        <v/>
      </c>
      <c r="AS107">
        <f>IF(AP107="YES",IF(SUM(N(X107),N(Y107),N(Z107))&gt;0,"TQQQ","SOXL"),IF(AQ107="YES",IF(SUM(N(AA107),N(AB107),N(AC107))&gt;0,"SQQQ","SOXS"),""))</f>
        <v/>
      </c>
      <c r="AT107" s="23">
        <f>IF(AR107="WAIT","",IF(AS107="",1,0.6))</f>
        <v/>
      </c>
      <c r="AU107" s="23">
        <f>IF(AS107="",0,0.4)</f>
        <v/>
      </c>
      <c r="AV107">
        <f>IF(AR107="WAIT","WAIT",IF(AP107="YES","BULL",IF(AQ107="YES","BEAR","WAIT")))</f>
        <v/>
      </c>
      <c r="AW107">
        <f>IF(AR107="WAIT","Low",IF(OR(AND(AV107="BULL",ABS(SUM(N(X107),N(Y107),N(Z107)))&gt;=0.15),AND(AV107="BEAR",ABS(SUM(N(AA107),N(AB107),N(AC107)))&gt;=0.15)),"Strong",IF(OR(AND(AV107="BULL",ABS(SUM(N(X107),N(Y107),N(Z107)))&gt;=0.05),AND(AV107="BEAR",ABS(SUM(N(AA107),N(AB107),N(AC107)))&gt;=0.05)),"Moderate","Low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13" t="n"/>
      <c r="AF108" s="23">
        <f>IF(OR(AD108="",AD107=""),"",IF(AD107=0,"",(AD108/AD107)-1))</f>
        <v/>
      </c>
      <c r="AG108" s="23">
        <f>IF(ROW()&lt;7,"",IF(OR(AD108="",AD105=""),"",IF(AD105=0,"",(AD108/AD105)-1)))</f>
        <v/>
      </c>
      <c r="AH108" s="23">
        <f>IF(ROW()&lt;9,"",IF(OR(AD108="",AD103=""),"",IF(AD103=0,"",(AD108/AD103)-1)))</f>
        <v/>
      </c>
      <c r="AJ108" s="23">
        <f>IF(OR(AE108="",AE107=""),"",IF(AE107=0,"",(AE108/AE107)-1))</f>
        <v/>
      </c>
      <c r="AK108" s="23">
        <f>IF(ROW()&lt;7,"",IF(OR(AE108="",AE105=""),"",IF(AE105=0,"",(AE108/AE105)-1)))</f>
        <v/>
      </c>
      <c r="AL108" s="23">
        <f>IF(ROW()&lt;9,"",IF(OR(AE108="",AE103=""),"",IF(AE103=0,"",(AE108/AE103)-1)))</f>
        <v/>
      </c>
      <c r="AN108">
        <f>IF(OR(AG108="",AH108=""),"",IF(AND(AG108&gt;0,AH108&gt;0),"Bull",IF(AND(AG108&lt;0,AH108&lt;0),"Bear","Mixed")))</f>
        <v/>
      </c>
      <c r="AO108">
        <f>IF(OR(AK108="",AL108=""),"",IF(AND(AK108&gt;0,AL108&gt;0),"Bull",IF(AND(AK108&lt;0,AL108&lt;0),"Bear","Mixed")))</f>
        <v/>
      </c>
      <c r="AP108">
        <f>IF(OR(AN108="",AO108=""),"",IF(AND(AN108="Bull",AO108="Bull"),"YES","NO"))</f>
        <v/>
      </c>
      <c r="AQ108">
        <f>IF(OR(AN108="",AO108=""),"",IF(AND(AN108="Bear",AO108="Bear"),"YES","NO"))</f>
        <v/>
      </c>
      <c r="AR108">
        <f>IF(AP108="YES",IF(SUM(N(X108),N(Y108),N(Z108))&gt;0,"SOXL","TQQQ"),IF(AQ108="YES",IF(SUM(N(AA108),N(AB108),N(AC108))&gt;0,"SOXS","SQQQ"),"WAIT"))</f>
        <v/>
      </c>
      <c r="AS108">
        <f>IF(AP108="YES",IF(SUM(N(X108),N(Y108),N(Z108))&gt;0,"TQQQ","SOXL"),IF(AQ108="YES",IF(SUM(N(AA108),N(AB108),N(AC108))&gt;0,"SQQQ","SOXS"),""))</f>
        <v/>
      </c>
      <c r="AT108" s="23">
        <f>IF(AR108="WAIT","",IF(AS108="",1,0.6))</f>
        <v/>
      </c>
      <c r="AU108" s="23">
        <f>IF(AS108="",0,0.4)</f>
        <v/>
      </c>
      <c r="AV108">
        <f>IF(AR108="WAIT","WAIT",IF(AP108="YES","BULL",IF(AQ108="YES","BEAR","WAIT")))</f>
        <v/>
      </c>
      <c r="AW108">
        <f>IF(AR108="WAIT","Low",IF(OR(AND(AV108="BULL",ABS(SUM(N(X108),N(Y108),N(Z108)))&gt;=0.15),AND(AV108="BEAR",ABS(SUM(N(AA108),N(AB108),N(AC108)))&gt;=0.15)),"Strong",IF(OR(AND(AV108="BULL",ABS(SUM(N(X108),N(Y108),N(Z108)))&gt;=0.05),AND(AV108="BEAR",ABS(SUM(N(AA108),N(AB108),N(AC108)))&gt;=0.05)),"Moderate","Low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13" t="n"/>
      <c r="AF109" s="23">
        <f>IF(OR(AD109="",AD108=""),"",IF(AD108=0,"",(AD109/AD108)-1))</f>
        <v/>
      </c>
      <c r="AG109" s="23">
        <f>IF(ROW()&lt;7,"",IF(OR(AD109="",AD106=""),"",IF(AD106=0,"",(AD109/AD106)-1)))</f>
        <v/>
      </c>
      <c r="AH109" s="23">
        <f>IF(ROW()&lt;9,"",IF(OR(AD109="",AD104=""),"",IF(AD104=0,"",(AD109/AD104)-1)))</f>
        <v/>
      </c>
      <c r="AJ109" s="23">
        <f>IF(OR(AE109="",AE108=""),"",IF(AE108=0,"",(AE109/AE108)-1))</f>
        <v/>
      </c>
      <c r="AK109" s="23">
        <f>IF(ROW()&lt;7,"",IF(OR(AE109="",AE106=""),"",IF(AE106=0,"",(AE109/AE106)-1)))</f>
        <v/>
      </c>
      <c r="AL109" s="23">
        <f>IF(ROW()&lt;9,"",IF(OR(AE109="",AE104=""),"",IF(AE104=0,"",(AE109/AE104)-1)))</f>
        <v/>
      </c>
      <c r="AN109">
        <f>IF(OR(AG109="",AH109=""),"",IF(AND(AG109&gt;0,AH109&gt;0),"Bull",IF(AND(AG109&lt;0,AH109&lt;0),"Bear","Mixed")))</f>
        <v/>
      </c>
      <c r="AO109">
        <f>IF(OR(AK109="",AL109=""),"",IF(AND(AK109&gt;0,AL109&gt;0),"Bull",IF(AND(AK109&lt;0,AL109&lt;0),"Bear","Mixed")))</f>
        <v/>
      </c>
      <c r="AP109">
        <f>IF(OR(AN109="",AO109=""),"",IF(AND(AN109="Bull",AO109="Bull"),"YES","NO"))</f>
        <v/>
      </c>
      <c r="AQ109">
        <f>IF(OR(AN109="",AO109=""),"",IF(AND(AN109="Bear",AO109="Bear"),"YES","NO"))</f>
        <v/>
      </c>
      <c r="AR109">
        <f>IF(AP109="YES",IF(SUM(N(X109),N(Y109),N(Z109))&gt;0,"SOXL","TQQQ"),IF(AQ109="YES",IF(SUM(N(AA109),N(AB109),N(AC109))&gt;0,"SOXS","SQQQ"),"WAIT"))</f>
        <v/>
      </c>
      <c r="AS109">
        <f>IF(AP109="YES",IF(SUM(N(X109),N(Y109),N(Z109))&gt;0,"TQQQ","SOXL"),IF(AQ109="YES",IF(SUM(N(AA109),N(AB109),N(AC109))&gt;0,"SQQQ","SOXS"),""))</f>
        <v/>
      </c>
      <c r="AT109" s="23">
        <f>IF(AR109="WAIT","",IF(AS109="",1,0.6))</f>
        <v/>
      </c>
      <c r="AU109" s="23">
        <f>IF(AS109="",0,0.4)</f>
        <v/>
      </c>
      <c r="AV109">
        <f>IF(AR109="WAIT","WAIT",IF(AP109="YES","BULL",IF(AQ109="YES","BEAR","WAIT")))</f>
        <v/>
      </c>
      <c r="AW109">
        <f>IF(AR109="WAIT","Low",IF(OR(AND(AV109="BULL",ABS(SUM(N(X109),N(Y109),N(Z109)))&gt;=0.15),AND(AV109="BEAR",ABS(SUM(N(AA109),N(AB109),N(AC109)))&gt;=0.15)),"Strong",IF(OR(AND(AV109="BULL",ABS(SUM(N(X109),N(Y109),N(Z109)))&gt;=0.05),AND(AV109="BEAR",ABS(SUM(N(AA109),N(AB109),N(AC109)))&gt;=0.05)),"Moderate","Low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13" t="n"/>
      <c r="AF110" s="23">
        <f>IF(OR(AD110="",AD109=""),"",IF(AD109=0,"",(AD110/AD109)-1))</f>
        <v/>
      </c>
      <c r="AG110" s="23">
        <f>IF(ROW()&lt;7,"",IF(OR(AD110="",AD107=""),"",IF(AD107=0,"",(AD110/AD107)-1)))</f>
        <v/>
      </c>
      <c r="AH110" s="23">
        <f>IF(ROW()&lt;9,"",IF(OR(AD110="",AD105=""),"",IF(AD105=0,"",(AD110/AD105)-1)))</f>
        <v/>
      </c>
      <c r="AJ110" s="23">
        <f>IF(OR(AE110="",AE109=""),"",IF(AE109=0,"",(AE110/AE109)-1))</f>
        <v/>
      </c>
      <c r="AK110" s="23">
        <f>IF(ROW()&lt;7,"",IF(OR(AE110="",AE107=""),"",IF(AE107=0,"",(AE110/AE107)-1)))</f>
        <v/>
      </c>
      <c r="AL110" s="23">
        <f>IF(ROW()&lt;9,"",IF(OR(AE110="",AE105=""),"",IF(AE105=0,"",(AE110/AE105)-1)))</f>
        <v/>
      </c>
      <c r="AN110">
        <f>IF(OR(AG110="",AH110=""),"",IF(AND(AG110&gt;0,AH110&gt;0),"Bull",IF(AND(AG110&lt;0,AH110&lt;0),"Bear","Mixed")))</f>
        <v/>
      </c>
      <c r="AO110">
        <f>IF(OR(AK110="",AL110=""),"",IF(AND(AK110&gt;0,AL110&gt;0),"Bull",IF(AND(AK110&lt;0,AL110&lt;0),"Bear","Mixed")))</f>
        <v/>
      </c>
      <c r="AP110">
        <f>IF(OR(AN110="",AO110=""),"",IF(AND(AN110="Bull",AO110="Bull"),"YES","NO"))</f>
        <v/>
      </c>
      <c r="AQ110">
        <f>IF(OR(AN110="",AO110=""),"",IF(AND(AN110="Bear",AO110="Bear"),"YES","NO"))</f>
        <v/>
      </c>
      <c r="AR110">
        <f>IF(AP110="YES",IF(SUM(N(X110),N(Y110),N(Z110))&gt;0,"SOXL","TQQQ"),IF(AQ110="YES",IF(SUM(N(AA110),N(AB110),N(AC110))&gt;0,"SOXS","SQQQ"),"WAIT"))</f>
        <v/>
      </c>
      <c r="AS110">
        <f>IF(AP110="YES",IF(SUM(N(X110),N(Y110),N(Z110))&gt;0,"TQQQ","SOXL"),IF(AQ110="YES",IF(SUM(N(AA110),N(AB110),N(AC110))&gt;0,"SQQQ","SOXS"),""))</f>
        <v/>
      </c>
      <c r="AT110" s="23">
        <f>IF(AR110="WAIT","",IF(AS110="",1,0.6))</f>
        <v/>
      </c>
      <c r="AU110" s="23">
        <f>IF(AS110="",0,0.4)</f>
        <v/>
      </c>
      <c r="AV110">
        <f>IF(AR110="WAIT","WAIT",IF(AP110="YES","BULL",IF(AQ110="YES","BEAR","WAIT")))</f>
        <v/>
      </c>
      <c r="AW110">
        <f>IF(AR110="WAIT","Low",IF(OR(AND(AV110="BULL",ABS(SUM(N(X110),N(Y110),N(Z110)))&gt;=0.15),AND(AV110="BEAR",ABS(SUM(N(AA110),N(AB110),N(AC110)))&gt;=0.15)),"Strong",IF(OR(AND(AV110="BULL",ABS(SUM(N(X110),N(Y110),N(Z110)))&gt;=0.05),AND(AV110="BEAR",ABS(SUM(N(AA110),N(AB110),N(AC110)))&gt;=0.05)),"Moderate","Low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13" t="n"/>
      <c r="AF111" s="23">
        <f>IF(OR(AD111="",AD110=""),"",IF(AD110=0,"",(AD111/AD110)-1))</f>
        <v/>
      </c>
      <c r="AG111" s="23">
        <f>IF(ROW()&lt;7,"",IF(OR(AD111="",AD108=""),"",IF(AD108=0,"",(AD111/AD108)-1)))</f>
        <v/>
      </c>
      <c r="AH111" s="23">
        <f>IF(ROW()&lt;9,"",IF(OR(AD111="",AD106=""),"",IF(AD106=0,"",(AD111/AD106)-1)))</f>
        <v/>
      </c>
      <c r="AJ111" s="23">
        <f>IF(OR(AE111="",AE110=""),"",IF(AE110=0,"",(AE111/AE110)-1))</f>
        <v/>
      </c>
      <c r="AK111" s="23">
        <f>IF(ROW()&lt;7,"",IF(OR(AE111="",AE108=""),"",IF(AE108=0,"",(AE111/AE108)-1)))</f>
        <v/>
      </c>
      <c r="AL111" s="23">
        <f>IF(ROW()&lt;9,"",IF(OR(AE111="",AE106=""),"",IF(AE106=0,"",(AE111/AE106)-1)))</f>
        <v/>
      </c>
      <c r="AN111">
        <f>IF(OR(AG111="",AH111=""),"",IF(AND(AG111&gt;0,AH111&gt;0),"Bull",IF(AND(AG111&lt;0,AH111&lt;0),"Bear","Mixed")))</f>
        <v/>
      </c>
      <c r="AO111">
        <f>IF(OR(AK111="",AL111=""),"",IF(AND(AK111&gt;0,AL111&gt;0),"Bull",IF(AND(AK111&lt;0,AL111&lt;0),"Bear","Mixed")))</f>
        <v/>
      </c>
      <c r="AP111">
        <f>IF(OR(AN111="",AO111=""),"",IF(AND(AN111="Bull",AO111="Bull"),"YES","NO"))</f>
        <v/>
      </c>
      <c r="AQ111">
        <f>IF(OR(AN111="",AO111=""),"",IF(AND(AN111="Bear",AO111="Bear"),"YES","NO"))</f>
        <v/>
      </c>
      <c r="AR111">
        <f>IF(AP111="YES",IF(SUM(N(X111),N(Y111),N(Z111))&gt;0,"SOXL","TQQQ"),IF(AQ111="YES",IF(SUM(N(AA111),N(AB111),N(AC111))&gt;0,"SOXS","SQQQ"),"WAIT"))</f>
        <v/>
      </c>
      <c r="AS111">
        <f>IF(AP111="YES",IF(SUM(N(X111),N(Y111),N(Z111))&gt;0,"TQQQ","SOXL"),IF(AQ111="YES",IF(SUM(N(AA111),N(AB111),N(AC111))&gt;0,"SQQQ","SOXS"),""))</f>
        <v/>
      </c>
      <c r="AT111" s="23">
        <f>IF(AR111="WAIT","",IF(AS111="",1,0.6))</f>
        <v/>
      </c>
      <c r="AU111" s="23">
        <f>IF(AS111="",0,0.4)</f>
        <v/>
      </c>
      <c r="AV111">
        <f>IF(AR111="WAIT","WAIT",IF(AP111="YES","BULL",IF(AQ111="YES","BEAR","WAIT")))</f>
        <v/>
      </c>
      <c r="AW111">
        <f>IF(AR111="WAIT","Low",IF(OR(AND(AV111="BULL",ABS(SUM(N(X111),N(Y111),N(Z111)))&gt;=0.15),AND(AV111="BEAR",ABS(SUM(N(AA111),N(AB111),N(AC111)))&gt;=0.15)),"Strong",IF(OR(AND(AV111="BULL",ABS(SUM(N(X111),N(Y111),N(Z111)))&gt;=0.05),AND(AV111="BEAR",ABS(SUM(N(AA111),N(AB111),N(AC111)))&gt;=0.05)),"Moderate","Low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13" t="n"/>
      <c r="AF112" s="23">
        <f>IF(OR(AD112="",AD111=""),"",IF(AD111=0,"",(AD112/AD111)-1))</f>
        <v/>
      </c>
      <c r="AG112" s="23">
        <f>IF(ROW()&lt;7,"",IF(OR(AD112="",AD109=""),"",IF(AD109=0,"",(AD112/AD109)-1)))</f>
        <v/>
      </c>
      <c r="AH112" s="23">
        <f>IF(ROW()&lt;9,"",IF(OR(AD112="",AD107=""),"",IF(AD107=0,"",(AD112/AD107)-1)))</f>
        <v/>
      </c>
      <c r="AJ112" s="23">
        <f>IF(OR(AE112="",AE111=""),"",IF(AE111=0,"",(AE112/AE111)-1))</f>
        <v/>
      </c>
      <c r="AK112" s="23">
        <f>IF(ROW()&lt;7,"",IF(OR(AE112="",AE109=""),"",IF(AE109=0,"",(AE112/AE109)-1)))</f>
        <v/>
      </c>
      <c r="AL112" s="23">
        <f>IF(ROW()&lt;9,"",IF(OR(AE112="",AE107=""),"",IF(AE107=0,"",(AE112/AE107)-1)))</f>
        <v/>
      </c>
      <c r="AN112">
        <f>IF(OR(AG112="",AH112=""),"",IF(AND(AG112&gt;0,AH112&gt;0),"Bull",IF(AND(AG112&lt;0,AH112&lt;0),"Bear","Mixed")))</f>
        <v/>
      </c>
      <c r="AO112">
        <f>IF(OR(AK112="",AL112=""),"",IF(AND(AK112&gt;0,AL112&gt;0),"Bull",IF(AND(AK112&lt;0,AL112&lt;0),"Bear","Mixed")))</f>
        <v/>
      </c>
      <c r="AP112">
        <f>IF(OR(AN112="",AO112=""),"",IF(AND(AN112="Bull",AO112="Bull"),"YES","NO"))</f>
        <v/>
      </c>
      <c r="AQ112">
        <f>IF(OR(AN112="",AO112=""),"",IF(AND(AN112="Bear",AO112="Bear"),"YES","NO"))</f>
        <v/>
      </c>
      <c r="AR112">
        <f>IF(AP112="YES",IF(SUM(N(X112),N(Y112),N(Z112))&gt;0,"SOXL","TQQQ"),IF(AQ112="YES",IF(SUM(N(AA112),N(AB112),N(AC112))&gt;0,"SOXS","SQQQ"),"WAIT"))</f>
        <v/>
      </c>
      <c r="AS112">
        <f>IF(AP112="YES",IF(SUM(N(X112),N(Y112),N(Z112))&gt;0,"TQQQ","SOXL"),IF(AQ112="YES",IF(SUM(N(AA112),N(AB112),N(AC112))&gt;0,"SQQQ","SOXS"),""))</f>
        <v/>
      </c>
      <c r="AT112" s="23">
        <f>IF(AR112="WAIT","",IF(AS112="",1,0.6))</f>
        <v/>
      </c>
      <c r="AU112" s="23">
        <f>IF(AS112="",0,0.4)</f>
        <v/>
      </c>
      <c r="AV112">
        <f>IF(AR112="WAIT","WAIT",IF(AP112="YES","BULL",IF(AQ112="YES","BEAR","WAIT")))</f>
        <v/>
      </c>
      <c r="AW112">
        <f>IF(AR112="WAIT","Low",IF(OR(AND(AV112="BULL",ABS(SUM(N(X112),N(Y112),N(Z112)))&gt;=0.15),AND(AV112="BEAR",ABS(SUM(N(AA112),N(AB112),N(AC112)))&gt;=0.15)),"Strong",IF(OR(AND(AV112="BULL",ABS(SUM(N(X112),N(Y112),N(Z112)))&gt;=0.05),AND(AV112="BEAR",ABS(SUM(N(AA112),N(AB112),N(AC112)))&gt;=0.05)),"Moderate","Low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13" t="n"/>
      <c r="AF113" s="23">
        <f>IF(OR(AD113="",AD112=""),"",IF(AD112=0,"",(AD113/AD112)-1))</f>
        <v/>
      </c>
      <c r="AG113" s="23">
        <f>IF(ROW()&lt;7,"",IF(OR(AD113="",AD110=""),"",IF(AD110=0,"",(AD113/AD110)-1)))</f>
        <v/>
      </c>
      <c r="AH113" s="23">
        <f>IF(ROW()&lt;9,"",IF(OR(AD113="",AD108=""),"",IF(AD108=0,"",(AD113/AD108)-1)))</f>
        <v/>
      </c>
      <c r="AJ113" s="23">
        <f>IF(OR(AE113="",AE112=""),"",IF(AE112=0,"",(AE113/AE112)-1))</f>
        <v/>
      </c>
      <c r="AK113" s="23">
        <f>IF(ROW()&lt;7,"",IF(OR(AE113="",AE110=""),"",IF(AE110=0,"",(AE113/AE110)-1)))</f>
        <v/>
      </c>
      <c r="AL113" s="23">
        <f>IF(ROW()&lt;9,"",IF(OR(AE113="",AE108=""),"",IF(AE108=0,"",(AE113/AE108)-1)))</f>
        <v/>
      </c>
      <c r="AN113">
        <f>IF(OR(AG113="",AH113=""),"",IF(AND(AG113&gt;0,AH113&gt;0),"Bull",IF(AND(AG113&lt;0,AH113&lt;0),"Bear","Mixed")))</f>
        <v/>
      </c>
      <c r="AO113">
        <f>IF(OR(AK113="",AL113=""),"",IF(AND(AK113&gt;0,AL113&gt;0),"Bull",IF(AND(AK113&lt;0,AL113&lt;0),"Bear","Mixed")))</f>
        <v/>
      </c>
      <c r="AP113">
        <f>IF(OR(AN113="",AO113=""),"",IF(AND(AN113="Bull",AO113="Bull"),"YES","NO"))</f>
        <v/>
      </c>
      <c r="AQ113">
        <f>IF(OR(AN113="",AO113=""),"",IF(AND(AN113="Bear",AO113="Bear"),"YES","NO"))</f>
        <v/>
      </c>
      <c r="AR113">
        <f>IF(AP113="YES",IF(SUM(N(X113),N(Y113),N(Z113))&gt;0,"SOXL","TQQQ"),IF(AQ113="YES",IF(SUM(N(AA113),N(AB113),N(AC113))&gt;0,"SOXS","SQQQ"),"WAIT"))</f>
        <v/>
      </c>
      <c r="AS113">
        <f>IF(AP113="YES",IF(SUM(N(X113),N(Y113),N(Z113))&gt;0,"TQQQ","SOXL"),IF(AQ113="YES",IF(SUM(N(AA113),N(AB113),N(AC113))&gt;0,"SQQQ","SOXS"),""))</f>
        <v/>
      </c>
      <c r="AT113" s="23">
        <f>IF(AR113="WAIT","",IF(AS113="",1,0.6))</f>
        <v/>
      </c>
      <c r="AU113" s="23">
        <f>IF(AS113="",0,0.4)</f>
        <v/>
      </c>
      <c r="AV113">
        <f>IF(AR113="WAIT","WAIT",IF(AP113="YES","BULL",IF(AQ113="YES","BEAR","WAIT")))</f>
        <v/>
      </c>
      <c r="AW113">
        <f>IF(AR113="WAIT","Low",IF(OR(AND(AV113="BULL",ABS(SUM(N(X113),N(Y113),N(Z113)))&gt;=0.15),AND(AV113="BEAR",ABS(SUM(N(AA113),N(AB113),N(AC113)))&gt;=0.15)),"Strong",IF(OR(AND(AV113="BULL",ABS(SUM(N(X113),N(Y113),N(Z113)))&gt;=0.05),AND(AV113="BEAR",ABS(SUM(N(AA113),N(AB113),N(AC113)))&gt;=0.05)),"Moderate","Low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13" t="n"/>
      <c r="AF114" s="23">
        <f>IF(OR(AD114="",AD113=""),"",IF(AD113=0,"",(AD114/AD113)-1))</f>
        <v/>
      </c>
      <c r="AG114" s="23">
        <f>IF(ROW()&lt;7,"",IF(OR(AD114="",AD111=""),"",IF(AD111=0,"",(AD114/AD111)-1)))</f>
        <v/>
      </c>
      <c r="AH114" s="23">
        <f>IF(ROW()&lt;9,"",IF(OR(AD114="",AD109=""),"",IF(AD109=0,"",(AD114/AD109)-1)))</f>
        <v/>
      </c>
      <c r="AJ114" s="23">
        <f>IF(OR(AE114="",AE113=""),"",IF(AE113=0,"",(AE114/AE113)-1))</f>
        <v/>
      </c>
      <c r="AK114" s="23">
        <f>IF(ROW()&lt;7,"",IF(OR(AE114="",AE111=""),"",IF(AE111=0,"",(AE114/AE111)-1)))</f>
        <v/>
      </c>
      <c r="AL114" s="23">
        <f>IF(ROW()&lt;9,"",IF(OR(AE114="",AE109=""),"",IF(AE109=0,"",(AE114/AE109)-1)))</f>
        <v/>
      </c>
      <c r="AN114">
        <f>IF(OR(AG114="",AH114=""),"",IF(AND(AG114&gt;0,AH114&gt;0),"Bull",IF(AND(AG114&lt;0,AH114&lt;0),"Bear","Mixed")))</f>
        <v/>
      </c>
      <c r="AO114">
        <f>IF(OR(AK114="",AL114=""),"",IF(AND(AK114&gt;0,AL114&gt;0),"Bull",IF(AND(AK114&lt;0,AL114&lt;0),"Bear","Mixed")))</f>
        <v/>
      </c>
      <c r="AP114">
        <f>IF(OR(AN114="",AO114=""),"",IF(AND(AN114="Bull",AO114="Bull"),"YES","NO"))</f>
        <v/>
      </c>
      <c r="AQ114">
        <f>IF(OR(AN114="",AO114=""),"",IF(AND(AN114="Bear",AO114="Bear"),"YES","NO"))</f>
        <v/>
      </c>
      <c r="AR114">
        <f>IF(AP114="YES",IF(SUM(N(X114),N(Y114),N(Z114))&gt;0,"SOXL","TQQQ"),IF(AQ114="YES",IF(SUM(N(AA114),N(AB114),N(AC114))&gt;0,"SOXS","SQQQ"),"WAIT"))</f>
        <v/>
      </c>
      <c r="AS114">
        <f>IF(AP114="YES",IF(SUM(N(X114),N(Y114),N(Z114))&gt;0,"TQQQ","SOXL"),IF(AQ114="YES",IF(SUM(N(AA114),N(AB114),N(AC114))&gt;0,"SQQQ","SOXS"),""))</f>
        <v/>
      </c>
      <c r="AT114" s="23">
        <f>IF(AR114="WAIT","",IF(AS114="",1,0.6))</f>
        <v/>
      </c>
      <c r="AU114" s="23">
        <f>IF(AS114="",0,0.4)</f>
        <v/>
      </c>
      <c r="AV114">
        <f>IF(AR114="WAIT","WAIT",IF(AP114="YES","BULL",IF(AQ114="YES","BEAR","WAIT")))</f>
        <v/>
      </c>
      <c r="AW114">
        <f>IF(AR114="WAIT","Low",IF(OR(AND(AV114="BULL",ABS(SUM(N(X114),N(Y114),N(Z114)))&gt;=0.15),AND(AV114="BEAR",ABS(SUM(N(AA114),N(AB114),N(AC114)))&gt;=0.15)),"Strong",IF(OR(AND(AV114="BULL",ABS(SUM(N(X114),N(Y114),N(Z114)))&gt;=0.05),AND(AV114="BEAR",ABS(SUM(N(AA114),N(AB114),N(AC114)))&gt;=0.05)),"Moderate","Low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13" t="n"/>
      <c r="AF115" s="23">
        <f>IF(OR(AD115="",AD114=""),"",IF(AD114=0,"",(AD115/AD114)-1))</f>
        <v/>
      </c>
      <c r="AG115" s="23">
        <f>IF(ROW()&lt;7,"",IF(OR(AD115="",AD112=""),"",IF(AD112=0,"",(AD115/AD112)-1)))</f>
        <v/>
      </c>
      <c r="AH115" s="23">
        <f>IF(ROW()&lt;9,"",IF(OR(AD115="",AD110=""),"",IF(AD110=0,"",(AD115/AD110)-1)))</f>
        <v/>
      </c>
      <c r="AJ115" s="23">
        <f>IF(OR(AE115="",AE114=""),"",IF(AE114=0,"",(AE115/AE114)-1))</f>
        <v/>
      </c>
      <c r="AK115" s="23">
        <f>IF(ROW()&lt;7,"",IF(OR(AE115="",AE112=""),"",IF(AE112=0,"",(AE115/AE112)-1)))</f>
        <v/>
      </c>
      <c r="AL115" s="23">
        <f>IF(ROW()&lt;9,"",IF(OR(AE115="",AE110=""),"",IF(AE110=0,"",(AE115/AE110)-1)))</f>
        <v/>
      </c>
      <c r="AN115">
        <f>IF(OR(AG115="",AH115=""),"",IF(AND(AG115&gt;0,AH115&gt;0),"Bull",IF(AND(AG115&lt;0,AH115&lt;0),"Bear","Mixed")))</f>
        <v/>
      </c>
      <c r="AO115">
        <f>IF(OR(AK115="",AL115=""),"",IF(AND(AK115&gt;0,AL115&gt;0),"Bull",IF(AND(AK115&lt;0,AL115&lt;0),"Bear","Mixed")))</f>
        <v/>
      </c>
      <c r="AP115">
        <f>IF(OR(AN115="",AO115=""),"",IF(AND(AN115="Bull",AO115="Bull"),"YES","NO"))</f>
        <v/>
      </c>
      <c r="AQ115">
        <f>IF(OR(AN115="",AO115=""),"",IF(AND(AN115="Bear",AO115="Bear"),"YES","NO"))</f>
        <v/>
      </c>
      <c r="AR115">
        <f>IF(AP115="YES",IF(SUM(N(X115),N(Y115),N(Z115))&gt;0,"SOXL","TQQQ"),IF(AQ115="YES",IF(SUM(N(AA115),N(AB115),N(AC115))&gt;0,"SOXS","SQQQ"),"WAIT"))</f>
        <v/>
      </c>
      <c r="AS115">
        <f>IF(AP115="YES",IF(SUM(N(X115),N(Y115),N(Z115))&gt;0,"TQQQ","SOXL"),IF(AQ115="YES",IF(SUM(N(AA115),N(AB115),N(AC115))&gt;0,"SQQQ","SOXS"),""))</f>
        <v/>
      </c>
      <c r="AT115" s="23">
        <f>IF(AR115="WAIT","",IF(AS115="",1,0.6))</f>
        <v/>
      </c>
      <c r="AU115" s="23">
        <f>IF(AS115="",0,0.4)</f>
        <v/>
      </c>
      <c r="AV115">
        <f>IF(AR115="WAIT","WAIT",IF(AP115="YES","BULL",IF(AQ115="YES","BEAR","WAIT")))</f>
        <v/>
      </c>
      <c r="AW115">
        <f>IF(AR115="WAIT","Low",IF(OR(AND(AV115="BULL",ABS(SUM(N(X115),N(Y115),N(Z115)))&gt;=0.15),AND(AV115="BEAR",ABS(SUM(N(AA115),N(AB115),N(AC115)))&gt;=0.15)),"Strong",IF(OR(AND(AV115="BULL",ABS(SUM(N(X115),N(Y115),N(Z115)))&gt;=0.05),AND(AV115="BEAR",ABS(SUM(N(AA115),N(AB115),N(AC115)))&gt;=0.05)),"Moderate","Low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13" t="n"/>
      <c r="AF116" s="23">
        <f>IF(OR(AD116="",AD115=""),"",IF(AD115=0,"",(AD116/AD115)-1))</f>
        <v/>
      </c>
      <c r="AG116" s="23">
        <f>IF(ROW()&lt;7,"",IF(OR(AD116="",AD113=""),"",IF(AD113=0,"",(AD116/AD113)-1)))</f>
        <v/>
      </c>
      <c r="AH116" s="23">
        <f>IF(ROW()&lt;9,"",IF(OR(AD116="",AD111=""),"",IF(AD111=0,"",(AD116/AD111)-1)))</f>
        <v/>
      </c>
      <c r="AJ116" s="23">
        <f>IF(OR(AE116="",AE115=""),"",IF(AE115=0,"",(AE116/AE115)-1))</f>
        <v/>
      </c>
      <c r="AK116" s="23">
        <f>IF(ROW()&lt;7,"",IF(OR(AE116="",AE113=""),"",IF(AE113=0,"",(AE116/AE113)-1)))</f>
        <v/>
      </c>
      <c r="AL116" s="23">
        <f>IF(ROW()&lt;9,"",IF(OR(AE116="",AE111=""),"",IF(AE111=0,"",(AE116/AE111)-1)))</f>
        <v/>
      </c>
      <c r="AN116">
        <f>IF(OR(AG116="",AH116=""),"",IF(AND(AG116&gt;0,AH116&gt;0),"Bull",IF(AND(AG116&lt;0,AH116&lt;0),"Bear","Mixed")))</f>
        <v/>
      </c>
      <c r="AO116">
        <f>IF(OR(AK116="",AL116=""),"",IF(AND(AK116&gt;0,AL116&gt;0),"Bull",IF(AND(AK116&lt;0,AL116&lt;0),"Bear","Mixed")))</f>
        <v/>
      </c>
      <c r="AP116">
        <f>IF(OR(AN116="",AO116=""),"",IF(AND(AN116="Bull",AO116="Bull"),"YES","NO"))</f>
        <v/>
      </c>
      <c r="AQ116">
        <f>IF(OR(AN116="",AO116=""),"",IF(AND(AN116="Bear",AO116="Bear"),"YES","NO"))</f>
        <v/>
      </c>
      <c r="AR116">
        <f>IF(AP116="YES",IF(SUM(N(X116),N(Y116),N(Z116))&gt;0,"SOXL","TQQQ"),IF(AQ116="YES",IF(SUM(N(AA116),N(AB116),N(AC116))&gt;0,"SOXS","SQQQ"),"WAIT"))</f>
        <v/>
      </c>
      <c r="AS116">
        <f>IF(AP116="YES",IF(SUM(N(X116),N(Y116),N(Z116))&gt;0,"TQQQ","SOXL"),IF(AQ116="YES",IF(SUM(N(AA116),N(AB116),N(AC116))&gt;0,"SQQQ","SOXS"),""))</f>
        <v/>
      </c>
      <c r="AT116" s="23">
        <f>IF(AR116="WAIT","",IF(AS116="",1,0.6))</f>
        <v/>
      </c>
      <c r="AU116" s="23">
        <f>IF(AS116="",0,0.4)</f>
        <v/>
      </c>
      <c r="AV116">
        <f>IF(AR116="WAIT","WAIT",IF(AP116="YES","BULL",IF(AQ116="YES","BEAR","WAIT")))</f>
        <v/>
      </c>
      <c r="AW116">
        <f>IF(AR116="WAIT","Low",IF(OR(AND(AV116="BULL",ABS(SUM(N(X116),N(Y116),N(Z116)))&gt;=0.15),AND(AV116="BEAR",ABS(SUM(N(AA116),N(AB116),N(AC116)))&gt;=0.15)),"Strong",IF(OR(AND(AV116="BULL",ABS(SUM(N(X116),N(Y116),N(Z116)))&gt;=0.05),AND(AV116="BEAR",ABS(SUM(N(AA116),N(AB116),N(AC116)))&gt;=0.05)),"Moderate","Low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13" t="n"/>
      <c r="AF117" s="23">
        <f>IF(OR(AD117="",AD116=""),"",IF(AD116=0,"",(AD117/AD116)-1))</f>
        <v/>
      </c>
      <c r="AG117" s="23">
        <f>IF(ROW()&lt;7,"",IF(OR(AD117="",AD114=""),"",IF(AD114=0,"",(AD117/AD114)-1)))</f>
        <v/>
      </c>
      <c r="AH117" s="23">
        <f>IF(ROW()&lt;9,"",IF(OR(AD117="",AD112=""),"",IF(AD112=0,"",(AD117/AD112)-1)))</f>
        <v/>
      </c>
      <c r="AJ117" s="23">
        <f>IF(OR(AE117="",AE116=""),"",IF(AE116=0,"",(AE117/AE116)-1))</f>
        <v/>
      </c>
      <c r="AK117" s="23">
        <f>IF(ROW()&lt;7,"",IF(OR(AE117="",AE114=""),"",IF(AE114=0,"",(AE117/AE114)-1)))</f>
        <v/>
      </c>
      <c r="AL117" s="23">
        <f>IF(ROW()&lt;9,"",IF(OR(AE117="",AE112=""),"",IF(AE112=0,"",(AE117/AE112)-1)))</f>
        <v/>
      </c>
      <c r="AN117">
        <f>IF(OR(AG117="",AH117=""),"",IF(AND(AG117&gt;0,AH117&gt;0),"Bull",IF(AND(AG117&lt;0,AH117&lt;0),"Bear","Mixed")))</f>
        <v/>
      </c>
      <c r="AO117">
        <f>IF(OR(AK117="",AL117=""),"",IF(AND(AK117&gt;0,AL117&gt;0),"Bull",IF(AND(AK117&lt;0,AL117&lt;0),"Bear","Mixed")))</f>
        <v/>
      </c>
      <c r="AP117">
        <f>IF(OR(AN117="",AO117=""),"",IF(AND(AN117="Bull",AO117="Bull"),"YES","NO"))</f>
        <v/>
      </c>
      <c r="AQ117">
        <f>IF(OR(AN117="",AO117=""),"",IF(AND(AN117="Bear",AO117="Bear"),"YES","NO"))</f>
        <v/>
      </c>
      <c r="AR117">
        <f>IF(AP117="YES",IF(SUM(N(X117),N(Y117),N(Z117))&gt;0,"SOXL","TQQQ"),IF(AQ117="YES",IF(SUM(N(AA117),N(AB117),N(AC117))&gt;0,"SOXS","SQQQ"),"WAIT"))</f>
        <v/>
      </c>
      <c r="AS117">
        <f>IF(AP117="YES",IF(SUM(N(X117),N(Y117),N(Z117))&gt;0,"TQQQ","SOXL"),IF(AQ117="YES",IF(SUM(N(AA117),N(AB117),N(AC117))&gt;0,"SQQQ","SOXS"),""))</f>
        <v/>
      </c>
      <c r="AT117" s="23">
        <f>IF(AR117="WAIT","",IF(AS117="",1,0.6))</f>
        <v/>
      </c>
      <c r="AU117" s="23">
        <f>IF(AS117="",0,0.4)</f>
        <v/>
      </c>
      <c r="AV117">
        <f>IF(AR117="WAIT","WAIT",IF(AP117="YES","BULL",IF(AQ117="YES","BEAR","WAIT")))</f>
        <v/>
      </c>
      <c r="AW117">
        <f>IF(AR117="WAIT","Low",IF(OR(AND(AV117="BULL",ABS(SUM(N(X117),N(Y117),N(Z117)))&gt;=0.15),AND(AV117="BEAR",ABS(SUM(N(AA117),N(AB117),N(AC117)))&gt;=0.15)),"Strong",IF(OR(AND(AV117="BULL",ABS(SUM(N(X117),N(Y117),N(Z117)))&gt;=0.05),AND(AV117="BEAR",ABS(SUM(N(AA117),N(AB117),N(AC117)))&gt;=0.05)),"Moderate","Low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13" t="n"/>
      <c r="AF118" s="23">
        <f>IF(OR(AD118="",AD117=""),"",IF(AD117=0,"",(AD118/AD117)-1))</f>
        <v/>
      </c>
      <c r="AG118" s="23">
        <f>IF(ROW()&lt;7,"",IF(OR(AD118="",AD115=""),"",IF(AD115=0,"",(AD118/AD115)-1)))</f>
        <v/>
      </c>
      <c r="AH118" s="23">
        <f>IF(ROW()&lt;9,"",IF(OR(AD118="",AD113=""),"",IF(AD113=0,"",(AD118/AD113)-1)))</f>
        <v/>
      </c>
      <c r="AJ118" s="23">
        <f>IF(OR(AE118="",AE117=""),"",IF(AE117=0,"",(AE118/AE117)-1))</f>
        <v/>
      </c>
      <c r="AK118" s="23">
        <f>IF(ROW()&lt;7,"",IF(OR(AE118="",AE115=""),"",IF(AE115=0,"",(AE118/AE115)-1)))</f>
        <v/>
      </c>
      <c r="AL118" s="23">
        <f>IF(ROW()&lt;9,"",IF(OR(AE118="",AE113=""),"",IF(AE113=0,"",(AE118/AE113)-1)))</f>
        <v/>
      </c>
      <c r="AN118">
        <f>IF(OR(AG118="",AH118=""),"",IF(AND(AG118&gt;0,AH118&gt;0),"Bull",IF(AND(AG118&lt;0,AH118&lt;0),"Bear","Mixed")))</f>
        <v/>
      </c>
      <c r="AO118">
        <f>IF(OR(AK118="",AL118=""),"",IF(AND(AK118&gt;0,AL118&gt;0),"Bull",IF(AND(AK118&lt;0,AL118&lt;0),"Bear","Mixed")))</f>
        <v/>
      </c>
      <c r="AP118">
        <f>IF(OR(AN118="",AO118=""),"",IF(AND(AN118="Bull",AO118="Bull"),"YES","NO"))</f>
        <v/>
      </c>
      <c r="AQ118">
        <f>IF(OR(AN118="",AO118=""),"",IF(AND(AN118="Bear",AO118="Bear"),"YES","NO"))</f>
        <v/>
      </c>
      <c r="AR118">
        <f>IF(AP118="YES",IF(SUM(N(X118),N(Y118),N(Z118))&gt;0,"SOXL","TQQQ"),IF(AQ118="YES",IF(SUM(N(AA118),N(AB118),N(AC118))&gt;0,"SOXS","SQQQ"),"WAIT"))</f>
        <v/>
      </c>
      <c r="AS118">
        <f>IF(AP118="YES",IF(SUM(N(X118),N(Y118),N(Z118))&gt;0,"TQQQ","SOXL"),IF(AQ118="YES",IF(SUM(N(AA118),N(AB118),N(AC118))&gt;0,"SQQQ","SOXS"),""))</f>
        <v/>
      </c>
      <c r="AT118" s="23">
        <f>IF(AR118="WAIT","",IF(AS118="",1,0.6))</f>
        <v/>
      </c>
      <c r="AU118" s="23">
        <f>IF(AS118="",0,0.4)</f>
        <v/>
      </c>
      <c r="AV118">
        <f>IF(AR118="WAIT","WAIT",IF(AP118="YES","BULL",IF(AQ118="YES","BEAR","WAIT")))</f>
        <v/>
      </c>
      <c r="AW118">
        <f>IF(AR118="WAIT","Low",IF(OR(AND(AV118="BULL",ABS(SUM(N(X118),N(Y118),N(Z118)))&gt;=0.15),AND(AV118="BEAR",ABS(SUM(N(AA118),N(AB118),N(AC118)))&gt;=0.15)),"Strong",IF(OR(AND(AV118="BULL",ABS(SUM(N(X118),N(Y118),N(Z118)))&gt;=0.05),AND(AV118="BEAR",ABS(SUM(N(AA118),N(AB118),N(AC118)))&gt;=0.05)),"Moderate","Low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13" t="n"/>
      <c r="AF119" s="23">
        <f>IF(OR(AD119="",AD118=""),"",IF(AD118=0,"",(AD119/AD118)-1))</f>
        <v/>
      </c>
      <c r="AG119" s="23">
        <f>IF(ROW()&lt;7,"",IF(OR(AD119="",AD116=""),"",IF(AD116=0,"",(AD119/AD116)-1)))</f>
        <v/>
      </c>
      <c r="AH119" s="23">
        <f>IF(ROW()&lt;9,"",IF(OR(AD119="",AD114=""),"",IF(AD114=0,"",(AD119/AD114)-1)))</f>
        <v/>
      </c>
      <c r="AJ119" s="23">
        <f>IF(OR(AE119="",AE118=""),"",IF(AE118=0,"",(AE119/AE118)-1))</f>
        <v/>
      </c>
      <c r="AK119" s="23">
        <f>IF(ROW()&lt;7,"",IF(OR(AE119="",AE116=""),"",IF(AE116=0,"",(AE119/AE116)-1)))</f>
        <v/>
      </c>
      <c r="AL119" s="23">
        <f>IF(ROW()&lt;9,"",IF(OR(AE119="",AE114=""),"",IF(AE114=0,"",(AE119/AE114)-1)))</f>
        <v/>
      </c>
      <c r="AN119">
        <f>IF(OR(AG119="",AH119=""),"",IF(AND(AG119&gt;0,AH119&gt;0),"Bull",IF(AND(AG119&lt;0,AH119&lt;0),"Bear","Mixed")))</f>
        <v/>
      </c>
      <c r="AO119">
        <f>IF(OR(AK119="",AL119=""),"",IF(AND(AK119&gt;0,AL119&gt;0),"Bull",IF(AND(AK119&lt;0,AL119&lt;0),"Bear","Mixed")))</f>
        <v/>
      </c>
      <c r="AP119">
        <f>IF(OR(AN119="",AO119=""),"",IF(AND(AN119="Bull",AO119="Bull"),"YES","NO"))</f>
        <v/>
      </c>
      <c r="AQ119">
        <f>IF(OR(AN119="",AO119=""),"",IF(AND(AN119="Bear",AO119="Bear"),"YES","NO"))</f>
        <v/>
      </c>
      <c r="AR119">
        <f>IF(AP119="YES",IF(SUM(N(X119),N(Y119),N(Z119))&gt;0,"SOXL","TQQQ"),IF(AQ119="YES",IF(SUM(N(AA119),N(AB119),N(AC119))&gt;0,"SOXS","SQQQ"),"WAIT"))</f>
        <v/>
      </c>
      <c r="AS119">
        <f>IF(AP119="YES",IF(SUM(N(X119),N(Y119),N(Z119))&gt;0,"TQQQ","SOXL"),IF(AQ119="YES",IF(SUM(N(AA119),N(AB119),N(AC119))&gt;0,"SQQQ","SOXS"),""))</f>
        <v/>
      </c>
      <c r="AT119" s="23">
        <f>IF(AR119="WAIT","",IF(AS119="",1,0.6))</f>
        <v/>
      </c>
      <c r="AU119" s="23">
        <f>IF(AS119="",0,0.4)</f>
        <v/>
      </c>
      <c r="AV119">
        <f>IF(AR119="WAIT","WAIT",IF(AP119="YES","BULL",IF(AQ119="YES","BEAR","WAIT")))</f>
        <v/>
      </c>
      <c r="AW119">
        <f>IF(AR119="WAIT","Low",IF(OR(AND(AV119="BULL",ABS(SUM(N(X119),N(Y119),N(Z119)))&gt;=0.15),AND(AV119="BEAR",ABS(SUM(N(AA119),N(AB119),N(AC119)))&gt;=0.15)),"Strong",IF(OR(AND(AV119="BULL",ABS(SUM(N(X119),N(Y119),N(Z119)))&gt;=0.05),AND(AV119="BEAR",ABS(SUM(N(AA119),N(AB119),N(AC119)))&gt;=0.05)),"Moderate","Low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13" t="n"/>
      <c r="AF120" s="23">
        <f>IF(OR(AD120="",AD119=""),"",IF(AD119=0,"",(AD120/AD119)-1))</f>
        <v/>
      </c>
      <c r="AG120" s="23">
        <f>IF(ROW()&lt;7,"",IF(OR(AD120="",AD117=""),"",IF(AD117=0,"",(AD120/AD117)-1)))</f>
        <v/>
      </c>
      <c r="AH120" s="23">
        <f>IF(ROW()&lt;9,"",IF(OR(AD120="",AD115=""),"",IF(AD115=0,"",(AD120/AD115)-1)))</f>
        <v/>
      </c>
      <c r="AJ120" s="23">
        <f>IF(OR(AE120="",AE119=""),"",IF(AE119=0,"",(AE120/AE119)-1))</f>
        <v/>
      </c>
      <c r="AK120" s="23">
        <f>IF(ROW()&lt;7,"",IF(OR(AE120="",AE117=""),"",IF(AE117=0,"",(AE120/AE117)-1)))</f>
        <v/>
      </c>
      <c r="AL120" s="23">
        <f>IF(ROW()&lt;9,"",IF(OR(AE120="",AE115=""),"",IF(AE115=0,"",(AE120/AE115)-1)))</f>
        <v/>
      </c>
      <c r="AN120">
        <f>IF(OR(AG120="",AH120=""),"",IF(AND(AG120&gt;0,AH120&gt;0),"Bull",IF(AND(AG120&lt;0,AH120&lt;0),"Bear","Mixed")))</f>
        <v/>
      </c>
      <c r="AO120">
        <f>IF(OR(AK120="",AL120=""),"",IF(AND(AK120&gt;0,AL120&gt;0),"Bull",IF(AND(AK120&lt;0,AL120&lt;0),"Bear","Mixed")))</f>
        <v/>
      </c>
      <c r="AP120">
        <f>IF(OR(AN120="",AO120=""),"",IF(AND(AN120="Bull",AO120="Bull"),"YES","NO"))</f>
        <v/>
      </c>
      <c r="AQ120">
        <f>IF(OR(AN120="",AO120=""),"",IF(AND(AN120="Bear",AO120="Bear"),"YES","NO"))</f>
        <v/>
      </c>
      <c r="AR120">
        <f>IF(AP120="YES",IF(SUM(N(X120),N(Y120),N(Z120))&gt;0,"SOXL","TQQQ"),IF(AQ120="YES",IF(SUM(N(AA120),N(AB120),N(AC120))&gt;0,"SOXS","SQQQ"),"WAIT"))</f>
        <v/>
      </c>
      <c r="AS120">
        <f>IF(AP120="YES",IF(SUM(N(X120),N(Y120),N(Z120))&gt;0,"TQQQ","SOXL"),IF(AQ120="YES",IF(SUM(N(AA120),N(AB120),N(AC120))&gt;0,"SQQQ","SOXS"),""))</f>
        <v/>
      </c>
      <c r="AT120" s="23">
        <f>IF(AR120="WAIT","",IF(AS120="",1,0.6))</f>
        <v/>
      </c>
      <c r="AU120" s="23">
        <f>IF(AS120="",0,0.4)</f>
        <v/>
      </c>
      <c r="AV120">
        <f>IF(AR120="WAIT","WAIT",IF(AP120="YES","BULL",IF(AQ120="YES","BEAR","WAIT")))</f>
        <v/>
      </c>
      <c r="AW120">
        <f>IF(AR120="WAIT","Low",IF(OR(AND(AV120="BULL",ABS(SUM(N(X120),N(Y120),N(Z120)))&gt;=0.15),AND(AV120="BEAR",ABS(SUM(N(AA120),N(AB120),N(AC120)))&gt;=0.15)),"Strong",IF(OR(AND(AV120="BULL",ABS(SUM(N(X120),N(Y120),N(Z120)))&gt;=0.05),AND(AV120="BEAR",ABS(SUM(N(AA120),N(AB120),N(AC120)))&gt;=0.05)),"Moderate","Low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13" t="n"/>
      <c r="AF121" s="23">
        <f>IF(OR(AD121="",AD120=""),"",IF(AD120=0,"",(AD121/AD120)-1))</f>
        <v/>
      </c>
      <c r="AG121" s="23">
        <f>IF(ROW()&lt;7,"",IF(OR(AD121="",AD118=""),"",IF(AD118=0,"",(AD121/AD118)-1)))</f>
        <v/>
      </c>
      <c r="AH121" s="23">
        <f>IF(ROW()&lt;9,"",IF(OR(AD121="",AD116=""),"",IF(AD116=0,"",(AD121/AD116)-1)))</f>
        <v/>
      </c>
      <c r="AJ121" s="23">
        <f>IF(OR(AE121="",AE120=""),"",IF(AE120=0,"",(AE121/AE120)-1))</f>
        <v/>
      </c>
      <c r="AK121" s="23">
        <f>IF(ROW()&lt;7,"",IF(OR(AE121="",AE118=""),"",IF(AE118=0,"",(AE121/AE118)-1)))</f>
        <v/>
      </c>
      <c r="AL121" s="23">
        <f>IF(ROW()&lt;9,"",IF(OR(AE121="",AE116=""),"",IF(AE116=0,"",(AE121/AE116)-1)))</f>
        <v/>
      </c>
      <c r="AN121">
        <f>IF(OR(AG121="",AH121=""),"",IF(AND(AG121&gt;0,AH121&gt;0),"Bull",IF(AND(AG121&lt;0,AH121&lt;0),"Bear","Mixed")))</f>
        <v/>
      </c>
      <c r="AO121">
        <f>IF(OR(AK121="",AL121=""),"",IF(AND(AK121&gt;0,AL121&gt;0),"Bull",IF(AND(AK121&lt;0,AL121&lt;0),"Bear","Mixed")))</f>
        <v/>
      </c>
      <c r="AP121">
        <f>IF(OR(AN121="",AO121=""),"",IF(AND(AN121="Bull",AO121="Bull"),"YES","NO"))</f>
        <v/>
      </c>
      <c r="AQ121">
        <f>IF(OR(AN121="",AO121=""),"",IF(AND(AN121="Bear",AO121="Bear"),"YES","NO"))</f>
        <v/>
      </c>
      <c r="AR121">
        <f>IF(AP121="YES",IF(SUM(N(X121),N(Y121),N(Z121))&gt;0,"SOXL","TQQQ"),IF(AQ121="YES",IF(SUM(N(AA121),N(AB121),N(AC121))&gt;0,"SOXS","SQQQ"),"WAIT"))</f>
        <v/>
      </c>
      <c r="AS121">
        <f>IF(AP121="YES",IF(SUM(N(X121),N(Y121),N(Z121))&gt;0,"TQQQ","SOXL"),IF(AQ121="YES",IF(SUM(N(AA121),N(AB121),N(AC121))&gt;0,"SQQQ","SOXS"),""))</f>
        <v/>
      </c>
      <c r="AT121" s="23">
        <f>IF(AR121="WAIT","",IF(AS121="",1,0.6))</f>
        <v/>
      </c>
      <c r="AU121" s="23">
        <f>IF(AS121="",0,0.4)</f>
        <v/>
      </c>
      <c r="AV121">
        <f>IF(AR121="WAIT","WAIT",IF(AP121="YES","BULL",IF(AQ121="YES","BEAR","WAIT")))</f>
        <v/>
      </c>
      <c r="AW121">
        <f>IF(AR121="WAIT","Low",IF(OR(AND(AV121="BULL",ABS(SUM(N(X121),N(Y121),N(Z121)))&gt;=0.15),AND(AV121="BEAR",ABS(SUM(N(AA121),N(AB121),N(AC121)))&gt;=0.15)),"Strong",IF(OR(AND(AV121="BULL",ABS(SUM(N(X121),N(Y121),N(Z121)))&gt;=0.05),AND(AV121="BEAR",ABS(SUM(N(AA121),N(AB121),N(AC121)))&gt;=0.05)),"Moderate","Low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13" t="n"/>
      <c r="AF122" s="23">
        <f>IF(OR(AD122="",AD121=""),"",IF(AD121=0,"",(AD122/AD121)-1))</f>
        <v/>
      </c>
      <c r="AG122" s="23">
        <f>IF(ROW()&lt;7,"",IF(OR(AD122="",AD119=""),"",IF(AD119=0,"",(AD122/AD119)-1)))</f>
        <v/>
      </c>
      <c r="AH122" s="23">
        <f>IF(ROW()&lt;9,"",IF(OR(AD122="",AD117=""),"",IF(AD117=0,"",(AD122/AD117)-1)))</f>
        <v/>
      </c>
      <c r="AJ122" s="23">
        <f>IF(OR(AE122="",AE121=""),"",IF(AE121=0,"",(AE122/AE121)-1))</f>
        <v/>
      </c>
      <c r="AK122" s="23">
        <f>IF(ROW()&lt;7,"",IF(OR(AE122="",AE119=""),"",IF(AE119=0,"",(AE122/AE119)-1)))</f>
        <v/>
      </c>
      <c r="AL122" s="23">
        <f>IF(ROW()&lt;9,"",IF(OR(AE122="",AE117=""),"",IF(AE117=0,"",(AE122/AE117)-1)))</f>
        <v/>
      </c>
      <c r="AN122">
        <f>IF(OR(AG122="",AH122=""),"",IF(AND(AG122&gt;0,AH122&gt;0),"Bull",IF(AND(AG122&lt;0,AH122&lt;0),"Bear","Mixed")))</f>
        <v/>
      </c>
      <c r="AO122">
        <f>IF(OR(AK122="",AL122=""),"",IF(AND(AK122&gt;0,AL122&gt;0),"Bull",IF(AND(AK122&lt;0,AL122&lt;0),"Bear","Mixed")))</f>
        <v/>
      </c>
      <c r="AP122">
        <f>IF(OR(AN122="",AO122=""),"",IF(AND(AN122="Bull",AO122="Bull"),"YES","NO"))</f>
        <v/>
      </c>
      <c r="AQ122">
        <f>IF(OR(AN122="",AO122=""),"",IF(AND(AN122="Bear",AO122="Bear"),"YES","NO"))</f>
        <v/>
      </c>
      <c r="AR122">
        <f>IF(AP122="YES",IF(SUM(N(X122),N(Y122),N(Z122))&gt;0,"SOXL","TQQQ"),IF(AQ122="YES",IF(SUM(N(AA122),N(AB122),N(AC122))&gt;0,"SOXS","SQQQ"),"WAIT"))</f>
        <v/>
      </c>
      <c r="AS122">
        <f>IF(AP122="YES",IF(SUM(N(X122),N(Y122),N(Z122))&gt;0,"TQQQ","SOXL"),IF(AQ122="YES",IF(SUM(N(AA122),N(AB122),N(AC122))&gt;0,"SQQQ","SOXS"),""))</f>
        <v/>
      </c>
      <c r="AT122" s="23">
        <f>IF(AR122="WAIT","",IF(AS122="",1,0.6))</f>
        <v/>
      </c>
      <c r="AU122" s="23">
        <f>IF(AS122="",0,0.4)</f>
        <v/>
      </c>
      <c r="AV122">
        <f>IF(AR122="WAIT","WAIT",IF(AP122="YES","BULL",IF(AQ122="YES","BEAR","WAIT")))</f>
        <v/>
      </c>
      <c r="AW122">
        <f>IF(AR122="WAIT","Low",IF(OR(AND(AV122="BULL",ABS(SUM(N(X122),N(Y122),N(Z122)))&gt;=0.15),AND(AV122="BEAR",ABS(SUM(N(AA122),N(AB122),N(AC122)))&gt;=0.15)),"Strong",IF(OR(AND(AV122="BULL",ABS(SUM(N(X122),N(Y122),N(Z122)))&gt;=0.05),AND(AV122="BEAR",ABS(SUM(N(AA122),N(AB122),N(AC122)))&gt;=0.05)),"Moderate","Low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13" t="n"/>
      <c r="AF123" s="23">
        <f>IF(OR(AD123="",AD122=""),"",IF(AD122=0,"",(AD123/AD122)-1))</f>
        <v/>
      </c>
      <c r="AG123" s="23">
        <f>IF(ROW()&lt;7,"",IF(OR(AD123="",AD120=""),"",IF(AD120=0,"",(AD123/AD120)-1)))</f>
        <v/>
      </c>
      <c r="AH123" s="23">
        <f>IF(ROW()&lt;9,"",IF(OR(AD123="",AD118=""),"",IF(AD118=0,"",(AD123/AD118)-1)))</f>
        <v/>
      </c>
      <c r="AJ123" s="23">
        <f>IF(OR(AE123="",AE122=""),"",IF(AE122=0,"",(AE123/AE122)-1))</f>
        <v/>
      </c>
      <c r="AK123" s="23">
        <f>IF(ROW()&lt;7,"",IF(OR(AE123="",AE120=""),"",IF(AE120=0,"",(AE123/AE120)-1)))</f>
        <v/>
      </c>
      <c r="AL123" s="23">
        <f>IF(ROW()&lt;9,"",IF(OR(AE123="",AE118=""),"",IF(AE118=0,"",(AE123/AE118)-1)))</f>
        <v/>
      </c>
      <c r="AN123">
        <f>IF(OR(AG123="",AH123=""),"",IF(AND(AG123&gt;0,AH123&gt;0),"Bull",IF(AND(AG123&lt;0,AH123&lt;0),"Bear","Mixed")))</f>
        <v/>
      </c>
      <c r="AO123">
        <f>IF(OR(AK123="",AL123=""),"",IF(AND(AK123&gt;0,AL123&gt;0),"Bull",IF(AND(AK123&lt;0,AL123&lt;0),"Bear","Mixed")))</f>
        <v/>
      </c>
      <c r="AP123">
        <f>IF(OR(AN123="",AO123=""),"",IF(AND(AN123="Bull",AO123="Bull"),"YES","NO"))</f>
        <v/>
      </c>
      <c r="AQ123">
        <f>IF(OR(AN123="",AO123=""),"",IF(AND(AN123="Bear",AO123="Bear"),"YES","NO"))</f>
        <v/>
      </c>
      <c r="AR123">
        <f>IF(AP123="YES",IF(SUM(N(X123),N(Y123),N(Z123))&gt;0,"SOXL","TQQQ"),IF(AQ123="YES",IF(SUM(N(AA123),N(AB123),N(AC123))&gt;0,"SOXS","SQQQ"),"WAIT"))</f>
        <v/>
      </c>
      <c r="AS123">
        <f>IF(AP123="YES",IF(SUM(N(X123),N(Y123),N(Z123))&gt;0,"TQQQ","SOXL"),IF(AQ123="YES",IF(SUM(N(AA123),N(AB123),N(AC123))&gt;0,"SQQQ","SOXS"),""))</f>
        <v/>
      </c>
      <c r="AT123" s="23">
        <f>IF(AR123="WAIT","",IF(AS123="",1,0.6))</f>
        <v/>
      </c>
      <c r="AU123" s="23">
        <f>IF(AS123="",0,0.4)</f>
        <v/>
      </c>
      <c r="AV123">
        <f>IF(AR123="WAIT","WAIT",IF(AP123="YES","BULL",IF(AQ123="YES","BEAR","WAIT")))</f>
        <v/>
      </c>
      <c r="AW123">
        <f>IF(AR123="WAIT","Low",IF(OR(AND(AV123="BULL",ABS(SUM(N(X123),N(Y123),N(Z123)))&gt;=0.15),AND(AV123="BEAR",ABS(SUM(N(AA123),N(AB123),N(AC123)))&gt;=0.15)),"Strong",IF(OR(AND(AV123="BULL",ABS(SUM(N(X123),N(Y123),N(Z123)))&gt;=0.05),AND(AV123="BEAR",ABS(SUM(N(AA123),N(AB123),N(AC123)))&gt;=0.05)),"Moderate","Low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13" t="n"/>
      <c r="AF124" s="23">
        <f>IF(OR(AD124="",AD123=""),"",IF(AD123=0,"",(AD124/AD123)-1))</f>
        <v/>
      </c>
      <c r="AG124" s="23">
        <f>IF(ROW()&lt;7,"",IF(OR(AD124="",AD121=""),"",IF(AD121=0,"",(AD124/AD121)-1)))</f>
        <v/>
      </c>
      <c r="AH124" s="23">
        <f>IF(ROW()&lt;9,"",IF(OR(AD124="",AD119=""),"",IF(AD119=0,"",(AD124/AD119)-1)))</f>
        <v/>
      </c>
      <c r="AJ124" s="23">
        <f>IF(OR(AE124="",AE123=""),"",IF(AE123=0,"",(AE124/AE123)-1))</f>
        <v/>
      </c>
      <c r="AK124" s="23">
        <f>IF(ROW()&lt;7,"",IF(OR(AE124="",AE121=""),"",IF(AE121=0,"",(AE124/AE121)-1)))</f>
        <v/>
      </c>
      <c r="AL124" s="23">
        <f>IF(ROW()&lt;9,"",IF(OR(AE124="",AE119=""),"",IF(AE119=0,"",(AE124/AE119)-1)))</f>
        <v/>
      </c>
      <c r="AN124">
        <f>IF(OR(AG124="",AH124=""),"",IF(AND(AG124&gt;0,AH124&gt;0),"Bull",IF(AND(AG124&lt;0,AH124&lt;0),"Bear","Mixed")))</f>
        <v/>
      </c>
      <c r="AO124">
        <f>IF(OR(AK124="",AL124=""),"",IF(AND(AK124&gt;0,AL124&gt;0),"Bull",IF(AND(AK124&lt;0,AL124&lt;0),"Bear","Mixed")))</f>
        <v/>
      </c>
      <c r="AP124">
        <f>IF(OR(AN124="",AO124=""),"",IF(AND(AN124="Bull",AO124="Bull"),"YES","NO"))</f>
        <v/>
      </c>
      <c r="AQ124">
        <f>IF(OR(AN124="",AO124=""),"",IF(AND(AN124="Bear",AO124="Bear"),"YES","NO"))</f>
        <v/>
      </c>
      <c r="AR124">
        <f>IF(AP124="YES",IF(SUM(N(X124),N(Y124),N(Z124))&gt;0,"SOXL","TQQQ"),IF(AQ124="YES",IF(SUM(N(AA124),N(AB124),N(AC124))&gt;0,"SOXS","SQQQ"),"WAIT"))</f>
        <v/>
      </c>
      <c r="AS124">
        <f>IF(AP124="YES",IF(SUM(N(X124),N(Y124),N(Z124))&gt;0,"TQQQ","SOXL"),IF(AQ124="YES",IF(SUM(N(AA124),N(AB124),N(AC124))&gt;0,"SQQQ","SOXS"),""))</f>
        <v/>
      </c>
      <c r="AT124" s="23">
        <f>IF(AR124="WAIT","",IF(AS124="",1,0.6))</f>
        <v/>
      </c>
      <c r="AU124" s="23">
        <f>IF(AS124="",0,0.4)</f>
        <v/>
      </c>
      <c r="AV124">
        <f>IF(AR124="WAIT","WAIT",IF(AP124="YES","BULL",IF(AQ124="YES","BEAR","WAIT")))</f>
        <v/>
      </c>
      <c r="AW124">
        <f>IF(AR124="WAIT","Low",IF(OR(AND(AV124="BULL",ABS(SUM(N(X124),N(Y124),N(Z124)))&gt;=0.15),AND(AV124="BEAR",ABS(SUM(N(AA124),N(AB124),N(AC124)))&gt;=0.15)),"Strong",IF(OR(AND(AV124="BULL",ABS(SUM(N(X124),N(Y124),N(Z124)))&gt;=0.05),AND(AV124="BEAR",ABS(SUM(N(AA124),N(AB124),N(AC124)))&gt;=0.05)),"Moderate","Low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13" t="n"/>
      <c r="AF125" s="23">
        <f>IF(OR(AD125="",AD124=""),"",IF(AD124=0,"",(AD125/AD124)-1))</f>
        <v/>
      </c>
      <c r="AG125" s="23">
        <f>IF(ROW()&lt;7,"",IF(OR(AD125="",AD122=""),"",IF(AD122=0,"",(AD125/AD122)-1)))</f>
        <v/>
      </c>
      <c r="AH125" s="23">
        <f>IF(ROW()&lt;9,"",IF(OR(AD125="",AD120=""),"",IF(AD120=0,"",(AD125/AD120)-1)))</f>
        <v/>
      </c>
      <c r="AJ125" s="23">
        <f>IF(OR(AE125="",AE124=""),"",IF(AE124=0,"",(AE125/AE124)-1))</f>
        <v/>
      </c>
      <c r="AK125" s="23">
        <f>IF(ROW()&lt;7,"",IF(OR(AE125="",AE122=""),"",IF(AE122=0,"",(AE125/AE122)-1)))</f>
        <v/>
      </c>
      <c r="AL125" s="23">
        <f>IF(ROW()&lt;9,"",IF(OR(AE125="",AE120=""),"",IF(AE120=0,"",(AE125/AE120)-1)))</f>
        <v/>
      </c>
      <c r="AN125">
        <f>IF(OR(AG125="",AH125=""),"",IF(AND(AG125&gt;0,AH125&gt;0),"Bull",IF(AND(AG125&lt;0,AH125&lt;0),"Bear","Mixed")))</f>
        <v/>
      </c>
      <c r="AO125">
        <f>IF(OR(AK125="",AL125=""),"",IF(AND(AK125&gt;0,AL125&gt;0),"Bull",IF(AND(AK125&lt;0,AL125&lt;0),"Bear","Mixed")))</f>
        <v/>
      </c>
      <c r="AP125">
        <f>IF(OR(AN125="",AO125=""),"",IF(AND(AN125="Bull",AO125="Bull"),"YES","NO"))</f>
        <v/>
      </c>
      <c r="AQ125">
        <f>IF(OR(AN125="",AO125=""),"",IF(AND(AN125="Bear",AO125="Bear"),"YES","NO"))</f>
        <v/>
      </c>
      <c r="AR125">
        <f>IF(AP125="YES",IF(SUM(N(X125),N(Y125),N(Z125))&gt;0,"SOXL","TQQQ"),IF(AQ125="YES",IF(SUM(N(AA125),N(AB125),N(AC125))&gt;0,"SOXS","SQQQ"),"WAIT"))</f>
        <v/>
      </c>
      <c r="AS125">
        <f>IF(AP125="YES",IF(SUM(N(X125),N(Y125),N(Z125))&gt;0,"TQQQ","SOXL"),IF(AQ125="YES",IF(SUM(N(AA125),N(AB125),N(AC125))&gt;0,"SQQQ","SOXS"),""))</f>
        <v/>
      </c>
      <c r="AT125" s="23">
        <f>IF(AR125="WAIT","",IF(AS125="",1,0.6))</f>
        <v/>
      </c>
      <c r="AU125" s="23">
        <f>IF(AS125="",0,0.4)</f>
        <v/>
      </c>
      <c r="AV125">
        <f>IF(AR125="WAIT","WAIT",IF(AP125="YES","BULL",IF(AQ125="YES","BEAR","WAIT")))</f>
        <v/>
      </c>
      <c r="AW125">
        <f>IF(AR125="WAIT","Low",IF(OR(AND(AV125="BULL",ABS(SUM(N(X125),N(Y125),N(Z125)))&gt;=0.15),AND(AV125="BEAR",ABS(SUM(N(AA125),N(AB125),N(AC125)))&gt;=0.15)),"Strong",IF(OR(AND(AV125="BULL",ABS(SUM(N(X125),N(Y125),N(Z125)))&gt;=0.05),AND(AV125="BEAR",ABS(SUM(N(AA125),N(AB125),N(AC125)))&gt;=0.05)),"Moderate","Low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13" t="n"/>
      <c r="AF126" s="23">
        <f>IF(OR(AD126="",AD125=""),"",IF(AD125=0,"",(AD126/AD125)-1))</f>
        <v/>
      </c>
      <c r="AG126" s="23">
        <f>IF(ROW()&lt;7,"",IF(OR(AD126="",AD123=""),"",IF(AD123=0,"",(AD126/AD123)-1)))</f>
        <v/>
      </c>
      <c r="AH126" s="23">
        <f>IF(ROW()&lt;9,"",IF(OR(AD126="",AD121=""),"",IF(AD121=0,"",(AD126/AD121)-1)))</f>
        <v/>
      </c>
      <c r="AJ126" s="23">
        <f>IF(OR(AE126="",AE125=""),"",IF(AE125=0,"",(AE126/AE125)-1))</f>
        <v/>
      </c>
      <c r="AK126" s="23">
        <f>IF(ROW()&lt;7,"",IF(OR(AE126="",AE123=""),"",IF(AE123=0,"",(AE126/AE123)-1)))</f>
        <v/>
      </c>
      <c r="AL126" s="23">
        <f>IF(ROW()&lt;9,"",IF(OR(AE126="",AE121=""),"",IF(AE121=0,"",(AE126/AE121)-1)))</f>
        <v/>
      </c>
      <c r="AN126">
        <f>IF(OR(AG126="",AH126=""),"",IF(AND(AG126&gt;0,AH126&gt;0),"Bull",IF(AND(AG126&lt;0,AH126&lt;0),"Bear","Mixed")))</f>
        <v/>
      </c>
      <c r="AO126">
        <f>IF(OR(AK126="",AL126=""),"",IF(AND(AK126&gt;0,AL126&gt;0),"Bull",IF(AND(AK126&lt;0,AL126&lt;0),"Bear","Mixed")))</f>
        <v/>
      </c>
      <c r="AP126">
        <f>IF(OR(AN126="",AO126=""),"",IF(AND(AN126="Bull",AO126="Bull"),"YES","NO"))</f>
        <v/>
      </c>
      <c r="AQ126">
        <f>IF(OR(AN126="",AO126=""),"",IF(AND(AN126="Bear",AO126="Bear"),"YES","NO"))</f>
        <v/>
      </c>
      <c r="AR126">
        <f>IF(AP126="YES",IF(SUM(N(X126),N(Y126),N(Z126))&gt;0,"SOXL","TQQQ"),IF(AQ126="YES",IF(SUM(N(AA126),N(AB126),N(AC126))&gt;0,"SOXS","SQQQ"),"WAIT"))</f>
        <v/>
      </c>
      <c r="AS126">
        <f>IF(AP126="YES",IF(SUM(N(X126),N(Y126),N(Z126))&gt;0,"TQQQ","SOXL"),IF(AQ126="YES",IF(SUM(N(AA126),N(AB126),N(AC126))&gt;0,"SQQQ","SOXS"),""))</f>
        <v/>
      </c>
      <c r="AT126" s="23">
        <f>IF(AR126="WAIT","",IF(AS126="",1,0.6))</f>
        <v/>
      </c>
      <c r="AU126" s="23">
        <f>IF(AS126="",0,0.4)</f>
        <v/>
      </c>
      <c r="AV126">
        <f>IF(AR126="WAIT","WAIT",IF(AP126="YES","BULL",IF(AQ126="YES","BEAR","WAIT")))</f>
        <v/>
      </c>
      <c r="AW126">
        <f>IF(AR126="WAIT","Low",IF(OR(AND(AV126="BULL",ABS(SUM(N(X126),N(Y126),N(Z126)))&gt;=0.15),AND(AV126="BEAR",ABS(SUM(N(AA126),N(AB126),N(AC126)))&gt;=0.15)),"Strong",IF(OR(AND(AV126="BULL",ABS(SUM(N(X126),N(Y126),N(Z126)))&gt;=0.05),AND(AV126="BEAR",ABS(SUM(N(AA126),N(AB126),N(AC126)))&gt;=0.05)),"Moderate","Low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13" t="n"/>
      <c r="AF127" s="23">
        <f>IF(OR(AD127="",AD126=""),"",IF(AD126=0,"",(AD127/AD126)-1))</f>
        <v/>
      </c>
      <c r="AG127" s="23">
        <f>IF(ROW()&lt;7,"",IF(OR(AD127="",AD124=""),"",IF(AD124=0,"",(AD127/AD124)-1)))</f>
        <v/>
      </c>
      <c r="AH127" s="23">
        <f>IF(ROW()&lt;9,"",IF(OR(AD127="",AD122=""),"",IF(AD122=0,"",(AD127/AD122)-1)))</f>
        <v/>
      </c>
      <c r="AJ127" s="23">
        <f>IF(OR(AE127="",AE126=""),"",IF(AE126=0,"",(AE127/AE126)-1))</f>
        <v/>
      </c>
      <c r="AK127" s="23">
        <f>IF(ROW()&lt;7,"",IF(OR(AE127="",AE124=""),"",IF(AE124=0,"",(AE127/AE124)-1)))</f>
        <v/>
      </c>
      <c r="AL127" s="23">
        <f>IF(ROW()&lt;9,"",IF(OR(AE127="",AE122=""),"",IF(AE122=0,"",(AE127/AE122)-1)))</f>
        <v/>
      </c>
      <c r="AN127">
        <f>IF(OR(AG127="",AH127=""),"",IF(AND(AG127&gt;0,AH127&gt;0),"Bull",IF(AND(AG127&lt;0,AH127&lt;0),"Bear","Mixed")))</f>
        <v/>
      </c>
      <c r="AO127">
        <f>IF(OR(AK127="",AL127=""),"",IF(AND(AK127&gt;0,AL127&gt;0),"Bull",IF(AND(AK127&lt;0,AL127&lt;0),"Bear","Mixed")))</f>
        <v/>
      </c>
      <c r="AP127">
        <f>IF(OR(AN127="",AO127=""),"",IF(AND(AN127="Bull",AO127="Bull"),"YES","NO"))</f>
        <v/>
      </c>
      <c r="AQ127">
        <f>IF(OR(AN127="",AO127=""),"",IF(AND(AN127="Bear",AO127="Bear"),"YES","NO"))</f>
        <v/>
      </c>
      <c r="AR127">
        <f>IF(AP127="YES",IF(SUM(N(X127),N(Y127),N(Z127))&gt;0,"SOXL","TQQQ"),IF(AQ127="YES",IF(SUM(N(AA127),N(AB127),N(AC127))&gt;0,"SOXS","SQQQ"),"WAIT"))</f>
        <v/>
      </c>
      <c r="AS127">
        <f>IF(AP127="YES",IF(SUM(N(X127),N(Y127),N(Z127))&gt;0,"TQQQ","SOXL"),IF(AQ127="YES",IF(SUM(N(AA127),N(AB127),N(AC127))&gt;0,"SQQQ","SOXS"),""))</f>
        <v/>
      </c>
      <c r="AT127" s="23">
        <f>IF(AR127="WAIT","",IF(AS127="",1,0.6))</f>
        <v/>
      </c>
      <c r="AU127" s="23">
        <f>IF(AS127="",0,0.4)</f>
        <v/>
      </c>
      <c r="AV127">
        <f>IF(AR127="WAIT","WAIT",IF(AP127="YES","BULL",IF(AQ127="YES","BEAR","WAIT")))</f>
        <v/>
      </c>
      <c r="AW127">
        <f>IF(AR127="WAIT","Low",IF(OR(AND(AV127="BULL",ABS(SUM(N(X127),N(Y127),N(Z127)))&gt;=0.15),AND(AV127="BEAR",ABS(SUM(N(AA127),N(AB127),N(AC127)))&gt;=0.15)),"Strong",IF(OR(AND(AV127="BULL",ABS(SUM(N(X127),N(Y127),N(Z127)))&gt;=0.05),AND(AV127="BEAR",ABS(SUM(N(AA127),N(AB127),N(AC127)))&gt;=0.05)),"Moderate","Low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13" t="n"/>
      <c r="AF128" s="23">
        <f>IF(OR(AD128="",AD127=""),"",IF(AD127=0,"",(AD128/AD127)-1))</f>
        <v/>
      </c>
      <c r="AG128" s="23">
        <f>IF(ROW()&lt;7,"",IF(OR(AD128="",AD125=""),"",IF(AD125=0,"",(AD128/AD125)-1)))</f>
        <v/>
      </c>
      <c r="AH128" s="23">
        <f>IF(ROW()&lt;9,"",IF(OR(AD128="",AD123=""),"",IF(AD123=0,"",(AD128/AD123)-1)))</f>
        <v/>
      </c>
      <c r="AJ128" s="23">
        <f>IF(OR(AE128="",AE127=""),"",IF(AE127=0,"",(AE128/AE127)-1))</f>
        <v/>
      </c>
      <c r="AK128" s="23">
        <f>IF(ROW()&lt;7,"",IF(OR(AE128="",AE125=""),"",IF(AE125=0,"",(AE128/AE125)-1)))</f>
        <v/>
      </c>
      <c r="AL128" s="23">
        <f>IF(ROW()&lt;9,"",IF(OR(AE128="",AE123=""),"",IF(AE123=0,"",(AE128/AE123)-1)))</f>
        <v/>
      </c>
      <c r="AN128">
        <f>IF(OR(AG128="",AH128=""),"",IF(AND(AG128&gt;0,AH128&gt;0),"Bull",IF(AND(AG128&lt;0,AH128&lt;0),"Bear","Mixed")))</f>
        <v/>
      </c>
      <c r="AO128">
        <f>IF(OR(AK128="",AL128=""),"",IF(AND(AK128&gt;0,AL128&gt;0),"Bull",IF(AND(AK128&lt;0,AL128&lt;0),"Bear","Mixed")))</f>
        <v/>
      </c>
      <c r="AP128">
        <f>IF(OR(AN128="",AO128=""),"",IF(AND(AN128="Bull",AO128="Bull"),"YES","NO"))</f>
        <v/>
      </c>
      <c r="AQ128">
        <f>IF(OR(AN128="",AO128=""),"",IF(AND(AN128="Bear",AO128="Bear"),"YES","NO"))</f>
        <v/>
      </c>
      <c r="AR128">
        <f>IF(AP128="YES",IF(SUM(N(X128),N(Y128),N(Z128))&gt;0,"SOXL","TQQQ"),IF(AQ128="YES",IF(SUM(N(AA128),N(AB128),N(AC128))&gt;0,"SOXS","SQQQ"),"WAIT"))</f>
        <v/>
      </c>
      <c r="AS128">
        <f>IF(AP128="YES",IF(SUM(N(X128),N(Y128),N(Z128))&gt;0,"TQQQ","SOXL"),IF(AQ128="YES",IF(SUM(N(AA128),N(AB128),N(AC128))&gt;0,"SQQQ","SOXS"),""))</f>
        <v/>
      </c>
      <c r="AT128" s="23">
        <f>IF(AR128="WAIT","",IF(AS128="",1,0.6))</f>
        <v/>
      </c>
      <c r="AU128" s="23">
        <f>IF(AS128="",0,0.4)</f>
        <v/>
      </c>
      <c r="AV128">
        <f>IF(AR128="WAIT","WAIT",IF(AP128="YES","BULL",IF(AQ128="YES","BEAR","WAIT")))</f>
        <v/>
      </c>
      <c r="AW128">
        <f>IF(AR128="WAIT","Low",IF(OR(AND(AV128="BULL",ABS(SUM(N(X128),N(Y128),N(Z128)))&gt;=0.15),AND(AV128="BEAR",ABS(SUM(N(AA128),N(AB128),N(AC128)))&gt;=0.15)),"Strong",IF(OR(AND(AV128="BULL",ABS(SUM(N(X128),N(Y128),N(Z128)))&gt;=0.05),AND(AV128="BEAR",ABS(SUM(N(AA128),N(AB128),N(AC128)))&gt;=0.05)),"Moderate","Low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13" t="n"/>
      <c r="AF129" s="23">
        <f>IF(OR(AD129="",AD128=""),"",IF(AD128=0,"",(AD129/AD128)-1))</f>
        <v/>
      </c>
      <c r="AG129" s="23">
        <f>IF(ROW()&lt;7,"",IF(OR(AD129="",AD126=""),"",IF(AD126=0,"",(AD129/AD126)-1)))</f>
        <v/>
      </c>
      <c r="AH129" s="23">
        <f>IF(ROW()&lt;9,"",IF(OR(AD129="",AD124=""),"",IF(AD124=0,"",(AD129/AD124)-1)))</f>
        <v/>
      </c>
      <c r="AJ129" s="23">
        <f>IF(OR(AE129="",AE128=""),"",IF(AE128=0,"",(AE129/AE128)-1))</f>
        <v/>
      </c>
      <c r="AK129" s="23">
        <f>IF(ROW()&lt;7,"",IF(OR(AE129="",AE126=""),"",IF(AE126=0,"",(AE129/AE126)-1)))</f>
        <v/>
      </c>
      <c r="AL129" s="23">
        <f>IF(ROW()&lt;9,"",IF(OR(AE129="",AE124=""),"",IF(AE124=0,"",(AE129/AE124)-1)))</f>
        <v/>
      </c>
      <c r="AN129">
        <f>IF(OR(AG129="",AH129=""),"",IF(AND(AG129&gt;0,AH129&gt;0),"Bull",IF(AND(AG129&lt;0,AH129&lt;0),"Bear","Mixed")))</f>
        <v/>
      </c>
      <c r="AO129">
        <f>IF(OR(AK129="",AL129=""),"",IF(AND(AK129&gt;0,AL129&gt;0),"Bull",IF(AND(AK129&lt;0,AL129&lt;0),"Bear","Mixed")))</f>
        <v/>
      </c>
      <c r="AP129">
        <f>IF(OR(AN129="",AO129=""),"",IF(AND(AN129="Bull",AO129="Bull"),"YES","NO"))</f>
        <v/>
      </c>
      <c r="AQ129">
        <f>IF(OR(AN129="",AO129=""),"",IF(AND(AN129="Bear",AO129="Bear"),"YES","NO"))</f>
        <v/>
      </c>
      <c r="AR129">
        <f>IF(AP129="YES",IF(SUM(N(X129),N(Y129),N(Z129))&gt;0,"SOXL","TQQQ"),IF(AQ129="YES",IF(SUM(N(AA129),N(AB129),N(AC129))&gt;0,"SOXS","SQQQ"),"WAIT"))</f>
        <v/>
      </c>
      <c r="AS129">
        <f>IF(AP129="YES",IF(SUM(N(X129),N(Y129),N(Z129))&gt;0,"TQQQ","SOXL"),IF(AQ129="YES",IF(SUM(N(AA129),N(AB129),N(AC129))&gt;0,"SQQQ","SOXS"),""))</f>
        <v/>
      </c>
      <c r="AT129" s="23">
        <f>IF(AR129="WAIT","",IF(AS129="",1,0.6))</f>
        <v/>
      </c>
      <c r="AU129" s="23">
        <f>IF(AS129="",0,0.4)</f>
        <v/>
      </c>
      <c r="AV129">
        <f>IF(AR129="WAIT","WAIT",IF(AP129="YES","BULL",IF(AQ129="YES","BEAR","WAIT")))</f>
        <v/>
      </c>
      <c r="AW129">
        <f>IF(AR129="WAIT","Low",IF(OR(AND(AV129="BULL",ABS(SUM(N(X129),N(Y129),N(Z129)))&gt;=0.15),AND(AV129="BEAR",ABS(SUM(N(AA129),N(AB129),N(AC129)))&gt;=0.15)),"Strong",IF(OR(AND(AV129="BULL",ABS(SUM(N(X129),N(Y129),N(Z129)))&gt;=0.05),AND(AV129="BEAR",ABS(SUM(N(AA129),N(AB129),N(AC129)))&gt;=0.05)),"Moderate","Low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13" t="n"/>
      <c r="AF130" s="23">
        <f>IF(OR(AD130="",AD129=""),"",IF(AD129=0,"",(AD130/AD129)-1))</f>
        <v/>
      </c>
      <c r="AG130" s="23">
        <f>IF(ROW()&lt;7,"",IF(OR(AD130="",AD127=""),"",IF(AD127=0,"",(AD130/AD127)-1)))</f>
        <v/>
      </c>
      <c r="AH130" s="23">
        <f>IF(ROW()&lt;9,"",IF(OR(AD130="",AD125=""),"",IF(AD125=0,"",(AD130/AD125)-1)))</f>
        <v/>
      </c>
      <c r="AJ130" s="23">
        <f>IF(OR(AE130="",AE129=""),"",IF(AE129=0,"",(AE130/AE129)-1))</f>
        <v/>
      </c>
      <c r="AK130" s="23">
        <f>IF(ROW()&lt;7,"",IF(OR(AE130="",AE127=""),"",IF(AE127=0,"",(AE130/AE127)-1)))</f>
        <v/>
      </c>
      <c r="AL130" s="23">
        <f>IF(ROW()&lt;9,"",IF(OR(AE130="",AE125=""),"",IF(AE125=0,"",(AE130/AE125)-1)))</f>
        <v/>
      </c>
      <c r="AN130">
        <f>IF(OR(AG130="",AH130=""),"",IF(AND(AG130&gt;0,AH130&gt;0),"Bull",IF(AND(AG130&lt;0,AH130&lt;0),"Bear","Mixed")))</f>
        <v/>
      </c>
      <c r="AO130">
        <f>IF(OR(AK130="",AL130=""),"",IF(AND(AK130&gt;0,AL130&gt;0),"Bull",IF(AND(AK130&lt;0,AL130&lt;0),"Bear","Mixed")))</f>
        <v/>
      </c>
      <c r="AP130">
        <f>IF(OR(AN130="",AO130=""),"",IF(AND(AN130="Bull",AO130="Bull"),"YES","NO"))</f>
        <v/>
      </c>
      <c r="AQ130">
        <f>IF(OR(AN130="",AO130=""),"",IF(AND(AN130="Bear",AO130="Bear"),"YES","NO"))</f>
        <v/>
      </c>
      <c r="AR130">
        <f>IF(AP130="YES",IF(SUM(N(X130),N(Y130),N(Z130))&gt;0,"SOXL","TQQQ"),IF(AQ130="YES",IF(SUM(N(AA130),N(AB130),N(AC130))&gt;0,"SOXS","SQQQ"),"WAIT"))</f>
        <v/>
      </c>
      <c r="AS130">
        <f>IF(AP130="YES",IF(SUM(N(X130),N(Y130),N(Z130))&gt;0,"TQQQ","SOXL"),IF(AQ130="YES",IF(SUM(N(AA130),N(AB130),N(AC130))&gt;0,"SQQQ","SOXS"),""))</f>
        <v/>
      </c>
      <c r="AT130" s="23">
        <f>IF(AR130="WAIT","",IF(AS130="",1,0.6))</f>
        <v/>
      </c>
      <c r="AU130" s="23">
        <f>IF(AS130="",0,0.4)</f>
        <v/>
      </c>
      <c r="AV130">
        <f>IF(AR130="WAIT","WAIT",IF(AP130="YES","BULL",IF(AQ130="YES","BEAR","WAIT")))</f>
        <v/>
      </c>
      <c r="AW130">
        <f>IF(AR130="WAIT","Low",IF(OR(AND(AV130="BULL",ABS(SUM(N(X130),N(Y130),N(Z130)))&gt;=0.15),AND(AV130="BEAR",ABS(SUM(N(AA130),N(AB130),N(AC130)))&gt;=0.15)),"Strong",IF(OR(AND(AV130="BULL",ABS(SUM(N(X130),N(Y130),N(Z130)))&gt;=0.05),AND(AV130="BEAR",ABS(SUM(N(AA130),N(AB130),N(AC130)))&gt;=0.05)),"Moderate","Low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13" t="n"/>
      <c r="AF131" s="23">
        <f>IF(OR(AD131="",AD130=""),"",IF(AD130=0,"",(AD131/AD130)-1))</f>
        <v/>
      </c>
      <c r="AG131" s="23">
        <f>IF(ROW()&lt;7,"",IF(OR(AD131="",AD128=""),"",IF(AD128=0,"",(AD131/AD128)-1)))</f>
        <v/>
      </c>
      <c r="AH131" s="23">
        <f>IF(ROW()&lt;9,"",IF(OR(AD131="",AD126=""),"",IF(AD126=0,"",(AD131/AD126)-1)))</f>
        <v/>
      </c>
      <c r="AJ131" s="23">
        <f>IF(OR(AE131="",AE130=""),"",IF(AE130=0,"",(AE131/AE130)-1))</f>
        <v/>
      </c>
      <c r="AK131" s="23">
        <f>IF(ROW()&lt;7,"",IF(OR(AE131="",AE128=""),"",IF(AE128=0,"",(AE131/AE128)-1)))</f>
        <v/>
      </c>
      <c r="AL131" s="23">
        <f>IF(ROW()&lt;9,"",IF(OR(AE131="",AE126=""),"",IF(AE126=0,"",(AE131/AE126)-1)))</f>
        <v/>
      </c>
      <c r="AN131">
        <f>IF(OR(AG131="",AH131=""),"",IF(AND(AG131&gt;0,AH131&gt;0),"Bull",IF(AND(AG131&lt;0,AH131&lt;0),"Bear","Mixed")))</f>
        <v/>
      </c>
      <c r="AO131">
        <f>IF(OR(AK131="",AL131=""),"",IF(AND(AK131&gt;0,AL131&gt;0),"Bull",IF(AND(AK131&lt;0,AL131&lt;0),"Bear","Mixed")))</f>
        <v/>
      </c>
      <c r="AP131">
        <f>IF(OR(AN131="",AO131=""),"",IF(AND(AN131="Bull",AO131="Bull"),"YES","NO"))</f>
        <v/>
      </c>
      <c r="AQ131">
        <f>IF(OR(AN131="",AO131=""),"",IF(AND(AN131="Bear",AO131="Bear"),"YES","NO"))</f>
        <v/>
      </c>
      <c r="AR131">
        <f>IF(AP131="YES",IF(SUM(N(X131),N(Y131),N(Z131))&gt;0,"SOXL","TQQQ"),IF(AQ131="YES",IF(SUM(N(AA131),N(AB131),N(AC131))&gt;0,"SOXS","SQQQ"),"WAIT"))</f>
        <v/>
      </c>
      <c r="AS131">
        <f>IF(AP131="YES",IF(SUM(N(X131),N(Y131),N(Z131))&gt;0,"TQQQ","SOXL"),IF(AQ131="YES",IF(SUM(N(AA131),N(AB131),N(AC131))&gt;0,"SQQQ","SOXS"),""))</f>
        <v/>
      </c>
      <c r="AT131" s="23">
        <f>IF(AR131="WAIT","",IF(AS131="",1,0.6))</f>
        <v/>
      </c>
      <c r="AU131" s="23">
        <f>IF(AS131="",0,0.4)</f>
        <v/>
      </c>
      <c r="AV131">
        <f>IF(AR131="WAIT","WAIT",IF(AP131="YES","BULL",IF(AQ131="YES","BEAR","WAIT")))</f>
        <v/>
      </c>
      <c r="AW131">
        <f>IF(AR131="WAIT","Low",IF(OR(AND(AV131="BULL",ABS(SUM(N(X131),N(Y131),N(Z131)))&gt;=0.15),AND(AV131="BEAR",ABS(SUM(N(AA131),N(AB131),N(AC131)))&gt;=0.15)),"Strong",IF(OR(AND(AV131="BULL",ABS(SUM(N(X131),N(Y131),N(Z131)))&gt;=0.05),AND(AV131="BEAR",ABS(SUM(N(AA131),N(AB131),N(AC131)))&gt;=0.05)),"Moderate","Low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13" t="n"/>
      <c r="AF132" s="23">
        <f>IF(OR(AD132="",AD131=""),"",IF(AD131=0,"",(AD132/AD131)-1))</f>
        <v/>
      </c>
      <c r="AG132" s="23">
        <f>IF(ROW()&lt;7,"",IF(OR(AD132="",AD129=""),"",IF(AD129=0,"",(AD132/AD129)-1)))</f>
        <v/>
      </c>
      <c r="AH132" s="23">
        <f>IF(ROW()&lt;9,"",IF(OR(AD132="",AD127=""),"",IF(AD127=0,"",(AD132/AD127)-1)))</f>
        <v/>
      </c>
      <c r="AJ132" s="23">
        <f>IF(OR(AE132="",AE131=""),"",IF(AE131=0,"",(AE132/AE131)-1))</f>
        <v/>
      </c>
      <c r="AK132" s="23">
        <f>IF(ROW()&lt;7,"",IF(OR(AE132="",AE129=""),"",IF(AE129=0,"",(AE132/AE129)-1)))</f>
        <v/>
      </c>
      <c r="AL132" s="23">
        <f>IF(ROW()&lt;9,"",IF(OR(AE132="",AE127=""),"",IF(AE127=0,"",(AE132/AE127)-1)))</f>
        <v/>
      </c>
      <c r="AN132">
        <f>IF(OR(AG132="",AH132=""),"",IF(AND(AG132&gt;0,AH132&gt;0),"Bull",IF(AND(AG132&lt;0,AH132&lt;0),"Bear","Mixed")))</f>
        <v/>
      </c>
      <c r="AO132">
        <f>IF(OR(AK132="",AL132=""),"",IF(AND(AK132&gt;0,AL132&gt;0),"Bull",IF(AND(AK132&lt;0,AL132&lt;0),"Bear","Mixed")))</f>
        <v/>
      </c>
      <c r="AP132">
        <f>IF(OR(AN132="",AO132=""),"",IF(AND(AN132="Bull",AO132="Bull"),"YES","NO"))</f>
        <v/>
      </c>
      <c r="AQ132">
        <f>IF(OR(AN132="",AO132=""),"",IF(AND(AN132="Bear",AO132="Bear"),"YES","NO"))</f>
        <v/>
      </c>
      <c r="AR132">
        <f>IF(AP132="YES",IF(SUM(N(X132),N(Y132),N(Z132))&gt;0,"SOXL","TQQQ"),IF(AQ132="YES",IF(SUM(N(AA132),N(AB132),N(AC132))&gt;0,"SOXS","SQQQ"),"WAIT"))</f>
        <v/>
      </c>
      <c r="AS132">
        <f>IF(AP132="YES",IF(SUM(N(X132),N(Y132),N(Z132))&gt;0,"TQQQ","SOXL"),IF(AQ132="YES",IF(SUM(N(AA132),N(AB132),N(AC132))&gt;0,"SQQQ","SOXS"),""))</f>
        <v/>
      </c>
      <c r="AT132" s="23">
        <f>IF(AR132="WAIT","",IF(AS132="",1,0.6))</f>
        <v/>
      </c>
      <c r="AU132" s="23">
        <f>IF(AS132="",0,0.4)</f>
        <v/>
      </c>
      <c r="AV132">
        <f>IF(AR132="WAIT","WAIT",IF(AP132="YES","BULL",IF(AQ132="YES","BEAR","WAIT")))</f>
        <v/>
      </c>
      <c r="AW132">
        <f>IF(AR132="WAIT","Low",IF(OR(AND(AV132="BULL",ABS(SUM(N(X132),N(Y132),N(Z132)))&gt;=0.15),AND(AV132="BEAR",ABS(SUM(N(AA132),N(AB132),N(AC132)))&gt;=0.15)),"Strong",IF(OR(AND(AV132="BULL",ABS(SUM(N(X132),N(Y132),N(Z132)))&gt;=0.05),AND(AV132="BEAR",ABS(SUM(N(AA132),N(AB132),N(AC132)))&gt;=0.05)),"Moderate","Low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13" t="n"/>
      <c r="AF133" s="23">
        <f>IF(OR(AD133="",AD132=""),"",IF(AD132=0,"",(AD133/AD132)-1))</f>
        <v/>
      </c>
      <c r="AG133" s="23">
        <f>IF(ROW()&lt;7,"",IF(OR(AD133="",AD130=""),"",IF(AD130=0,"",(AD133/AD130)-1)))</f>
        <v/>
      </c>
      <c r="AH133" s="23">
        <f>IF(ROW()&lt;9,"",IF(OR(AD133="",AD128=""),"",IF(AD128=0,"",(AD133/AD128)-1)))</f>
        <v/>
      </c>
      <c r="AJ133" s="23">
        <f>IF(OR(AE133="",AE132=""),"",IF(AE132=0,"",(AE133/AE132)-1))</f>
        <v/>
      </c>
      <c r="AK133" s="23">
        <f>IF(ROW()&lt;7,"",IF(OR(AE133="",AE130=""),"",IF(AE130=0,"",(AE133/AE130)-1)))</f>
        <v/>
      </c>
      <c r="AL133" s="23">
        <f>IF(ROW()&lt;9,"",IF(OR(AE133="",AE128=""),"",IF(AE128=0,"",(AE133/AE128)-1)))</f>
        <v/>
      </c>
      <c r="AN133">
        <f>IF(OR(AG133="",AH133=""),"",IF(AND(AG133&gt;0,AH133&gt;0),"Bull",IF(AND(AG133&lt;0,AH133&lt;0),"Bear","Mixed")))</f>
        <v/>
      </c>
      <c r="AO133">
        <f>IF(OR(AK133="",AL133=""),"",IF(AND(AK133&gt;0,AL133&gt;0),"Bull",IF(AND(AK133&lt;0,AL133&lt;0),"Bear","Mixed")))</f>
        <v/>
      </c>
      <c r="AP133">
        <f>IF(OR(AN133="",AO133=""),"",IF(AND(AN133="Bull",AO133="Bull"),"YES","NO"))</f>
        <v/>
      </c>
      <c r="AQ133">
        <f>IF(OR(AN133="",AO133=""),"",IF(AND(AN133="Bear",AO133="Bear"),"YES","NO"))</f>
        <v/>
      </c>
      <c r="AR133">
        <f>IF(AP133="YES",IF(SUM(N(X133),N(Y133),N(Z133))&gt;0,"SOXL","TQQQ"),IF(AQ133="YES",IF(SUM(N(AA133),N(AB133),N(AC133))&gt;0,"SOXS","SQQQ"),"WAIT"))</f>
        <v/>
      </c>
      <c r="AS133">
        <f>IF(AP133="YES",IF(SUM(N(X133),N(Y133),N(Z133))&gt;0,"TQQQ","SOXL"),IF(AQ133="YES",IF(SUM(N(AA133),N(AB133),N(AC133))&gt;0,"SQQQ","SOXS"),""))</f>
        <v/>
      </c>
      <c r="AT133" s="23">
        <f>IF(AR133="WAIT","",IF(AS133="",1,0.6))</f>
        <v/>
      </c>
      <c r="AU133" s="23">
        <f>IF(AS133="",0,0.4)</f>
        <v/>
      </c>
      <c r="AV133">
        <f>IF(AR133="WAIT","WAIT",IF(AP133="YES","BULL",IF(AQ133="YES","BEAR","WAIT")))</f>
        <v/>
      </c>
      <c r="AW133">
        <f>IF(AR133="WAIT","Low",IF(OR(AND(AV133="BULL",ABS(SUM(N(X133),N(Y133),N(Z133)))&gt;=0.15),AND(AV133="BEAR",ABS(SUM(N(AA133),N(AB133),N(AC133)))&gt;=0.15)),"Strong",IF(OR(AND(AV133="BULL",ABS(SUM(N(X133),N(Y133),N(Z133)))&gt;=0.05),AND(AV133="BEAR",ABS(SUM(N(AA133),N(AB133),N(AC133)))&gt;=0.05)),"Moderate","Low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13" t="n"/>
      <c r="AF134" s="23">
        <f>IF(OR(AD134="",AD133=""),"",IF(AD133=0,"",(AD134/AD133)-1))</f>
        <v/>
      </c>
      <c r="AG134" s="23">
        <f>IF(ROW()&lt;7,"",IF(OR(AD134="",AD131=""),"",IF(AD131=0,"",(AD134/AD131)-1)))</f>
        <v/>
      </c>
      <c r="AH134" s="23">
        <f>IF(ROW()&lt;9,"",IF(OR(AD134="",AD129=""),"",IF(AD129=0,"",(AD134/AD129)-1)))</f>
        <v/>
      </c>
      <c r="AJ134" s="23">
        <f>IF(OR(AE134="",AE133=""),"",IF(AE133=0,"",(AE134/AE133)-1))</f>
        <v/>
      </c>
      <c r="AK134" s="23">
        <f>IF(ROW()&lt;7,"",IF(OR(AE134="",AE131=""),"",IF(AE131=0,"",(AE134/AE131)-1)))</f>
        <v/>
      </c>
      <c r="AL134" s="23">
        <f>IF(ROW()&lt;9,"",IF(OR(AE134="",AE129=""),"",IF(AE129=0,"",(AE134/AE129)-1)))</f>
        <v/>
      </c>
      <c r="AN134">
        <f>IF(OR(AG134="",AH134=""),"",IF(AND(AG134&gt;0,AH134&gt;0),"Bull",IF(AND(AG134&lt;0,AH134&lt;0),"Bear","Mixed")))</f>
        <v/>
      </c>
      <c r="AO134">
        <f>IF(OR(AK134="",AL134=""),"",IF(AND(AK134&gt;0,AL134&gt;0),"Bull",IF(AND(AK134&lt;0,AL134&lt;0),"Bear","Mixed")))</f>
        <v/>
      </c>
      <c r="AP134">
        <f>IF(OR(AN134="",AO134=""),"",IF(AND(AN134="Bull",AO134="Bull"),"YES","NO"))</f>
        <v/>
      </c>
      <c r="AQ134">
        <f>IF(OR(AN134="",AO134=""),"",IF(AND(AN134="Bear",AO134="Bear"),"YES","NO"))</f>
        <v/>
      </c>
      <c r="AR134">
        <f>IF(AP134="YES",IF(SUM(N(X134),N(Y134),N(Z134))&gt;0,"SOXL","TQQQ"),IF(AQ134="YES",IF(SUM(N(AA134),N(AB134),N(AC134))&gt;0,"SOXS","SQQQ"),"WAIT"))</f>
        <v/>
      </c>
      <c r="AS134">
        <f>IF(AP134="YES",IF(SUM(N(X134),N(Y134),N(Z134))&gt;0,"TQQQ","SOXL"),IF(AQ134="YES",IF(SUM(N(AA134),N(AB134),N(AC134))&gt;0,"SQQQ","SOXS"),""))</f>
        <v/>
      </c>
      <c r="AT134" s="23">
        <f>IF(AR134="WAIT","",IF(AS134="",1,0.6))</f>
        <v/>
      </c>
      <c r="AU134" s="23">
        <f>IF(AS134="",0,0.4)</f>
        <v/>
      </c>
      <c r="AV134">
        <f>IF(AR134="WAIT","WAIT",IF(AP134="YES","BULL",IF(AQ134="YES","BEAR","WAIT")))</f>
        <v/>
      </c>
      <c r="AW134">
        <f>IF(AR134="WAIT","Low",IF(OR(AND(AV134="BULL",ABS(SUM(N(X134),N(Y134),N(Z134)))&gt;=0.15),AND(AV134="BEAR",ABS(SUM(N(AA134),N(AB134),N(AC134)))&gt;=0.15)),"Strong",IF(OR(AND(AV134="BULL",ABS(SUM(N(X134),N(Y134),N(Z134)))&gt;=0.05),AND(AV134="BEAR",ABS(SUM(N(AA134),N(AB134),N(AC134)))&gt;=0.05)),"Moderate","Low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13" t="n"/>
      <c r="AF135" s="23">
        <f>IF(OR(AD135="",AD134=""),"",IF(AD134=0,"",(AD135/AD134)-1))</f>
        <v/>
      </c>
      <c r="AG135" s="23">
        <f>IF(ROW()&lt;7,"",IF(OR(AD135="",AD132=""),"",IF(AD132=0,"",(AD135/AD132)-1)))</f>
        <v/>
      </c>
      <c r="AH135" s="23">
        <f>IF(ROW()&lt;9,"",IF(OR(AD135="",AD130=""),"",IF(AD130=0,"",(AD135/AD130)-1)))</f>
        <v/>
      </c>
      <c r="AJ135" s="23">
        <f>IF(OR(AE135="",AE134=""),"",IF(AE134=0,"",(AE135/AE134)-1))</f>
        <v/>
      </c>
      <c r="AK135" s="23">
        <f>IF(ROW()&lt;7,"",IF(OR(AE135="",AE132=""),"",IF(AE132=0,"",(AE135/AE132)-1)))</f>
        <v/>
      </c>
      <c r="AL135" s="23">
        <f>IF(ROW()&lt;9,"",IF(OR(AE135="",AE130=""),"",IF(AE130=0,"",(AE135/AE130)-1)))</f>
        <v/>
      </c>
      <c r="AN135">
        <f>IF(OR(AG135="",AH135=""),"",IF(AND(AG135&gt;0,AH135&gt;0),"Bull",IF(AND(AG135&lt;0,AH135&lt;0),"Bear","Mixed")))</f>
        <v/>
      </c>
      <c r="AO135">
        <f>IF(OR(AK135="",AL135=""),"",IF(AND(AK135&gt;0,AL135&gt;0),"Bull",IF(AND(AK135&lt;0,AL135&lt;0),"Bear","Mixed")))</f>
        <v/>
      </c>
      <c r="AP135">
        <f>IF(OR(AN135="",AO135=""),"",IF(AND(AN135="Bull",AO135="Bull"),"YES","NO"))</f>
        <v/>
      </c>
      <c r="AQ135">
        <f>IF(OR(AN135="",AO135=""),"",IF(AND(AN135="Bear",AO135="Bear"),"YES","NO"))</f>
        <v/>
      </c>
      <c r="AR135">
        <f>IF(AP135="YES",IF(SUM(N(X135),N(Y135),N(Z135))&gt;0,"SOXL","TQQQ"),IF(AQ135="YES",IF(SUM(N(AA135),N(AB135),N(AC135))&gt;0,"SOXS","SQQQ"),"WAIT"))</f>
        <v/>
      </c>
      <c r="AS135">
        <f>IF(AP135="YES",IF(SUM(N(X135),N(Y135),N(Z135))&gt;0,"TQQQ","SOXL"),IF(AQ135="YES",IF(SUM(N(AA135),N(AB135),N(AC135))&gt;0,"SQQQ","SOXS"),""))</f>
        <v/>
      </c>
      <c r="AT135" s="23">
        <f>IF(AR135="WAIT","",IF(AS135="",1,0.6))</f>
        <v/>
      </c>
      <c r="AU135" s="23">
        <f>IF(AS135="",0,0.4)</f>
        <v/>
      </c>
      <c r="AV135">
        <f>IF(AR135="WAIT","WAIT",IF(AP135="YES","BULL",IF(AQ135="YES","BEAR","WAIT")))</f>
        <v/>
      </c>
      <c r="AW135">
        <f>IF(AR135="WAIT","Low",IF(OR(AND(AV135="BULL",ABS(SUM(N(X135),N(Y135),N(Z135)))&gt;=0.15),AND(AV135="BEAR",ABS(SUM(N(AA135),N(AB135),N(AC135)))&gt;=0.15)),"Strong",IF(OR(AND(AV135="BULL",ABS(SUM(N(X135),N(Y135),N(Z135)))&gt;=0.05),AND(AV135="BEAR",ABS(SUM(N(AA135),N(AB135),N(AC135)))&gt;=0.05)),"Moderate","Low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13" t="n"/>
      <c r="AF136" s="23">
        <f>IF(OR(AD136="",AD135=""),"",IF(AD135=0,"",(AD136/AD135)-1))</f>
        <v/>
      </c>
      <c r="AG136" s="23">
        <f>IF(ROW()&lt;7,"",IF(OR(AD136="",AD133=""),"",IF(AD133=0,"",(AD136/AD133)-1)))</f>
        <v/>
      </c>
      <c r="AH136" s="23">
        <f>IF(ROW()&lt;9,"",IF(OR(AD136="",AD131=""),"",IF(AD131=0,"",(AD136/AD131)-1)))</f>
        <v/>
      </c>
      <c r="AJ136" s="23">
        <f>IF(OR(AE136="",AE135=""),"",IF(AE135=0,"",(AE136/AE135)-1))</f>
        <v/>
      </c>
      <c r="AK136" s="23">
        <f>IF(ROW()&lt;7,"",IF(OR(AE136="",AE133=""),"",IF(AE133=0,"",(AE136/AE133)-1)))</f>
        <v/>
      </c>
      <c r="AL136" s="23">
        <f>IF(ROW()&lt;9,"",IF(OR(AE136="",AE131=""),"",IF(AE131=0,"",(AE136/AE131)-1)))</f>
        <v/>
      </c>
      <c r="AN136">
        <f>IF(OR(AG136="",AH136=""),"",IF(AND(AG136&gt;0,AH136&gt;0),"Bull",IF(AND(AG136&lt;0,AH136&lt;0),"Bear","Mixed")))</f>
        <v/>
      </c>
      <c r="AO136">
        <f>IF(OR(AK136="",AL136=""),"",IF(AND(AK136&gt;0,AL136&gt;0),"Bull",IF(AND(AK136&lt;0,AL136&lt;0),"Bear","Mixed")))</f>
        <v/>
      </c>
      <c r="AP136">
        <f>IF(OR(AN136="",AO136=""),"",IF(AND(AN136="Bull",AO136="Bull"),"YES","NO"))</f>
        <v/>
      </c>
      <c r="AQ136">
        <f>IF(OR(AN136="",AO136=""),"",IF(AND(AN136="Bear",AO136="Bear"),"YES","NO"))</f>
        <v/>
      </c>
      <c r="AR136">
        <f>IF(AP136="YES",IF(SUM(N(X136),N(Y136),N(Z136))&gt;0,"SOXL","TQQQ"),IF(AQ136="YES",IF(SUM(N(AA136),N(AB136),N(AC136))&gt;0,"SOXS","SQQQ"),"WAIT"))</f>
        <v/>
      </c>
      <c r="AS136">
        <f>IF(AP136="YES",IF(SUM(N(X136),N(Y136),N(Z136))&gt;0,"TQQQ","SOXL"),IF(AQ136="YES",IF(SUM(N(AA136),N(AB136),N(AC136))&gt;0,"SQQQ","SOXS"),""))</f>
        <v/>
      </c>
      <c r="AT136" s="23">
        <f>IF(AR136="WAIT","",IF(AS136="",1,0.6))</f>
        <v/>
      </c>
      <c r="AU136" s="23">
        <f>IF(AS136="",0,0.4)</f>
        <v/>
      </c>
      <c r="AV136">
        <f>IF(AR136="WAIT","WAIT",IF(AP136="YES","BULL",IF(AQ136="YES","BEAR","WAIT")))</f>
        <v/>
      </c>
      <c r="AW136">
        <f>IF(AR136="WAIT","Low",IF(OR(AND(AV136="BULL",ABS(SUM(N(X136),N(Y136),N(Z136)))&gt;=0.15),AND(AV136="BEAR",ABS(SUM(N(AA136),N(AB136),N(AC136)))&gt;=0.15)),"Strong",IF(OR(AND(AV136="BULL",ABS(SUM(N(X136),N(Y136),N(Z136)))&gt;=0.05),AND(AV136="BEAR",ABS(SUM(N(AA136),N(AB136),N(AC136)))&gt;=0.05)),"Moderate","Low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13" t="n"/>
      <c r="AF137" s="23">
        <f>IF(OR(AD137="",AD136=""),"",IF(AD136=0,"",(AD137/AD136)-1))</f>
        <v/>
      </c>
      <c r="AG137" s="23">
        <f>IF(ROW()&lt;7,"",IF(OR(AD137="",AD134=""),"",IF(AD134=0,"",(AD137/AD134)-1)))</f>
        <v/>
      </c>
      <c r="AH137" s="23">
        <f>IF(ROW()&lt;9,"",IF(OR(AD137="",AD132=""),"",IF(AD132=0,"",(AD137/AD132)-1)))</f>
        <v/>
      </c>
      <c r="AJ137" s="23">
        <f>IF(OR(AE137="",AE136=""),"",IF(AE136=0,"",(AE137/AE136)-1))</f>
        <v/>
      </c>
      <c r="AK137" s="23">
        <f>IF(ROW()&lt;7,"",IF(OR(AE137="",AE134=""),"",IF(AE134=0,"",(AE137/AE134)-1)))</f>
        <v/>
      </c>
      <c r="AL137" s="23">
        <f>IF(ROW()&lt;9,"",IF(OR(AE137="",AE132=""),"",IF(AE132=0,"",(AE137/AE132)-1)))</f>
        <v/>
      </c>
      <c r="AN137">
        <f>IF(OR(AG137="",AH137=""),"",IF(AND(AG137&gt;0,AH137&gt;0),"Bull",IF(AND(AG137&lt;0,AH137&lt;0),"Bear","Mixed")))</f>
        <v/>
      </c>
      <c r="AO137">
        <f>IF(OR(AK137="",AL137=""),"",IF(AND(AK137&gt;0,AL137&gt;0),"Bull",IF(AND(AK137&lt;0,AL137&lt;0),"Bear","Mixed")))</f>
        <v/>
      </c>
      <c r="AP137">
        <f>IF(OR(AN137="",AO137=""),"",IF(AND(AN137="Bull",AO137="Bull"),"YES","NO"))</f>
        <v/>
      </c>
      <c r="AQ137">
        <f>IF(OR(AN137="",AO137=""),"",IF(AND(AN137="Bear",AO137="Bear"),"YES","NO"))</f>
        <v/>
      </c>
      <c r="AR137">
        <f>IF(AP137="YES",IF(SUM(N(X137),N(Y137),N(Z137))&gt;0,"SOXL","TQQQ"),IF(AQ137="YES",IF(SUM(N(AA137),N(AB137),N(AC137))&gt;0,"SOXS","SQQQ"),"WAIT"))</f>
        <v/>
      </c>
      <c r="AS137">
        <f>IF(AP137="YES",IF(SUM(N(X137),N(Y137),N(Z137))&gt;0,"TQQQ","SOXL"),IF(AQ137="YES",IF(SUM(N(AA137),N(AB137),N(AC137))&gt;0,"SQQQ","SOXS"),""))</f>
        <v/>
      </c>
      <c r="AT137" s="23">
        <f>IF(AR137="WAIT","",IF(AS137="",1,0.6))</f>
        <v/>
      </c>
      <c r="AU137" s="23">
        <f>IF(AS137="",0,0.4)</f>
        <v/>
      </c>
      <c r="AV137">
        <f>IF(AR137="WAIT","WAIT",IF(AP137="YES","BULL",IF(AQ137="YES","BEAR","WAIT")))</f>
        <v/>
      </c>
      <c r="AW137">
        <f>IF(AR137="WAIT","Low",IF(OR(AND(AV137="BULL",ABS(SUM(N(X137),N(Y137),N(Z137)))&gt;=0.15),AND(AV137="BEAR",ABS(SUM(N(AA137),N(AB137),N(AC137)))&gt;=0.15)),"Strong",IF(OR(AND(AV137="BULL",ABS(SUM(N(X137),N(Y137),N(Z137)))&gt;=0.05),AND(AV137="BEAR",ABS(SUM(N(AA137),N(AB137),N(AC137)))&gt;=0.05)),"Moderate","Low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13" t="n"/>
      <c r="AF138" s="23">
        <f>IF(OR(AD138="",AD137=""),"",IF(AD137=0,"",(AD138/AD137)-1))</f>
        <v/>
      </c>
      <c r="AG138" s="23">
        <f>IF(ROW()&lt;7,"",IF(OR(AD138="",AD135=""),"",IF(AD135=0,"",(AD138/AD135)-1)))</f>
        <v/>
      </c>
      <c r="AH138" s="23">
        <f>IF(ROW()&lt;9,"",IF(OR(AD138="",AD133=""),"",IF(AD133=0,"",(AD138/AD133)-1)))</f>
        <v/>
      </c>
      <c r="AJ138" s="23">
        <f>IF(OR(AE138="",AE137=""),"",IF(AE137=0,"",(AE138/AE137)-1))</f>
        <v/>
      </c>
      <c r="AK138" s="23">
        <f>IF(ROW()&lt;7,"",IF(OR(AE138="",AE135=""),"",IF(AE135=0,"",(AE138/AE135)-1)))</f>
        <v/>
      </c>
      <c r="AL138" s="23">
        <f>IF(ROW()&lt;9,"",IF(OR(AE138="",AE133=""),"",IF(AE133=0,"",(AE138/AE133)-1)))</f>
        <v/>
      </c>
      <c r="AN138">
        <f>IF(OR(AG138="",AH138=""),"",IF(AND(AG138&gt;0,AH138&gt;0),"Bull",IF(AND(AG138&lt;0,AH138&lt;0),"Bear","Mixed")))</f>
        <v/>
      </c>
      <c r="AO138">
        <f>IF(OR(AK138="",AL138=""),"",IF(AND(AK138&gt;0,AL138&gt;0),"Bull",IF(AND(AK138&lt;0,AL138&lt;0),"Bear","Mixed")))</f>
        <v/>
      </c>
      <c r="AP138">
        <f>IF(OR(AN138="",AO138=""),"",IF(AND(AN138="Bull",AO138="Bull"),"YES","NO"))</f>
        <v/>
      </c>
      <c r="AQ138">
        <f>IF(OR(AN138="",AO138=""),"",IF(AND(AN138="Bear",AO138="Bear"),"YES","NO"))</f>
        <v/>
      </c>
      <c r="AR138">
        <f>IF(AP138="YES",IF(SUM(N(X138),N(Y138),N(Z138))&gt;0,"SOXL","TQQQ"),IF(AQ138="YES",IF(SUM(N(AA138),N(AB138),N(AC138))&gt;0,"SOXS","SQQQ"),"WAIT"))</f>
        <v/>
      </c>
      <c r="AS138">
        <f>IF(AP138="YES",IF(SUM(N(X138),N(Y138),N(Z138))&gt;0,"TQQQ","SOXL"),IF(AQ138="YES",IF(SUM(N(AA138),N(AB138),N(AC138))&gt;0,"SQQQ","SOXS"),""))</f>
        <v/>
      </c>
      <c r="AT138" s="23">
        <f>IF(AR138="WAIT","",IF(AS138="",1,0.6))</f>
        <v/>
      </c>
      <c r="AU138" s="23">
        <f>IF(AS138="",0,0.4)</f>
        <v/>
      </c>
      <c r="AV138">
        <f>IF(AR138="WAIT","WAIT",IF(AP138="YES","BULL",IF(AQ138="YES","BEAR","WAIT")))</f>
        <v/>
      </c>
      <c r="AW138">
        <f>IF(AR138="WAIT","Low",IF(OR(AND(AV138="BULL",ABS(SUM(N(X138),N(Y138),N(Z138)))&gt;=0.15),AND(AV138="BEAR",ABS(SUM(N(AA138),N(AB138),N(AC138)))&gt;=0.15)),"Strong",IF(OR(AND(AV138="BULL",ABS(SUM(N(X138),N(Y138),N(Z138)))&gt;=0.05),AND(AV138="BEAR",ABS(SUM(N(AA138),N(AB138),N(AC138)))&gt;=0.05)),"Moderate","Low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13" t="n"/>
      <c r="AF139" s="23">
        <f>IF(OR(AD139="",AD138=""),"",IF(AD138=0,"",(AD139/AD138)-1))</f>
        <v/>
      </c>
      <c r="AG139" s="23">
        <f>IF(ROW()&lt;7,"",IF(OR(AD139="",AD136=""),"",IF(AD136=0,"",(AD139/AD136)-1)))</f>
        <v/>
      </c>
      <c r="AH139" s="23">
        <f>IF(ROW()&lt;9,"",IF(OR(AD139="",AD134=""),"",IF(AD134=0,"",(AD139/AD134)-1)))</f>
        <v/>
      </c>
      <c r="AJ139" s="23">
        <f>IF(OR(AE139="",AE138=""),"",IF(AE138=0,"",(AE139/AE138)-1))</f>
        <v/>
      </c>
      <c r="AK139" s="23">
        <f>IF(ROW()&lt;7,"",IF(OR(AE139="",AE136=""),"",IF(AE136=0,"",(AE139/AE136)-1)))</f>
        <v/>
      </c>
      <c r="AL139" s="23">
        <f>IF(ROW()&lt;9,"",IF(OR(AE139="",AE134=""),"",IF(AE134=0,"",(AE139/AE134)-1)))</f>
        <v/>
      </c>
      <c r="AN139">
        <f>IF(OR(AG139="",AH139=""),"",IF(AND(AG139&gt;0,AH139&gt;0),"Bull",IF(AND(AG139&lt;0,AH139&lt;0),"Bear","Mixed")))</f>
        <v/>
      </c>
      <c r="AO139">
        <f>IF(OR(AK139="",AL139=""),"",IF(AND(AK139&gt;0,AL139&gt;0),"Bull",IF(AND(AK139&lt;0,AL139&lt;0),"Bear","Mixed")))</f>
        <v/>
      </c>
      <c r="AP139">
        <f>IF(OR(AN139="",AO139=""),"",IF(AND(AN139="Bull",AO139="Bull"),"YES","NO"))</f>
        <v/>
      </c>
      <c r="AQ139">
        <f>IF(OR(AN139="",AO139=""),"",IF(AND(AN139="Bear",AO139="Bear"),"YES","NO"))</f>
        <v/>
      </c>
      <c r="AR139">
        <f>IF(AP139="YES",IF(SUM(N(X139),N(Y139),N(Z139))&gt;0,"SOXL","TQQQ"),IF(AQ139="YES",IF(SUM(N(AA139),N(AB139),N(AC139))&gt;0,"SOXS","SQQQ"),"WAIT"))</f>
        <v/>
      </c>
      <c r="AS139">
        <f>IF(AP139="YES",IF(SUM(N(X139),N(Y139),N(Z139))&gt;0,"TQQQ","SOXL"),IF(AQ139="YES",IF(SUM(N(AA139),N(AB139),N(AC139))&gt;0,"SQQQ","SOXS"),""))</f>
        <v/>
      </c>
      <c r="AT139" s="23">
        <f>IF(AR139="WAIT","",IF(AS139="",1,0.6))</f>
        <v/>
      </c>
      <c r="AU139" s="23">
        <f>IF(AS139="",0,0.4)</f>
        <v/>
      </c>
      <c r="AV139">
        <f>IF(AR139="WAIT","WAIT",IF(AP139="YES","BULL",IF(AQ139="YES","BEAR","WAIT")))</f>
        <v/>
      </c>
      <c r="AW139">
        <f>IF(AR139="WAIT","Low",IF(OR(AND(AV139="BULL",ABS(SUM(N(X139),N(Y139),N(Z139)))&gt;=0.15),AND(AV139="BEAR",ABS(SUM(N(AA139),N(AB139),N(AC139)))&gt;=0.15)),"Strong",IF(OR(AND(AV139="BULL",ABS(SUM(N(X139),N(Y139),N(Z139)))&gt;=0.05),AND(AV139="BEAR",ABS(SUM(N(AA139),N(AB139),N(AC139)))&gt;=0.05)),"Moderate","Low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13" t="n"/>
      <c r="AF140" s="23">
        <f>IF(OR(AD140="",AD139=""),"",IF(AD139=0,"",(AD140/AD139)-1))</f>
        <v/>
      </c>
      <c r="AG140" s="23">
        <f>IF(ROW()&lt;7,"",IF(OR(AD140="",AD137=""),"",IF(AD137=0,"",(AD140/AD137)-1)))</f>
        <v/>
      </c>
      <c r="AH140" s="23">
        <f>IF(ROW()&lt;9,"",IF(OR(AD140="",AD135=""),"",IF(AD135=0,"",(AD140/AD135)-1)))</f>
        <v/>
      </c>
      <c r="AJ140" s="23">
        <f>IF(OR(AE140="",AE139=""),"",IF(AE139=0,"",(AE140/AE139)-1))</f>
        <v/>
      </c>
      <c r="AK140" s="23">
        <f>IF(ROW()&lt;7,"",IF(OR(AE140="",AE137=""),"",IF(AE137=0,"",(AE140/AE137)-1)))</f>
        <v/>
      </c>
      <c r="AL140" s="23">
        <f>IF(ROW()&lt;9,"",IF(OR(AE140="",AE135=""),"",IF(AE135=0,"",(AE140/AE135)-1)))</f>
        <v/>
      </c>
      <c r="AN140">
        <f>IF(OR(AG140="",AH140=""),"",IF(AND(AG140&gt;0,AH140&gt;0),"Bull",IF(AND(AG140&lt;0,AH140&lt;0),"Bear","Mixed")))</f>
        <v/>
      </c>
      <c r="AO140">
        <f>IF(OR(AK140="",AL140=""),"",IF(AND(AK140&gt;0,AL140&gt;0),"Bull",IF(AND(AK140&lt;0,AL140&lt;0),"Bear","Mixed")))</f>
        <v/>
      </c>
      <c r="AP140">
        <f>IF(OR(AN140="",AO140=""),"",IF(AND(AN140="Bull",AO140="Bull"),"YES","NO"))</f>
        <v/>
      </c>
      <c r="AQ140">
        <f>IF(OR(AN140="",AO140=""),"",IF(AND(AN140="Bear",AO140="Bear"),"YES","NO"))</f>
        <v/>
      </c>
      <c r="AR140">
        <f>IF(AP140="YES",IF(SUM(N(X140),N(Y140),N(Z140))&gt;0,"SOXL","TQQQ"),IF(AQ140="YES",IF(SUM(N(AA140),N(AB140),N(AC140))&gt;0,"SOXS","SQQQ"),"WAIT"))</f>
        <v/>
      </c>
      <c r="AS140">
        <f>IF(AP140="YES",IF(SUM(N(X140),N(Y140),N(Z140))&gt;0,"TQQQ","SOXL"),IF(AQ140="YES",IF(SUM(N(AA140),N(AB140),N(AC140))&gt;0,"SQQQ","SOXS"),""))</f>
        <v/>
      </c>
      <c r="AT140" s="23">
        <f>IF(AR140="WAIT","",IF(AS140="",1,0.6))</f>
        <v/>
      </c>
      <c r="AU140" s="23">
        <f>IF(AS140="",0,0.4)</f>
        <v/>
      </c>
      <c r="AV140">
        <f>IF(AR140="WAIT","WAIT",IF(AP140="YES","BULL",IF(AQ140="YES","BEAR","WAIT")))</f>
        <v/>
      </c>
      <c r="AW140">
        <f>IF(AR140="WAIT","Low",IF(OR(AND(AV140="BULL",ABS(SUM(N(X140),N(Y140),N(Z140)))&gt;=0.15),AND(AV140="BEAR",ABS(SUM(N(AA140),N(AB140),N(AC140)))&gt;=0.15)),"Strong",IF(OR(AND(AV140="BULL",ABS(SUM(N(X140),N(Y140),N(Z140)))&gt;=0.05),AND(AV140="BEAR",ABS(SUM(N(AA140),N(AB140),N(AC140)))&gt;=0.05)),"Moderate","Low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13" t="n"/>
      <c r="AF141" s="23">
        <f>IF(OR(AD141="",AD140=""),"",IF(AD140=0,"",(AD141/AD140)-1))</f>
        <v/>
      </c>
      <c r="AG141" s="23">
        <f>IF(ROW()&lt;7,"",IF(OR(AD141="",AD138=""),"",IF(AD138=0,"",(AD141/AD138)-1)))</f>
        <v/>
      </c>
      <c r="AH141" s="23">
        <f>IF(ROW()&lt;9,"",IF(OR(AD141="",AD136=""),"",IF(AD136=0,"",(AD141/AD136)-1)))</f>
        <v/>
      </c>
      <c r="AJ141" s="23">
        <f>IF(OR(AE141="",AE140=""),"",IF(AE140=0,"",(AE141/AE140)-1))</f>
        <v/>
      </c>
      <c r="AK141" s="23">
        <f>IF(ROW()&lt;7,"",IF(OR(AE141="",AE138=""),"",IF(AE138=0,"",(AE141/AE138)-1)))</f>
        <v/>
      </c>
      <c r="AL141" s="23">
        <f>IF(ROW()&lt;9,"",IF(OR(AE141="",AE136=""),"",IF(AE136=0,"",(AE141/AE136)-1)))</f>
        <v/>
      </c>
      <c r="AN141">
        <f>IF(OR(AG141="",AH141=""),"",IF(AND(AG141&gt;0,AH141&gt;0),"Bull",IF(AND(AG141&lt;0,AH141&lt;0),"Bear","Mixed")))</f>
        <v/>
      </c>
      <c r="AO141">
        <f>IF(OR(AK141="",AL141=""),"",IF(AND(AK141&gt;0,AL141&gt;0),"Bull",IF(AND(AK141&lt;0,AL141&lt;0),"Bear","Mixed")))</f>
        <v/>
      </c>
      <c r="AP141">
        <f>IF(OR(AN141="",AO141=""),"",IF(AND(AN141="Bull",AO141="Bull"),"YES","NO"))</f>
        <v/>
      </c>
      <c r="AQ141">
        <f>IF(OR(AN141="",AO141=""),"",IF(AND(AN141="Bear",AO141="Bear"),"YES","NO"))</f>
        <v/>
      </c>
      <c r="AR141">
        <f>IF(AP141="YES",IF(SUM(N(X141),N(Y141),N(Z141))&gt;0,"SOXL","TQQQ"),IF(AQ141="YES",IF(SUM(N(AA141),N(AB141),N(AC141))&gt;0,"SOXS","SQQQ"),"WAIT"))</f>
        <v/>
      </c>
      <c r="AS141">
        <f>IF(AP141="YES",IF(SUM(N(X141),N(Y141),N(Z141))&gt;0,"TQQQ","SOXL"),IF(AQ141="YES",IF(SUM(N(AA141),N(AB141),N(AC141))&gt;0,"SQQQ","SOXS"),""))</f>
        <v/>
      </c>
      <c r="AT141" s="23">
        <f>IF(AR141="WAIT","",IF(AS141="",1,0.6))</f>
        <v/>
      </c>
      <c r="AU141" s="23">
        <f>IF(AS141="",0,0.4)</f>
        <v/>
      </c>
      <c r="AV141">
        <f>IF(AR141="WAIT","WAIT",IF(AP141="YES","BULL",IF(AQ141="YES","BEAR","WAIT")))</f>
        <v/>
      </c>
      <c r="AW141">
        <f>IF(AR141="WAIT","Low",IF(OR(AND(AV141="BULL",ABS(SUM(N(X141),N(Y141),N(Z141)))&gt;=0.15),AND(AV141="BEAR",ABS(SUM(N(AA141),N(AB141),N(AC141)))&gt;=0.15)),"Strong",IF(OR(AND(AV141="BULL",ABS(SUM(N(X141),N(Y141),N(Z141)))&gt;=0.05),AND(AV141="BEAR",ABS(SUM(N(AA141),N(AB141),N(AC141)))&gt;=0.05)),"Moderate","Low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13" t="n"/>
      <c r="AF142" s="23">
        <f>IF(OR(AD142="",AD141=""),"",IF(AD141=0,"",(AD142/AD141)-1))</f>
        <v/>
      </c>
      <c r="AG142" s="23">
        <f>IF(ROW()&lt;7,"",IF(OR(AD142="",AD139=""),"",IF(AD139=0,"",(AD142/AD139)-1)))</f>
        <v/>
      </c>
      <c r="AH142" s="23">
        <f>IF(ROW()&lt;9,"",IF(OR(AD142="",AD137=""),"",IF(AD137=0,"",(AD142/AD137)-1)))</f>
        <v/>
      </c>
      <c r="AJ142" s="23">
        <f>IF(OR(AE142="",AE141=""),"",IF(AE141=0,"",(AE142/AE141)-1))</f>
        <v/>
      </c>
      <c r="AK142" s="23">
        <f>IF(ROW()&lt;7,"",IF(OR(AE142="",AE139=""),"",IF(AE139=0,"",(AE142/AE139)-1)))</f>
        <v/>
      </c>
      <c r="AL142" s="23">
        <f>IF(ROW()&lt;9,"",IF(OR(AE142="",AE137=""),"",IF(AE137=0,"",(AE142/AE137)-1)))</f>
        <v/>
      </c>
      <c r="AN142">
        <f>IF(OR(AG142="",AH142=""),"",IF(AND(AG142&gt;0,AH142&gt;0),"Bull",IF(AND(AG142&lt;0,AH142&lt;0),"Bear","Mixed")))</f>
        <v/>
      </c>
      <c r="AO142">
        <f>IF(OR(AK142="",AL142=""),"",IF(AND(AK142&gt;0,AL142&gt;0),"Bull",IF(AND(AK142&lt;0,AL142&lt;0),"Bear","Mixed")))</f>
        <v/>
      </c>
      <c r="AP142">
        <f>IF(OR(AN142="",AO142=""),"",IF(AND(AN142="Bull",AO142="Bull"),"YES","NO"))</f>
        <v/>
      </c>
      <c r="AQ142">
        <f>IF(OR(AN142="",AO142=""),"",IF(AND(AN142="Bear",AO142="Bear"),"YES","NO"))</f>
        <v/>
      </c>
      <c r="AR142">
        <f>IF(AP142="YES",IF(SUM(N(X142),N(Y142),N(Z142))&gt;0,"SOXL","TQQQ"),IF(AQ142="YES",IF(SUM(N(AA142),N(AB142),N(AC142))&gt;0,"SOXS","SQQQ"),"WAIT"))</f>
        <v/>
      </c>
      <c r="AS142">
        <f>IF(AP142="YES",IF(SUM(N(X142),N(Y142),N(Z142))&gt;0,"TQQQ","SOXL"),IF(AQ142="YES",IF(SUM(N(AA142),N(AB142),N(AC142))&gt;0,"SQQQ","SOXS"),""))</f>
        <v/>
      </c>
      <c r="AT142" s="23">
        <f>IF(AR142="WAIT","",IF(AS142="",1,0.6))</f>
        <v/>
      </c>
      <c r="AU142" s="23">
        <f>IF(AS142="",0,0.4)</f>
        <v/>
      </c>
      <c r="AV142">
        <f>IF(AR142="WAIT","WAIT",IF(AP142="YES","BULL",IF(AQ142="YES","BEAR","WAIT")))</f>
        <v/>
      </c>
      <c r="AW142">
        <f>IF(AR142="WAIT","Low",IF(OR(AND(AV142="BULL",ABS(SUM(N(X142),N(Y142),N(Z142)))&gt;=0.15),AND(AV142="BEAR",ABS(SUM(N(AA142),N(AB142),N(AC142)))&gt;=0.15)),"Strong",IF(OR(AND(AV142="BULL",ABS(SUM(N(X142),N(Y142),N(Z142)))&gt;=0.05),AND(AV142="BEAR",ABS(SUM(N(AA142),N(AB142),N(AC142)))&gt;=0.05)),"Moderate","Low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13" t="n"/>
      <c r="AF143" s="23">
        <f>IF(OR(AD143="",AD142=""),"",IF(AD142=0,"",(AD143/AD142)-1))</f>
        <v/>
      </c>
      <c r="AG143" s="23">
        <f>IF(ROW()&lt;7,"",IF(OR(AD143="",AD140=""),"",IF(AD140=0,"",(AD143/AD140)-1)))</f>
        <v/>
      </c>
      <c r="AH143" s="23">
        <f>IF(ROW()&lt;9,"",IF(OR(AD143="",AD138=""),"",IF(AD138=0,"",(AD143/AD138)-1)))</f>
        <v/>
      </c>
      <c r="AJ143" s="23">
        <f>IF(OR(AE143="",AE142=""),"",IF(AE142=0,"",(AE143/AE142)-1))</f>
        <v/>
      </c>
      <c r="AK143" s="23">
        <f>IF(ROW()&lt;7,"",IF(OR(AE143="",AE140=""),"",IF(AE140=0,"",(AE143/AE140)-1)))</f>
        <v/>
      </c>
      <c r="AL143" s="23">
        <f>IF(ROW()&lt;9,"",IF(OR(AE143="",AE138=""),"",IF(AE138=0,"",(AE143/AE138)-1)))</f>
        <v/>
      </c>
      <c r="AN143">
        <f>IF(OR(AG143="",AH143=""),"",IF(AND(AG143&gt;0,AH143&gt;0),"Bull",IF(AND(AG143&lt;0,AH143&lt;0),"Bear","Mixed")))</f>
        <v/>
      </c>
      <c r="AO143">
        <f>IF(OR(AK143="",AL143=""),"",IF(AND(AK143&gt;0,AL143&gt;0),"Bull",IF(AND(AK143&lt;0,AL143&lt;0),"Bear","Mixed")))</f>
        <v/>
      </c>
      <c r="AP143">
        <f>IF(OR(AN143="",AO143=""),"",IF(AND(AN143="Bull",AO143="Bull"),"YES","NO"))</f>
        <v/>
      </c>
      <c r="AQ143">
        <f>IF(OR(AN143="",AO143=""),"",IF(AND(AN143="Bear",AO143="Bear"),"YES","NO"))</f>
        <v/>
      </c>
      <c r="AR143">
        <f>IF(AP143="YES",IF(SUM(N(X143),N(Y143),N(Z143))&gt;0,"SOXL","TQQQ"),IF(AQ143="YES",IF(SUM(N(AA143),N(AB143),N(AC143))&gt;0,"SOXS","SQQQ"),"WAIT"))</f>
        <v/>
      </c>
      <c r="AS143">
        <f>IF(AP143="YES",IF(SUM(N(X143),N(Y143),N(Z143))&gt;0,"TQQQ","SOXL"),IF(AQ143="YES",IF(SUM(N(AA143),N(AB143),N(AC143))&gt;0,"SQQQ","SOXS"),""))</f>
        <v/>
      </c>
      <c r="AT143" s="23">
        <f>IF(AR143="WAIT","",IF(AS143="",1,0.6))</f>
        <v/>
      </c>
      <c r="AU143" s="23">
        <f>IF(AS143="",0,0.4)</f>
        <v/>
      </c>
      <c r="AV143">
        <f>IF(AR143="WAIT","WAIT",IF(AP143="YES","BULL",IF(AQ143="YES","BEAR","WAIT")))</f>
        <v/>
      </c>
      <c r="AW143">
        <f>IF(AR143="WAIT","Low",IF(OR(AND(AV143="BULL",ABS(SUM(N(X143),N(Y143),N(Z143)))&gt;=0.15),AND(AV143="BEAR",ABS(SUM(N(AA143),N(AB143),N(AC143)))&gt;=0.15)),"Strong",IF(OR(AND(AV143="BULL",ABS(SUM(N(X143),N(Y143),N(Z143)))&gt;=0.05),AND(AV143="BEAR",ABS(SUM(N(AA143),N(AB143),N(AC143)))&gt;=0.05)),"Moderate","Low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13" t="n"/>
      <c r="AF144" s="23">
        <f>IF(OR(AD144="",AD143=""),"",IF(AD143=0,"",(AD144/AD143)-1))</f>
        <v/>
      </c>
      <c r="AG144" s="23">
        <f>IF(ROW()&lt;7,"",IF(OR(AD144="",AD141=""),"",IF(AD141=0,"",(AD144/AD141)-1)))</f>
        <v/>
      </c>
      <c r="AH144" s="23">
        <f>IF(ROW()&lt;9,"",IF(OR(AD144="",AD139=""),"",IF(AD139=0,"",(AD144/AD139)-1)))</f>
        <v/>
      </c>
      <c r="AJ144" s="23">
        <f>IF(OR(AE144="",AE143=""),"",IF(AE143=0,"",(AE144/AE143)-1))</f>
        <v/>
      </c>
      <c r="AK144" s="23">
        <f>IF(ROW()&lt;7,"",IF(OR(AE144="",AE141=""),"",IF(AE141=0,"",(AE144/AE141)-1)))</f>
        <v/>
      </c>
      <c r="AL144" s="23">
        <f>IF(ROW()&lt;9,"",IF(OR(AE144="",AE139=""),"",IF(AE139=0,"",(AE144/AE139)-1)))</f>
        <v/>
      </c>
      <c r="AN144">
        <f>IF(OR(AG144="",AH144=""),"",IF(AND(AG144&gt;0,AH144&gt;0),"Bull",IF(AND(AG144&lt;0,AH144&lt;0),"Bear","Mixed")))</f>
        <v/>
      </c>
      <c r="AO144">
        <f>IF(OR(AK144="",AL144=""),"",IF(AND(AK144&gt;0,AL144&gt;0),"Bull",IF(AND(AK144&lt;0,AL144&lt;0),"Bear","Mixed")))</f>
        <v/>
      </c>
      <c r="AP144">
        <f>IF(OR(AN144="",AO144=""),"",IF(AND(AN144="Bull",AO144="Bull"),"YES","NO"))</f>
        <v/>
      </c>
      <c r="AQ144">
        <f>IF(OR(AN144="",AO144=""),"",IF(AND(AN144="Bear",AO144="Bear"),"YES","NO"))</f>
        <v/>
      </c>
      <c r="AR144">
        <f>IF(AP144="YES",IF(SUM(N(X144),N(Y144),N(Z144))&gt;0,"SOXL","TQQQ"),IF(AQ144="YES",IF(SUM(N(AA144),N(AB144),N(AC144))&gt;0,"SOXS","SQQQ"),"WAIT"))</f>
        <v/>
      </c>
      <c r="AS144">
        <f>IF(AP144="YES",IF(SUM(N(X144),N(Y144),N(Z144))&gt;0,"TQQQ","SOXL"),IF(AQ144="YES",IF(SUM(N(AA144),N(AB144),N(AC144))&gt;0,"SQQQ","SOXS"),""))</f>
        <v/>
      </c>
      <c r="AT144" s="23">
        <f>IF(AR144="WAIT","",IF(AS144="",1,0.6))</f>
        <v/>
      </c>
      <c r="AU144" s="23">
        <f>IF(AS144="",0,0.4)</f>
        <v/>
      </c>
      <c r="AV144">
        <f>IF(AR144="WAIT","WAIT",IF(AP144="YES","BULL",IF(AQ144="YES","BEAR","WAIT")))</f>
        <v/>
      </c>
      <c r="AW144">
        <f>IF(AR144="WAIT","Low",IF(OR(AND(AV144="BULL",ABS(SUM(N(X144),N(Y144),N(Z144)))&gt;=0.15),AND(AV144="BEAR",ABS(SUM(N(AA144),N(AB144),N(AC144)))&gt;=0.15)),"Strong",IF(OR(AND(AV144="BULL",ABS(SUM(N(X144),N(Y144),N(Z144)))&gt;=0.05),AND(AV144="BEAR",ABS(SUM(N(AA144),N(AB144),N(AC144)))&gt;=0.05)),"Moderate","Low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13" t="n"/>
      <c r="AF145" s="23">
        <f>IF(OR(AD145="",AD144=""),"",IF(AD144=0,"",(AD145/AD144)-1))</f>
        <v/>
      </c>
      <c r="AG145" s="23">
        <f>IF(ROW()&lt;7,"",IF(OR(AD145="",AD142=""),"",IF(AD142=0,"",(AD145/AD142)-1)))</f>
        <v/>
      </c>
      <c r="AH145" s="23">
        <f>IF(ROW()&lt;9,"",IF(OR(AD145="",AD140=""),"",IF(AD140=0,"",(AD145/AD140)-1)))</f>
        <v/>
      </c>
      <c r="AJ145" s="23">
        <f>IF(OR(AE145="",AE144=""),"",IF(AE144=0,"",(AE145/AE144)-1))</f>
        <v/>
      </c>
      <c r="AK145" s="23">
        <f>IF(ROW()&lt;7,"",IF(OR(AE145="",AE142=""),"",IF(AE142=0,"",(AE145/AE142)-1)))</f>
        <v/>
      </c>
      <c r="AL145" s="23">
        <f>IF(ROW()&lt;9,"",IF(OR(AE145="",AE140=""),"",IF(AE140=0,"",(AE145/AE140)-1)))</f>
        <v/>
      </c>
      <c r="AN145">
        <f>IF(OR(AG145="",AH145=""),"",IF(AND(AG145&gt;0,AH145&gt;0),"Bull",IF(AND(AG145&lt;0,AH145&lt;0),"Bear","Mixed")))</f>
        <v/>
      </c>
      <c r="AO145">
        <f>IF(OR(AK145="",AL145=""),"",IF(AND(AK145&gt;0,AL145&gt;0),"Bull",IF(AND(AK145&lt;0,AL145&lt;0),"Bear","Mixed")))</f>
        <v/>
      </c>
      <c r="AP145">
        <f>IF(OR(AN145="",AO145=""),"",IF(AND(AN145="Bull",AO145="Bull"),"YES","NO"))</f>
        <v/>
      </c>
      <c r="AQ145">
        <f>IF(OR(AN145="",AO145=""),"",IF(AND(AN145="Bear",AO145="Bear"),"YES","NO"))</f>
        <v/>
      </c>
      <c r="AR145">
        <f>IF(AP145="YES",IF(SUM(N(X145),N(Y145),N(Z145))&gt;0,"SOXL","TQQQ"),IF(AQ145="YES",IF(SUM(N(AA145),N(AB145),N(AC145))&gt;0,"SOXS","SQQQ"),"WAIT"))</f>
        <v/>
      </c>
      <c r="AS145">
        <f>IF(AP145="YES",IF(SUM(N(X145),N(Y145),N(Z145))&gt;0,"TQQQ","SOXL"),IF(AQ145="YES",IF(SUM(N(AA145),N(AB145),N(AC145))&gt;0,"SQQQ","SOXS"),""))</f>
        <v/>
      </c>
      <c r="AT145" s="23">
        <f>IF(AR145="WAIT","",IF(AS145="",1,0.6))</f>
        <v/>
      </c>
      <c r="AU145" s="23">
        <f>IF(AS145="",0,0.4)</f>
        <v/>
      </c>
      <c r="AV145">
        <f>IF(AR145="WAIT","WAIT",IF(AP145="YES","BULL",IF(AQ145="YES","BEAR","WAIT")))</f>
        <v/>
      </c>
      <c r="AW145">
        <f>IF(AR145="WAIT","Low",IF(OR(AND(AV145="BULL",ABS(SUM(N(X145),N(Y145),N(Z145)))&gt;=0.15),AND(AV145="BEAR",ABS(SUM(N(AA145),N(AB145),N(AC145)))&gt;=0.15)),"Strong",IF(OR(AND(AV145="BULL",ABS(SUM(N(X145),N(Y145),N(Z145)))&gt;=0.05),AND(AV145="BEAR",ABS(SUM(N(AA145),N(AB145),N(AC145)))&gt;=0.05)),"Moderate","Low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13" t="n"/>
      <c r="AF146" s="23">
        <f>IF(OR(AD146="",AD145=""),"",IF(AD145=0,"",(AD146/AD145)-1))</f>
        <v/>
      </c>
      <c r="AG146" s="23">
        <f>IF(ROW()&lt;7,"",IF(OR(AD146="",AD143=""),"",IF(AD143=0,"",(AD146/AD143)-1)))</f>
        <v/>
      </c>
      <c r="AH146" s="23">
        <f>IF(ROW()&lt;9,"",IF(OR(AD146="",AD141=""),"",IF(AD141=0,"",(AD146/AD141)-1)))</f>
        <v/>
      </c>
      <c r="AJ146" s="23">
        <f>IF(OR(AE146="",AE145=""),"",IF(AE145=0,"",(AE146/AE145)-1))</f>
        <v/>
      </c>
      <c r="AK146" s="23">
        <f>IF(ROW()&lt;7,"",IF(OR(AE146="",AE143=""),"",IF(AE143=0,"",(AE146/AE143)-1)))</f>
        <v/>
      </c>
      <c r="AL146" s="23">
        <f>IF(ROW()&lt;9,"",IF(OR(AE146="",AE141=""),"",IF(AE141=0,"",(AE146/AE141)-1)))</f>
        <v/>
      </c>
      <c r="AN146">
        <f>IF(OR(AG146="",AH146=""),"",IF(AND(AG146&gt;0,AH146&gt;0),"Bull",IF(AND(AG146&lt;0,AH146&lt;0),"Bear","Mixed")))</f>
        <v/>
      </c>
      <c r="AO146">
        <f>IF(OR(AK146="",AL146=""),"",IF(AND(AK146&gt;0,AL146&gt;0),"Bull",IF(AND(AK146&lt;0,AL146&lt;0),"Bear","Mixed")))</f>
        <v/>
      </c>
      <c r="AP146">
        <f>IF(OR(AN146="",AO146=""),"",IF(AND(AN146="Bull",AO146="Bull"),"YES","NO"))</f>
        <v/>
      </c>
      <c r="AQ146">
        <f>IF(OR(AN146="",AO146=""),"",IF(AND(AN146="Bear",AO146="Bear"),"YES","NO"))</f>
        <v/>
      </c>
      <c r="AR146">
        <f>IF(AP146="YES",IF(SUM(N(X146),N(Y146),N(Z146))&gt;0,"SOXL","TQQQ"),IF(AQ146="YES",IF(SUM(N(AA146),N(AB146),N(AC146))&gt;0,"SOXS","SQQQ"),"WAIT"))</f>
        <v/>
      </c>
      <c r="AS146">
        <f>IF(AP146="YES",IF(SUM(N(X146),N(Y146),N(Z146))&gt;0,"TQQQ","SOXL"),IF(AQ146="YES",IF(SUM(N(AA146),N(AB146),N(AC146))&gt;0,"SQQQ","SOXS"),""))</f>
        <v/>
      </c>
      <c r="AT146" s="23">
        <f>IF(AR146="WAIT","",IF(AS146="",1,0.6))</f>
        <v/>
      </c>
      <c r="AU146" s="23">
        <f>IF(AS146="",0,0.4)</f>
        <v/>
      </c>
      <c r="AV146">
        <f>IF(AR146="WAIT","WAIT",IF(AP146="YES","BULL",IF(AQ146="YES","BEAR","WAIT")))</f>
        <v/>
      </c>
      <c r="AW146">
        <f>IF(AR146="WAIT","Low",IF(OR(AND(AV146="BULL",ABS(SUM(N(X146),N(Y146),N(Z146)))&gt;=0.15),AND(AV146="BEAR",ABS(SUM(N(AA146),N(AB146),N(AC146)))&gt;=0.15)),"Strong",IF(OR(AND(AV146="BULL",ABS(SUM(N(X146),N(Y146),N(Z146)))&gt;=0.05),AND(AV146="BEAR",ABS(SUM(N(AA146),N(AB146),N(AC146)))&gt;=0.05)),"Moderate","Low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13" t="n"/>
      <c r="AF147" s="23">
        <f>IF(OR(AD147="",AD146=""),"",IF(AD146=0,"",(AD147/AD146)-1))</f>
        <v/>
      </c>
      <c r="AG147" s="23">
        <f>IF(ROW()&lt;7,"",IF(OR(AD147="",AD144=""),"",IF(AD144=0,"",(AD147/AD144)-1)))</f>
        <v/>
      </c>
      <c r="AH147" s="23">
        <f>IF(ROW()&lt;9,"",IF(OR(AD147="",AD142=""),"",IF(AD142=0,"",(AD147/AD142)-1)))</f>
        <v/>
      </c>
      <c r="AJ147" s="23">
        <f>IF(OR(AE147="",AE146=""),"",IF(AE146=0,"",(AE147/AE146)-1))</f>
        <v/>
      </c>
      <c r="AK147" s="23">
        <f>IF(ROW()&lt;7,"",IF(OR(AE147="",AE144=""),"",IF(AE144=0,"",(AE147/AE144)-1)))</f>
        <v/>
      </c>
      <c r="AL147" s="23">
        <f>IF(ROW()&lt;9,"",IF(OR(AE147="",AE142=""),"",IF(AE142=0,"",(AE147/AE142)-1)))</f>
        <v/>
      </c>
      <c r="AN147">
        <f>IF(OR(AG147="",AH147=""),"",IF(AND(AG147&gt;0,AH147&gt;0),"Bull",IF(AND(AG147&lt;0,AH147&lt;0),"Bear","Mixed")))</f>
        <v/>
      </c>
      <c r="AO147">
        <f>IF(OR(AK147="",AL147=""),"",IF(AND(AK147&gt;0,AL147&gt;0),"Bull",IF(AND(AK147&lt;0,AL147&lt;0),"Bear","Mixed")))</f>
        <v/>
      </c>
      <c r="AP147">
        <f>IF(OR(AN147="",AO147=""),"",IF(AND(AN147="Bull",AO147="Bull"),"YES","NO"))</f>
        <v/>
      </c>
      <c r="AQ147">
        <f>IF(OR(AN147="",AO147=""),"",IF(AND(AN147="Bear",AO147="Bear"),"YES","NO"))</f>
        <v/>
      </c>
      <c r="AR147">
        <f>IF(AP147="YES",IF(SUM(N(X147),N(Y147),N(Z147))&gt;0,"SOXL","TQQQ"),IF(AQ147="YES",IF(SUM(N(AA147),N(AB147),N(AC147))&gt;0,"SOXS","SQQQ"),"WAIT"))</f>
        <v/>
      </c>
      <c r="AS147">
        <f>IF(AP147="YES",IF(SUM(N(X147),N(Y147),N(Z147))&gt;0,"TQQQ","SOXL"),IF(AQ147="YES",IF(SUM(N(AA147),N(AB147),N(AC147))&gt;0,"SQQQ","SOXS"),""))</f>
        <v/>
      </c>
      <c r="AT147" s="23">
        <f>IF(AR147="WAIT","",IF(AS147="",1,0.6))</f>
        <v/>
      </c>
      <c r="AU147" s="23">
        <f>IF(AS147="",0,0.4)</f>
        <v/>
      </c>
      <c r="AV147">
        <f>IF(AR147="WAIT","WAIT",IF(AP147="YES","BULL",IF(AQ147="YES","BEAR","WAIT")))</f>
        <v/>
      </c>
      <c r="AW147">
        <f>IF(AR147="WAIT","Low",IF(OR(AND(AV147="BULL",ABS(SUM(N(X147),N(Y147),N(Z147)))&gt;=0.15),AND(AV147="BEAR",ABS(SUM(N(AA147),N(AB147),N(AC147)))&gt;=0.15)),"Strong",IF(OR(AND(AV147="BULL",ABS(SUM(N(X147),N(Y147),N(Z147)))&gt;=0.05),AND(AV147="BEAR",ABS(SUM(N(AA147),N(AB147),N(AC147)))&gt;=0.05)),"Moderate","Low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13" t="n"/>
      <c r="AF148" s="23">
        <f>IF(OR(AD148="",AD147=""),"",IF(AD147=0,"",(AD148/AD147)-1))</f>
        <v/>
      </c>
      <c r="AG148" s="23">
        <f>IF(ROW()&lt;7,"",IF(OR(AD148="",AD145=""),"",IF(AD145=0,"",(AD148/AD145)-1)))</f>
        <v/>
      </c>
      <c r="AH148" s="23">
        <f>IF(ROW()&lt;9,"",IF(OR(AD148="",AD143=""),"",IF(AD143=0,"",(AD148/AD143)-1)))</f>
        <v/>
      </c>
      <c r="AJ148" s="23">
        <f>IF(OR(AE148="",AE147=""),"",IF(AE147=0,"",(AE148/AE147)-1))</f>
        <v/>
      </c>
      <c r="AK148" s="23">
        <f>IF(ROW()&lt;7,"",IF(OR(AE148="",AE145=""),"",IF(AE145=0,"",(AE148/AE145)-1)))</f>
        <v/>
      </c>
      <c r="AL148" s="23">
        <f>IF(ROW()&lt;9,"",IF(OR(AE148="",AE143=""),"",IF(AE143=0,"",(AE148/AE143)-1)))</f>
        <v/>
      </c>
      <c r="AN148">
        <f>IF(OR(AG148="",AH148=""),"",IF(AND(AG148&gt;0,AH148&gt;0),"Bull",IF(AND(AG148&lt;0,AH148&lt;0),"Bear","Mixed")))</f>
        <v/>
      </c>
      <c r="AO148">
        <f>IF(OR(AK148="",AL148=""),"",IF(AND(AK148&gt;0,AL148&gt;0),"Bull",IF(AND(AK148&lt;0,AL148&lt;0),"Bear","Mixed")))</f>
        <v/>
      </c>
      <c r="AP148">
        <f>IF(OR(AN148="",AO148=""),"",IF(AND(AN148="Bull",AO148="Bull"),"YES","NO"))</f>
        <v/>
      </c>
      <c r="AQ148">
        <f>IF(OR(AN148="",AO148=""),"",IF(AND(AN148="Bear",AO148="Bear"),"YES","NO"))</f>
        <v/>
      </c>
      <c r="AR148">
        <f>IF(AP148="YES",IF(SUM(N(X148),N(Y148),N(Z148))&gt;0,"SOXL","TQQQ"),IF(AQ148="YES",IF(SUM(N(AA148),N(AB148),N(AC148))&gt;0,"SOXS","SQQQ"),"WAIT"))</f>
        <v/>
      </c>
      <c r="AS148">
        <f>IF(AP148="YES",IF(SUM(N(X148),N(Y148),N(Z148))&gt;0,"TQQQ","SOXL"),IF(AQ148="YES",IF(SUM(N(AA148),N(AB148),N(AC148))&gt;0,"SQQQ","SOXS"),""))</f>
        <v/>
      </c>
      <c r="AT148" s="23">
        <f>IF(AR148="WAIT","",IF(AS148="",1,0.6))</f>
        <v/>
      </c>
      <c r="AU148" s="23">
        <f>IF(AS148="",0,0.4)</f>
        <v/>
      </c>
      <c r="AV148">
        <f>IF(AR148="WAIT","WAIT",IF(AP148="YES","BULL",IF(AQ148="YES","BEAR","WAIT")))</f>
        <v/>
      </c>
      <c r="AW148">
        <f>IF(AR148="WAIT","Low",IF(OR(AND(AV148="BULL",ABS(SUM(N(X148),N(Y148),N(Z148)))&gt;=0.15),AND(AV148="BEAR",ABS(SUM(N(AA148),N(AB148),N(AC148)))&gt;=0.15)),"Strong",IF(OR(AND(AV148="BULL",ABS(SUM(N(X148),N(Y148),N(Z148)))&gt;=0.05),AND(AV148="BEAR",ABS(SUM(N(AA148),N(AB148),N(AC148)))&gt;=0.05)),"Moderate","Low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13" t="n"/>
      <c r="AF149" s="23">
        <f>IF(OR(AD149="",AD148=""),"",IF(AD148=0,"",(AD149/AD148)-1))</f>
        <v/>
      </c>
      <c r="AG149" s="23">
        <f>IF(ROW()&lt;7,"",IF(OR(AD149="",AD146=""),"",IF(AD146=0,"",(AD149/AD146)-1)))</f>
        <v/>
      </c>
      <c r="AH149" s="23">
        <f>IF(ROW()&lt;9,"",IF(OR(AD149="",AD144=""),"",IF(AD144=0,"",(AD149/AD144)-1)))</f>
        <v/>
      </c>
      <c r="AJ149" s="23">
        <f>IF(OR(AE149="",AE148=""),"",IF(AE148=0,"",(AE149/AE148)-1))</f>
        <v/>
      </c>
      <c r="AK149" s="23">
        <f>IF(ROW()&lt;7,"",IF(OR(AE149="",AE146=""),"",IF(AE146=0,"",(AE149/AE146)-1)))</f>
        <v/>
      </c>
      <c r="AL149" s="23">
        <f>IF(ROW()&lt;9,"",IF(OR(AE149="",AE144=""),"",IF(AE144=0,"",(AE149/AE144)-1)))</f>
        <v/>
      </c>
      <c r="AN149">
        <f>IF(OR(AG149="",AH149=""),"",IF(AND(AG149&gt;0,AH149&gt;0),"Bull",IF(AND(AG149&lt;0,AH149&lt;0),"Bear","Mixed")))</f>
        <v/>
      </c>
      <c r="AO149">
        <f>IF(OR(AK149="",AL149=""),"",IF(AND(AK149&gt;0,AL149&gt;0),"Bull",IF(AND(AK149&lt;0,AL149&lt;0),"Bear","Mixed")))</f>
        <v/>
      </c>
      <c r="AP149">
        <f>IF(OR(AN149="",AO149=""),"",IF(AND(AN149="Bull",AO149="Bull"),"YES","NO"))</f>
        <v/>
      </c>
      <c r="AQ149">
        <f>IF(OR(AN149="",AO149=""),"",IF(AND(AN149="Bear",AO149="Bear"),"YES","NO"))</f>
        <v/>
      </c>
      <c r="AR149">
        <f>IF(AP149="YES",IF(SUM(N(X149),N(Y149),N(Z149))&gt;0,"SOXL","TQQQ"),IF(AQ149="YES",IF(SUM(N(AA149),N(AB149),N(AC149))&gt;0,"SOXS","SQQQ"),"WAIT"))</f>
        <v/>
      </c>
      <c r="AS149">
        <f>IF(AP149="YES",IF(SUM(N(X149),N(Y149),N(Z149))&gt;0,"TQQQ","SOXL"),IF(AQ149="YES",IF(SUM(N(AA149),N(AB149),N(AC149))&gt;0,"SQQQ","SOXS"),""))</f>
        <v/>
      </c>
      <c r="AT149" s="23">
        <f>IF(AR149="WAIT","",IF(AS149="",1,0.6))</f>
        <v/>
      </c>
      <c r="AU149" s="23">
        <f>IF(AS149="",0,0.4)</f>
        <v/>
      </c>
      <c r="AV149">
        <f>IF(AR149="WAIT","WAIT",IF(AP149="YES","BULL",IF(AQ149="YES","BEAR","WAIT")))</f>
        <v/>
      </c>
      <c r="AW149">
        <f>IF(AR149="WAIT","Low",IF(OR(AND(AV149="BULL",ABS(SUM(N(X149),N(Y149),N(Z149)))&gt;=0.15),AND(AV149="BEAR",ABS(SUM(N(AA149),N(AB149),N(AC149)))&gt;=0.15)),"Strong",IF(OR(AND(AV149="BULL",ABS(SUM(N(X149),N(Y149),N(Z149)))&gt;=0.05),AND(AV149="BEAR",ABS(SUM(N(AA149),N(AB149),N(AC149)))&gt;=0.05)),"Moderate","Low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13" t="n"/>
      <c r="AF150" s="23">
        <f>IF(OR(AD150="",AD149=""),"",IF(AD149=0,"",(AD150/AD149)-1))</f>
        <v/>
      </c>
      <c r="AG150" s="23">
        <f>IF(ROW()&lt;7,"",IF(OR(AD150="",AD147=""),"",IF(AD147=0,"",(AD150/AD147)-1)))</f>
        <v/>
      </c>
      <c r="AH150" s="23">
        <f>IF(ROW()&lt;9,"",IF(OR(AD150="",AD145=""),"",IF(AD145=0,"",(AD150/AD145)-1)))</f>
        <v/>
      </c>
      <c r="AJ150" s="23">
        <f>IF(OR(AE150="",AE149=""),"",IF(AE149=0,"",(AE150/AE149)-1))</f>
        <v/>
      </c>
      <c r="AK150" s="23">
        <f>IF(ROW()&lt;7,"",IF(OR(AE150="",AE147=""),"",IF(AE147=0,"",(AE150/AE147)-1)))</f>
        <v/>
      </c>
      <c r="AL150" s="23">
        <f>IF(ROW()&lt;9,"",IF(OR(AE150="",AE145=""),"",IF(AE145=0,"",(AE150/AE145)-1)))</f>
        <v/>
      </c>
      <c r="AN150">
        <f>IF(OR(AG150="",AH150=""),"",IF(AND(AG150&gt;0,AH150&gt;0),"Bull",IF(AND(AG150&lt;0,AH150&lt;0),"Bear","Mixed")))</f>
        <v/>
      </c>
      <c r="AO150">
        <f>IF(OR(AK150="",AL150=""),"",IF(AND(AK150&gt;0,AL150&gt;0),"Bull",IF(AND(AK150&lt;0,AL150&lt;0),"Bear","Mixed")))</f>
        <v/>
      </c>
      <c r="AP150">
        <f>IF(OR(AN150="",AO150=""),"",IF(AND(AN150="Bull",AO150="Bull"),"YES","NO"))</f>
        <v/>
      </c>
      <c r="AQ150">
        <f>IF(OR(AN150="",AO150=""),"",IF(AND(AN150="Bear",AO150="Bear"),"YES","NO"))</f>
        <v/>
      </c>
      <c r="AR150">
        <f>IF(AP150="YES",IF(SUM(N(X150),N(Y150),N(Z150))&gt;0,"SOXL","TQQQ"),IF(AQ150="YES",IF(SUM(N(AA150),N(AB150),N(AC150))&gt;0,"SOXS","SQQQ"),"WAIT"))</f>
        <v/>
      </c>
      <c r="AS150">
        <f>IF(AP150="YES",IF(SUM(N(X150),N(Y150),N(Z150))&gt;0,"TQQQ","SOXL"),IF(AQ150="YES",IF(SUM(N(AA150),N(AB150),N(AC150))&gt;0,"SQQQ","SOXS"),""))</f>
        <v/>
      </c>
      <c r="AT150" s="23">
        <f>IF(AR150="WAIT","",IF(AS150="",1,0.6))</f>
        <v/>
      </c>
      <c r="AU150" s="23">
        <f>IF(AS150="",0,0.4)</f>
        <v/>
      </c>
      <c r="AV150">
        <f>IF(AR150="WAIT","WAIT",IF(AP150="YES","BULL",IF(AQ150="YES","BEAR","WAIT")))</f>
        <v/>
      </c>
      <c r="AW150">
        <f>IF(AR150="WAIT","Low",IF(OR(AND(AV150="BULL",ABS(SUM(N(X150),N(Y150),N(Z150)))&gt;=0.15),AND(AV150="BEAR",ABS(SUM(N(AA150),N(AB150),N(AC150)))&gt;=0.15)),"Strong",IF(OR(AND(AV150="BULL",ABS(SUM(N(X150),N(Y150),N(Z150)))&gt;=0.05),AND(AV150="BEAR",ABS(SUM(N(AA150),N(AB150),N(AC150)))&gt;=0.05)),"Moderate","Low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13" t="n"/>
      <c r="AF151" s="23">
        <f>IF(OR(AD151="",AD150=""),"",IF(AD150=0,"",(AD151/AD150)-1))</f>
        <v/>
      </c>
      <c r="AG151" s="23">
        <f>IF(ROW()&lt;7,"",IF(OR(AD151="",AD148=""),"",IF(AD148=0,"",(AD151/AD148)-1)))</f>
        <v/>
      </c>
      <c r="AH151" s="23">
        <f>IF(ROW()&lt;9,"",IF(OR(AD151="",AD146=""),"",IF(AD146=0,"",(AD151/AD146)-1)))</f>
        <v/>
      </c>
      <c r="AJ151" s="23">
        <f>IF(OR(AE151="",AE150=""),"",IF(AE150=0,"",(AE151/AE150)-1))</f>
        <v/>
      </c>
      <c r="AK151" s="23">
        <f>IF(ROW()&lt;7,"",IF(OR(AE151="",AE148=""),"",IF(AE148=0,"",(AE151/AE148)-1)))</f>
        <v/>
      </c>
      <c r="AL151" s="23">
        <f>IF(ROW()&lt;9,"",IF(OR(AE151="",AE146=""),"",IF(AE146=0,"",(AE151/AE146)-1)))</f>
        <v/>
      </c>
      <c r="AN151">
        <f>IF(OR(AG151="",AH151=""),"",IF(AND(AG151&gt;0,AH151&gt;0),"Bull",IF(AND(AG151&lt;0,AH151&lt;0),"Bear","Mixed")))</f>
        <v/>
      </c>
      <c r="AO151">
        <f>IF(OR(AK151="",AL151=""),"",IF(AND(AK151&gt;0,AL151&gt;0),"Bull",IF(AND(AK151&lt;0,AL151&lt;0),"Bear","Mixed")))</f>
        <v/>
      </c>
      <c r="AP151">
        <f>IF(OR(AN151="",AO151=""),"",IF(AND(AN151="Bull",AO151="Bull"),"YES","NO"))</f>
        <v/>
      </c>
      <c r="AQ151">
        <f>IF(OR(AN151="",AO151=""),"",IF(AND(AN151="Bear",AO151="Bear"),"YES","NO"))</f>
        <v/>
      </c>
      <c r="AR151">
        <f>IF(AP151="YES",IF(SUM(N(X151),N(Y151),N(Z151))&gt;0,"SOXL","TQQQ"),IF(AQ151="YES",IF(SUM(N(AA151),N(AB151),N(AC151))&gt;0,"SOXS","SQQQ"),"WAIT"))</f>
        <v/>
      </c>
      <c r="AS151">
        <f>IF(AP151="YES",IF(SUM(N(X151),N(Y151),N(Z151))&gt;0,"TQQQ","SOXL"),IF(AQ151="YES",IF(SUM(N(AA151),N(AB151),N(AC151))&gt;0,"SQQQ","SOXS"),""))</f>
        <v/>
      </c>
      <c r="AT151" s="23">
        <f>IF(AR151="WAIT","",IF(AS151="",1,0.6))</f>
        <v/>
      </c>
      <c r="AU151" s="23">
        <f>IF(AS151="",0,0.4)</f>
        <v/>
      </c>
      <c r="AV151">
        <f>IF(AR151="WAIT","WAIT",IF(AP151="YES","BULL",IF(AQ151="YES","BEAR","WAIT")))</f>
        <v/>
      </c>
      <c r="AW151">
        <f>IF(AR151="WAIT","Low",IF(OR(AND(AV151="BULL",ABS(SUM(N(X151),N(Y151),N(Z151)))&gt;=0.15),AND(AV151="BEAR",ABS(SUM(N(AA151),N(AB151),N(AC151)))&gt;=0.15)),"Strong",IF(OR(AND(AV151="BULL",ABS(SUM(N(X151),N(Y151),N(Z151)))&gt;=0.05),AND(AV151="BEAR",ABS(SUM(N(AA151),N(AB151),N(AC151)))&gt;=0.05)),"Moderate","Low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13" t="n"/>
      <c r="AF152" s="23">
        <f>IF(OR(AD152="",AD151=""),"",IF(AD151=0,"",(AD152/AD151)-1))</f>
        <v/>
      </c>
      <c r="AG152" s="23">
        <f>IF(ROW()&lt;7,"",IF(OR(AD152="",AD149=""),"",IF(AD149=0,"",(AD152/AD149)-1)))</f>
        <v/>
      </c>
      <c r="AH152" s="23">
        <f>IF(ROW()&lt;9,"",IF(OR(AD152="",AD147=""),"",IF(AD147=0,"",(AD152/AD147)-1)))</f>
        <v/>
      </c>
      <c r="AJ152" s="23">
        <f>IF(OR(AE152="",AE151=""),"",IF(AE151=0,"",(AE152/AE151)-1))</f>
        <v/>
      </c>
      <c r="AK152" s="23">
        <f>IF(ROW()&lt;7,"",IF(OR(AE152="",AE149=""),"",IF(AE149=0,"",(AE152/AE149)-1)))</f>
        <v/>
      </c>
      <c r="AL152" s="23">
        <f>IF(ROW()&lt;9,"",IF(OR(AE152="",AE147=""),"",IF(AE147=0,"",(AE152/AE147)-1)))</f>
        <v/>
      </c>
      <c r="AN152">
        <f>IF(OR(AG152="",AH152=""),"",IF(AND(AG152&gt;0,AH152&gt;0),"Bull",IF(AND(AG152&lt;0,AH152&lt;0),"Bear","Mixed")))</f>
        <v/>
      </c>
      <c r="AO152">
        <f>IF(OR(AK152="",AL152=""),"",IF(AND(AK152&gt;0,AL152&gt;0),"Bull",IF(AND(AK152&lt;0,AL152&lt;0),"Bear","Mixed")))</f>
        <v/>
      </c>
      <c r="AP152">
        <f>IF(OR(AN152="",AO152=""),"",IF(AND(AN152="Bull",AO152="Bull"),"YES","NO"))</f>
        <v/>
      </c>
      <c r="AQ152">
        <f>IF(OR(AN152="",AO152=""),"",IF(AND(AN152="Bear",AO152="Bear"),"YES","NO"))</f>
        <v/>
      </c>
      <c r="AR152">
        <f>IF(AP152="YES",IF(SUM(N(X152),N(Y152),N(Z152))&gt;0,"SOXL","TQQQ"),IF(AQ152="YES",IF(SUM(N(AA152),N(AB152),N(AC152))&gt;0,"SOXS","SQQQ"),"WAIT"))</f>
        <v/>
      </c>
      <c r="AS152">
        <f>IF(AP152="YES",IF(SUM(N(X152),N(Y152),N(Z152))&gt;0,"TQQQ","SOXL"),IF(AQ152="YES",IF(SUM(N(AA152),N(AB152),N(AC152))&gt;0,"SQQQ","SOXS"),""))</f>
        <v/>
      </c>
      <c r="AT152" s="23">
        <f>IF(AR152="WAIT","",IF(AS152="",1,0.6))</f>
        <v/>
      </c>
      <c r="AU152" s="23">
        <f>IF(AS152="",0,0.4)</f>
        <v/>
      </c>
      <c r="AV152">
        <f>IF(AR152="WAIT","WAIT",IF(AP152="YES","BULL",IF(AQ152="YES","BEAR","WAIT")))</f>
        <v/>
      </c>
      <c r="AW152">
        <f>IF(AR152="WAIT","Low",IF(OR(AND(AV152="BULL",ABS(SUM(N(X152),N(Y152),N(Z152)))&gt;=0.15),AND(AV152="BEAR",ABS(SUM(N(AA152),N(AB152),N(AC152)))&gt;=0.15)),"Strong",IF(OR(AND(AV152="BULL",ABS(SUM(N(X152),N(Y152),N(Z152)))&gt;=0.05),AND(AV152="BEAR",ABS(SUM(N(AA152),N(AB152),N(AC152)))&gt;=0.05)),"Moderate","Low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13" t="n"/>
      <c r="AF153" s="23">
        <f>IF(OR(AD153="",AD152=""),"",IF(AD152=0,"",(AD153/AD152)-1))</f>
        <v/>
      </c>
      <c r="AG153" s="23">
        <f>IF(ROW()&lt;7,"",IF(OR(AD153="",AD150=""),"",IF(AD150=0,"",(AD153/AD150)-1)))</f>
        <v/>
      </c>
      <c r="AH153" s="23">
        <f>IF(ROW()&lt;9,"",IF(OR(AD153="",AD148=""),"",IF(AD148=0,"",(AD153/AD148)-1)))</f>
        <v/>
      </c>
      <c r="AJ153" s="23">
        <f>IF(OR(AE153="",AE152=""),"",IF(AE152=0,"",(AE153/AE152)-1))</f>
        <v/>
      </c>
      <c r="AK153" s="23">
        <f>IF(ROW()&lt;7,"",IF(OR(AE153="",AE150=""),"",IF(AE150=0,"",(AE153/AE150)-1)))</f>
        <v/>
      </c>
      <c r="AL153" s="23">
        <f>IF(ROW()&lt;9,"",IF(OR(AE153="",AE148=""),"",IF(AE148=0,"",(AE153/AE148)-1)))</f>
        <v/>
      </c>
      <c r="AN153">
        <f>IF(OR(AG153="",AH153=""),"",IF(AND(AG153&gt;0,AH153&gt;0),"Bull",IF(AND(AG153&lt;0,AH153&lt;0),"Bear","Mixed")))</f>
        <v/>
      </c>
      <c r="AO153">
        <f>IF(OR(AK153="",AL153=""),"",IF(AND(AK153&gt;0,AL153&gt;0),"Bull",IF(AND(AK153&lt;0,AL153&lt;0),"Bear","Mixed")))</f>
        <v/>
      </c>
      <c r="AP153">
        <f>IF(OR(AN153="",AO153=""),"",IF(AND(AN153="Bull",AO153="Bull"),"YES","NO"))</f>
        <v/>
      </c>
      <c r="AQ153">
        <f>IF(OR(AN153="",AO153=""),"",IF(AND(AN153="Bear",AO153="Bear"),"YES","NO"))</f>
        <v/>
      </c>
      <c r="AR153">
        <f>IF(AP153="YES",IF(SUM(N(X153),N(Y153),N(Z153))&gt;0,"SOXL","TQQQ"),IF(AQ153="YES",IF(SUM(N(AA153),N(AB153),N(AC153))&gt;0,"SOXS","SQQQ"),"WAIT"))</f>
        <v/>
      </c>
      <c r="AS153">
        <f>IF(AP153="YES",IF(SUM(N(X153),N(Y153),N(Z153))&gt;0,"TQQQ","SOXL"),IF(AQ153="YES",IF(SUM(N(AA153),N(AB153),N(AC153))&gt;0,"SQQQ","SOXS"),""))</f>
        <v/>
      </c>
      <c r="AT153" s="23">
        <f>IF(AR153="WAIT","",IF(AS153="",1,0.6))</f>
        <v/>
      </c>
      <c r="AU153" s="23">
        <f>IF(AS153="",0,0.4)</f>
        <v/>
      </c>
      <c r="AV153">
        <f>IF(AR153="WAIT","WAIT",IF(AP153="YES","BULL",IF(AQ153="YES","BEAR","WAIT")))</f>
        <v/>
      </c>
      <c r="AW153">
        <f>IF(AR153="WAIT","Low",IF(OR(AND(AV153="BULL",ABS(SUM(N(X153),N(Y153),N(Z153)))&gt;=0.15),AND(AV153="BEAR",ABS(SUM(N(AA153),N(AB153),N(AC153)))&gt;=0.15)),"Strong",IF(OR(AND(AV153="BULL",ABS(SUM(N(X153),N(Y153),N(Z153)))&gt;=0.05),AND(AV153="BEAR",ABS(SUM(N(AA153),N(AB153),N(AC153)))&gt;=0.05)),"Moderate","Low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13" t="n"/>
      <c r="AF154" s="23">
        <f>IF(OR(AD154="",AD153=""),"",IF(AD153=0,"",(AD154/AD153)-1))</f>
        <v/>
      </c>
      <c r="AG154" s="23">
        <f>IF(ROW()&lt;7,"",IF(OR(AD154="",AD151=""),"",IF(AD151=0,"",(AD154/AD151)-1)))</f>
        <v/>
      </c>
      <c r="AH154" s="23">
        <f>IF(ROW()&lt;9,"",IF(OR(AD154="",AD149=""),"",IF(AD149=0,"",(AD154/AD149)-1)))</f>
        <v/>
      </c>
      <c r="AJ154" s="23">
        <f>IF(OR(AE154="",AE153=""),"",IF(AE153=0,"",(AE154/AE153)-1))</f>
        <v/>
      </c>
      <c r="AK154" s="23">
        <f>IF(ROW()&lt;7,"",IF(OR(AE154="",AE151=""),"",IF(AE151=0,"",(AE154/AE151)-1)))</f>
        <v/>
      </c>
      <c r="AL154" s="23">
        <f>IF(ROW()&lt;9,"",IF(OR(AE154="",AE149=""),"",IF(AE149=0,"",(AE154/AE149)-1)))</f>
        <v/>
      </c>
      <c r="AN154">
        <f>IF(OR(AG154="",AH154=""),"",IF(AND(AG154&gt;0,AH154&gt;0),"Bull",IF(AND(AG154&lt;0,AH154&lt;0),"Bear","Mixed")))</f>
        <v/>
      </c>
      <c r="AO154">
        <f>IF(OR(AK154="",AL154=""),"",IF(AND(AK154&gt;0,AL154&gt;0),"Bull",IF(AND(AK154&lt;0,AL154&lt;0),"Bear","Mixed")))</f>
        <v/>
      </c>
      <c r="AP154">
        <f>IF(OR(AN154="",AO154=""),"",IF(AND(AN154="Bull",AO154="Bull"),"YES","NO"))</f>
        <v/>
      </c>
      <c r="AQ154">
        <f>IF(OR(AN154="",AO154=""),"",IF(AND(AN154="Bear",AO154="Bear"),"YES","NO"))</f>
        <v/>
      </c>
      <c r="AR154">
        <f>IF(AP154="YES",IF(SUM(N(X154),N(Y154),N(Z154))&gt;0,"SOXL","TQQQ"),IF(AQ154="YES",IF(SUM(N(AA154),N(AB154),N(AC154))&gt;0,"SOXS","SQQQ"),"WAIT"))</f>
        <v/>
      </c>
      <c r="AS154">
        <f>IF(AP154="YES",IF(SUM(N(X154),N(Y154),N(Z154))&gt;0,"TQQQ","SOXL"),IF(AQ154="YES",IF(SUM(N(AA154),N(AB154),N(AC154))&gt;0,"SQQQ","SOXS"),""))</f>
        <v/>
      </c>
      <c r="AT154" s="23">
        <f>IF(AR154="WAIT","",IF(AS154="",1,0.6))</f>
        <v/>
      </c>
      <c r="AU154" s="23">
        <f>IF(AS154="",0,0.4)</f>
        <v/>
      </c>
      <c r="AV154">
        <f>IF(AR154="WAIT","WAIT",IF(AP154="YES","BULL",IF(AQ154="YES","BEAR","WAIT")))</f>
        <v/>
      </c>
      <c r="AW154">
        <f>IF(AR154="WAIT","Low",IF(OR(AND(AV154="BULL",ABS(SUM(N(X154),N(Y154),N(Z154)))&gt;=0.15),AND(AV154="BEAR",ABS(SUM(N(AA154),N(AB154),N(AC154)))&gt;=0.15)),"Strong",IF(OR(AND(AV154="BULL",ABS(SUM(N(X154),N(Y154),N(Z154)))&gt;=0.05),AND(AV154="BEAR",ABS(SUM(N(AA154),N(AB154),N(AC154)))&gt;=0.05)),"Moderate","Low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13" t="n"/>
      <c r="AF155" s="23">
        <f>IF(OR(AD155="",AD154=""),"",IF(AD154=0,"",(AD155/AD154)-1))</f>
        <v/>
      </c>
      <c r="AG155" s="23">
        <f>IF(ROW()&lt;7,"",IF(OR(AD155="",AD152=""),"",IF(AD152=0,"",(AD155/AD152)-1)))</f>
        <v/>
      </c>
      <c r="AH155" s="23">
        <f>IF(ROW()&lt;9,"",IF(OR(AD155="",AD150=""),"",IF(AD150=0,"",(AD155/AD150)-1)))</f>
        <v/>
      </c>
      <c r="AJ155" s="23">
        <f>IF(OR(AE155="",AE154=""),"",IF(AE154=0,"",(AE155/AE154)-1))</f>
        <v/>
      </c>
      <c r="AK155" s="23">
        <f>IF(ROW()&lt;7,"",IF(OR(AE155="",AE152=""),"",IF(AE152=0,"",(AE155/AE152)-1)))</f>
        <v/>
      </c>
      <c r="AL155" s="23">
        <f>IF(ROW()&lt;9,"",IF(OR(AE155="",AE150=""),"",IF(AE150=0,"",(AE155/AE150)-1)))</f>
        <v/>
      </c>
      <c r="AN155">
        <f>IF(OR(AG155="",AH155=""),"",IF(AND(AG155&gt;0,AH155&gt;0),"Bull",IF(AND(AG155&lt;0,AH155&lt;0),"Bear","Mixed")))</f>
        <v/>
      </c>
      <c r="AO155">
        <f>IF(OR(AK155="",AL155=""),"",IF(AND(AK155&gt;0,AL155&gt;0),"Bull",IF(AND(AK155&lt;0,AL155&lt;0),"Bear","Mixed")))</f>
        <v/>
      </c>
      <c r="AP155">
        <f>IF(OR(AN155="",AO155=""),"",IF(AND(AN155="Bull",AO155="Bull"),"YES","NO"))</f>
        <v/>
      </c>
      <c r="AQ155">
        <f>IF(OR(AN155="",AO155=""),"",IF(AND(AN155="Bear",AO155="Bear"),"YES","NO"))</f>
        <v/>
      </c>
      <c r="AR155">
        <f>IF(AP155="YES",IF(SUM(N(X155),N(Y155),N(Z155))&gt;0,"SOXL","TQQQ"),IF(AQ155="YES",IF(SUM(N(AA155),N(AB155),N(AC155))&gt;0,"SOXS","SQQQ"),"WAIT"))</f>
        <v/>
      </c>
      <c r="AS155">
        <f>IF(AP155="YES",IF(SUM(N(X155),N(Y155),N(Z155))&gt;0,"TQQQ","SOXL"),IF(AQ155="YES",IF(SUM(N(AA155),N(AB155),N(AC155))&gt;0,"SQQQ","SOXS"),""))</f>
        <v/>
      </c>
      <c r="AT155" s="23">
        <f>IF(AR155="WAIT","",IF(AS155="",1,0.6))</f>
        <v/>
      </c>
      <c r="AU155" s="23">
        <f>IF(AS155="",0,0.4)</f>
        <v/>
      </c>
      <c r="AV155">
        <f>IF(AR155="WAIT","WAIT",IF(AP155="YES","BULL",IF(AQ155="YES","BEAR","WAIT")))</f>
        <v/>
      </c>
      <c r="AW155">
        <f>IF(AR155="WAIT","Low",IF(OR(AND(AV155="BULL",ABS(SUM(N(X155),N(Y155),N(Z155)))&gt;=0.15),AND(AV155="BEAR",ABS(SUM(N(AA155),N(AB155),N(AC155)))&gt;=0.15)),"Strong",IF(OR(AND(AV155="BULL",ABS(SUM(N(X155),N(Y155),N(Z155)))&gt;=0.05),AND(AV155="BEAR",ABS(SUM(N(AA155),N(AB155),N(AC155)))&gt;=0.05)),"Moderate","Low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13" t="n"/>
      <c r="AF156" s="23">
        <f>IF(OR(AD156="",AD155=""),"",IF(AD155=0,"",(AD156/AD155)-1))</f>
        <v/>
      </c>
      <c r="AG156" s="23">
        <f>IF(ROW()&lt;7,"",IF(OR(AD156="",AD153=""),"",IF(AD153=0,"",(AD156/AD153)-1)))</f>
        <v/>
      </c>
      <c r="AH156" s="23">
        <f>IF(ROW()&lt;9,"",IF(OR(AD156="",AD151=""),"",IF(AD151=0,"",(AD156/AD151)-1)))</f>
        <v/>
      </c>
      <c r="AJ156" s="23">
        <f>IF(OR(AE156="",AE155=""),"",IF(AE155=0,"",(AE156/AE155)-1))</f>
        <v/>
      </c>
      <c r="AK156" s="23">
        <f>IF(ROW()&lt;7,"",IF(OR(AE156="",AE153=""),"",IF(AE153=0,"",(AE156/AE153)-1)))</f>
        <v/>
      </c>
      <c r="AL156" s="23">
        <f>IF(ROW()&lt;9,"",IF(OR(AE156="",AE151=""),"",IF(AE151=0,"",(AE156/AE151)-1)))</f>
        <v/>
      </c>
      <c r="AN156">
        <f>IF(OR(AG156="",AH156=""),"",IF(AND(AG156&gt;0,AH156&gt;0),"Bull",IF(AND(AG156&lt;0,AH156&lt;0),"Bear","Mixed")))</f>
        <v/>
      </c>
      <c r="AO156">
        <f>IF(OR(AK156="",AL156=""),"",IF(AND(AK156&gt;0,AL156&gt;0),"Bull",IF(AND(AK156&lt;0,AL156&lt;0),"Bear","Mixed")))</f>
        <v/>
      </c>
      <c r="AP156">
        <f>IF(OR(AN156="",AO156=""),"",IF(AND(AN156="Bull",AO156="Bull"),"YES","NO"))</f>
        <v/>
      </c>
      <c r="AQ156">
        <f>IF(OR(AN156="",AO156=""),"",IF(AND(AN156="Bear",AO156="Bear"),"YES","NO"))</f>
        <v/>
      </c>
      <c r="AR156">
        <f>IF(AP156="YES",IF(SUM(N(X156),N(Y156),N(Z156))&gt;0,"SOXL","TQQQ"),IF(AQ156="YES",IF(SUM(N(AA156),N(AB156),N(AC156))&gt;0,"SOXS","SQQQ"),"WAIT"))</f>
        <v/>
      </c>
      <c r="AS156">
        <f>IF(AP156="YES",IF(SUM(N(X156),N(Y156),N(Z156))&gt;0,"TQQQ","SOXL"),IF(AQ156="YES",IF(SUM(N(AA156),N(AB156),N(AC156))&gt;0,"SQQQ","SOXS"),""))</f>
        <v/>
      </c>
      <c r="AT156" s="23">
        <f>IF(AR156="WAIT","",IF(AS156="",1,0.6))</f>
        <v/>
      </c>
      <c r="AU156" s="23">
        <f>IF(AS156="",0,0.4)</f>
        <v/>
      </c>
      <c r="AV156">
        <f>IF(AR156="WAIT","WAIT",IF(AP156="YES","BULL",IF(AQ156="YES","BEAR","WAIT")))</f>
        <v/>
      </c>
      <c r="AW156">
        <f>IF(AR156="WAIT","Low",IF(OR(AND(AV156="BULL",ABS(SUM(N(X156),N(Y156),N(Z156)))&gt;=0.15),AND(AV156="BEAR",ABS(SUM(N(AA156),N(AB156),N(AC156)))&gt;=0.15)),"Strong",IF(OR(AND(AV156="BULL",ABS(SUM(N(X156),N(Y156),N(Z156)))&gt;=0.05),AND(AV156="BEAR",ABS(SUM(N(AA156),N(AB156),N(AC156)))&gt;=0.05)),"Moderate","Low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13" t="n"/>
      <c r="AF157" s="23">
        <f>IF(OR(AD157="",AD156=""),"",IF(AD156=0,"",(AD157/AD156)-1))</f>
        <v/>
      </c>
      <c r="AG157" s="23">
        <f>IF(ROW()&lt;7,"",IF(OR(AD157="",AD154=""),"",IF(AD154=0,"",(AD157/AD154)-1)))</f>
        <v/>
      </c>
      <c r="AH157" s="23">
        <f>IF(ROW()&lt;9,"",IF(OR(AD157="",AD152=""),"",IF(AD152=0,"",(AD157/AD152)-1)))</f>
        <v/>
      </c>
      <c r="AJ157" s="23">
        <f>IF(OR(AE157="",AE156=""),"",IF(AE156=0,"",(AE157/AE156)-1))</f>
        <v/>
      </c>
      <c r="AK157" s="23">
        <f>IF(ROW()&lt;7,"",IF(OR(AE157="",AE154=""),"",IF(AE154=0,"",(AE157/AE154)-1)))</f>
        <v/>
      </c>
      <c r="AL157" s="23">
        <f>IF(ROW()&lt;9,"",IF(OR(AE157="",AE152=""),"",IF(AE152=0,"",(AE157/AE152)-1)))</f>
        <v/>
      </c>
      <c r="AN157">
        <f>IF(OR(AG157="",AH157=""),"",IF(AND(AG157&gt;0,AH157&gt;0),"Bull",IF(AND(AG157&lt;0,AH157&lt;0),"Bear","Mixed")))</f>
        <v/>
      </c>
      <c r="AO157">
        <f>IF(OR(AK157="",AL157=""),"",IF(AND(AK157&gt;0,AL157&gt;0),"Bull",IF(AND(AK157&lt;0,AL157&lt;0),"Bear","Mixed")))</f>
        <v/>
      </c>
      <c r="AP157">
        <f>IF(OR(AN157="",AO157=""),"",IF(AND(AN157="Bull",AO157="Bull"),"YES","NO"))</f>
        <v/>
      </c>
      <c r="AQ157">
        <f>IF(OR(AN157="",AO157=""),"",IF(AND(AN157="Bear",AO157="Bear"),"YES","NO"))</f>
        <v/>
      </c>
      <c r="AR157">
        <f>IF(AP157="YES",IF(SUM(N(X157),N(Y157),N(Z157))&gt;0,"SOXL","TQQQ"),IF(AQ157="YES",IF(SUM(N(AA157),N(AB157),N(AC157))&gt;0,"SOXS","SQQQ"),"WAIT"))</f>
        <v/>
      </c>
      <c r="AS157">
        <f>IF(AP157="YES",IF(SUM(N(X157),N(Y157),N(Z157))&gt;0,"TQQQ","SOXL"),IF(AQ157="YES",IF(SUM(N(AA157),N(AB157),N(AC157))&gt;0,"SQQQ","SOXS"),""))</f>
        <v/>
      </c>
      <c r="AT157" s="23">
        <f>IF(AR157="WAIT","",IF(AS157="",1,0.6))</f>
        <v/>
      </c>
      <c r="AU157" s="23">
        <f>IF(AS157="",0,0.4)</f>
        <v/>
      </c>
      <c r="AV157">
        <f>IF(AR157="WAIT","WAIT",IF(AP157="YES","BULL",IF(AQ157="YES","BEAR","WAIT")))</f>
        <v/>
      </c>
      <c r="AW157">
        <f>IF(AR157="WAIT","Low",IF(OR(AND(AV157="BULL",ABS(SUM(N(X157),N(Y157),N(Z157)))&gt;=0.15),AND(AV157="BEAR",ABS(SUM(N(AA157),N(AB157),N(AC157)))&gt;=0.15)),"Strong",IF(OR(AND(AV157="BULL",ABS(SUM(N(X157),N(Y157),N(Z157)))&gt;=0.05),AND(AV157="BEAR",ABS(SUM(N(AA157),N(AB157),N(AC157)))&gt;=0.05)),"Moderate","Low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13" t="n"/>
      <c r="AF158" s="23">
        <f>IF(OR(AD158="",AD157=""),"",IF(AD157=0,"",(AD158/AD157)-1))</f>
        <v/>
      </c>
      <c r="AG158" s="23">
        <f>IF(ROW()&lt;7,"",IF(OR(AD158="",AD155=""),"",IF(AD155=0,"",(AD158/AD155)-1)))</f>
        <v/>
      </c>
      <c r="AH158" s="23">
        <f>IF(ROW()&lt;9,"",IF(OR(AD158="",AD153=""),"",IF(AD153=0,"",(AD158/AD153)-1)))</f>
        <v/>
      </c>
      <c r="AJ158" s="23">
        <f>IF(OR(AE158="",AE157=""),"",IF(AE157=0,"",(AE158/AE157)-1))</f>
        <v/>
      </c>
      <c r="AK158" s="23">
        <f>IF(ROW()&lt;7,"",IF(OR(AE158="",AE155=""),"",IF(AE155=0,"",(AE158/AE155)-1)))</f>
        <v/>
      </c>
      <c r="AL158" s="23">
        <f>IF(ROW()&lt;9,"",IF(OR(AE158="",AE153=""),"",IF(AE153=0,"",(AE158/AE153)-1)))</f>
        <v/>
      </c>
      <c r="AN158">
        <f>IF(OR(AG158="",AH158=""),"",IF(AND(AG158&gt;0,AH158&gt;0),"Bull",IF(AND(AG158&lt;0,AH158&lt;0),"Bear","Mixed")))</f>
        <v/>
      </c>
      <c r="AO158">
        <f>IF(OR(AK158="",AL158=""),"",IF(AND(AK158&gt;0,AL158&gt;0),"Bull",IF(AND(AK158&lt;0,AL158&lt;0),"Bear","Mixed")))</f>
        <v/>
      </c>
      <c r="AP158">
        <f>IF(OR(AN158="",AO158=""),"",IF(AND(AN158="Bull",AO158="Bull"),"YES","NO"))</f>
        <v/>
      </c>
      <c r="AQ158">
        <f>IF(OR(AN158="",AO158=""),"",IF(AND(AN158="Bear",AO158="Bear"),"YES","NO"))</f>
        <v/>
      </c>
      <c r="AR158">
        <f>IF(AP158="YES",IF(SUM(N(X158),N(Y158),N(Z158))&gt;0,"SOXL","TQQQ"),IF(AQ158="YES",IF(SUM(N(AA158),N(AB158),N(AC158))&gt;0,"SOXS","SQQQ"),"WAIT"))</f>
        <v/>
      </c>
      <c r="AS158">
        <f>IF(AP158="YES",IF(SUM(N(X158),N(Y158),N(Z158))&gt;0,"TQQQ","SOXL"),IF(AQ158="YES",IF(SUM(N(AA158),N(AB158),N(AC158))&gt;0,"SQQQ","SOXS"),""))</f>
        <v/>
      </c>
      <c r="AT158" s="23">
        <f>IF(AR158="WAIT","",IF(AS158="",1,0.6))</f>
        <v/>
      </c>
      <c r="AU158" s="23">
        <f>IF(AS158="",0,0.4)</f>
        <v/>
      </c>
      <c r="AV158">
        <f>IF(AR158="WAIT","WAIT",IF(AP158="YES","BULL",IF(AQ158="YES","BEAR","WAIT")))</f>
        <v/>
      </c>
      <c r="AW158">
        <f>IF(AR158="WAIT","Low",IF(OR(AND(AV158="BULL",ABS(SUM(N(X158),N(Y158),N(Z158)))&gt;=0.15),AND(AV158="BEAR",ABS(SUM(N(AA158),N(AB158),N(AC158)))&gt;=0.15)),"Strong",IF(OR(AND(AV158="BULL",ABS(SUM(N(X158),N(Y158),N(Z158)))&gt;=0.05),AND(AV158="BEAR",ABS(SUM(N(AA158),N(AB158),N(AC158)))&gt;=0.05)),"Moderate","Low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13" t="n"/>
      <c r="AF159" s="23">
        <f>IF(OR(AD159="",AD158=""),"",IF(AD158=0,"",(AD159/AD158)-1))</f>
        <v/>
      </c>
      <c r="AG159" s="23">
        <f>IF(ROW()&lt;7,"",IF(OR(AD159="",AD156=""),"",IF(AD156=0,"",(AD159/AD156)-1)))</f>
        <v/>
      </c>
      <c r="AH159" s="23">
        <f>IF(ROW()&lt;9,"",IF(OR(AD159="",AD154=""),"",IF(AD154=0,"",(AD159/AD154)-1)))</f>
        <v/>
      </c>
      <c r="AJ159" s="23">
        <f>IF(OR(AE159="",AE158=""),"",IF(AE158=0,"",(AE159/AE158)-1))</f>
        <v/>
      </c>
      <c r="AK159" s="23">
        <f>IF(ROW()&lt;7,"",IF(OR(AE159="",AE156=""),"",IF(AE156=0,"",(AE159/AE156)-1)))</f>
        <v/>
      </c>
      <c r="AL159" s="23">
        <f>IF(ROW()&lt;9,"",IF(OR(AE159="",AE154=""),"",IF(AE154=0,"",(AE159/AE154)-1)))</f>
        <v/>
      </c>
      <c r="AN159">
        <f>IF(OR(AG159="",AH159=""),"",IF(AND(AG159&gt;0,AH159&gt;0),"Bull",IF(AND(AG159&lt;0,AH159&lt;0),"Bear","Mixed")))</f>
        <v/>
      </c>
      <c r="AO159">
        <f>IF(OR(AK159="",AL159=""),"",IF(AND(AK159&gt;0,AL159&gt;0),"Bull",IF(AND(AK159&lt;0,AL159&lt;0),"Bear","Mixed")))</f>
        <v/>
      </c>
      <c r="AP159">
        <f>IF(OR(AN159="",AO159=""),"",IF(AND(AN159="Bull",AO159="Bull"),"YES","NO"))</f>
        <v/>
      </c>
      <c r="AQ159">
        <f>IF(OR(AN159="",AO159=""),"",IF(AND(AN159="Bear",AO159="Bear"),"YES","NO"))</f>
        <v/>
      </c>
      <c r="AR159">
        <f>IF(AP159="YES",IF(SUM(N(X159),N(Y159),N(Z159))&gt;0,"SOXL","TQQQ"),IF(AQ159="YES",IF(SUM(N(AA159),N(AB159),N(AC159))&gt;0,"SOXS","SQQQ"),"WAIT"))</f>
        <v/>
      </c>
      <c r="AS159">
        <f>IF(AP159="YES",IF(SUM(N(X159),N(Y159),N(Z159))&gt;0,"TQQQ","SOXL"),IF(AQ159="YES",IF(SUM(N(AA159),N(AB159),N(AC159))&gt;0,"SQQQ","SOXS"),""))</f>
        <v/>
      </c>
      <c r="AT159" s="23">
        <f>IF(AR159="WAIT","",IF(AS159="",1,0.6))</f>
        <v/>
      </c>
      <c r="AU159" s="23">
        <f>IF(AS159="",0,0.4)</f>
        <v/>
      </c>
      <c r="AV159">
        <f>IF(AR159="WAIT","WAIT",IF(AP159="YES","BULL",IF(AQ159="YES","BEAR","WAIT")))</f>
        <v/>
      </c>
      <c r="AW159">
        <f>IF(AR159="WAIT","Low",IF(OR(AND(AV159="BULL",ABS(SUM(N(X159),N(Y159),N(Z159)))&gt;=0.15),AND(AV159="BEAR",ABS(SUM(N(AA159),N(AB159),N(AC159)))&gt;=0.15)),"Strong",IF(OR(AND(AV159="BULL",ABS(SUM(N(X159),N(Y159),N(Z159)))&gt;=0.05),AND(AV159="BEAR",ABS(SUM(N(AA159),N(AB159),N(AC159)))&gt;=0.05)),"Moderate","Low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13" t="n"/>
      <c r="AF160" s="23">
        <f>IF(OR(AD160="",AD159=""),"",IF(AD159=0,"",(AD160/AD159)-1))</f>
        <v/>
      </c>
      <c r="AG160" s="23">
        <f>IF(ROW()&lt;7,"",IF(OR(AD160="",AD157=""),"",IF(AD157=0,"",(AD160/AD157)-1)))</f>
        <v/>
      </c>
      <c r="AH160" s="23">
        <f>IF(ROW()&lt;9,"",IF(OR(AD160="",AD155=""),"",IF(AD155=0,"",(AD160/AD155)-1)))</f>
        <v/>
      </c>
      <c r="AJ160" s="23">
        <f>IF(OR(AE160="",AE159=""),"",IF(AE159=0,"",(AE160/AE159)-1))</f>
        <v/>
      </c>
      <c r="AK160" s="23">
        <f>IF(ROW()&lt;7,"",IF(OR(AE160="",AE157=""),"",IF(AE157=0,"",(AE160/AE157)-1)))</f>
        <v/>
      </c>
      <c r="AL160" s="23">
        <f>IF(ROW()&lt;9,"",IF(OR(AE160="",AE155=""),"",IF(AE155=0,"",(AE160/AE155)-1)))</f>
        <v/>
      </c>
      <c r="AN160">
        <f>IF(OR(AG160="",AH160=""),"",IF(AND(AG160&gt;0,AH160&gt;0),"Bull",IF(AND(AG160&lt;0,AH160&lt;0),"Bear","Mixed")))</f>
        <v/>
      </c>
      <c r="AO160">
        <f>IF(OR(AK160="",AL160=""),"",IF(AND(AK160&gt;0,AL160&gt;0),"Bull",IF(AND(AK160&lt;0,AL160&lt;0),"Bear","Mixed")))</f>
        <v/>
      </c>
      <c r="AP160">
        <f>IF(OR(AN160="",AO160=""),"",IF(AND(AN160="Bull",AO160="Bull"),"YES","NO"))</f>
        <v/>
      </c>
      <c r="AQ160">
        <f>IF(OR(AN160="",AO160=""),"",IF(AND(AN160="Bear",AO160="Bear"),"YES","NO"))</f>
        <v/>
      </c>
      <c r="AR160">
        <f>IF(AP160="YES",IF(SUM(N(X160),N(Y160),N(Z160))&gt;0,"SOXL","TQQQ"),IF(AQ160="YES",IF(SUM(N(AA160),N(AB160),N(AC160))&gt;0,"SOXS","SQQQ"),"WAIT"))</f>
        <v/>
      </c>
      <c r="AS160">
        <f>IF(AP160="YES",IF(SUM(N(X160),N(Y160),N(Z160))&gt;0,"TQQQ","SOXL"),IF(AQ160="YES",IF(SUM(N(AA160),N(AB160),N(AC160))&gt;0,"SQQQ","SOXS"),""))</f>
        <v/>
      </c>
      <c r="AT160" s="23">
        <f>IF(AR160="WAIT","",IF(AS160="",1,0.6))</f>
        <v/>
      </c>
      <c r="AU160" s="23">
        <f>IF(AS160="",0,0.4)</f>
        <v/>
      </c>
      <c r="AV160">
        <f>IF(AR160="WAIT","WAIT",IF(AP160="YES","BULL",IF(AQ160="YES","BEAR","WAIT")))</f>
        <v/>
      </c>
      <c r="AW160">
        <f>IF(AR160="WAIT","Low",IF(OR(AND(AV160="BULL",ABS(SUM(N(X160),N(Y160),N(Z160)))&gt;=0.15),AND(AV160="BEAR",ABS(SUM(N(AA160),N(AB160),N(AC160)))&gt;=0.15)),"Strong",IF(OR(AND(AV160="BULL",ABS(SUM(N(X160),N(Y160),N(Z160)))&gt;=0.05),AND(AV160="BEAR",ABS(SUM(N(AA160),N(AB160),N(AC160)))&gt;=0.05)),"Moderate","Low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13" t="n"/>
      <c r="AF161" s="23">
        <f>IF(OR(AD161="",AD160=""),"",IF(AD160=0,"",(AD161/AD160)-1))</f>
        <v/>
      </c>
      <c r="AG161" s="23">
        <f>IF(ROW()&lt;7,"",IF(OR(AD161="",AD158=""),"",IF(AD158=0,"",(AD161/AD158)-1)))</f>
        <v/>
      </c>
      <c r="AH161" s="23">
        <f>IF(ROW()&lt;9,"",IF(OR(AD161="",AD156=""),"",IF(AD156=0,"",(AD161/AD156)-1)))</f>
        <v/>
      </c>
      <c r="AJ161" s="23">
        <f>IF(OR(AE161="",AE160=""),"",IF(AE160=0,"",(AE161/AE160)-1))</f>
        <v/>
      </c>
      <c r="AK161" s="23">
        <f>IF(ROW()&lt;7,"",IF(OR(AE161="",AE158=""),"",IF(AE158=0,"",(AE161/AE158)-1)))</f>
        <v/>
      </c>
      <c r="AL161" s="23">
        <f>IF(ROW()&lt;9,"",IF(OR(AE161="",AE156=""),"",IF(AE156=0,"",(AE161/AE156)-1)))</f>
        <v/>
      </c>
      <c r="AN161">
        <f>IF(OR(AG161="",AH161=""),"",IF(AND(AG161&gt;0,AH161&gt;0),"Bull",IF(AND(AG161&lt;0,AH161&lt;0),"Bear","Mixed")))</f>
        <v/>
      </c>
      <c r="AO161">
        <f>IF(OR(AK161="",AL161=""),"",IF(AND(AK161&gt;0,AL161&gt;0),"Bull",IF(AND(AK161&lt;0,AL161&lt;0),"Bear","Mixed")))</f>
        <v/>
      </c>
      <c r="AP161">
        <f>IF(OR(AN161="",AO161=""),"",IF(AND(AN161="Bull",AO161="Bull"),"YES","NO"))</f>
        <v/>
      </c>
      <c r="AQ161">
        <f>IF(OR(AN161="",AO161=""),"",IF(AND(AN161="Bear",AO161="Bear"),"YES","NO"))</f>
        <v/>
      </c>
      <c r="AR161">
        <f>IF(AP161="YES",IF(SUM(N(X161),N(Y161),N(Z161))&gt;0,"SOXL","TQQQ"),IF(AQ161="YES",IF(SUM(N(AA161),N(AB161),N(AC161))&gt;0,"SOXS","SQQQ"),"WAIT"))</f>
        <v/>
      </c>
      <c r="AS161">
        <f>IF(AP161="YES",IF(SUM(N(X161),N(Y161),N(Z161))&gt;0,"TQQQ","SOXL"),IF(AQ161="YES",IF(SUM(N(AA161),N(AB161),N(AC161))&gt;0,"SQQQ","SOXS"),""))</f>
        <v/>
      </c>
      <c r="AT161" s="23">
        <f>IF(AR161="WAIT","",IF(AS161="",1,0.6))</f>
        <v/>
      </c>
      <c r="AU161" s="23">
        <f>IF(AS161="",0,0.4)</f>
        <v/>
      </c>
      <c r="AV161">
        <f>IF(AR161="WAIT","WAIT",IF(AP161="YES","BULL",IF(AQ161="YES","BEAR","WAIT")))</f>
        <v/>
      </c>
      <c r="AW161">
        <f>IF(AR161="WAIT","Low",IF(OR(AND(AV161="BULL",ABS(SUM(N(X161),N(Y161),N(Z161)))&gt;=0.15),AND(AV161="BEAR",ABS(SUM(N(AA161),N(AB161),N(AC161)))&gt;=0.15)),"Strong",IF(OR(AND(AV161="BULL",ABS(SUM(N(X161),N(Y161),N(Z161)))&gt;=0.05),AND(AV161="BEAR",ABS(SUM(N(AA161),N(AB161),N(AC161)))&gt;=0.05)),"Moderate","Low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13" t="n"/>
      <c r="AF162" s="23">
        <f>IF(OR(AD162="",AD161=""),"",IF(AD161=0,"",(AD162/AD161)-1))</f>
        <v/>
      </c>
      <c r="AG162" s="23">
        <f>IF(ROW()&lt;7,"",IF(OR(AD162="",AD159=""),"",IF(AD159=0,"",(AD162/AD159)-1)))</f>
        <v/>
      </c>
      <c r="AH162" s="23">
        <f>IF(ROW()&lt;9,"",IF(OR(AD162="",AD157=""),"",IF(AD157=0,"",(AD162/AD157)-1)))</f>
        <v/>
      </c>
      <c r="AJ162" s="23">
        <f>IF(OR(AE162="",AE161=""),"",IF(AE161=0,"",(AE162/AE161)-1))</f>
        <v/>
      </c>
      <c r="AK162" s="23">
        <f>IF(ROW()&lt;7,"",IF(OR(AE162="",AE159=""),"",IF(AE159=0,"",(AE162/AE159)-1)))</f>
        <v/>
      </c>
      <c r="AL162" s="23">
        <f>IF(ROW()&lt;9,"",IF(OR(AE162="",AE157=""),"",IF(AE157=0,"",(AE162/AE157)-1)))</f>
        <v/>
      </c>
      <c r="AN162">
        <f>IF(OR(AG162="",AH162=""),"",IF(AND(AG162&gt;0,AH162&gt;0),"Bull",IF(AND(AG162&lt;0,AH162&lt;0),"Bear","Mixed")))</f>
        <v/>
      </c>
      <c r="AO162">
        <f>IF(OR(AK162="",AL162=""),"",IF(AND(AK162&gt;0,AL162&gt;0),"Bull",IF(AND(AK162&lt;0,AL162&lt;0),"Bear","Mixed")))</f>
        <v/>
      </c>
      <c r="AP162">
        <f>IF(OR(AN162="",AO162=""),"",IF(AND(AN162="Bull",AO162="Bull"),"YES","NO"))</f>
        <v/>
      </c>
      <c r="AQ162">
        <f>IF(OR(AN162="",AO162=""),"",IF(AND(AN162="Bear",AO162="Bear"),"YES","NO"))</f>
        <v/>
      </c>
      <c r="AR162">
        <f>IF(AP162="YES",IF(SUM(N(X162),N(Y162),N(Z162))&gt;0,"SOXL","TQQQ"),IF(AQ162="YES",IF(SUM(N(AA162),N(AB162),N(AC162))&gt;0,"SOXS","SQQQ"),"WAIT"))</f>
        <v/>
      </c>
      <c r="AS162">
        <f>IF(AP162="YES",IF(SUM(N(X162),N(Y162),N(Z162))&gt;0,"TQQQ","SOXL"),IF(AQ162="YES",IF(SUM(N(AA162),N(AB162),N(AC162))&gt;0,"SQQQ","SOXS"),""))</f>
        <v/>
      </c>
      <c r="AT162" s="23">
        <f>IF(AR162="WAIT","",IF(AS162="",1,0.6))</f>
        <v/>
      </c>
      <c r="AU162" s="23">
        <f>IF(AS162="",0,0.4)</f>
        <v/>
      </c>
      <c r="AV162">
        <f>IF(AR162="WAIT","WAIT",IF(AP162="YES","BULL",IF(AQ162="YES","BEAR","WAIT")))</f>
        <v/>
      </c>
      <c r="AW162">
        <f>IF(AR162="WAIT","Low",IF(OR(AND(AV162="BULL",ABS(SUM(N(X162),N(Y162),N(Z162)))&gt;=0.15),AND(AV162="BEAR",ABS(SUM(N(AA162),N(AB162),N(AC162)))&gt;=0.15)),"Strong",IF(OR(AND(AV162="BULL",ABS(SUM(N(X162),N(Y162),N(Z162)))&gt;=0.05),AND(AV162="BEAR",ABS(SUM(N(AA162),N(AB162),N(AC162)))&gt;=0.05)),"Moderate","Low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13" t="n"/>
      <c r="AF163" s="23">
        <f>IF(OR(AD163="",AD162=""),"",IF(AD162=0,"",(AD163/AD162)-1))</f>
        <v/>
      </c>
      <c r="AG163" s="23">
        <f>IF(ROW()&lt;7,"",IF(OR(AD163="",AD160=""),"",IF(AD160=0,"",(AD163/AD160)-1)))</f>
        <v/>
      </c>
      <c r="AH163" s="23">
        <f>IF(ROW()&lt;9,"",IF(OR(AD163="",AD158=""),"",IF(AD158=0,"",(AD163/AD158)-1)))</f>
        <v/>
      </c>
      <c r="AJ163" s="23">
        <f>IF(OR(AE163="",AE162=""),"",IF(AE162=0,"",(AE163/AE162)-1))</f>
        <v/>
      </c>
      <c r="AK163" s="23">
        <f>IF(ROW()&lt;7,"",IF(OR(AE163="",AE160=""),"",IF(AE160=0,"",(AE163/AE160)-1)))</f>
        <v/>
      </c>
      <c r="AL163" s="23">
        <f>IF(ROW()&lt;9,"",IF(OR(AE163="",AE158=""),"",IF(AE158=0,"",(AE163/AE158)-1)))</f>
        <v/>
      </c>
      <c r="AN163">
        <f>IF(OR(AG163="",AH163=""),"",IF(AND(AG163&gt;0,AH163&gt;0),"Bull",IF(AND(AG163&lt;0,AH163&lt;0),"Bear","Mixed")))</f>
        <v/>
      </c>
      <c r="AO163">
        <f>IF(OR(AK163="",AL163=""),"",IF(AND(AK163&gt;0,AL163&gt;0),"Bull",IF(AND(AK163&lt;0,AL163&lt;0),"Bear","Mixed")))</f>
        <v/>
      </c>
      <c r="AP163">
        <f>IF(OR(AN163="",AO163=""),"",IF(AND(AN163="Bull",AO163="Bull"),"YES","NO"))</f>
        <v/>
      </c>
      <c r="AQ163">
        <f>IF(OR(AN163="",AO163=""),"",IF(AND(AN163="Bear",AO163="Bear"),"YES","NO"))</f>
        <v/>
      </c>
      <c r="AR163">
        <f>IF(AP163="YES",IF(SUM(N(X163),N(Y163),N(Z163))&gt;0,"SOXL","TQQQ"),IF(AQ163="YES",IF(SUM(N(AA163),N(AB163),N(AC163))&gt;0,"SOXS","SQQQ"),"WAIT"))</f>
        <v/>
      </c>
      <c r="AS163">
        <f>IF(AP163="YES",IF(SUM(N(X163),N(Y163),N(Z163))&gt;0,"TQQQ","SOXL"),IF(AQ163="YES",IF(SUM(N(AA163),N(AB163),N(AC163))&gt;0,"SQQQ","SOXS"),""))</f>
        <v/>
      </c>
      <c r="AT163" s="23">
        <f>IF(AR163="WAIT","",IF(AS163="",1,0.6))</f>
        <v/>
      </c>
      <c r="AU163" s="23">
        <f>IF(AS163="",0,0.4)</f>
        <v/>
      </c>
      <c r="AV163">
        <f>IF(AR163="WAIT","WAIT",IF(AP163="YES","BULL",IF(AQ163="YES","BEAR","WAIT")))</f>
        <v/>
      </c>
      <c r="AW163">
        <f>IF(AR163="WAIT","Low",IF(OR(AND(AV163="BULL",ABS(SUM(N(X163),N(Y163),N(Z163)))&gt;=0.15),AND(AV163="BEAR",ABS(SUM(N(AA163),N(AB163),N(AC163)))&gt;=0.15)),"Strong",IF(OR(AND(AV163="BULL",ABS(SUM(N(X163),N(Y163),N(Z163)))&gt;=0.05),AND(AV163="BEAR",ABS(SUM(N(AA163),N(AB163),N(AC163)))&gt;=0.05)),"Moderate","Low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13" t="n"/>
      <c r="AF164" s="23">
        <f>IF(OR(AD164="",AD163=""),"",IF(AD163=0,"",(AD164/AD163)-1))</f>
        <v/>
      </c>
      <c r="AG164" s="23">
        <f>IF(ROW()&lt;7,"",IF(OR(AD164="",AD161=""),"",IF(AD161=0,"",(AD164/AD161)-1)))</f>
        <v/>
      </c>
      <c r="AH164" s="23">
        <f>IF(ROW()&lt;9,"",IF(OR(AD164="",AD159=""),"",IF(AD159=0,"",(AD164/AD159)-1)))</f>
        <v/>
      </c>
      <c r="AJ164" s="23">
        <f>IF(OR(AE164="",AE163=""),"",IF(AE163=0,"",(AE164/AE163)-1))</f>
        <v/>
      </c>
      <c r="AK164" s="23">
        <f>IF(ROW()&lt;7,"",IF(OR(AE164="",AE161=""),"",IF(AE161=0,"",(AE164/AE161)-1)))</f>
        <v/>
      </c>
      <c r="AL164" s="23">
        <f>IF(ROW()&lt;9,"",IF(OR(AE164="",AE159=""),"",IF(AE159=0,"",(AE164/AE159)-1)))</f>
        <v/>
      </c>
      <c r="AN164">
        <f>IF(OR(AG164="",AH164=""),"",IF(AND(AG164&gt;0,AH164&gt;0),"Bull",IF(AND(AG164&lt;0,AH164&lt;0),"Bear","Mixed")))</f>
        <v/>
      </c>
      <c r="AO164">
        <f>IF(OR(AK164="",AL164=""),"",IF(AND(AK164&gt;0,AL164&gt;0),"Bull",IF(AND(AK164&lt;0,AL164&lt;0),"Bear","Mixed")))</f>
        <v/>
      </c>
      <c r="AP164">
        <f>IF(OR(AN164="",AO164=""),"",IF(AND(AN164="Bull",AO164="Bull"),"YES","NO"))</f>
        <v/>
      </c>
      <c r="AQ164">
        <f>IF(OR(AN164="",AO164=""),"",IF(AND(AN164="Bear",AO164="Bear"),"YES","NO"))</f>
        <v/>
      </c>
      <c r="AR164">
        <f>IF(AP164="YES",IF(SUM(N(X164),N(Y164),N(Z164))&gt;0,"SOXL","TQQQ"),IF(AQ164="YES",IF(SUM(N(AA164),N(AB164),N(AC164))&gt;0,"SOXS","SQQQ"),"WAIT"))</f>
        <v/>
      </c>
      <c r="AS164">
        <f>IF(AP164="YES",IF(SUM(N(X164),N(Y164),N(Z164))&gt;0,"TQQQ","SOXL"),IF(AQ164="YES",IF(SUM(N(AA164),N(AB164),N(AC164))&gt;0,"SQQQ","SOXS"),""))</f>
        <v/>
      </c>
      <c r="AT164" s="23">
        <f>IF(AR164="WAIT","",IF(AS164="",1,0.6))</f>
        <v/>
      </c>
      <c r="AU164" s="23">
        <f>IF(AS164="",0,0.4)</f>
        <v/>
      </c>
      <c r="AV164">
        <f>IF(AR164="WAIT","WAIT",IF(AP164="YES","BULL",IF(AQ164="YES","BEAR","WAIT")))</f>
        <v/>
      </c>
      <c r="AW164">
        <f>IF(AR164="WAIT","Low",IF(OR(AND(AV164="BULL",ABS(SUM(N(X164),N(Y164),N(Z164)))&gt;=0.15),AND(AV164="BEAR",ABS(SUM(N(AA164),N(AB164),N(AC164)))&gt;=0.15)),"Strong",IF(OR(AND(AV164="BULL",ABS(SUM(N(X164),N(Y164),N(Z164)))&gt;=0.05),AND(AV164="BEAR",ABS(SUM(N(AA164),N(AB164),N(AC164)))&gt;=0.05)),"Moderate","Low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13" t="n"/>
      <c r="AF165" s="23">
        <f>IF(OR(AD165="",AD164=""),"",IF(AD164=0,"",(AD165/AD164)-1))</f>
        <v/>
      </c>
      <c r="AG165" s="23">
        <f>IF(ROW()&lt;7,"",IF(OR(AD165="",AD162=""),"",IF(AD162=0,"",(AD165/AD162)-1)))</f>
        <v/>
      </c>
      <c r="AH165" s="23">
        <f>IF(ROW()&lt;9,"",IF(OR(AD165="",AD160=""),"",IF(AD160=0,"",(AD165/AD160)-1)))</f>
        <v/>
      </c>
      <c r="AJ165" s="23">
        <f>IF(OR(AE165="",AE164=""),"",IF(AE164=0,"",(AE165/AE164)-1))</f>
        <v/>
      </c>
      <c r="AK165" s="23">
        <f>IF(ROW()&lt;7,"",IF(OR(AE165="",AE162=""),"",IF(AE162=0,"",(AE165/AE162)-1)))</f>
        <v/>
      </c>
      <c r="AL165" s="23">
        <f>IF(ROW()&lt;9,"",IF(OR(AE165="",AE160=""),"",IF(AE160=0,"",(AE165/AE160)-1)))</f>
        <v/>
      </c>
      <c r="AN165">
        <f>IF(OR(AG165="",AH165=""),"",IF(AND(AG165&gt;0,AH165&gt;0),"Bull",IF(AND(AG165&lt;0,AH165&lt;0),"Bear","Mixed")))</f>
        <v/>
      </c>
      <c r="AO165">
        <f>IF(OR(AK165="",AL165=""),"",IF(AND(AK165&gt;0,AL165&gt;0),"Bull",IF(AND(AK165&lt;0,AL165&lt;0),"Bear","Mixed")))</f>
        <v/>
      </c>
      <c r="AP165">
        <f>IF(OR(AN165="",AO165=""),"",IF(AND(AN165="Bull",AO165="Bull"),"YES","NO"))</f>
        <v/>
      </c>
      <c r="AQ165">
        <f>IF(OR(AN165="",AO165=""),"",IF(AND(AN165="Bear",AO165="Bear"),"YES","NO"))</f>
        <v/>
      </c>
      <c r="AR165">
        <f>IF(AP165="YES",IF(SUM(N(X165),N(Y165),N(Z165))&gt;0,"SOXL","TQQQ"),IF(AQ165="YES",IF(SUM(N(AA165),N(AB165),N(AC165))&gt;0,"SOXS","SQQQ"),"WAIT"))</f>
        <v/>
      </c>
      <c r="AS165">
        <f>IF(AP165="YES",IF(SUM(N(X165),N(Y165),N(Z165))&gt;0,"TQQQ","SOXL"),IF(AQ165="YES",IF(SUM(N(AA165),N(AB165),N(AC165))&gt;0,"SQQQ","SOXS"),""))</f>
        <v/>
      </c>
      <c r="AT165" s="23">
        <f>IF(AR165="WAIT","",IF(AS165="",1,0.6))</f>
        <v/>
      </c>
      <c r="AU165" s="23">
        <f>IF(AS165="",0,0.4)</f>
        <v/>
      </c>
      <c r="AV165">
        <f>IF(AR165="WAIT","WAIT",IF(AP165="YES","BULL",IF(AQ165="YES","BEAR","WAIT")))</f>
        <v/>
      </c>
      <c r="AW165">
        <f>IF(AR165="WAIT","Low",IF(OR(AND(AV165="BULL",ABS(SUM(N(X165),N(Y165),N(Z165)))&gt;=0.15),AND(AV165="BEAR",ABS(SUM(N(AA165),N(AB165),N(AC165)))&gt;=0.15)),"Strong",IF(OR(AND(AV165="BULL",ABS(SUM(N(X165),N(Y165),N(Z165)))&gt;=0.05),AND(AV165="BEAR",ABS(SUM(N(AA165),N(AB165),N(AC165)))&gt;=0.05)),"Moderate","Low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13" t="n"/>
      <c r="AF166" s="23">
        <f>IF(OR(AD166="",AD165=""),"",IF(AD165=0,"",(AD166/AD165)-1))</f>
        <v/>
      </c>
      <c r="AG166" s="23">
        <f>IF(ROW()&lt;7,"",IF(OR(AD166="",AD163=""),"",IF(AD163=0,"",(AD166/AD163)-1)))</f>
        <v/>
      </c>
      <c r="AH166" s="23">
        <f>IF(ROW()&lt;9,"",IF(OR(AD166="",AD161=""),"",IF(AD161=0,"",(AD166/AD161)-1)))</f>
        <v/>
      </c>
      <c r="AJ166" s="23">
        <f>IF(OR(AE166="",AE165=""),"",IF(AE165=0,"",(AE166/AE165)-1))</f>
        <v/>
      </c>
      <c r="AK166" s="23">
        <f>IF(ROW()&lt;7,"",IF(OR(AE166="",AE163=""),"",IF(AE163=0,"",(AE166/AE163)-1)))</f>
        <v/>
      </c>
      <c r="AL166" s="23">
        <f>IF(ROW()&lt;9,"",IF(OR(AE166="",AE161=""),"",IF(AE161=0,"",(AE166/AE161)-1)))</f>
        <v/>
      </c>
      <c r="AN166">
        <f>IF(OR(AG166="",AH166=""),"",IF(AND(AG166&gt;0,AH166&gt;0),"Bull",IF(AND(AG166&lt;0,AH166&lt;0),"Bear","Mixed")))</f>
        <v/>
      </c>
      <c r="AO166">
        <f>IF(OR(AK166="",AL166=""),"",IF(AND(AK166&gt;0,AL166&gt;0),"Bull",IF(AND(AK166&lt;0,AL166&lt;0),"Bear","Mixed")))</f>
        <v/>
      </c>
      <c r="AP166">
        <f>IF(OR(AN166="",AO166=""),"",IF(AND(AN166="Bull",AO166="Bull"),"YES","NO"))</f>
        <v/>
      </c>
      <c r="AQ166">
        <f>IF(OR(AN166="",AO166=""),"",IF(AND(AN166="Bear",AO166="Bear"),"YES","NO"))</f>
        <v/>
      </c>
      <c r="AR166">
        <f>IF(AP166="YES",IF(SUM(N(X166),N(Y166),N(Z166))&gt;0,"SOXL","TQQQ"),IF(AQ166="YES",IF(SUM(N(AA166),N(AB166),N(AC166))&gt;0,"SOXS","SQQQ"),"WAIT"))</f>
        <v/>
      </c>
      <c r="AS166">
        <f>IF(AP166="YES",IF(SUM(N(X166),N(Y166),N(Z166))&gt;0,"TQQQ","SOXL"),IF(AQ166="YES",IF(SUM(N(AA166),N(AB166),N(AC166))&gt;0,"SQQQ","SOXS"),""))</f>
        <v/>
      </c>
      <c r="AT166" s="23">
        <f>IF(AR166="WAIT","",IF(AS166="",1,0.6))</f>
        <v/>
      </c>
      <c r="AU166" s="23">
        <f>IF(AS166="",0,0.4)</f>
        <v/>
      </c>
      <c r="AV166">
        <f>IF(AR166="WAIT","WAIT",IF(AP166="YES","BULL",IF(AQ166="YES","BEAR","WAIT")))</f>
        <v/>
      </c>
      <c r="AW166">
        <f>IF(AR166="WAIT","Low",IF(OR(AND(AV166="BULL",ABS(SUM(N(X166),N(Y166),N(Z166)))&gt;=0.15),AND(AV166="BEAR",ABS(SUM(N(AA166),N(AB166),N(AC166)))&gt;=0.15)),"Strong",IF(OR(AND(AV166="BULL",ABS(SUM(N(X166),N(Y166),N(Z166)))&gt;=0.05),AND(AV166="BEAR",ABS(SUM(N(AA166),N(AB166),N(AC166)))&gt;=0.05)),"Moderate","Low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13" t="n"/>
      <c r="AF167" s="23">
        <f>IF(OR(AD167="",AD166=""),"",IF(AD166=0,"",(AD167/AD166)-1))</f>
        <v/>
      </c>
      <c r="AG167" s="23">
        <f>IF(ROW()&lt;7,"",IF(OR(AD167="",AD164=""),"",IF(AD164=0,"",(AD167/AD164)-1)))</f>
        <v/>
      </c>
      <c r="AH167" s="23">
        <f>IF(ROW()&lt;9,"",IF(OR(AD167="",AD162=""),"",IF(AD162=0,"",(AD167/AD162)-1)))</f>
        <v/>
      </c>
      <c r="AJ167" s="23">
        <f>IF(OR(AE167="",AE166=""),"",IF(AE166=0,"",(AE167/AE166)-1))</f>
        <v/>
      </c>
      <c r="AK167" s="23">
        <f>IF(ROW()&lt;7,"",IF(OR(AE167="",AE164=""),"",IF(AE164=0,"",(AE167/AE164)-1)))</f>
        <v/>
      </c>
      <c r="AL167" s="23">
        <f>IF(ROW()&lt;9,"",IF(OR(AE167="",AE162=""),"",IF(AE162=0,"",(AE167/AE162)-1)))</f>
        <v/>
      </c>
      <c r="AN167">
        <f>IF(OR(AG167="",AH167=""),"",IF(AND(AG167&gt;0,AH167&gt;0),"Bull",IF(AND(AG167&lt;0,AH167&lt;0),"Bear","Mixed")))</f>
        <v/>
      </c>
      <c r="AO167">
        <f>IF(OR(AK167="",AL167=""),"",IF(AND(AK167&gt;0,AL167&gt;0),"Bull",IF(AND(AK167&lt;0,AL167&lt;0),"Bear","Mixed")))</f>
        <v/>
      </c>
      <c r="AP167">
        <f>IF(OR(AN167="",AO167=""),"",IF(AND(AN167="Bull",AO167="Bull"),"YES","NO"))</f>
        <v/>
      </c>
      <c r="AQ167">
        <f>IF(OR(AN167="",AO167=""),"",IF(AND(AN167="Bear",AO167="Bear"),"YES","NO"))</f>
        <v/>
      </c>
      <c r="AR167">
        <f>IF(AP167="YES",IF(SUM(N(X167),N(Y167),N(Z167))&gt;0,"SOXL","TQQQ"),IF(AQ167="YES",IF(SUM(N(AA167),N(AB167),N(AC167))&gt;0,"SOXS","SQQQ"),"WAIT"))</f>
        <v/>
      </c>
      <c r="AS167">
        <f>IF(AP167="YES",IF(SUM(N(X167),N(Y167),N(Z167))&gt;0,"TQQQ","SOXL"),IF(AQ167="YES",IF(SUM(N(AA167),N(AB167),N(AC167))&gt;0,"SQQQ","SOXS"),""))</f>
        <v/>
      </c>
      <c r="AT167" s="23">
        <f>IF(AR167="WAIT","",IF(AS167="",1,0.6))</f>
        <v/>
      </c>
      <c r="AU167" s="23">
        <f>IF(AS167="",0,0.4)</f>
        <v/>
      </c>
      <c r="AV167">
        <f>IF(AR167="WAIT","WAIT",IF(AP167="YES","BULL",IF(AQ167="YES","BEAR","WAIT")))</f>
        <v/>
      </c>
      <c r="AW167">
        <f>IF(AR167="WAIT","Low",IF(OR(AND(AV167="BULL",ABS(SUM(N(X167),N(Y167),N(Z167)))&gt;=0.15),AND(AV167="BEAR",ABS(SUM(N(AA167),N(AB167),N(AC167)))&gt;=0.15)),"Strong",IF(OR(AND(AV167="BULL",ABS(SUM(N(X167),N(Y167),N(Z167)))&gt;=0.05),AND(AV167="BEAR",ABS(SUM(N(AA167),N(AB167),N(AC167)))&gt;=0.05)),"Moderate","Low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13" t="n"/>
      <c r="AF168" s="23">
        <f>IF(OR(AD168="",AD167=""),"",IF(AD167=0,"",(AD168/AD167)-1))</f>
        <v/>
      </c>
      <c r="AG168" s="23">
        <f>IF(ROW()&lt;7,"",IF(OR(AD168="",AD165=""),"",IF(AD165=0,"",(AD168/AD165)-1)))</f>
        <v/>
      </c>
      <c r="AH168" s="23">
        <f>IF(ROW()&lt;9,"",IF(OR(AD168="",AD163=""),"",IF(AD163=0,"",(AD168/AD163)-1)))</f>
        <v/>
      </c>
      <c r="AJ168" s="23">
        <f>IF(OR(AE168="",AE167=""),"",IF(AE167=0,"",(AE168/AE167)-1))</f>
        <v/>
      </c>
      <c r="AK168" s="23">
        <f>IF(ROW()&lt;7,"",IF(OR(AE168="",AE165=""),"",IF(AE165=0,"",(AE168/AE165)-1)))</f>
        <v/>
      </c>
      <c r="AL168" s="23">
        <f>IF(ROW()&lt;9,"",IF(OR(AE168="",AE163=""),"",IF(AE163=0,"",(AE168/AE163)-1)))</f>
        <v/>
      </c>
      <c r="AN168">
        <f>IF(OR(AG168="",AH168=""),"",IF(AND(AG168&gt;0,AH168&gt;0),"Bull",IF(AND(AG168&lt;0,AH168&lt;0),"Bear","Mixed")))</f>
        <v/>
      </c>
      <c r="AO168">
        <f>IF(OR(AK168="",AL168=""),"",IF(AND(AK168&gt;0,AL168&gt;0),"Bull",IF(AND(AK168&lt;0,AL168&lt;0),"Bear","Mixed")))</f>
        <v/>
      </c>
      <c r="AP168">
        <f>IF(OR(AN168="",AO168=""),"",IF(AND(AN168="Bull",AO168="Bull"),"YES","NO"))</f>
        <v/>
      </c>
      <c r="AQ168">
        <f>IF(OR(AN168="",AO168=""),"",IF(AND(AN168="Bear",AO168="Bear"),"YES","NO"))</f>
        <v/>
      </c>
      <c r="AR168">
        <f>IF(AP168="YES",IF(SUM(N(X168),N(Y168),N(Z168))&gt;0,"SOXL","TQQQ"),IF(AQ168="YES",IF(SUM(N(AA168),N(AB168),N(AC168))&gt;0,"SOXS","SQQQ"),"WAIT"))</f>
        <v/>
      </c>
      <c r="AS168">
        <f>IF(AP168="YES",IF(SUM(N(X168),N(Y168),N(Z168))&gt;0,"TQQQ","SOXL"),IF(AQ168="YES",IF(SUM(N(AA168),N(AB168),N(AC168))&gt;0,"SQQQ","SOXS"),""))</f>
        <v/>
      </c>
      <c r="AT168" s="23">
        <f>IF(AR168="WAIT","",IF(AS168="",1,0.6))</f>
        <v/>
      </c>
      <c r="AU168" s="23">
        <f>IF(AS168="",0,0.4)</f>
        <v/>
      </c>
      <c r="AV168">
        <f>IF(AR168="WAIT","WAIT",IF(AP168="YES","BULL",IF(AQ168="YES","BEAR","WAIT")))</f>
        <v/>
      </c>
      <c r="AW168">
        <f>IF(AR168="WAIT","Low",IF(OR(AND(AV168="BULL",ABS(SUM(N(X168),N(Y168),N(Z168)))&gt;=0.15),AND(AV168="BEAR",ABS(SUM(N(AA168),N(AB168),N(AC168)))&gt;=0.15)),"Strong",IF(OR(AND(AV168="BULL",ABS(SUM(N(X168),N(Y168),N(Z168)))&gt;=0.05),AND(AV168="BEAR",ABS(SUM(N(AA168),N(AB168),N(AC168)))&gt;=0.05)),"Moderate","Low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13" t="n"/>
      <c r="AF169" s="23">
        <f>IF(OR(AD169="",AD168=""),"",IF(AD168=0,"",(AD169/AD168)-1))</f>
        <v/>
      </c>
      <c r="AG169" s="23">
        <f>IF(ROW()&lt;7,"",IF(OR(AD169="",AD166=""),"",IF(AD166=0,"",(AD169/AD166)-1)))</f>
        <v/>
      </c>
      <c r="AH169" s="23">
        <f>IF(ROW()&lt;9,"",IF(OR(AD169="",AD164=""),"",IF(AD164=0,"",(AD169/AD164)-1)))</f>
        <v/>
      </c>
      <c r="AJ169" s="23">
        <f>IF(OR(AE169="",AE168=""),"",IF(AE168=0,"",(AE169/AE168)-1))</f>
        <v/>
      </c>
      <c r="AK169" s="23">
        <f>IF(ROW()&lt;7,"",IF(OR(AE169="",AE166=""),"",IF(AE166=0,"",(AE169/AE166)-1)))</f>
        <v/>
      </c>
      <c r="AL169" s="23">
        <f>IF(ROW()&lt;9,"",IF(OR(AE169="",AE164=""),"",IF(AE164=0,"",(AE169/AE164)-1)))</f>
        <v/>
      </c>
      <c r="AN169">
        <f>IF(OR(AG169="",AH169=""),"",IF(AND(AG169&gt;0,AH169&gt;0),"Bull",IF(AND(AG169&lt;0,AH169&lt;0),"Bear","Mixed")))</f>
        <v/>
      </c>
      <c r="AO169">
        <f>IF(OR(AK169="",AL169=""),"",IF(AND(AK169&gt;0,AL169&gt;0),"Bull",IF(AND(AK169&lt;0,AL169&lt;0),"Bear","Mixed")))</f>
        <v/>
      </c>
      <c r="AP169">
        <f>IF(OR(AN169="",AO169=""),"",IF(AND(AN169="Bull",AO169="Bull"),"YES","NO"))</f>
        <v/>
      </c>
      <c r="AQ169">
        <f>IF(OR(AN169="",AO169=""),"",IF(AND(AN169="Bear",AO169="Bear"),"YES","NO"))</f>
        <v/>
      </c>
      <c r="AR169">
        <f>IF(AP169="YES",IF(SUM(N(X169),N(Y169),N(Z169))&gt;0,"SOXL","TQQQ"),IF(AQ169="YES",IF(SUM(N(AA169),N(AB169),N(AC169))&gt;0,"SOXS","SQQQ"),"WAIT"))</f>
        <v/>
      </c>
      <c r="AS169">
        <f>IF(AP169="YES",IF(SUM(N(X169),N(Y169),N(Z169))&gt;0,"TQQQ","SOXL"),IF(AQ169="YES",IF(SUM(N(AA169),N(AB169),N(AC169))&gt;0,"SQQQ","SOXS"),""))</f>
        <v/>
      </c>
      <c r="AT169" s="23">
        <f>IF(AR169="WAIT","",IF(AS169="",1,0.6))</f>
        <v/>
      </c>
      <c r="AU169" s="23">
        <f>IF(AS169="",0,0.4)</f>
        <v/>
      </c>
      <c r="AV169">
        <f>IF(AR169="WAIT","WAIT",IF(AP169="YES","BULL",IF(AQ169="YES","BEAR","WAIT")))</f>
        <v/>
      </c>
      <c r="AW169">
        <f>IF(AR169="WAIT","Low",IF(OR(AND(AV169="BULL",ABS(SUM(N(X169),N(Y169),N(Z169)))&gt;=0.15),AND(AV169="BEAR",ABS(SUM(N(AA169),N(AB169),N(AC169)))&gt;=0.15)),"Strong",IF(OR(AND(AV169="BULL",ABS(SUM(N(X169),N(Y169),N(Z169)))&gt;=0.05),AND(AV169="BEAR",ABS(SUM(N(AA169),N(AB169),N(AC169)))&gt;=0.05)),"Moderate","Low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13" t="n"/>
      <c r="AF170" s="23">
        <f>IF(OR(AD170="",AD169=""),"",IF(AD169=0,"",(AD170/AD169)-1))</f>
        <v/>
      </c>
      <c r="AG170" s="23">
        <f>IF(ROW()&lt;7,"",IF(OR(AD170="",AD167=""),"",IF(AD167=0,"",(AD170/AD167)-1)))</f>
        <v/>
      </c>
      <c r="AH170" s="23">
        <f>IF(ROW()&lt;9,"",IF(OR(AD170="",AD165=""),"",IF(AD165=0,"",(AD170/AD165)-1)))</f>
        <v/>
      </c>
      <c r="AJ170" s="23">
        <f>IF(OR(AE170="",AE169=""),"",IF(AE169=0,"",(AE170/AE169)-1))</f>
        <v/>
      </c>
      <c r="AK170" s="23">
        <f>IF(ROW()&lt;7,"",IF(OR(AE170="",AE167=""),"",IF(AE167=0,"",(AE170/AE167)-1)))</f>
        <v/>
      </c>
      <c r="AL170" s="23">
        <f>IF(ROW()&lt;9,"",IF(OR(AE170="",AE165=""),"",IF(AE165=0,"",(AE170/AE165)-1)))</f>
        <v/>
      </c>
      <c r="AN170">
        <f>IF(OR(AG170="",AH170=""),"",IF(AND(AG170&gt;0,AH170&gt;0),"Bull",IF(AND(AG170&lt;0,AH170&lt;0),"Bear","Mixed")))</f>
        <v/>
      </c>
      <c r="AO170">
        <f>IF(OR(AK170="",AL170=""),"",IF(AND(AK170&gt;0,AL170&gt;0),"Bull",IF(AND(AK170&lt;0,AL170&lt;0),"Bear","Mixed")))</f>
        <v/>
      </c>
      <c r="AP170">
        <f>IF(OR(AN170="",AO170=""),"",IF(AND(AN170="Bull",AO170="Bull"),"YES","NO"))</f>
        <v/>
      </c>
      <c r="AQ170">
        <f>IF(OR(AN170="",AO170=""),"",IF(AND(AN170="Bear",AO170="Bear"),"YES","NO"))</f>
        <v/>
      </c>
      <c r="AR170">
        <f>IF(AP170="YES",IF(SUM(N(X170),N(Y170),N(Z170))&gt;0,"SOXL","TQQQ"),IF(AQ170="YES",IF(SUM(N(AA170),N(AB170),N(AC170))&gt;0,"SOXS","SQQQ"),"WAIT"))</f>
        <v/>
      </c>
      <c r="AS170">
        <f>IF(AP170="YES",IF(SUM(N(X170),N(Y170),N(Z170))&gt;0,"TQQQ","SOXL"),IF(AQ170="YES",IF(SUM(N(AA170),N(AB170),N(AC170))&gt;0,"SQQQ","SOXS"),""))</f>
        <v/>
      </c>
      <c r="AT170" s="23">
        <f>IF(AR170="WAIT","",IF(AS170="",1,0.6))</f>
        <v/>
      </c>
      <c r="AU170" s="23">
        <f>IF(AS170="",0,0.4)</f>
        <v/>
      </c>
      <c r="AV170">
        <f>IF(AR170="WAIT","WAIT",IF(AP170="YES","BULL",IF(AQ170="YES","BEAR","WAIT")))</f>
        <v/>
      </c>
      <c r="AW170">
        <f>IF(AR170="WAIT","Low",IF(OR(AND(AV170="BULL",ABS(SUM(N(X170),N(Y170),N(Z170)))&gt;=0.15),AND(AV170="BEAR",ABS(SUM(N(AA170),N(AB170),N(AC170)))&gt;=0.15)),"Strong",IF(OR(AND(AV170="BULL",ABS(SUM(N(X170),N(Y170),N(Z170)))&gt;=0.05),AND(AV170="BEAR",ABS(SUM(N(AA170),N(AB170),N(AC170)))&gt;=0.05)),"Moderate","Low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13" t="n"/>
      <c r="AF171" s="23">
        <f>IF(OR(AD171="",AD170=""),"",IF(AD170=0,"",(AD171/AD170)-1))</f>
        <v/>
      </c>
      <c r="AG171" s="23">
        <f>IF(ROW()&lt;7,"",IF(OR(AD171="",AD168=""),"",IF(AD168=0,"",(AD171/AD168)-1)))</f>
        <v/>
      </c>
      <c r="AH171" s="23">
        <f>IF(ROW()&lt;9,"",IF(OR(AD171="",AD166=""),"",IF(AD166=0,"",(AD171/AD166)-1)))</f>
        <v/>
      </c>
      <c r="AJ171" s="23">
        <f>IF(OR(AE171="",AE170=""),"",IF(AE170=0,"",(AE171/AE170)-1))</f>
        <v/>
      </c>
      <c r="AK171" s="23">
        <f>IF(ROW()&lt;7,"",IF(OR(AE171="",AE168=""),"",IF(AE168=0,"",(AE171/AE168)-1)))</f>
        <v/>
      </c>
      <c r="AL171" s="23">
        <f>IF(ROW()&lt;9,"",IF(OR(AE171="",AE166=""),"",IF(AE166=0,"",(AE171/AE166)-1)))</f>
        <v/>
      </c>
      <c r="AN171">
        <f>IF(OR(AG171="",AH171=""),"",IF(AND(AG171&gt;0,AH171&gt;0),"Bull",IF(AND(AG171&lt;0,AH171&lt;0),"Bear","Mixed")))</f>
        <v/>
      </c>
      <c r="AO171">
        <f>IF(OR(AK171="",AL171=""),"",IF(AND(AK171&gt;0,AL171&gt;0),"Bull",IF(AND(AK171&lt;0,AL171&lt;0),"Bear","Mixed")))</f>
        <v/>
      </c>
      <c r="AP171">
        <f>IF(OR(AN171="",AO171=""),"",IF(AND(AN171="Bull",AO171="Bull"),"YES","NO"))</f>
        <v/>
      </c>
      <c r="AQ171">
        <f>IF(OR(AN171="",AO171=""),"",IF(AND(AN171="Bear",AO171="Bear"),"YES","NO"))</f>
        <v/>
      </c>
      <c r="AR171">
        <f>IF(AP171="YES",IF(SUM(N(X171),N(Y171),N(Z171))&gt;0,"SOXL","TQQQ"),IF(AQ171="YES",IF(SUM(N(AA171),N(AB171),N(AC171))&gt;0,"SOXS","SQQQ"),"WAIT"))</f>
        <v/>
      </c>
      <c r="AS171">
        <f>IF(AP171="YES",IF(SUM(N(X171),N(Y171),N(Z171))&gt;0,"TQQQ","SOXL"),IF(AQ171="YES",IF(SUM(N(AA171),N(AB171),N(AC171))&gt;0,"SQQQ","SOXS"),""))</f>
        <v/>
      </c>
      <c r="AT171" s="23">
        <f>IF(AR171="WAIT","",IF(AS171="",1,0.6))</f>
        <v/>
      </c>
      <c r="AU171" s="23">
        <f>IF(AS171="",0,0.4)</f>
        <v/>
      </c>
      <c r="AV171">
        <f>IF(AR171="WAIT","WAIT",IF(AP171="YES","BULL",IF(AQ171="YES","BEAR","WAIT")))</f>
        <v/>
      </c>
      <c r="AW171">
        <f>IF(AR171="WAIT","Low",IF(OR(AND(AV171="BULL",ABS(SUM(N(X171),N(Y171),N(Z171)))&gt;=0.15),AND(AV171="BEAR",ABS(SUM(N(AA171),N(AB171),N(AC171)))&gt;=0.15)),"Strong",IF(OR(AND(AV171="BULL",ABS(SUM(N(X171),N(Y171),N(Z171)))&gt;=0.05),AND(AV171="BEAR",ABS(SUM(N(AA171),N(AB171),N(AC171)))&gt;=0.05)),"Moderate","Low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13" t="n"/>
      <c r="AF172" s="23">
        <f>IF(OR(AD172="",AD171=""),"",IF(AD171=0,"",(AD172/AD171)-1))</f>
        <v/>
      </c>
      <c r="AG172" s="23">
        <f>IF(ROW()&lt;7,"",IF(OR(AD172="",AD169=""),"",IF(AD169=0,"",(AD172/AD169)-1)))</f>
        <v/>
      </c>
      <c r="AH172" s="23">
        <f>IF(ROW()&lt;9,"",IF(OR(AD172="",AD167=""),"",IF(AD167=0,"",(AD172/AD167)-1)))</f>
        <v/>
      </c>
      <c r="AJ172" s="23">
        <f>IF(OR(AE172="",AE171=""),"",IF(AE171=0,"",(AE172/AE171)-1))</f>
        <v/>
      </c>
      <c r="AK172" s="23">
        <f>IF(ROW()&lt;7,"",IF(OR(AE172="",AE169=""),"",IF(AE169=0,"",(AE172/AE169)-1)))</f>
        <v/>
      </c>
      <c r="AL172" s="23">
        <f>IF(ROW()&lt;9,"",IF(OR(AE172="",AE167=""),"",IF(AE167=0,"",(AE172/AE167)-1)))</f>
        <v/>
      </c>
      <c r="AN172">
        <f>IF(OR(AG172="",AH172=""),"",IF(AND(AG172&gt;0,AH172&gt;0),"Bull",IF(AND(AG172&lt;0,AH172&lt;0),"Bear","Mixed")))</f>
        <v/>
      </c>
      <c r="AO172">
        <f>IF(OR(AK172="",AL172=""),"",IF(AND(AK172&gt;0,AL172&gt;0),"Bull",IF(AND(AK172&lt;0,AL172&lt;0),"Bear","Mixed")))</f>
        <v/>
      </c>
      <c r="AP172">
        <f>IF(OR(AN172="",AO172=""),"",IF(AND(AN172="Bull",AO172="Bull"),"YES","NO"))</f>
        <v/>
      </c>
      <c r="AQ172">
        <f>IF(OR(AN172="",AO172=""),"",IF(AND(AN172="Bear",AO172="Bear"),"YES","NO"))</f>
        <v/>
      </c>
      <c r="AR172">
        <f>IF(AP172="YES",IF(SUM(N(X172),N(Y172),N(Z172))&gt;0,"SOXL","TQQQ"),IF(AQ172="YES",IF(SUM(N(AA172),N(AB172),N(AC172))&gt;0,"SOXS","SQQQ"),"WAIT"))</f>
        <v/>
      </c>
      <c r="AS172">
        <f>IF(AP172="YES",IF(SUM(N(X172),N(Y172),N(Z172))&gt;0,"TQQQ","SOXL"),IF(AQ172="YES",IF(SUM(N(AA172),N(AB172),N(AC172))&gt;0,"SQQQ","SOXS"),""))</f>
        <v/>
      </c>
      <c r="AT172" s="23">
        <f>IF(AR172="WAIT","",IF(AS172="",1,0.6))</f>
        <v/>
      </c>
      <c r="AU172" s="23">
        <f>IF(AS172="",0,0.4)</f>
        <v/>
      </c>
      <c r="AV172">
        <f>IF(AR172="WAIT","WAIT",IF(AP172="YES","BULL",IF(AQ172="YES","BEAR","WAIT")))</f>
        <v/>
      </c>
      <c r="AW172">
        <f>IF(AR172="WAIT","Low",IF(OR(AND(AV172="BULL",ABS(SUM(N(X172),N(Y172),N(Z172)))&gt;=0.15),AND(AV172="BEAR",ABS(SUM(N(AA172),N(AB172),N(AC172)))&gt;=0.15)),"Strong",IF(OR(AND(AV172="BULL",ABS(SUM(N(X172),N(Y172),N(Z172)))&gt;=0.05),AND(AV172="BEAR",ABS(SUM(N(AA172),N(AB172),N(AC172)))&gt;=0.05)),"Moderate","Low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13" t="n"/>
      <c r="AF173" s="23">
        <f>IF(OR(AD173="",AD172=""),"",IF(AD172=0,"",(AD173/AD172)-1))</f>
        <v/>
      </c>
      <c r="AG173" s="23">
        <f>IF(ROW()&lt;7,"",IF(OR(AD173="",AD170=""),"",IF(AD170=0,"",(AD173/AD170)-1)))</f>
        <v/>
      </c>
      <c r="AH173" s="23">
        <f>IF(ROW()&lt;9,"",IF(OR(AD173="",AD168=""),"",IF(AD168=0,"",(AD173/AD168)-1)))</f>
        <v/>
      </c>
      <c r="AJ173" s="23">
        <f>IF(OR(AE173="",AE172=""),"",IF(AE172=0,"",(AE173/AE172)-1))</f>
        <v/>
      </c>
      <c r="AK173" s="23">
        <f>IF(ROW()&lt;7,"",IF(OR(AE173="",AE170=""),"",IF(AE170=0,"",(AE173/AE170)-1)))</f>
        <v/>
      </c>
      <c r="AL173" s="23">
        <f>IF(ROW()&lt;9,"",IF(OR(AE173="",AE168=""),"",IF(AE168=0,"",(AE173/AE168)-1)))</f>
        <v/>
      </c>
      <c r="AN173">
        <f>IF(OR(AG173="",AH173=""),"",IF(AND(AG173&gt;0,AH173&gt;0),"Bull",IF(AND(AG173&lt;0,AH173&lt;0),"Bear","Mixed")))</f>
        <v/>
      </c>
      <c r="AO173">
        <f>IF(OR(AK173="",AL173=""),"",IF(AND(AK173&gt;0,AL173&gt;0),"Bull",IF(AND(AK173&lt;0,AL173&lt;0),"Bear","Mixed")))</f>
        <v/>
      </c>
      <c r="AP173">
        <f>IF(OR(AN173="",AO173=""),"",IF(AND(AN173="Bull",AO173="Bull"),"YES","NO"))</f>
        <v/>
      </c>
      <c r="AQ173">
        <f>IF(OR(AN173="",AO173=""),"",IF(AND(AN173="Bear",AO173="Bear"),"YES","NO"))</f>
        <v/>
      </c>
      <c r="AR173">
        <f>IF(AP173="YES",IF(SUM(N(X173),N(Y173),N(Z173))&gt;0,"SOXL","TQQQ"),IF(AQ173="YES",IF(SUM(N(AA173),N(AB173),N(AC173))&gt;0,"SOXS","SQQQ"),"WAIT"))</f>
        <v/>
      </c>
      <c r="AS173">
        <f>IF(AP173="YES",IF(SUM(N(X173),N(Y173),N(Z173))&gt;0,"TQQQ","SOXL"),IF(AQ173="YES",IF(SUM(N(AA173),N(AB173),N(AC173))&gt;0,"SQQQ","SOXS"),""))</f>
        <v/>
      </c>
      <c r="AT173" s="23">
        <f>IF(AR173="WAIT","",IF(AS173="",1,0.6))</f>
        <v/>
      </c>
      <c r="AU173" s="23">
        <f>IF(AS173="",0,0.4)</f>
        <v/>
      </c>
      <c r="AV173">
        <f>IF(AR173="WAIT","WAIT",IF(AP173="YES","BULL",IF(AQ173="YES","BEAR","WAIT")))</f>
        <v/>
      </c>
      <c r="AW173">
        <f>IF(AR173="WAIT","Low",IF(OR(AND(AV173="BULL",ABS(SUM(N(X173),N(Y173),N(Z173)))&gt;=0.15),AND(AV173="BEAR",ABS(SUM(N(AA173),N(AB173),N(AC173)))&gt;=0.15)),"Strong",IF(OR(AND(AV173="BULL",ABS(SUM(N(X173),N(Y173),N(Z173)))&gt;=0.05),AND(AV173="BEAR",ABS(SUM(N(AA173),N(AB173),N(AC173)))&gt;=0.05)),"Moderate","Low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13" t="n"/>
      <c r="AF174" s="23">
        <f>IF(OR(AD174="",AD173=""),"",IF(AD173=0,"",(AD174/AD173)-1))</f>
        <v/>
      </c>
      <c r="AG174" s="23">
        <f>IF(ROW()&lt;7,"",IF(OR(AD174="",AD171=""),"",IF(AD171=0,"",(AD174/AD171)-1)))</f>
        <v/>
      </c>
      <c r="AH174" s="23">
        <f>IF(ROW()&lt;9,"",IF(OR(AD174="",AD169=""),"",IF(AD169=0,"",(AD174/AD169)-1)))</f>
        <v/>
      </c>
      <c r="AJ174" s="23">
        <f>IF(OR(AE174="",AE173=""),"",IF(AE173=0,"",(AE174/AE173)-1))</f>
        <v/>
      </c>
      <c r="AK174" s="23">
        <f>IF(ROW()&lt;7,"",IF(OR(AE174="",AE171=""),"",IF(AE171=0,"",(AE174/AE171)-1)))</f>
        <v/>
      </c>
      <c r="AL174" s="23">
        <f>IF(ROW()&lt;9,"",IF(OR(AE174="",AE169=""),"",IF(AE169=0,"",(AE174/AE169)-1)))</f>
        <v/>
      </c>
      <c r="AN174">
        <f>IF(OR(AG174="",AH174=""),"",IF(AND(AG174&gt;0,AH174&gt;0),"Bull",IF(AND(AG174&lt;0,AH174&lt;0),"Bear","Mixed")))</f>
        <v/>
      </c>
      <c r="AO174">
        <f>IF(OR(AK174="",AL174=""),"",IF(AND(AK174&gt;0,AL174&gt;0),"Bull",IF(AND(AK174&lt;0,AL174&lt;0),"Bear","Mixed")))</f>
        <v/>
      </c>
      <c r="AP174">
        <f>IF(OR(AN174="",AO174=""),"",IF(AND(AN174="Bull",AO174="Bull"),"YES","NO"))</f>
        <v/>
      </c>
      <c r="AQ174">
        <f>IF(OR(AN174="",AO174=""),"",IF(AND(AN174="Bear",AO174="Bear"),"YES","NO"))</f>
        <v/>
      </c>
      <c r="AR174">
        <f>IF(AP174="YES",IF(SUM(N(X174),N(Y174),N(Z174))&gt;0,"SOXL","TQQQ"),IF(AQ174="YES",IF(SUM(N(AA174),N(AB174),N(AC174))&gt;0,"SOXS","SQQQ"),"WAIT"))</f>
        <v/>
      </c>
      <c r="AS174">
        <f>IF(AP174="YES",IF(SUM(N(X174),N(Y174),N(Z174))&gt;0,"TQQQ","SOXL"),IF(AQ174="YES",IF(SUM(N(AA174),N(AB174),N(AC174))&gt;0,"SQQQ","SOXS"),""))</f>
        <v/>
      </c>
      <c r="AT174" s="23">
        <f>IF(AR174="WAIT","",IF(AS174="",1,0.6))</f>
        <v/>
      </c>
      <c r="AU174" s="23">
        <f>IF(AS174="",0,0.4)</f>
        <v/>
      </c>
      <c r="AV174">
        <f>IF(AR174="WAIT","WAIT",IF(AP174="YES","BULL",IF(AQ174="YES","BEAR","WAIT")))</f>
        <v/>
      </c>
      <c r="AW174">
        <f>IF(AR174="WAIT","Low",IF(OR(AND(AV174="BULL",ABS(SUM(N(X174),N(Y174),N(Z174)))&gt;=0.15),AND(AV174="BEAR",ABS(SUM(N(AA174),N(AB174),N(AC174)))&gt;=0.15)),"Strong",IF(OR(AND(AV174="BULL",ABS(SUM(N(X174),N(Y174),N(Z174)))&gt;=0.05),AND(AV174="BEAR",ABS(SUM(N(AA174),N(AB174),N(AC174)))&gt;=0.05)),"Moderate","Low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13" t="n"/>
      <c r="AF175" s="23">
        <f>IF(OR(AD175="",AD174=""),"",IF(AD174=0,"",(AD175/AD174)-1))</f>
        <v/>
      </c>
      <c r="AG175" s="23">
        <f>IF(ROW()&lt;7,"",IF(OR(AD175="",AD172=""),"",IF(AD172=0,"",(AD175/AD172)-1)))</f>
        <v/>
      </c>
      <c r="AH175" s="23">
        <f>IF(ROW()&lt;9,"",IF(OR(AD175="",AD170=""),"",IF(AD170=0,"",(AD175/AD170)-1)))</f>
        <v/>
      </c>
      <c r="AJ175" s="23">
        <f>IF(OR(AE175="",AE174=""),"",IF(AE174=0,"",(AE175/AE174)-1))</f>
        <v/>
      </c>
      <c r="AK175" s="23">
        <f>IF(ROW()&lt;7,"",IF(OR(AE175="",AE172=""),"",IF(AE172=0,"",(AE175/AE172)-1)))</f>
        <v/>
      </c>
      <c r="AL175" s="23">
        <f>IF(ROW()&lt;9,"",IF(OR(AE175="",AE170=""),"",IF(AE170=0,"",(AE175/AE170)-1)))</f>
        <v/>
      </c>
      <c r="AN175">
        <f>IF(OR(AG175="",AH175=""),"",IF(AND(AG175&gt;0,AH175&gt;0),"Bull",IF(AND(AG175&lt;0,AH175&lt;0),"Bear","Mixed")))</f>
        <v/>
      </c>
      <c r="AO175">
        <f>IF(OR(AK175="",AL175=""),"",IF(AND(AK175&gt;0,AL175&gt;0),"Bull",IF(AND(AK175&lt;0,AL175&lt;0),"Bear","Mixed")))</f>
        <v/>
      </c>
      <c r="AP175">
        <f>IF(OR(AN175="",AO175=""),"",IF(AND(AN175="Bull",AO175="Bull"),"YES","NO"))</f>
        <v/>
      </c>
      <c r="AQ175">
        <f>IF(OR(AN175="",AO175=""),"",IF(AND(AN175="Bear",AO175="Bear"),"YES","NO"))</f>
        <v/>
      </c>
      <c r="AR175">
        <f>IF(AP175="YES",IF(SUM(N(X175),N(Y175),N(Z175))&gt;0,"SOXL","TQQQ"),IF(AQ175="YES",IF(SUM(N(AA175),N(AB175),N(AC175))&gt;0,"SOXS","SQQQ"),"WAIT"))</f>
        <v/>
      </c>
      <c r="AS175">
        <f>IF(AP175="YES",IF(SUM(N(X175),N(Y175),N(Z175))&gt;0,"TQQQ","SOXL"),IF(AQ175="YES",IF(SUM(N(AA175),N(AB175),N(AC175))&gt;0,"SQQQ","SOXS"),""))</f>
        <v/>
      </c>
      <c r="AT175" s="23">
        <f>IF(AR175="WAIT","",IF(AS175="",1,0.6))</f>
        <v/>
      </c>
      <c r="AU175" s="23">
        <f>IF(AS175="",0,0.4)</f>
        <v/>
      </c>
      <c r="AV175">
        <f>IF(AR175="WAIT","WAIT",IF(AP175="YES","BULL",IF(AQ175="YES","BEAR","WAIT")))</f>
        <v/>
      </c>
      <c r="AW175">
        <f>IF(AR175="WAIT","Low",IF(OR(AND(AV175="BULL",ABS(SUM(N(X175),N(Y175),N(Z175)))&gt;=0.15),AND(AV175="BEAR",ABS(SUM(N(AA175),N(AB175),N(AC175)))&gt;=0.15)),"Strong",IF(OR(AND(AV175="BULL",ABS(SUM(N(X175),N(Y175),N(Z175)))&gt;=0.05),AND(AV175="BEAR",ABS(SUM(N(AA175),N(AB175),N(AC175)))&gt;=0.05)),"Moderate","Low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13" t="n"/>
      <c r="AF176" s="23">
        <f>IF(OR(AD176="",AD175=""),"",IF(AD175=0,"",(AD176/AD175)-1))</f>
        <v/>
      </c>
      <c r="AG176" s="23">
        <f>IF(ROW()&lt;7,"",IF(OR(AD176="",AD173=""),"",IF(AD173=0,"",(AD176/AD173)-1)))</f>
        <v/>
      </c>
      <c r="AH176" s="23">
        <f>IF(ROW()&lt;9,"",IF(OR(AD176="",AD171=""),"",IF(AD171=0,"",(AD176/AD171)-1)))</f>
        <v/>
      </c>
      <c r="AJ176" s="23">
        <f>IF(OR(AE176="",AE175=""),"",IF(AE175=0,"",(AE176/AE175)-1))</f>
        <v/>
      </c>
      <c r="AK176" s="23">
        <f>IF(ROW()&lt;7,"",IF(OR(AE176="",AE173=""),"",IF(AE173=0,"",(AE176/AE173)-1)))</f>
        <v/>
      </c>
      <c r="AL176" s="23">
        <f>IF(ROW()&lt;9,"",IF(OR(AE176="",AE171=""),"",IF(AE171=0,"",(AE176/AE171)-1)))</f>
        <v/>
      </c>
      <c r="AN176">
        <f>IF(OR(AG176="",AH176=""),"",IF(AND(AG176&gt;0,AH176&gt;0),"Bull",IF(AND(AG176&lt;0,AH176&lt;0),"Bear","Mixed")))</f>
        <v/>
      </c>
      <c r="AO176">
        <f>IF(OR(AK176="",AL176=""),"",IF(AND(AK176&gt;0,AL176&gt;0),"Bull",IF(AND(AK176&lt;0,AL176&lt;0),"Bear","Mixed")))</f>
        <v/>
      </c>
      <c r="AP176">
        <f>IF(OR(AN176="",AO176=""),"",IF(AND(AN176="Bull",AO176="Bull"),"YES","NO"))</f>
        <v/>
      </c>
      <c r="AQ176">
        <f>IF(OR(AN176="",AO176=""),"",IF(AND(AN176="Bear",AO176="Bear"),"YES","NO"))</f>
        <v/>
      </c>
      <c r="AR176">
        <f>IF(AP176="YES",IF(SUM(N(X176),N(Y176),N(Z176))&gt;0,"SOXL","TQQQ"),IF(AQ176="YES",IF(SUM(N(AA176),N(AB176),N(AC176))&gt;0,"SOXS","SQQQ"),"WAIT"))</f>
        <v/>
      </c>
      <c r="AS176">
        <f>IF(AP176="YES",IF(SUM(N(X176),N(Y176),N(Z176))&gt;0,"TQQQ","SOXL"),IF(AQ176="YES",IF(SUM(N(AA176),N(AB176),N(AC176))&gt;0,"SQQQ","SOXS"),""))</f>
        <v/>
      </c>
      <c r="AT176" s="23">
        <f>IF(AR176="WAIT","",IF(AS176="",1,0.6))</f>
        <v/>
      </c>
      <c r="AU176" s="23">
        <f>IF(AS176="",0,0.4)</f>
        <v/>
      </c>
      <c r="AV176">
        <f>IF(AR176="WAIT","WAIT",IF(AP176="YES","BULL",IF(AQ176="YES","BEAR","WAIT")))</f>
        <v/>
      </c>
      <c r="AW176">
        <f>IF(AR176="WAIT","Low",IF(OR(AND(AV176="BULL",ABS(SUM(N(X176),N(Y176),N(Z176)))&gt;=0.15),AND(AV176="BEAR",ABS(SUM(N(AA176),N(AB176),N(AC176)))&gt;=0.15)),"Strong",IF(OR(AND(AV176="BULL",ABS(SUM(N(X176),N(Y176),N(Z176)))&gt;=0.05),AND(AV176="BEAR",ABS(SUM(N(AA176),N(AB176),N(AC176)))&gt;=0.05)),"Moderate","Low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13" t="n"/>
      <c r="AF177" s="23">
        <f>IF(OR(AD177="",AD176=""),"",IF(AD176=0,"",(AD177/AD176)-1))</f>
        <v/>
      </c>
      <c r="AG177" s="23">
        <f>IF(ROW()&lt;7,"",IF(OR(AD177="",AD174=""),"",IF(AD174=0,"",(AD177/AD174)-1)))</f>
        <v/>
      </c>
      <c r="AH177" s="23">
        <f>IF(ROW()&lt;9,"",IF(OR(AD177="",AD172=""),"",IF(AD172=0,"",(AD177/AD172)-1)))</f>
        <v/>
      </c>
      <c r="AJ177" s="23">
        <f>IF(OR(AE177="",AE176=""),"",IF(AE176=0,"",(AE177/AE176)-1))</f>
        <v/>
      </c>
      <c r="AK177" s="23">
        <f>IF(ROW()&lt;7,"",IF(OR(AE177="",AE174=""),"",IF(AE174=0,"",(AE177/AE174)-1)))</f>
        <v/>
      </c>
      <c r="AL177" s="23">
        <f>IF(ROW()&lt;9,"",IF(OR(AE177="",AE172=""),"",IF(AE172=0,"",(AE177/AE172)-1)))</f>
        <v/>
      </c>
      <c r="AN177">
        <f>IF(OR(AG177="",AH177=""),"",IF(AND(AG177&gt;0,AH177&gt;0),"Bull",IF(AND(AG177&lt;0,AH177&lt;0),"Bear","Mixed")))</f>
        <v/>
      </c>
      <c r="AO177">
        <f>IF(OR(AK177="",AL177=""),"",IF(AND(AK177&gt;0,AL177&gt;0),"Bull",IF(AND(AK177&lt;0,AL177&lt;0),"Bear","Mixed")))</f>
        <v/>
      </c>
      <c r="AP177">
        <f>IF(OR(AN177="",AO177=""),"",IF(AND(AN177="Bull",AO177="Bull"),"YES","NO"))</f>
        <v/>
      </c>
      <c r="AQ177">
        <f>IF(OR(AN177="",AO177=""),"",IF(AND(AN177="Bear",AO177="Bear"),"YES","NO"))</f>
        <v/>
      </c>
      <c r="AR177">
        <f>IF(AP177="YES",IF(SUM(N(X177),N(Y177),N(Z177))&gt;0,"SOXL","TQQQ"),IF(AQ177="YES",IF(SUM(N(AA177),N(AB177),N(AC177))&gt;0,"SOXS","SQQQ"),"WAIT"))</f>
        <v/>
      </c>
      <c r="AS177">
        <f>IF(AP177="YES",IF(SUM(N(X177),N(Y177),N(Z177))&gt;0,"TQQQ","SOXL"),IF(AQ177="YES",IF(SUM(N(AA177),N(AB177),N(AC177))&gt;0,"SQQQ","SOXS"),""))</f>
        <v/>
      </c>
      <c r="AT177" s="23">
        <f>IF(AR177="WAIT","",IF(AS177="",1,0.6))</f>
        <v/>
      </c>
      <c r="AU177" s="23">
        <f>IF(AS177="",0,0.4)</f>
        <v/>
      </c>
      <c r="AV177">
        <f>IF(AR177="WAIT","WAIT",IF(AP177="YES","BULL",IF(AQ177="YES","BEAR","WAIT")))</f>
        <v/>
      </c>
      <c r="AW177">
        <f>IF(AR177="WAIT","Low",IF(OR(AND(AV177="BULL",ABS(SUM(N(X177),N(Y177),N(Z177)))&gt;=0.15),AND(AV177="BEAR",ABS(SUM(N(AA177),N(AB177),N(AC177)))&gt;=0.15)),"Strong",IF(OR(AND(AV177="BULL",ABS(SUM(N(X177),N(Y177),N(Z177)))&gt;=0.05),AND(AV177="BEAR",ABS(SUM(N(AA177),N(AB177),N(AC177)))&gt;=0.05)),"Moderate","Low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13" t="n"/>
      <c r="AF178" s="23">
        <f>IF(OR(AD178="",AD177=""),"",IF(AD177=0,"",(AD178/AD177)-1))</f>
        <v/>
      </c>
      <c r="AG178" s="23">
        <f>IF(ROW()&lt;7,"",IF(OR(AD178="",AD175=""),"",IF(AD175=0,"",(AD178/AD175)-1)))</f>
        <v/>
      </c>
      <c r="AH178" s="23">
        <f>IF(ROW()&lt;9,"",IF(OR(AD178="",AD173=""),"",IF(AD173=0,"",(AD178/AD173)-1)))</f>
        <v/>
      </c>
      <c r="AJ178" s="23">
        <f>IF(OR(AE178="",AE177=""),"",IF(AE177=0,"",(AE178/AE177)-1))</f>
        <v/>
      </c>
      <c r="AK178" s="23">
        <f>IF(ROW()&lt;7,"",IF(OR(AE178="",AE175=""),"",IF(AE175=0,"",(AE178/AE175)-1)))</f>
        <v/>
      </c>
      <c r="AL178" s="23">
        <f>IF(ROW()&lt;9,"",IF(OR(AE178="",AE173=""),"",IF(AE173=0,"",(AE178/AE173)-1)))</f>
        <v/>
      </c>
      <c r="AN178">
        <f>IF(OR(AG178="",AH178=""),"",IF(AND(AG178&gt;0,AH178&gt;0),"Bull",IF(AND(AG178&lt;0,AH178&lt;0),"Bear","Mixed")))</f>
        <v/>
      </c>
      <c r="AO178">
        <f>IF(OR(AK178="",AL178=""),"",IF(AND(AK178&gt;0,AL178&gt;0),"Bull",IF(AND(AK178&lt;0,AL178&lt;0),"Bear","Mixed")))</f>
        <v/>
      </c>
      <c r="AP178">
        <f>IF(OR(AN178="",AO178=""),"",IF(AND(AN178="Bull",AO178="Bull"),"YES","NO"))</f>
        <v/>
      </c>
      <c r="AQ178">
        <f>IF(OR(AN178="",AO178=""),"",IF(AND(AN178="Bear",AO178="Bear"),"YES","NO"))</f>
        <v/>
      </c>
      <c r="AR178">
        <f>IF(AP178="YES",IF(SUM(N(X178),N(Y178),N(Z178))&gt;0,"SOXL","TQQQ"),IF(AQ178="YES",IF(SUM(N(AA178),N(AB178),N(AC178))&gt;0,"SOXS","SQQQ"),"WAIT"))</f>
        <v/>
      </c>
      <c r="AS178">
        <f>IF(AP178="YES",IF(SUM(N(X178),N(Y178),N(Z178))&gt;0,"TQQQ","SOXL"),IF(AQ178="YES",IF(SUM(N(AA178),N(AB178),N(AC178))&gt;0,"SQQQ","SOXS"),""))</f>
        <v/>
      </c>
      <c r="AT178" s="23">
        <f>IF(AR178="WAIT","",IF(AS178="",1,0.6))</f>
        <v/>
      </c>
      <c r="AU178" s="23">
        <f>IF(AS178="",0,0.4)</f>
        <v/>
      </c>
      <c r="AV178">
        <f>IF(AR178="WAIT","WAIT",IF(AP178="YES","BULL",IF(AQ178="YES","BEAR","WAIT")))</f>
        <v/>
      </c>
      <c r="AW178">
        <f>IF(AR178="WAIT","Low",IF(OR(AND(AV178="BULL",ABS(SUM(N(X178),N(Y178),N(Z178)))&gt;=0.15),AND(AV178="BEAR",ABS(SUM(N(AA178),N(AB178),N(AC178)))&gt;=0.15)),"Strong",IF(OR(AND(AV178="BULL",ABS(SUM(N(X178),N(Y178),N(Z178)))&gt;=0.05),AND(AV178="BEAR",ABS(SUM(N(AA178),N(AB178),N(AC178)))&gt;=0.05)),"Moderate","Low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13" t="n"/>
      <c r="AF179" s="23">
        <f>IF(OR(AD179="",AD178=""),"",IF(AD178=0,"",(AD179/AD178)-1))</f>
        <v/>
      </c>
      <c r="AG179" s="23">
        <f>IF(ROW()&lt;7,"",IF(OR(AD179="",AD176=""),"",IF(AD176=0,"",(AD179/AD176)-1)))</f>
        <v/>
      </c>
      <c r="AH179" s="23">
        <f>IF(ROW()&lt;9,"",IF(OR(AD179="",AD174=""),"",IF(AD174=0,"",(AD179/AD174)-1)))</f>
        <v/>
      </c>
      <c r="AJ179" s="23">
        <f>IF(OR(AE179="",AE178=""),"",IF(AE178=0,"",(AE179/AE178)-1))</f>
        <v/>
      </c>
      <c r="AK179" s="23">
        <f>IF(ROW()&lt;7,"",IF(OR(AE179="",AE176=""),"",IF(AE176=0,"",(AE179/AE176)-1)))</f>
        <v/>
      </c>
      <c r="AL179" s="23">
        <f>IF(ROW()&lt;9,"",IF(OR(AE179="",AE174=""),"",IF(AE174=0,"",(AE179/AE174)-1)))</f>
        <v/>
      </c>
      <c r="AN179">
        <f>IF(OR(AG179="",AH179=""),"",IF(AND(AG179&gt;0,AH179&gt;0),"Bull",IF(AND(AG179&lt;0,AH179&lt;0),"Bear","Mixed")))</f>
        <v/>
      </c>
      <c r="AO179">
        <f>IF(OR(AK179="",AL179=""),"",IF(AND(AK179&gt;0,AL179&gt;0),"Bull",IF(AND(AK179&lt;0,AL179&lt;0),"Bear","Mixed")))</f>
        <v/>
      </c>
      <c r="AP179">
        <f>IF(OR(AN179="",AO179=""),"",IF(AND(AN179="Bull",AO179="Bull"),"YES","NO"))</f>
        <v/>
      </c>
      <c r="AQ179">
        <f>IF(OR(AN179="",AO179=""),"",IF(AND(AN179="Bear",AO179="Bear"),"YES","NO"))</f>
        <v/>
      </c>
      <c r="AR179">
        <f>IF(AP179="YES",IF(SUM(N(X179),N(Y179),N(Z179))&gt;0,"SOXL","TQQQ"),IF(AQ179="YES",IF(SUM(N(AA179),N(AB179),N(AC179))&gt;0,"SOXS","SQQQ"),"WAIT"))</f>
        <v/>
      </c>
      <c r="AS179">
        <f>IF(AP179="YES",IF(SUM(N(X179),N(Y179),N(Z179))&gt;0,"TQQQ","SOXL"),IF(AQ179="YES",IF(SUM(N(AA179),N(AB179),N(AC179))&gt;0,"SQQQ","SOXS"),""))</f>
        <v/>
      </c>
      <c r="AT179" s="23">
        <f>IF(AR179="WAIT","",IF(AS179="",1,0.6))</f>
        <v/>
      </c>
      <c r="AU179" s="23">
        <f>IF(AS179="",0,0.4)</f>
        <v/>
      </c>
      <c r="AV179">
        <f>IF(AR179="WAIT","WAIT",IF(AP179="YES","BULL",IF(AQ179="YES","BEAR","WAIT")))</f>
        <v/>
      </c>
      <c r="AW179">
        <f>IF(AR179="WAIT","Low",IF(OR(AND(AV179="BULL",ABS(SUM(N(X179),N(Y179),N(Z179)))&gt;=0.15),AND(AV179="BEAR",ABS(SUM(N(AA179),N(AB179),N(AC179)))&gt;=0.15)),"Strong",IF(OR(AND(AV179="BULL",ABS(SUM(N(X179),N(Y179),N(Z179)))&gt;=0.05),AND(AV179="BEAR",ABS(SUM(N(AA179),N(AB179),N(AC179)))&gt;=0.05)),"Moderate","Low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13" t="n"/>
      <c r="AF180" s="23">
        <f>IF(OR(AD180="",AD179=""),"",IF(AD179=0,"",(AD180/AD179)-1))</f>
        <v/>
      </c>
      <c r="AG180" s="23">
        <f>IF(ROW()&lt;7,"",IF(OR(AD180="",AD177=""),"",IF(AD177=0,"",(AD180/AD177)-1)))</f>
        <v/>
      </c>
      <c r="AH180" s="23">
        <f>IF(ROW()&lt;9,"",IF(OR(AD180="",AD175=""),"",IF(AD175=0,"",(AD180/AD175)-1)))</f>
        <v/>
      </c>
      <c r="AJ180" s="23">
        <f>IF(OR(AE180="",AE179=""),"",IF(AE179=0,"",(AE180/AE179)-1))</f>
        <v/>
      </c>
      <c r="AK180" s="23">
        <f>IF(ROW()&lt;7,"",IF(OR(AE180="",AE177=""),"",IF(AE177=0,"",(AE180/AE177)-1)))</f>
        <v/>
      </c>
      <c r="AL180" s="23">
        <f>IF(ROW()&lt;9,"",IF(OR(AE180="",AE175=""),"",IF(AE175=0,"",(AE180/AE175)-1)))</f>
        <v/>
      </c>
      <c r="AN180">
        <f>IF(OR(AG180="",AH180=""),"",IF(AND(AG180&gt;0,AH180&gt;0),"Bull",IF(AND(AG180&lt;0,AH180&lt;0),"Bear","Mixed")))</f>
        <v/>
      </c>
      <c r="AO180">
        <f>IF(OR(AK180="",AL180=""),"",IF(AND(AK180&gt;0,AL180&gt;0),"Bull",IF(AND(AK180&lt;0,AL180&lt;0),"Bear","Mixed")))</f>
        <v/>
      </c>
      <c r="AP180">
        <f>IF(OR(AN180="",AO180=""),"",IF(AND(AN180="Bull",AO180="Bull"),"YES","NO"))</f>
        <v/>
      </c>
      <c r="AQ180">
        <f>IF(OR(AN180="",AO180=""),"",IF(AND(AN180="Bear",AO180="Bear"),"YES","NO"))</f>
        <v/>
      </c>
      <c r="AR180">
        <f>IF(AP180="YES",IF(SUM(N(X180),N(Y180),N(Z180))&gt;0,"SOXL","TQQQ"),IF(AQ180="YES",IF(SUM(N(AA180),N(AB180),N(AC180))&gt;0,"SOXS","SQQQ"),"WAIT"))</f>
        <v/>
      </c>
      <c r="AS180">
        <f>IF(AP180="YES",IF(SUM(N(X180),N(Y180),N(Z180))&gt;0,"TQQQ","SOXL"),IF(AQ180="YES",IF(SUM(N(AA180),N(AB180),N(AC180))&gt;0,"SQQQ","SOXS"),""))</f>
        <v/>
      </c>
      <c r="AT180" s="23">
        <f>IF(AR180="WAIT","",IF(AS180="",1,0.6))</f>
        <v/>
      </c>
      <c r="AU180" s="23">
        <f>IF(AS180="",0,0.4)</f>
        <v/>
      </c>
      <c r="AV180">
        <f>IF(AR180="WAIT","WAIT",IF(AP180="YES","BULL",IF(AQ180="YES","BEAR","WAIT")))</f>
        <v/>
      </c>
      <c r="AW180">
        <f>IF(AR180="WAIT","Low",IF(OR(AND(AV180="BULL",ABS(SUM(N(X180),N(Y180),N(Z180)))&gt;=0.15),AND(AV180="BEAR",ABS(SUM(N(AA180),N(AB180),N(AC180)))&gt;=0.15)),"Strong",IF(OR(AND(AV180="BULL",ABS(SUM(N(X180),N(Y180),N(Z180)))&gt;=0.05),AND(AV180="BEAR",ABS(SUM(N(AA180),N(AB180),N(AC180)))&gt;=0.05)),"Moderate","Low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13" t="n"/>
      <c r="AF181" s="23">
        <f>IF(OR(AD181="",AD180=""),"",IF(AD180=0,"",(AD181/AD180)-1))</f>
        <v/>
      </c>
      <c r="AG181" s="23">
        <f>IF(ROW()&lt;7,"",IF(OR(AD181="",AD178=""),"",IF(AD178=0,"",(AD181/AD178)-1)))</f>
        <v/>
      </c>
      <c r="AH181" s="23">
        <f>IF(ROW()&lt;9,"",IF(OR(AD181="",AD176=""),"",IF(AD176=0,"",(AD181/AD176)-1)))</f>
        <v/>
      </c>
      <c r="AJ181" s="23">
        <f>IF(OR(AE181="",AE180=""),"",IF(AE180=0,"",(AE181/AE180)-1))</f>
        <v/>
      </c>
      <c r="AK181" s="23">
        <f>IF(ROW()&lt;7,"",IF(OR(AE181="",AE178=""),"",IF(AE178=0,"",(AE181/AE178)-1)))</f>
        <v/>
      </c>
      <c r="AL181" s="23">
        <f>IF(ROW()&lt;9,"",IF(OR(AE181="",AE176=""),"",IF(AE176=0,"",(AE181/AE176)-1)))</f>
        <v/>
      </c>
      <c r="AN181">
        <f>IF(OR(AG181="",AH181=""),"",IF(AND(AG181&gt;0,AH181&gt;0),"Bull",IF(AND(AG181&lt;0,AH181&lt;0),"Bear","Mixed")))</f>
        <v/>
      </c>
      <c r="AO181">
        <f>IF(OR(AK181="",AL181=""),"",IF(AND(AK181&gt;0,AL181&gt;0),"Bull",IF(AND(AK181&lt;0,AL181&lt;0),"Bear","Mixed")))</f>
        <v/>
      </c>
      <c r="AP181">
        <f>IF(OR(AN181="",AO181=""),"",IF(AND(AN181="Bull",AO181="Bull"),"YES","NO"))</f>
        <v/>
      </c>
      <c r="AQ181">
        <f>IF(OR(AN181="",AO181=""),"",IF(AND(AN181="Bear",AO181="Bear"),"YES","NO"))</f>
        <v/>
      </c>
      <c r="AR181">
        <f>IF(AP181="YES",IF(SUM(N(X181),N(Y181),N(Z181))&gt;0,"SOXL","TQQQ"),IF(AQ181="YES",IF(SUM(N(AA181),N(AB181),N(AC181))&gt;0,"SOXS","SQQQ"),"WAIT"))</f>
        <v/>
      </c>
      <c r="AS181">
        <f>IF(AP181="YES",IF(SUM(N(X181),N(Y181),N(Z181))&gt;0,"TQQQ","SOXL"),IF(AQ181="YES",IF(SUM(N(AA181),N(AB181),N(AC181))&gt;0,"SQQQ","SOXS"),""))</f>
        <v/>
      </c>
      <c r="AT181" s="23">
        <f>IF(AR181="WAIT","",IF(AS181="",1,0.6))</f>
        <v/>
      </c>
      <c r="AU181" s="23">
        <f>IF(AS181="",0,0.4)</f>
        <v/>
      </c>
      <c r="AV181">
        <f>IF(AR181="WAIT","WAIT",IF(AP181="YES","BULL",IF(AQ181="YES","BEAR","WAIT")))</f>
        <v/>
      </c>
      <c r="AW181">
        <f>IF(AR181="WAIT","Low",IF(OR(AND(AV181="BULL",ABS(SUM(N(X181),N(Y181),N(Z181)))&gt;=0.15),AND(AV181="BEAR",ABS(SUM(N(AA181),N(AB181),N(AC181)))&gt;=0.15)),"Strong",IF(OR(AND(AV181="BULL",ABS(SUM(N(X181),N(Y181),N(Z181)))&gt;=0.05),AND(AV181="BEAR",ABS(SUM(N(AA181),N(AB181),N(AC181)))&gt;=0.05)),"Moderate","Low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13" t="n"/>
      <c r="AF182" s="23">
        <f>IF(OR(AD182="",AD181=""),"",IF(AD181=0,"",(AD182/AD181)-1))</f>
        <v/>
      </c>
      <c r="AG182" s="23">
        <f>IF(ROW()&lt;7,"",IF(OR(AD182="",AD179=""),"",IF(AD179=0,"",(AD182/AD179)-1)))</f>
        <v/>
      </c>
      <c r="AH182" s="23">
        <f>IF(ROW()&lt;9,"",IF(OR(AD182="",AD177=""),"",IF(AD177=0,"",(AD182/AD177)-1)))</f>
        <v/>
      </c>
      <c r="AJ182" s="23">
        <f>IF(OR(AE182="",AE181=""),"",IF(AE181=0,"",(AE182/AE181)-1))</f>
        <v/>
      </c>
      <c r="AK182" s="23">
        <f>IF(ROW()&lt;7,"",IF(OR(AE182="",AE179=""),"",IF(AE179=0,"",(AE182/AE179)-1)))</f>
        <v/>
      </c>
      <c r="AL182" s="23">
        <f>IF(ROW()&lt;9,"",IF(OR(AE182="",AE177=""),"",IF(AE177=0,"",(AE182/AE177)-1)))</f>
        <v/>
      </c>
      <c r="AN182">
        <f>IF(OR(AG182="",AH182=""),"",IF(AND(AG182&gt;0,AH182&gt;0),"Bull",IF(AND(AG182&lt;0,AH182&lt;0),"Bear","Mixed")))</f>
        <v/>
      </c>
      <c r="AO182">
        <f>IF(OR(AK182="",AL182=""),"",IF(AND(AK182&gt;0,AL182&gt;0),"Bull",IF(AND(AK182&lt;0,AL182&lt;0),"Bear","Mixed")))</f>
        <v/>
      </c>
      <c r="AP182">
        <f>IF(OR(AN182="",AO182=""),"",IF(AND(AN182="Bull",AO182="Bull"),"YES","NO"))</f>
        <v/>
      </c>
      <c r="AQ182">
        <f>IF(OR(AN182="",AO182=""),"",IF(AND(AN182="Bear",AO182="Bear"),"YES","NO"))</f>
        <v/>
      </c>
      <c r="AR182">
        <f>IF(AP182="YES",IF(SUM(N(X182),N(Y182),N(Z182))&gt;0,"SOXL","TQQQ"),IF(AQ182="YES",IF(SUM(N(AA182),N(AB182),N(AC182))&gt;0,"SOXS","SQQQ"),"WAIT"))</f>
        <v/>
      </c>
      <c r="AS182">
        <f>IF(AP182="YES",IF(SUM(N(X182),N(Y182),N(Z182))&gt;0,"TQQQ","SOXL"),IF(AQ182="YES",IF(SUM(N(AA182),N(AB182),N(AC182))&gt;0,"SQQQ","SOXS"),""))</f>
        <v/>
      </c>
      <c r="AT182" s="23">
        <f>IF(AR182="WAIT","",IF(AS182="",1,0.6))</f>
        <v/>
      </c>
      <c r="AU182" s="23">
        <f>IF(AS182="",0,0.4)</f>
        <v/>
      </c>
      <c r="AV182">
        <f>IF(AR182="WAIT","WAIT",IF(AP182="YES","BULL",IF(AQ182="YES","BEAR","WAIT")))</f>
        <v/>
      </c>
      <c r="AW182">
        <f>IF(AR182="WAIT","Low",IF(OR(AND(AV182="BULL",ABS(SUM(N(X182),N(Y182),N(Z182)))&gt;=0.15),AND(AV182="BEAR",ABS(SUM(N(AA182),N(AB182),N(AC182)))&gt;=0.15)),"Strong",IF(OR(AND(AV182="BULL",ABS(SUM(N(X182),N(Y182),N(Z182)))&gt;=0.05),AND(AV182="BEAR",ABS(SUM(N(AA182),N(AB182),N(AC182)))&gt;=0.05)),"Moderate","Low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13" t="n"/>
      <c r="AF183" s="23">
        <f>IF(OR(AD183="",AD182=""),"",IF(AD182=0,"",(AD183/AD182)-1))</f>
        <v/>
      </c>
      <c r="AG183" s="23">
        <f>IF(ROW()&lt;7,"",IF(OR(AD183="",AD180=""),"",IF(AD180=0,"",(AD183/AD180)-1)))</f>
        <v/>
      </c>
      <c r="AH183" s="23">
        <f>IF(ROW()&lt;9,"",IF(OR(AD183="",AD178=""),"",IF(AD178=0,"",(AD183/AD178)-1)))</f>
        <v/>
      </c>
      <c r="AJ183" s="23">
        <f>IF(OR(AE183="",AE182=""),"",IF(AE182=0,"",(AE183/AE182)-1))</f>
        <v/>
      </c>
      <c r="AK183" s="23">
        <f>IF(ROW()&lt;7,"",IF(OR(AE183="",AE180=""),"",IF(AE180=0,"",(AE183/AE180)-1)))</f>
        <v/>
      </c>
      <c r="AL183" s="23">
        <f>IF(ROW()&lt;9,"",IF(OR(AE183="",AE178=""),"",IF(AE178=0,"",(AE183/AE178)-1)))</f>
        <v/>
      </c>
      <c r="AN183">
        <f>IF(OR(AG183="",AH183=""),"",IF(AND(AG183&gt;0,AH183&gt;0),"Bull",IF(AND(AG183&lt;0,AH183&lt;0),"Bear","Mixed")))</f>
        <v/>
      </c>
      <c r="AO183">
        <f>IF(OR(AK183="",AL183=""),"",IF(AND(AK183&gt;0,AL183&gt;0),"Bull",IF(AND(AK183&lt;0,AL183&lt;0),"Bear","Mixed")))</f>
        <v/>
      </c>
      <c r="AP183">
        <f>IF(OR(AN183="",AO183=""),"",IF(AND(AN183="Bull",AO183="Bull"),"YES","NO"))</f>
        <v/>
      </c>
      <c r="AQ183">
        <f>IF(OR(AN183="",AO183=""),"",IF(AND(AN183="Bear",AO183="Bear"),"YES","NO"))</f>
        <v/>
      </c>
      <c r="AR183">
        <f>IF(AP183="YES",IF(SUM(N(X183),N(Y183),N(Z183))&gt;0,"SOXL","TQQQ"),IF(AQ183="YES",IF(SUM(N(AA183),N(AB183),N(AC183))&gt;0,"SOXS","SQQQ"),"WAIT"))</f>
        <v/>
      </c>
      <c r="AS183">
        <f>IF(AP183="YES",IF(SUM(N(X183),N(Y183),N(Z183))&gt;0,"TQQQ","SOXL"),IF(AQ183="YES",IF(SUM(N(AA183),N(AB183),N(AC183))&gt;0,"SQQQ","SOXS"),""))</f>
        <v/>
      </c>
      <c r="AT183" s="23">
        <f>IF(AR183="WAIT","",IF(AS183="",1,0.6))</f>
        <v/>
      </c>
      <c r="AU183" s="23">
        <f>IF(AS183="",0,0.4)</f>
        <v/>
      </c>
      <c r="AV183">
        <f>IF(AR183="WAIT","WAIT",IF(AP183="YES","BULL",IF(AQ183="YES","BEAR","WAIT")))</f>
        <v/>
      </c>
      <c r="AW183">
        <f>IF(AR183="WAIT","Low",IF(OR(AND(AV183="BULL",ABS(SUM(N(X183),N(Y183),N(Z183)))&gt;=0.15),AND(AV183="BEAR",ABS(SUM(N(AA183),N(AB183),N(AC183)))&gt;=0.15)),"Strong",IF(OR(AND(AV183="BULL",ABS(SUM(N(X183),N(Y183),N(Z183)))&gt;=0.05),AND(AV183="BEAR",ABS(SUM(N(AA183),N(AB183),N(AC183)))&gt;=0.05)),"Moderate","Low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13" t="n"/>
      <c r="AF184" s="23">
        <f>IF(OR(AD184="",AD183=""),"",IF(AD183=0,"",(AD184/AD183)-1))</f>
        <v/>
      </c>
      <c r="AG184" s="23">
        <f>IF(ROW()&lt;7,"",IF(OR(AD184="",AD181=""),"",IF(AD181=0,"",(AD184/AD181)-1)))</f>
        <v/>
      </c>
      <c r="AH184" s="23">
        <f>IF(ROW()&lt;9,"",IF(OR(AD184="",AD179=""),"",IF(AD179=0,"",(AD184/AD179)-1)))</f>
        <v/>
      </c>
      <c r="AJ184" s="23">
        <f>IF(OR(AE184="",AE183=""),"",IF(AE183=0,"",(AE184/AE183)-1))</f>
        <v/>
      </c>
      <c r="AK184" s="23">
        <f>IF(ROW()&lt;7,"",IF(OR(AE184="",AE181=""),"",IF(AE181=0,"",(AE184/AE181)-1)))</f>
        <v/>
      </c>
      <c r="AL184" s="23">
        <f>IF(ROW()&lt;9,"",IF(OR(AE184="",AE179=""),"",IF(AE179=0,"",(AE184/AE179)-1)))</f>
        <v/>
      </c>
      <c r="AN184">
        <f>IF(OR(AG184="",AH184=""),"",IF(AND(AG184&gt;0,AH184&gt;0),"Bull",IF(AND(AG184&lt;0,AH184&lt;0),"Bear","Mixed")))</f>
        <v/>
      </c>
      <c r="AO184">
        <f>IF(OR(AK184="",AL184=""),"",IF(AND(AK184&gt;0,AL184&gt;0),"Bull",IF(AND(AK184&lt;0,AL184&lt;0),"Bear","Mixed")))</f>
        <v/>
      </c>
      <c r="AP184">
        <f>IF(OR(AN184="",AO184=""),"",IF(AND(AN184="Bull",AO184="Bull"),"YES","NO"))</f>
        <v/>
      </c>
      <c r="AQ184">
        <f>IF(OR(AN184="",AO184=""),"",IF(AND(AN184="Bear",AO184="Bear"),"YES","NO"))</f>
        <v/>
      </c>
      <c r="AR184">
        <f>IF(AP184="YES",IF(SUM(N(X184),N(Y184),N(Z184))&gt;0,"SOXL","TQQQ"),IF(AQ184="YES",IF(SUM(N(AA184),N(AB184),N(AC184))&gt;0,"SOXS","SQQQ"),"WAIT"))</f>
        <v/>
      </c>
      <c r="AS184">
        <f>IF(AP184="YES",IF(SUM(N(X184),N(Y184),N(Z184))&gt;0,"TQQQ","SOXL"),IF(AQ184="YES",IF(SUM(N(AA184),N(AB184),N(AC184))&gt;0,"SQQQ","SOXS"),""))</f>
        <v/>
      </c>
      <c r="AT184" s="23">
        <f>IF(AR184="WAIT","",IF(AS184="",1,0.6))</f>
        <v/>
      </c>
      <c r="AU184" s="23">
        <f>IF(AS184="",0,0.4)</f>
        <v/>
      </c>
      <c r="AV184">
        <f>IF(AR184="WAIT","WAIT",IF(AP184="YES","BULL",IF(AQ184="YES","BEAR","WAIT")))</f>
        <v/>
      </c>
      <c r="AW184">
        <f>IF(AR184="WAIT","Low",IF(OR(AND(AV184="BULL",ABS(SUM(N(X184),N(Y184),N(Z184)))&gt;=0.15),AND(AV184="BEAR",ABS(SUM(N(AA184),N(AB184),N(AC184)))&gt;=0.15)),"Strong",IF(OR(AND(AV184="BULL",ABS(SUM(N(X184),N(Y184),N(Z184)))&gt;=0.05),AND(AV184="BEAR",ABS(SUM(N(AA184),N(AB184),N(AC184)))&gt;=0.05)),"Moderate","Low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13" t="n"/>
      <c r="AF185" s="23">
        <f>IF(OR(AD185="",AD184=""),"",IF(AD184=0,"",(AD185/AD184)-1))</f>
        <v/>
      </c>
      <c r="AG185" s="23">
        <f>IF(ROW()&lt;7,"",IF(OR(AD185="",AD182=""),"",IF(AD182=0,"",(AD185/AD182)-1)))</f>
        <v/>
      </c>
      <c r="AH185" s="23">
        <f>IF(ROW()&lt;9,"",IF(OR(AD185="",AD180=""),"",IF(AD180=0,"",(AD185/AD180)-1)))</f>
        <v/>
      </c>
      <c r="AJ185" s="23">
        <f>IF(OR(AE185="",AE184=""),"",IF(AE184=0,"",(AE185/AE184)-1))</f>
        <v/>
      </c>
      <c r="AK185" s="23">
        <f>IF(ROW()&lt;7,"",IF(OR(AE185="",AE182=""),"",IF(AE182=0,"",(AE185/AE182)-1)))</f>
        <v/>
      </c>
      <c r="AL185" s="23">
        <f>IF(ROW()&lt;9,"",IF(OR(AE185="",AE180=""),"",IF(AE180=0,"",(AE185/AE180)-1)))</f>
        <v/>
      </c>
      <c r="AN185">
        <f>IF(OR(AG185="",AH185=""),"",IF(AND(AG185&gt;0,AH185&gt;0),"Bull",IF(AND(AG185&lt;0,AH185&lt;0),"Bear","Mixed")))</f>
        <v/>
      </c>
      <c r="AO185">
        <f>IF(OR(AK185="",AL185=""),"",IF(AND(AK185&gt;0,AL185&gt;0),"Bull",IF(AND(AK185&lt;0,AL185&lt;0),"Bear","Mixed")))</f>
        <v/>
      </c>
      <c r="AP185">
        <f>IF(OR(AN185="",AO185=""),"",IF(AND(AN185="Bull",AO185="Bull"),"YES","NO"))</f>
        <v/>
      </c>
      <c r="AQ185">
        <f>IF(OR(AN185="",AO185=""),"",IF(AND(AN185="Bear",AO185="Bear"),"YES","NO"))</f>
        <v/>
      </c>
      <c r="AR185">
        <f>IF(AP185="YES",IF(SUM(N(X185),N(Y185),N(Z185))&gt;0,"SOXL","TQQQ"),IF(AQ185="YES",IF(SUM(N(AA185),N(AB185),N(AC185))&gt;0,"SOXS","SQQQ"),"WAIT"))</f>
        <v/>
      </c>
      <c r="AS185">
        <f>IF(AP185="YES",IF(SUM(N(X185),N(Y185),N(Z185))&gt;0,"TQQQ","SOXL"),IF(AQ185="YES",IF(SUM(N(AA185),N(AB185),N(AC185))&gt;0,"SQQQ","SOXS"),""))</f>
        <v/>
      </c>
      <c r="AT185" s="23">
        <f>IF(AR185="WAIT","",IF(AS185="",1,0.6))</f>
        <v/>
      </c>
      <c r="AU185" s="23">
        <f>IF(AS185="",0,0.4)</f>
        <v/>
      </c>
      <c r="AV185">
        <f>IF(AR185="WAIT","WAIT",IF(AP185="YES","BULL",IF(AQ185="YES","BEAR","WAIT")))</f>
        <v/>
      </c>
      <c r="AW185">
        <f>IF(AR185="WAIT","Low",IF(OR(AND(AV185="BULL",ABS(SUM(N(X185),N(Y185),N(Z185)))&gt;=0.15),AND(AV185="BEAR",ABS(SUM(N(AA185),N(AB185),N(AC185)))&gt;=0.15)),"Strong",IF(OR(AND(AV185="BULL",ABS(SUM(N(X185),N(Y185),N(Z185)))&gt;=0.05),AND(AV185="BEAR",ABS(SUM(N(AA185),N(AB185),N(AC185)))&gt;=0.05)),"Moderate","Low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13" t="n"/>
      <c r="AF186" s="23">
        <f>IF(OR(AD186="",AD185=""),"",IF(AD185=0,"",(AD186/AD185)-1))</f>
        <v/>
      </c>
      <c r="AG186" s="23">
        <f>IF(ROW()&lt;7,"",IF(OR(AD186="",AD183=""),"",IF(AD183=0,"",(AD186/AD183)-1)))</f>
        <v/>
      </c>
      <c r="AH186" s="23">
        <f>IF(ROW()&lt;9,"",IF(OR(AD186="",AD181=""),"",IF(AD181=0,"",(AD186/AD181)-1)))</f>
        <v/>
      </c>
      <c r="AJ186" s="23">
        <f>IF(OR(AE186="",AE185=""),"",IF(AE185=0,"",(AE186/AE185)-1))</f>
        <v/>
      </c>
      <c r="AK186" s="23">
        <f>IF(ROW()&lt;7,"",IF(OR(AE186="",AE183=""),"",IF(AE183=0,"",(AE186/AE183)-1)))</f>
        <v/>
      </c>
      <c r="AL186" s="23">
        <f>IF(ROW()&lt;9,"",IF(OR(AE186="",AE181=""),"",IF(AE181=0,"",(AE186/AE181)-1)))</f>
        <v/>
      </c>
      <c r="AN186">
        <f>IF(OR(AG186="",AH186=""),"",IF(AND(AG186&gt;0,AH186&gt;0),"Bull",IF(AND(AG186&lt;0,AH186&lt;0),"Bear","Mixed")))</f>
        <v/>
      </c>
      <c r="AO186">
        <f>IF(OR(AK186="",AL186=""),"",IF(AND(AK186&gt;0,AL186&gt;0),"Bull",IF(AND(AK186&lt;0,AL186&lt;0),"Bear","Mixed")))</f>
        <v/>
      </c>
      <c r="AP186">
        <f>IF(OR(AN186="",AO186=""),"",IF(AND(AN186="Bull",AO186="Bull"),"YES","NO"))</f>
        <v/>
      </c>
      <c r="AQ186">
        <f>IF(OR(AN186="",AO186=""),"",IF(AND(AN186="Bear",AO186="Bear"),"YES","NO"))</f>
        <v/>
      </c>
      <c r="AR186">
        <f>IF(AP186="YES",IF(SUM(N(X186),N(Y186),N(Z186))&gt;0,"SOXL","TQQQ"),IF(AQ186="YES",IF(SUM(N(AA186),N(AB186),N(AC186))&gt;0,"SOXS","SQQQ"),"WAIT"))</f>
        <v/>
      </c>
      <c r="AS186">
        <f>IF(AP186="YES",IF(SUM(N(X186),N(Y186),N(Z186))&gt;0,"TQQQ","SOXL"),IF(AQ186="YES",IF(SUM(N(AA186),N(AB186),N(AC186))&gt;0,"SQQQ","SOXS"),""))</f>
        <v/>
      </c>
      <c r="AT186" s="23">
        <f>IF(AR186="WAIT","",IF(AS186="",1,0.6))</f>
        <v/>
      </c>
      <c r="AU186" s="23">
        <f>IF(AS186="",0,0.4)</f>
        <v/>
      </c>
      <c r="AV186">
        <f>IF(AR186="WAIT","WAIT",IF(AP186="YES","BULL",IF(AQ186="YES","BEAR","WAIT")))</f>
        <v/>
      </c>
      <c r="AW186">
        <f>IF(AR186="WAIT","Low",IF(OR(AND(AV186="BULL",ABS(SUM(N(X186),N(Y186),N(Z186)))&gt;=0.15),AND(AV186="BEAR",ABS(SUM(N(AA186),N(AB186),N(AC186)))&gt;=0.15)),"Strong",IF(OR(AND(AV186="BULL",ABS(SUM(N(X186),N(Y186),N(Z186)))&gt;=0.05),AND(AV186="BEAR",ABS(SUM(N(AA186),N(AB186),N(AC186)))&gt;=0.05)),"Moderate","Low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13" t="n"/>
      <c r="AF187" s="23">
        <f>IF(OR(AD187="",AD186=""),"",IF(AD186=0,"",(AD187/AD186)-1))</f>
        <v/>
      </c>
      <c r="AG187" s="23">
        <f>IF(ROW()&lt;7,"",IF(OR(AD187="",AD184=""),"",IF(AD184=0,"",(AD187/AD184)-1)))</f>
        <v/>
      </c>
      <c r="AH187" s="23">
        <f>IF(ROW()&lt;9,"",IF(OR(AD187="",AD182=""),"",IF(AD182=0,"",(AD187/AD182)-1)))</f>
        <v/>
      </c>
      <c r="AJ187" s="23">
        <f>IF(OR(AE187="",AE186=""),"",IF(AE186=0,"",(AE187/AE186)-1))</f>
        <v/>
      </c>
      <c r="AK187" s="23">
        <f>IF(ROW()&lt;7,"",IF(OR(AE187="",AE184=""),"",IF(AE184=0,"",(AE187/AE184)-1)))</f>
        <v/>
      </c>
      <c r="AL187" s="23">
        <f>IF(ROW()&lt;9,"",IF(OR(AE187="",AE182=""),"",IF(AE182=0,"",(AE187/AE182)-1)))</f>
        <v/>
      </c>
      <c r="AN187">
        <f>IF(OR(AG187="",AH187=""),"",IF(AND(AG187&gt;0,AH187&gt;0),"Bull",IF(AND(AG187&lt;0,AH187&lt;0),"Bear","Mixed")))</f>
        <v/>
      </c>
      <c r="AO187">
        <f>IF(OR(AK187="",AL187=""),"",IF(AND(AK187&gt;0,AL187&gt;0),"Bull",IF(AND(AK187&lt;0,AL187&lt;0),"Bear","Mixed")))</f>
        <v/>
      </c>
      <c r="AP187">
        <f>IF(OR(AN187="",AO187=""),"",IF(AND(AN187="Bull",AO187="Bull"),"YES","NO"))</f>
        <v/>
      </c>
      <c r="AQ187">
        <f>IF(OR(AN187="",AO187=""),"",IF(AND(AN187="Bear",AO187="Bear"),"YES","NO"))</f>
        <v/>
      </c>
      <c r="AR187">
        <f>IF(AP187="YES",IF(SUM(N(X187),N(Y187),N(Z187))&gt;0,"SOXL","TQQQ"),IF(AQ187="YES",IF(SUM(N(AA187),N(AB187),N(AC187))&gt;0,"SOXS","SQQQ"),"WAIT"))</f>
        <v/>
      </c>
      <c r="AS187">
        <f>IF(AP187="YES",IF(SUM(N(X187),N(Y187),N(Z187))&gt;0,"TQQQ","SOXL"),IF(AQ187="YES",IF(SUM(N(AA187),N(AB187),N(AC187))&gt;0,"SQQQ","SOXS"),""))</f>
        <v/>
      </c>
      <c r="AT187" s="23">
        <f>IF(AR187="WAIT","",IF(AS187="",1,0.6))</f>
        <v/>
      </c>
      <c r="AU187" s="23">
        <f>IF(AS187="",0,0.4)</f>
        <v/>
      </c>
      <c r="AV187">
        <f>IF(AR187="WAIT","WAIT",IF(AP187="YES","BULL",IF(AQ187="YES","BEAR","WAIT")))</f>
        <v/>
      </c>
      <c r="AW187">
        <f>IF(AR187="WAIT","Low",IF(OR(AND(AV187="BULL",ABS(SUM(N(X187),N(Y187),N(Z187)))&gt;=0.15),AND(AV187="BEAR",ABS(SUM(N(AA187),N(AB187),N(AC187)))&gt;=0.15)),"Strong",IF(OR(AND(AV187="BULL",ABS(SUM(N(X187),N(Y187),N(Z187)))&gt;=0.05),AND(AV187="BEAR",ABS(SUM(N(AA187),N(AB187),N(AC187)))&gt;=0.05)),"Moderate","Low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13" t="n"/>
      <c r="AF188" s="23">
        <f>IF(OR(AD188="",AD187=""),"",IF(AD187=0,"",(AD188/AD187)-1))</f>
        <v/>
      </c>
      <c r="AG188" s="23">
        <f>IF(ROW()&lt;7,"",IF(OR(AD188="",AD185=""),"",IF(AD185=0,"",(AD188/AD185)-1)))</f>
        <v/>
      </c>
      <c r="AH188" s="23">
        <f>IF(ROW()&lt;9,"",IF(OR(AD188="",AD183=""),"",IF(AD183=0,"",(AD188/AD183)-1)))</f>
        <v/>
      </c>
      <c r="AJ188" s="23">
        <f>IF(OR(AE188="",AE187=""),"",IF(AE187=0,"",(AE188/AE187)-1))</f>
        <v/>
      </c>
      <c r="AK188" s="23">
        <f>IF(ROW()&lt;7,"",IF(OR(AE188="",AE185=""),"",IF(AE185=0,"",(AE188/AE185)-1)))</f>
        <v/>
      </c>
      <c r="AL188" s="23">
        <f>IF(ROW()&lt;9,"",IF(OR(AE188="",AE183=""),"",IF(AE183=0,"",(AE188/AE183)-1)))</f>
        <v/>
      </c>
      <c r="AN188">
        <f>IF(OR(AG188="",AH188=""),"",IF(AND(AG188&gt;0,AH188&gt;0),"Bull",IF(AND(AG188&lt;0,AH188&lt;0),"Bear","Mixed")))</f>
        <v/>
      </c>
      <c r="AO188">
        <f>IF(OR(AK188="",AL188=""),"",IF(AND(AK188&gt;0,AL188&gt;0),"Bull",IF(AND(AK188&lt;0,AL188&lt;0),"Bear","Mixed")))</f>
        <v/>
      </c>
      <c r="AP188">
        <f>IF(OR(AN188="",AO188=""),"",IF(AND(AN188="Bull",AO188="Bull"),"YES","NO"))</f>
        <v/>
      </c>
      <c r="AQ188">
        <f>IF(OR(AN188="",AO188=""),"",IF(AND(AN188="Bear",AO188="Bear"),"YES","NO"))</f>
        <v/>
      </c>
      <c r="AR188">
        <f>IF(AP188="YES",IF(SUM(N(X188),N(Y188),N(Z188))&gt;0,"SOXL","TQQQ"),IF(AQ188="YES",IF(SUM(N(AA188),N(AB188),N(AC188))&gt;0,"SOXS","SQQQ"),"WAIT"))</f>
        <v/>
      </c>
      <c r="AS188">
        <f>IF(AP188="YES",IF(SUM(N(X188),N(Y188),N(Z188))&gt;0,"TQQQ","SOXL"),IF(AQ188="YES",IF(SUM(N(AA188),N(AB188),N(AC188))&gt;0,"SQQQ","SOXS"),""))</f>
        <v/>
      </c>
      <c r="AT188" s="23">
        <f>IF(AR188="WAIT","",IF(AS188="",1,0.6))</f>
        <v/>
      </c>
      <c r="AU188" s="23">
        <f>IF(AS188="",0,0.4)</f>
        <v/>
      </c>
      <c r="AV188">
        <f>IF(AR188="WAIT","WAIT",IF(AP188="YES","BULL",IF(AQ188="YES","BEAR","WAIT")))</f>
        <v/>
      </c>
      <c r="AW188">
        <f>IF(AR188="WAIT","Low",IF(OR(AND(AV188="BULL",ABS(SUM(N(X188),N(Y188),N(Z188)))&gt;=0.15),AND(AV188="BEAR",ABS(SUM(N(AA188),N(AB188),N(AC188)))&gt;=0.15)),"Strong",IF(OR(AND(AV188="BULL",ABS(SUM(N(X188),N(Y188),N(Z188)))&gt;=0.05),AND(AV188="BEAR",ABS(SUM(N(AA188),N(AB188),N(AC188)))&gt;=0.05)),"Moderate","Low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13" t="n"/>
      <c r="AF189" s="23">
        <f>IF(OR(AD189="",AD188=""),"",IF(AD188=0,"",(AD189/AD188)-1))</f>
        <v/>
      </c>
      <c r="AG189" s="23">
        <f>IF(ROW()&lt;7,"",IF(OR(AD189="",AD186=""),"",IF(AD186=0,"",(AD189/AD186)-1)))</f>
        <v/>
      </c>
      <c r="AH189" s="23">
        <f>IF(ROW()&lt;9,"",IF(OR(AD189="",AD184=""),"",IF(AD184=0,"",(AD189/AD184)-1)))</f>
        <v/>
      </c>
      <c r="AJ189" s="23">
        <f>IF(OR(AE189="",AE188=""),"",IF(AE188=0,"",(AE189/AE188)-1))</f>
        <v/>
      </c>
      <c r="AK189" s="23">
        <f>IF(ROW()&lt;7,"",IF(OR(AE189="",AE186=""),"",IF(AE186=0,"",(AE189/AE186)-1)))</f>
        <v/>
      </c>
      <c r="AL189" s="23">
        <f>IF(ROW()&lt;9,"",IF(OR(AE189="",AE184=""),"",IF(AE184=0,"",(AE189/AE184)-1)))</f>
        <v/>
      </c>
      <c r="AN189">
        <f>IF(OR(AG189="",AH189=""),"",IF(AND(AG189&gt;0,AH189&gt;0),"Bull",IF(AND(AG189&lt;0,AH189&lt;0),"Bear","Mixed")))</f>
        <v/>
      </c>
      <c r="AO189">
        <f>IF(OR(AK189="",AL189=""),"",IF(AND(AK189&gt;0,AL189&gt;0),"Bull",IF(AND(AK189&lt;0,AL189&lt;0),"Bear","Mixed")))</f>
        <v/>
      </c>
      <c r="AP189">
        <f>IF(OR(AN189="",AO189=""),"",IF(AND(AN189="Bull",AO189="Bull"),"YES","NO"))</f>
        <v/>
      </c>
      <c r="AQ189">
        <f>IF(OR(AN189="",AO189=""),"",IF(AND(AN189="Bear",AO189="Bear"),"YES","NO"))</f>
        <v/>
      </c>
      <c r="AR189">
        <f>IF(AP189="YES",IF(SUM(N(X189),N(Y189),N(Z189))&gt;0,"SOXL","TQQQ"),IF(AQ189="YES",IF(SUM(N(AA189),N(AB189),N(AC189))&gt;0,"SOXS","SQQQ"),"WAIT"))</f>
        <v/>
      </c>
      <c r="AS189">
        <f>IF(AP189="YES",IF(SUM(N(X189),N(Y189),N(Z189))&gt;0,"TQQQ","SOXL"),IF(AQ189="YES",IF(SUM(N(AA189),N(AB189),N(AC189))&gt;0,"SQQQ","SOXS"),""))</f>
        <v/>
      </c>
      <c r="AT189" s="23">
        <f>IF(AR189="WAIT","",IF(AS189="",1,0.6))</f>
        <v/>
      </c>
      <c r="AU189" s="23">
        <f>IF(AS189="",0,0.4)</f>
        <v/>
      </c>
      <c r="AV189">
        <f>IF(AR189="WAIT","WAIT",IF(AP189="YES","BULL",IF(AQ189="YES","BEAR","WAIT")))</f>
        <v/>
      </c>
      <c r="AW189">
        <f>IF(AR189="WAIT","Low",IF(OR(AND(AV189="BULL",ABS(SUM(N(X189),N(Y189),N(Z189)))&gt;=0.15),AND(AV189="BEAR",ABS(SUM(N(AA189),N(AB189),N(AC189)))&gt;=0.15)),"Strong",IF(OR(AND(AV189="BULL",ABS(SUM(N(X189),N(Y189),N(Z189)))&gt;=0.05),AND(AV189="BEAR",ABS(SUM(N(AA189),N(AB189),N(AC189)))&gt;=0.05)),"Moderate","Low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13" t="n"/>
      <c r="AF190" s="23">
        <f>IF(OR(AD190="",AD189=""),"",IF(AD189=0,"",(AD190/AD189)-1))</f>
        <v/>
      </c>
      <c r="AG190" s="23">
        <f>IF(ROW()&lt;7,"",IF(OR(AD190="",AD187=""),"",IF(AD187=0,"",(AD190/AD187)-1)))</f>
        <v/>
      </c>
      <c r="AH190" s="23">
        <f>IF(ROW()&lt;9,"",IF(OR(AD190="",AD185=""),"",IF(AD185=0,"",(AD190/AD185)-1)))</f>
        <v/>
      </c>
      <c r="AJ190" s="23">
        <f>IF(OR(AE190="",AE189=""),"",IF(AE189=0,"",(AE190/AE189)-1))</f>
        <v/>
      </c>
      <c r="AK190" s="23">
        <f>IF(ROW()&lt;7,"",IF(OR(AE190="",AE187=""),"",IF(AE187=0,"",(AE190/AE187)-1)))</f>
        <v/>
      </c>
      <c r="AL190" s="23">
        <f>IF(ROW()&lt;9,"",IF(OR(AE190="",AE185=""),"",IF(AE185=0,"",(AE190/AE185)-1)))</f>
        <v/>
      </c>
      <c r="AN190">
        <f>IF(OR(AG190="",AH190=""),"",IF(AND(AG190&gt;0,AH190&gt;0),"Bull",IF(AND(AG190&lt;0,AH190&lt;0),"Bear","Mixed")))</f>
        <v/>
      </c>
      <c r="AO190">
        <f>IF(OR(AK190="",AL190=""),"",IF(AND(AK190&gt;0,AL190&gt;0),"Bull",IF(AND(AK190&lt;0,AL190&lt;0),"Bear","Mixed")))</f>
        <v/>
      </c>
      <c r="AP190">
        <f>IF(OR(AN190="",AO190=""),"",IF(AND(AN190="Bull",AO190="Bull"),"YES","NO"))</f>
        <v/>
      </c>
      <c r="AQ190">
        <f>IF(OR(AN190="",AO190=""),"",IF(AND(AN190="Bear",AO190="Bear"),"YES","NO"))</f>
        <v/>
      </c>
      <c r="AR190">
        <f>IF(AP190="YES",IF(SUM(N(X190),N(Y190),N(Z190))&gt;0,"SOXL","TQQQ"),IF(AQ190="YES",IF(SUM(N(AA190),N(AB190),N(AC190))&gt;0,"SOXS","SQQQ"),"WAIT"))</f>
        <v/>
      </c>
      <c r="AS190">
        <f>IF(AP190="YES",IF(SUM(N(X190),N(Y190),N(Z190))&gt;0,"TQQQ","SOXL"),IF(AQ190="YES",IF(SUM(N(AA190),N(AB190),N(AC190))&gt;0,"SQQQ","SOXS"),""))</f>
        <v/>
      </c>
      <c r="AT190" s="23">
        <f>IF(AR190="WAIT","",IF(AS190="",1,0.6))</f>
        <v/>
      </c>
      <c r="AU190" s="23">
        <f>IF(AS190="",0,0.4)</f>
        <v/>
      </c>
      <c r="AV190">
        <f>IF(AR190="WAIT","WAIT",IF(AP190="YES","BULL",IF(AQ190="YES","BEAR","WAIT")))</f>
        <v/>
      </c>
      <c r="AW190">
        <f>IF(AR190="WAIT","Low",IF(OR(AND(AV190="BULL",ABS(SUM(N(X190),N(Y190),N(Z190)))&gt;=0.15),AND(AV190="BEAR",ABS(SUM(N(AA190),N(AB190),N(AC190)))&gt;=0.15)),"Strong",IF(OR(AND(AV190="BULL",ABS(SUM(N(X190),N(Y190),N(Z190)))&gt;=0.05),AND(AV190="BEAR",ABS(SUM(N(AA190),N(AB190),N(AC190)))&gt;=0.05)),"Moderate","Low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13" t="n"/>
      <c r="AF191" s="23">
        <f>IF(OR(AD191="",AD190=""),"",IF(AD190=0,"",(AD191/AD190)-1))</f>
        <v/>
      </c>
      <c r="AG191" s="23">
        <f>IF(ROW()&lt;7,"",IF(OR(AD191="",AD188=""),"",IF(AD188=0,"",(AD191/AD188)-1)))</f>
        <v/>
      </c>
      <c r="AH191" s="23">
        <f>IF(ROW()&lt;9,"",IF(OR(AD191="",AD186=""),"",IF(AD186=0,"",(AD191/AD186)-1)))</f>
        <v/>
      </c>
      <c r="AJ191" s="23">
        <f>IF(OR(AE191="",AE190=""),"",IF(AE190=0,"",(AE191/AE190)-1))</f>
        <v/>
      </c>
      <c r="AK191" s="23">
        <f>IF(ROW()&lt;7,"",IF(OR(AE191="",AE188=""),"",IF(AE188=0,"",(AE191/AE188)-1)))</f>
        <v/>
      </c>
      <c r="AL191" s="23">
        <f>IF(ROW()&lt;9,"",IF(OR(AE191="",AE186=""),"",IF(AE186=0,"",(AE191/AE186)-1)))</f>
        <v/>
      </c>
      <c r="AN191">
        <f>IF(OR(AG191="",AH191=""),"",IF(AND(AG191&gt;0,AH191&gt;0),"Bull",IF(AND(AG191&lt;0,AH191&lt;0),"Bear","Mixed")))</f>
        <v/>
      </c>
      <c r="AO191">
        <f>IF(OR(AK191="",AL191=""),"",IF(AND(AK191&gt;0,AL191&gt;0),"Bull",IF(AND(AK191&lt;0,AL191&lt;0),"Bear","Mixed")))</f>
        <v/>
      </c>
      <c r="AP191">
        <f>IF(OR(AN191="",AO191=""),"",IF(AND(AN191="Bull",AO191="Bull"),"YES","NO"))</f>
        <v/>
      </c>
      <c r="AQ191">
        <f>IF(OR(AN191="",AO191=""),"",IF(AND(AN191="Bear",AO191="Bear"),"YES","NO"))</f>
        <v/>
      </c>
      <c r="AR191">
        <f>IF(AP191="YES",IF(SUM(N(X191),N(Y191),N(Z191))&gt;0,"SOXL","TQQQ"),IF(AQ191="YES",IF(SUM(N(AA191),N(AB191),N(AC191))&gt;0,"SOXS","SQQQ"),"WAIT"))</f>
        <v/>
      </c>
      <c r="AS191">
        <f>IF(AP191="YES",IF(SUM(N(X191),N(Y191),N(Z191))&gt;0,"TQQQ","SOXL"),IF(AQ191="YES",IF(SUM(N(AA191),N(AB191),N(AC191))&gt;0,"SQQQ","SOXS"),""))</f>
        <v/>
      </c>
      <c r="AT191" s="23">
        <f>IF(AR191="WAIT","",IF(AS191="",1,0.6))</f>
        <v/>
      </c>
      <c r="AU191" s="23">
        <f>IF(AS191="",0,0.4)</f>
        <v/>
      </c>
      <c r="AV191">
        <f>IF(AR191="WAIT","WAIT",IF(AP191="YES","BULL",IF(AQ191="YES","BEAR","WAIT")))</f>
        <v/>
      </c>
      <c r="AW191">
        <f>IF(AR191="WAIT","Low",IF(OR(AND(AV191="BULL",ABS(SUM(N(X191),N(Y191),N(Z191)))&gt;=0.15),AND(AV191="BEAR",ABS(SUM(N(AA191),N(AB191),N(AC191)))&gt;=0.15)),"Strong",IF(OR(AND(AV191="BULL",ABS(SUM(N(X191),N(Y191),N(Z191)))&gt;=0.05),AND(AV191="BEAR",ABS(SUM(N(AA191),N(AB191),N(AC191)))&gt;=0.05)),"Moderate","Low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13" t="n"/>
      <c r="AF192" s="23">
        <f>IF(OR(AD192="",AD191=""),"",IF(AD191=0,"",(AD192/AD191)-1))</f>
        <v/>
      </c>
      <c r="AG192" s="23">
        <f>IF(ROW()&lt;7,"",IF(OR(AD192="",AD189=""),"",IF(AD189=0,"",(AD192/AD189)-1)))</f>
        <v/>
      </c>
      <c r="AH192" s="23">
        <f>IF(ROW()&lt;9,"",IF(OR(AD192="",AD187=""),"",IF(AD187=0,"",(AD192/AD187)-1)))</f>
        <v/>
      </c>
      <c r="AJ192" s="23">
        <f>IF(OR(AE192="",AE191=""),"",IF(AE191=0,"",(AE192/AE191)-1))</f>
        <v/>
      </c>
      <c r="AK192" s="23">
        <f>IF(ROW()&lt;7,"",IF(OR(AE192="",AE189=""),"",IF(AE189=0,"",(AE192/AE189)-1)))</f>
        <v/>
      </c>
      <c r="AL192" s="23">
        <f>IF(ROW()&lt;9,"",IF(OR(AE192="",AE187=""),"",IF(AE187=0,"",(AE192/AE187)-1)))</f>
        <v/>
      </c>
      <c r="AN192">
        <f>IF(OR(AG192="",AH192=""),"",IF(AND(AG192&gt;0,AH192&gt;0),"Bull",IF(AND(AG192&lt;0,AH192&lt;0),"Bear","Mixed")))</f>
        <v/>
      </c>
      <c r="AO192">
        <f>IF(OR(AK192="",AL192=""),"",IF(AND(AK192&gt;0,AL192&gt;0),"Bull",IF(AND(AK192&lt;0,AL192&lt;0),"Bear","Mixed")))</f>
        <v/>
      </c>
      <c r="AP192">
        <f>IF(OR(AN192="",AO192=""),"",IF(AND(AN192="Bull",AO192="Bull"),"YES","NO"))</f>
        <v/>
      </c>
      <c r="AQ192">
        <f>IF(OR(AN192="",AO192=""),"",IF(AND(AN192="Bear",AO192="Bear"),"YES","NO"))</f>
        <v/>
      </c>
      <c r="AR192">
        <f>IF(AP192="YES",IF(SUM(N(X192),N(Y192),N(Z192))&gt;0,"SOXL","TQQQ"),IF(AQ192="YES",IF(SUM(N(AA192),N(AB192),N(AC192))&gt;0,"SOXS","SQQQ"),"WAIT"))</f>
        <v/>
      </c>
      <c r="AS192">
        <f>IF(AP192="YES",IF(SUM(N(X192),N(Y192),N(Z192))&gt;0,"TQQQ","SOXL"),IF(AQ192="YES",IF(SUM(N(AA192),N(AB192),N(AC192))&gt;0,"SQQQ","SOXS"),""))</f>
        <v/>
      </c>
      <c r="AT192" s="23">
        <f>IF(AR192="WAIT","",IF(AS192="",1,0.6))</f>
        <v/>
      </c>
      <c r="AU192" s="23">
        <f>IF(AS192="",0,0.4)</f>
        <v/>
      </c>
      <c r="AV192">
        <f>IF(AR192="WAIT","WAIT",IF(AP192="YES","BULL",IF(AQ192="YES","BEAR","WAIT")))</f>
        <v/>
      </c>
      <c r="AW192">
        <f>IF(AR192="WAIT","Low",IF(OR(AND(AV192="BULL",ABS(SUM(N(X192),N(Y192),N(Z192)))&gt;=0.15),AND(AV192="BEAR",ABS(SUM(N(AA192),N(AB192),N(AC192)))&gt;=0.15)),"Strong",IF(OR(AND(AV192="BULL",ABS(SUM(N(X192),N(Y192),N(Z192)))&gt;=0.05),AND(AV192="BEAR",ABS(SUM(N(AA192),N(AB192),N(AC192)))&gt;=0.05)),"Moderate","Low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13" t="n"/>
      <c r="AF193" s="23">
        <f>IF(OR(AD193="",AD192=""),"",IF(AD192=0,"",(AD193/AD192)-1))</f>
        <v/>
      </c>
      <c r="AG193" s="23">
        <f>IF(ROW()&lt;7,"",IF(OR(AD193="",AD190=""),"",IF(AD190=0,"",(AD193/AD190)-1)))</f>
        <v/>
      </c>
      <c r="AH193" s="23">
        <f>IF(ROW()&lt;9,"",IF(OR(AD193="",AD188=""),"",IF(AD188=0,"",(AD193/AD188)-1)))</f>
        <v/>
      </c>
      <c r="AJ193" s="23">
        <f>IF(OR(AE193="",AE192=""),"",IF(AE192=0,"",(AE193/AE192)-1))</f>
        <v/>
      </c>
      <c r="AK193" s="23">
        <f>IF(ROW()&lt;7,"",IF(OR(AE193="",AE190=""),"",IF(AE190=0,"",(AE193/AE190)-1)))</f>
        <v/>
      </c>
      <c r="AL193" s="23">
        <f>IF(ROW()&lt;9,"",IF(OR(AE193="",AE188=""),"",IF(AE188=0,"",(AE193/AE188)-1)))</f>
        <v/>
      </c>
      <c r="AN193">
        <f>IF(OR(AG193="",AH193=""),"",IF(AND(AG193&gt;0,AH193&gt;0),"Bull",IF(AND(AG193&lt;0,AH193&lt;0),"Bear","Mixed")))</f>
        <v/>
      </c>
      <c r="AO193">
        <f>IF(OR(AK193="",AL193=""),"",IF(AND(AK193&gt;0,AL193&gt;0),"Bull",IF(AND(AK193&lt;0,AL193&lt;0),"Bear","Mixed")))</f>
        <v/>
      </c>
      <c r="AP193">
        <f>IF(OR(AN193="",AO193=""),"",IF(AND(AN193="Bull",AO193="Bull"),"YES","NO"))</f>
        <v/>
      </c>
      <c r="AQ193">
        <f>IF(OR(AN193="",AO193=""),"",IF(AND(AN193="Bear",AO193="Bear"),"YES","NO"))</f>
        <v/>
      </c>
      <c r="AR193">
        <f>IF(AP193="YES",IF(SUM(N(X193),N(Y193),N(Z193))&gt;0,"SOXL","TQQQ"),IF(AQ193="YES",IF(SUM(N(AA193),N(AB193),N(AC193))&gt;0,"SOXS","SQQQ"),"WAIT"))</f>
        <v/>
      </c>
      <c r="AS193">
        <f>IF(AP193="YES",IF(SUM(N(X193),N(Y193),N(Z193))&gt;0,"TQQQ","SOXL"),IF(AQ193="YES",IF(SUM(N(AA193),N(AB193),N(AC193))&gt;0,"SQQQ","SOXS"),""))</f>
        <v/>
      </c>
      <c r="AT193" s="23">
        <f>IF(AR193="WAIT","",IF(AS193="",1,0.6))</f>
        <v/>
      </c>
      <c r="AU193" s="23">
        <f>IF(AS193="",0,0.4)</f>
        <v/>
      </c>
      <c r="AV193">
        <f>IF(AR193="WAIT","WAIT",IF(AP193="YES","BULL",IF(AQ193="YES","BEAR","WAIT")))</f>
        <v/>
      </c>
      <c r="AW193">
        <f>IF(AR193="WAIT","Low",IF(OR(AND(AV193="BULL",ABS(SUM(N(X193),N(Y193),N(Z193)))&gt;=0.15),AND(AV193="BEAR",ABS(SUM(N(AA193),N(AB193),N(AC193)))&gt;=0.15)),"Strong",IF(OR(AND(AV193="BULL",ABS(SUM(N(X193),N(Y193),N(Z193)))&gt;=0.05),AND(AV193="BEAR",ABS(SUM(N(AA193),N(AB193),N(AC193)))&gt;=0.05)),"Moderate","Low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13" t="n"/>
      <c r="AF194" s="23">
        <f>IF(OR(AD194="",AD193=""),"",IF(AD193=0,"",(AD194/AD193)-1))</f>
        <v/>
      </c>
      <c r="AG194" s="23">
        <f>IF(ROW()&lt;7,"",IF(OR(AD194="",AD191=""),"",IF(AD191=0,"",(AD194/AD191)-1)))</f>
        <v/>
      </c>
      <c r="AH194" s="23">
        <f>IF(ROW()&lt;9,"",IF(OR(AD194="",AD189=""),"",IF(AD189=0,"",(AD194/AD189)-1)))</f>
        <v/>
      </c>
      <c r="AJ194" s="23">
        <f>IF(OR(AE194="",AE193=""),"",IF(AE193=0,"",(AE194/AE193)-1))</f>
        <v/>
      </c>
      <c r="AK194" s="23">
        <f>IF(ROW()&lt;7,"",IF(OR(AE194="",AE191=""),"",IF(AE191=0,"",(AE194/AE191)-1)))</f>
        <v/>
      </c>
      <c r="AL194" s="23">
        <f>IF(ROW()&lt;9,"",IF(OR(AE194="",AE189=""),"",IF(AE189=0,"",(AE194/AE189)-1)))</f>
        <v/>
      </c>
      <c r="AN194">
        <f>IF(OR(AG194="",AH194=""),"",IF(AND(AG194&gt;0,AH194&gt;0),"Bull",IF(AND(AG194&lt;0,AH194&lt;0),"Bear","Mixed")))</f>
        <v/>
      </c>
      <c r="AO194">
        <f>IF(OR(AK194="",AL194=""),"",IF(AND(AK194&gt;0,AL194&gt;0),"Bull",IF(AND(AK194&lt;0,AL194&lt;0),"Bear","Mixed")))</f>
        <v/>
      </c>
      <c r="AP194">
        <f>IF(OR(AN194="",AO194=""),"",IF(AND(AN194="Bull",AO194="Bull"),"YES","NO"))</f>
        <v/>
      </c>
      <c r="AQ194">
        <f>IF(OR(AN194="",AO194=""),"",IF(AND(AN194="Bear",AO194="Bear"),"YES","NO"))</f>
        <v/>
      </c>
      <c r="AR194">
        <f>IF(AP194="YES",IF(SUM(N(X194),N(Y194),N(Z194))&gt;0,"SOXL","TQQQ"),IF(AQ194="YES",IF(SUM(N(AA194),N(AB194),N(AC194))&gt;0,"SOXS","SQQQ"),"WAIT"))</f>
        <v/>
      </c>
      <c r="AS194">
        <f>IF(AP194="YES",IF(SUM(N(X194),N(Y194),N(Z194))&gt;0,"TQQQ","SOXL"),IF(AQ194="YES",IF(SUM(N(AA194),N(AB194),N(AC194))&gt;0,"SQQQ","SOXS"),""))</f>
        <v/>
      </c>
      <c r="AT194" s="23">
        <f>IF(AR194="WAIT","",IF(AS194="",1,0.6))</f>
        <v/>
      </c>
      <c r="AU194" s="23">
        <f>IF(AS194="",0,0.4)</f>
        <v/>
      </c>
      <c r="AV194">
        <f>IF(AR194="WAIT","WAIT",IF(AP194="YES","BULL",IF(AQ194="YES","BEAR","WAIT")))</f>
        <v/>
      </c>
      <c r="AW194">
        <f>IF(AR194="WAIT","Low",IF(OR(AND(AV194="BULL",ABS(SUM(N(X194),N(Y194),N(Z194)))&gt;=0.15),AND(AV194="BEAR",ABS(SUM(N(AA194),N(AB194),N(AC194)))&gt;=0.15)),"Strong",IF(OR(AND(AV194="BULL",ABS(SUM(N(X194),N(Y194),N(Z194)))&gt;=0.05),AND(AV194="BEAR",ABS(SUM(N(AA194),N(AB194),N(AC194)))&gt;=0.05)),"Moderate","Low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13" t="n"/>
      <c r="AF195" s="23">
        <f>IF(OR(AD195="",AD194=""),"",IF(AD194=0,"",(AD195/AD194)-1))</f>
        <v/>
      </c>
      <c r="AG195" s="23">
        <f>IF(ROW()&lt;7,"",IF(OR(AD195="",AD192=""),"",IF(AD192=0,"",(AD195/AD192)-1)))</f>
        <v/>
      </c>
      <c r="AH195" s="23">
        <f>IF(ROW()&lt;9,"",IF(OR(AD195="",AD190=""),"",IF(AD190=0,"",(AD195/AD190)-1)))</f>
        <v/>
      </c>
      <c r="AJ195" s="23">
        <f>IF(OR(AE195="",AE194=""),"",IF(AE194=0,"",(AE195/AE194)-1))</f>
        <v/>
      </c>
      <c r="AK195" s="23">
        <f>IF(ROW()&lt;7,"",IF(OR(AE195="",AE192=""),"",IF(AE192=0,"",(AE195/AE192)-1)))</f>
        <v/>
      </c>
      <c r="AL195" s="23">
        <f>IF(ROW()&lt;9,"",IF(OR(AE195="",AE190=""),"",IF(AE190=0,"",(AE195/AE190)-1)))</f>
        <v/>
      </c>
      <c r="AN195">
        <f>IF(OR(AG195="",AH195=""),"",IF(AND(AG195&gt;0,AH195&gt;0),"Bull",IF(AND(AG195&lt;0,AH195&lt;0),"Bear","Mixed")))</f>
        <v/>
      </c>
      <c r="AO195">
        <f>IF(OR(AK195="",AL195=""),"",IF(AND(AK195&gt;0,AL195&gt;0),"Bull",IF(AND(AK195&lt;0,AL195&lt;0),"Bear","Mixed")))</f>
        <v/>
      </c>
      <c r="AP195">
        <f>IF(OR(AN195="",AO195=""),"",IF(AND(AN195="Bull",AO195="Bull"),"YES","NO"))</f>
        <v/>
      </c>
      <c r="AQ195">
        <f>IF(OR(AN195="",AO195=""),"",IF(AND(AN195="Bear",AO195="Bear"),"YES","NO"))</f>
        <v/>
      </c>
      <c r="AR195">
        <f>IF(AP195="YES",IF(SUM(N(X195),N(Y195),N(Z195))&gt;0,"SOXL","TQQQ"),IF(AQ195="YES",IF(SUM(N(AA195),N(AB195),N(AC195))&gt;0,"SOXS","SQQQ"),"WAIT"))</f>
        <v/>
      </c>
      <c r="AS195">
        <f>IF(AP195="YES",IF(SUM(N(X195),N(Y195),N(Z195))&gt;0,"TQQQ","SOXL"),IF(AQ195="YES",IF(SUM(N(AA195),N(AB195),N(AC195))&gt;0,"SQQQ","SOXS"),""))</f>
        <v/>
      </c>
      <c r="AT195" s="23">
        <f>IF(AR195="WAIT","",IF(AS195="",1,0.6))</f>
        <v/>
      </c>
      <c r="AU195" s="23">
        <f>IF(AS195="",0,0.4)</f>
        <v/>
      </c>
      <c r="AV195">
        <f>IF(AR195="WAIT","WAIT",IF(AP195="YES","BULL",IF(AQ195="YES","BEAR","WAIT")))</f>
        <v/>
      </c>
      <c r="AW195">
        <f>IF(AR195="WAIT","Low",IF(OR(AND(AV195="BULL",ABS(SUM(N(X195),N(Y195),N(Z195)))&gt;=0.15),AND(AV195="BEAR",ABS(SUM(N(AA195),N(AB195),N(AC195)))&gt;=0.15)),"Strong",IF(OR(AND(AV195="BULL",ABS(SUM(N(X195),N(Y195),N(Z195)))&gt;=0.05),AND(AV195="BEAR",ABS(SUM(N(AA195),N(AB195),N(AC195)))&gt;=0.05)),"Moderate","Low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13" t="n"/>
      <c r="AF196" s="23">
        <f>IF(OR(AD196="",AD195=""),"",IF(AD195=0,"",(AD196/AD195)-1))</f>
        <v/>
      </c>
      <c r="AG196" s="23">
        <f>IF(ROW()&lt;7,"",IF(OR(AD196="",AD193=""),"",IF(AD193=0,"",(AD196/AD193)-1)))</f>
        <v/>
      </c>
      <c r="AH196" s="23">
        <f>IF(ROW()&lt;9,"",IF(OR(AD196="",AD191=""),"",IF(AD191=0,"",(AD196/AD191)-1)))</f>
        <v/>
      </c>
      <c r="AJ196" s="23">
        <f>IF(OR(AE196="",AE195=""),"",IF(AE195=0,"",(AE196/AE195)-1))</f>
        <v/>
      </c>
      <c r="AK196" s="23">
        <f>IF(ROW()&lt;7,"",IF(OR(AE196="",AE193=""),"",IF(AE193=0,"",(AE196/AE193)-1)))</f>
        <v/>
      </c>
      <c r="AL196" s="23">
        <f>IF(ROW()&lt;9,"",IF(OR(AE196="",AE191=""),"",IF(AE191=0,"",(AE196/AE191)-1)))</f>
        <v/>
      </c>
      <c r="AN196">
        <f>IF(OR(AG196="",AH196=""),"",IF(AND(AG196&gt;0,AH196&gt;0),"Bull",IF(AND(AG196&lt;0,AH196&lt;0),"Bear","Mixed")))</f>
        <v/>
      </c>
      <c r="AO196">
        <f>IF(OR(AK196="",AL196=""),"",IF(AND(AK196&gt;0,AL196&gt;0),"Bull",IF(AND(AK196&lt;0,AL196&lt;0),"Bear","Mixed")))</f>
        <v/>
      </c>
      <c r="AP196">
        <f>IF(OR(AN196="",AO196=""),"",IF(AND(AN196="Bull",AO196="Bull"),"YES","NO"))</f>
        <v/>
      </c>
      <c r="AQ196">
        <f>IF(OR(AN196="",AO196=""),"",IF(AND(AN196="Bear",AO196="Bear"),"YES","NO"))</f>
        <v/>
      </c>
      <c r="AR196">
        <f>IF(AP196="YES",IF(SUM(N(X196),N(Y196),N(Z196))&gt;0,"SOXL","TQQQ"),IF(AQ196="YES",IF(SUM(N(AA196),N(AB196),N(AC196))&gt;0,"SOXS","SQQQ"),"WAIT"))</f>
        <v/>
      </c>
      <c r="AS196">
        <f>IF(AP196="YES",IF(SUM(N(X196),N(Y196),N(Z196))&gt;0,"TQQQ","SOXL"),IF(AQ196="YES",IF(SUM(N(AA196),N(AB196),N(AC196))&gt;0,"SQQQ","SOXS"),""))</f>
        <v/>
      </c>
      <c r="AT196" s="23">
        <f>IF(AR196="WAIT","",IF(AS196="",1,0.6))</f>
        <v/>
      </c>
      <c r="AU196" s="23">
        <f>IF(AS196="",0,0.4)</f>
        <v/>
      </c>
      <c r="AV196">
        <f>IF(AR196="WAIT","WAIT",IF(AP196="YES","BULL",IF(AQ196="YES","BEAR","WAIT")))</f>
        <v/>
      </c>
      <c r="AW196">
        <f>IF(AR196="WAIT","Low",IF(OR(AND(AV196="BULL",ABS(SUM(N(X196),N(Y196),N(Z196)))&gt;=0.15),AND(AV196="BEAR",ABS(SUM(N(AA196),N(AB196),N(AC196)))&gt;=0.15)),"Strong",IF(OR(AND(AV196="BULL",ABS(SUM(N(X196),N(Y196),N(Z196)))&gt;=0.05),AND(AV196="BEAR",ABS(SUM(N(AA196),N(AB196),N(AC196)))&gt;=0.05)),"Moderate","Low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13" t="n"/>
      <c r="AF197" s="23">
        <f>IF(OR(AD197="",AD196=""),"",IF(AD196=0,"",(AD197/AD196)-1))</f>
        <v/>
      </c>
      <c r="AG197" s="23">
        <f>IF(ROW()&lt;7,"",IF(OR(AD197="",AD194=""),"",IF(AD194=0,"",(AD197/AD194)-1)))</f>
        <v/>
      </c>
      <c r="AH197" s="23">
        <f>IF(ROW()&lt;9,"",IF(OR(AD197="",AD192=""),"",IF(AD192=0,"",(AD197/AD192)-1)))</f>
        <v/>
      </c>
      <c r="AJ197" s="23">
        <f>IF(OR(AE197="",AE196=""),"",IF(AE196=0,"",(AE197/AE196)-1))</f>
        <v/>
      </c>
      <c r="AK197" s="23">
        <f>IF(ROW()&lt;7,"",IF(OR(AE197="",AE194=""),"",IF(AE194=0,"",(AE197/AE194)-1)))</f>
        <v/>
      </c>
      <c r="AL197" s="23">
        <f>IF(ROW()&lt;9,"",IF(OR(AE197="",AE192=""),"",IF(AE192=0,"",(AE197/AE192)-1)))</f>
        <v/>
      </c>
      <c r="AN197">
        <f>IF(OR(AG197="",AH197=""),"",IF(AND(AG197&gt;0,AH197&gt;0),"Bull",IF(AND(AG197&lt;0,AH197&lt;0),"Bear","Mixed")))</f>
        <v/>
      </c>
      <c r="AO197">
        <f>IF(OR(AK197="",AL197=""),"",IF(AND(AK197&gt;0,AL197&gt;0),"Bull",IF(AND(AK197&lt;0,AL197&lt;0),"Bear","Mixed")))</f>
        <v/>
      </c>
      <c r="AP197">
        <f>IF(OR(AN197="",AO197=""),"",IF(AND(AN197="Bull",AO197="Bull"),"YES","NO"))</f>
        <v/>
      </c>
      <c r="AQ197">
        <f>IF(OR(AN197="",AO197=""),"",IF(AND(AN197="Bear",AO197="Bear"),"YES","NO"))</f>
        <v/>
      </c>
      <c r="AR197">
        <f>IF(AP197="YES",IF(SUM(N(X197),N(Y197),N(Z197))&gt;0,"SOXL","TQQQ"),IF(AQ197="YES",IF(SUM(N(AA197),N(AB197),N(AC197))&gt;0,"SOXS","SQQQ"),"WAIT"))</f>
        <v/>
      </c>
      <c r="AS197">
        <f>IF(AP197="YES",IF(SUM(N(X197),N(Y197),N(Z197))&gt;0,"TQQQ","SOXL"),IF(AQ197="YES",IF(SUM(N(AA197),N(AB197),N(AC197))&gt;0,"SQQQ","SOXS"),""))</f>
        <v/>
      </c>
      <c r="AT197" s="23">
        <f>IF(AR197="WAIT","",IF(AS197="",1,0.6))</f>
        <v/>
      </c>
      <c r="AU197" s="23">
        <f>IF(AS197="",0,0.4)</f>
        <v/>
      </c>
      <c r="AV197">
        <f>IF(AR197="WAIT","WAIT",IF(AP197="YES","BULL",IF(AQ197="YES","BEAR","WAIT")))</f>
        <v/>
      </c>
      <c r="AW197">
        <f>IF(AR197="WAIT","Low",IF(OR(AND(AV197="BULL",ABS(SUM(N(X197),N(Y197),N(Z197)))&gt;=0.15),AND(AV197="BEAR",ABS(SUM(N(AA197),N(AB197),N(AC197)))&gt;=0.15)),"Strong",IF(OR(AND(AV197="BULL",ABS(SUM(N(X197),N(Y197),N(Z197)))&gt;=0.05),AND(AV197="BEAR",ABS(SUM(N(AA197),N(AB197),N(AC197)))&gt;=0.05)),"Moderate","Low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13" t="n"/>
      <c r="AF198" s="23">
        <f>IF(OR(AD198="",AD197=""),"",IF(AD197=0,"",(AD198/AD197)-1))</f>
        <v/>
      </c>
      <c r="AG198" s="23">
        <f>IF(ROW()&lt;7,"",IF(OR(AD198="",AD195=""),"",IF(AD195=0,"",(AD198/AD195)-1)))</f>
        <v/>
      </c>
      <c r="AH198" s="23">
        <f>IF(ROW()&lt;9,"",IF(OR(AD198="",AD193=""),"",IF(AD193=0,"",(AD198/AD193)-1)))</f>
        <v/>
      </c>
      <c r="AJ198" s="23">
        <f>IF(OR(AE198="",AE197=""),"",IF(AE197=0,"",(AE198/AE197)-1))</f>
        <v/>
      </c>
      <c r="AK198" s="23">
        <f>IF(ROW()&lt;7,"",IF(OR(AE198="",AE195=""),"",IF(AE195=0,"",(AE198/AE195)-1)))</f>
        <v/>
      </c>
      <c r="AL198" s="23">
        <f>IF(ROW()&lt;9,"",IF(OR(AE198="",AE193=""),"",IF(AE193=0,"",(AE198/AE193)-1)))</f>
        <v/>
      </c>
      <c r="AN198">
        <f>IF(OR(AG198="",AH198=""),"",IF(AND(AG198&gt;0,AH198&gt;0),"Bull",IF(AND(AG198&lt;0,AH198&lt;0),"Bear","Mixed")))</f>
        <v/>
      </c>
      <c r="AO198">
        <f>IF(OR(AK198="",AL198=""),"",IF(AND(AK198&gt;0,AL198&gt;0),"Bull",IF(AND(AK198&lt;0,AL198&lt;0),"Bear","Mixed")))</f>
        <v/>
      </c>
      <c r="AP198">
        <f>IF(OR(AN198="",AO198=""),"",IF(AND(AN198="Bull",AO198="Bull"),"YES","NO"))</f>
        <v/>
      </c>
      <c r="AQ198">
        <f>IF(OR(AN198="",AO198=""),"",IF(AND(AN198="Bear",AO198="Bear"),"YES","NO"))</f>
        <v/>
      </c>
      <c r="AR198">
        <f>IF(AP198="YES",IF(SUM(N(X198),N(Y198),N(Z198))&gt;0,"SOXL","TQQQ"),IF(AQ198="YES",IF(SUM(N(AA198),N(AB198),N(AC198))&gt;0,"SOXS","SQQQ"),"WAIT"))</f>
        <v/>
      </c>
      <c r="AS198">
        <f>IF(AP198="YES",IF(SUM(N(X198),N(Y198),N(Z198))&gt;0,"TQQQ","SOXL"),IF(AQ198="YES",IF(SUM(N(AA198),N(AB198),N(AC198))&gt;0,"SQQQ","SOXS"),""))</f>
        <v/>
      </c>
      <c r="AT198" s="23">
        <f>IF(AR198="WAIT","",IF(AS198="",1,0.6))</f>
        <v/>
      </c>
      <c r="AU198" s="23">
        <f>IF(AS198="",0,0.4)</f>
        <v/>
      </c>
      <c r="AV198">
        <f>IF(AR198="WAIT","WAIT",IF(AP198="YES","BULL",IF(AQ198="YES","BEAR","WAIT")))</f>
        <v/>
      </c>
      <c r="AW198">
        <f>IF(AR198="WAIT","Low",IF(OR(AND(AV198="BULL",ABS(SUM(N(X198),N(Y198),N(Z198)))&gt;=0.15),AND(AV198="BEAR",ABS(SUM(N(AA198),N(AB198),N(AC198)))&gt;=0.15)),"Strong",IF(OR(AND(AV198="BULL",ABS(SUM(N(X198),N(Y198),N(Z198)))&gt;=0.05),AND(AV198="BEAR",ABS(SUM(N(AA198),N(AB198),N(AC198)))&gt;=0.05)),"Moderate","Low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13" t="n"/>
      <c r="AF199" s="23">
        <f>IF(OR(AD199="",AD198=""),"",IF(AD198=0,"",(AD199/AD198)-1))</f>
        <v/>
      </c>
      <c r="AG199" s="23">
        <f>IF(ROW()&lt;7,"",IF(OR(AD199="",AD196=""),"",IF(AD196=0,"",(AD199/AD196)-1)))</f>
        <v/>
      </c>
      <c r="AH199" s="23">
        <f>IF(ROW()&lt;9,"",IF(OR(AD199="",AD194=""),"",IF(AD194=0,"",(AD199/AD194)-1)))</f>
        <v/>
      </c>
      <c r="AJ199" s="23">
        <f>IF(OR(AE199="",AE198=""),"",IF(AE198=0,"",(AE199/AE198)-1))</f>
        <v/>
      </c>
      <c r="AK199" s="23">
        <f>IF(ROW()&lt;7,"",IF(OR(AE199="",AE196=""),"",IF(AE196=0,"",(AE199/AE196)-1)))</f>
        <v/>
      </c>
      <c r="AL199" s="23">
        <f>IF(ROW()&lt;9,"",IF(OR(AE199="",AE194=""),"",IF(AE194=0,"",(AE199/AE194)-1)))</f>
        <v/>
      </c>
      <c r="AN199">
        <f>IF(OR(AG199="",AH199=""),"",IF(AND(AG199&gt;0,AH199&gt;0),"Bull",IF(AND(AG199&lt;0,AH199&lt;0),"Bear","Mixed")))</f>
        <v/>
      </c>
      <c r="AO199">
        <f>IF(OR(AK199="",AL199=""),"",IF(AND(AK199&gt;0,AL199&gt;0),"Bull",IF(AND(AK199&lt;0,AL199&lt;0),"Bear","Mixed")))</f>
        <v/>
      </c>
      <c r="AP199">
        <f>IF(OR(AN199="",AO199=""),"",IF(AND(AN199="Bull",AO199="Bull"),"YES","NO"))</f>
        <v/>
      </c>
      <c r="AQ199">
        <f>IF(OR(AN199="",AO199=""),"",IF(AND(AN199="Bear",AO199="Bear"),"YES","NO"))</f>
        <v/>
      </c>
      <c r="AR199">
        <f>IF(AP199="YES",IF(SUM(N(X199),N(Y199),N(Z199))&gt;0,"SOXL","TQQQ"),IF(AQ199="YES",IF(SUM(N(AA199),N(AB199),N(AC199))&gt;0,"SOXS","SQQQ"),"WAIT"))</f>
        <v/>
      </c>
      <c r="AS199">
        <f>IF(AP199="YES",IF(SUM(N(X199),N(Y199),N(Z199))&gt;0,"TQQQ","SOXL"),IF(AQ199="YES",IF(SUM(N(AA199),N(AB199),N(AC199))&gt;0,"SQQQ","SOXS"),""))</f>
        <v/>
      </c>
      <c r="AT199" s="23">
        <f>IF(AR199="WAIT","",IF(AS199="",1,0.6))</f>
        <v/>
      </c>
      <c r="AU199" s="23">
        <f>IF(AS199="",0,0.4)</f>
        <v/>
      </c>
      <c r="AV199">
        <f>IF(AR199="WAIT","WAIT",IF(AP199="YES","BULL",IF(AQ199="YES","BEAR","WAIT")))</f>
        <v/>
      </c>
      <c r="AW199">
        <f>IF(AR199="WAIT","Low",IF(OR(AND(AV199="BULL",ABS(SUM(N(X199),N(Y199),N(Z199)))&gt;=0.15),AND(AV199="BEAR",ABS(SUM(N(AA199),N(AB199),N(AC199)))&gt;=0.15)),"Strong",IF(OR(AND(AV199="BULL",ABS(SUM(N(X199),N(Y199),N(Z199)))&gt;=0.05),AND(AV199="BEAR",ABS(SUM(N(AA199),N(AB199),N(AC199)))&gt;=0.05)),"Moderate","Low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13" t="n"/>
      <c r="AF200" s="23">
        <f>IF(OR(AD200="",AD199=""),"",IF(AD199=0,"",(AD200/AD199)-1))</f>
        <v/>
      </c>
      <c r="AG200" s="23">
        <f>IF(ROW()&lt;7,"",IF(OR(AD200="",AD197=""),"",IF(AD197=0,"",(AD200/AD197)-1)))</f>
        <v/>
      </c>
      <c r="AH200" s="23">
        <f>IF(ROW()&lt;9,"",IF(OR(AD200="",AD195=""),"",IF(AD195=0,"",(AD200/AD195)-1)))</f>
        <v/>
      </c>
      <c r="AJ200" s="23">
        <f>IF(OR(AE200="",AE199=""),"",IF(AE199=0,"",(AE200/AE199)-1))</f>
        <v/>
      </c>
      <c r="AK200" s="23">
        <f>IF(ROW()&lt;7,"",IF(OR(AE200="",AE197=""),"",IF(AE197=0,"",(AE200/AE197)-1)))</f>
        <v/>
      </c>
      <c r="AL200" s="23">
        <f>IF(ROW()&lt;9,"",IF(OR(AE200="",AE195=""),"",IF(AE195=0,"",(AE200/AE195)-1)))</f>
        <v/>
      </c>
      <c r="AN200">
        <f>IF(OR(AG200="",AH200=""),"",IF(AND(AG200&gt;0,AH200&gt;0),"Bull",IF(AND(AG200&lt;0,AH200&lt;0),"Bear","Mixed")))</f>
        <v/>
      </c>
      <c r="AO200">
        <f>IF(OR(AK200="",AL200=""),"",IF(AND(AK200&gt;0,AL200&gt;0),"Bull",IF(AND(AK200&lt;0,AL200&lt;0),"Bear","Mixed")))</f>
        <v/>
      </c>
      <c r="AP200">
        <f>IF(OR(AN200="",AO200=""),"",IF(AND(AN200="Bull",AO200="Bull"),"YES","NO"))</f>
        <v/>
      </c>
      <c r="AQ200">
        <f>IF(OR(AN200="",AO200=""),"",IF(AND(AN200="Bear",AO200="Bear"),"YES","NO"))</f>
        <v/>
      </c>
      <c r="AR200">
        <f>IF(AP200="YES",IF(SUM(N(X200),N(Y200),N(Z200))&gt;0,"SOXL","TQQQ"),IF(AQ200="YES",IF(SUM(N(AA200),N(AB200),N(AC200))&gt;0,"SOXS","SQQQ"),"WAIT"))</f>
        <v/>
      </c>
      <c r="AS200">
        <f>IF(AP200="YES",IF(SUM(N(X200),N(Y200),N(Z200))&gt;0,"TQQQ","SOXL"),IF(AQ200="YES",IF(SUM(N(AA200),N(AB200),N(AC200))&gt;0,"SQQQ","SOXS"),""))</f>
        <v/>
      </c>
      <c r="AT200" s="23">
        <f>IF(AR200="WAIT","",IF(AS200="",1,0.6))</f>
        <v/>
      </c>
      <c r="AU200" s="23">
        <f>IF(AS200="",0,0.4)</f>
        <v/>
      </c>
      <c r="AV200">
        <f>IF(AR200="WAIT","WAIT",IF(AP200="YES","BULL",IF(AQ200="YES","BEAR","WAIT")))</f>
        <v/>
      </c>
      <c r="AW200">
        <f>IF(AR200="WAIT","Low",IF(OR(AND(AV200="BULL",ABS(SUM(N(X200),N(Y200),N(Z200)))&gt;=0.15),AND(AV200="BEAR",ABS(SUM(N(AA200),N(AB200),N(AC200)))&gt;=0.15)),"Strong",IF(OR(AND(AV200="BULL",ABS(SUM(N(X200),N(Y200),N(Z200)))&gt;=0.05),AND(AV200="BEAR",ABS(SUM(N(AA200),N(AB200),N(AC200)))&gt;=0.05)),"Moderate","Low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13" t="n"/>
      <c r="AF201" s="23">
        <f>IF(OR(AD201="",AD200=""),"",IF(AD200=0,"",(AD201/AD200)-1))</f>
        <v/>
      </c>
      <c r="AG201" s="23">
        <f>IF(ROW()&lt;7,"",IF(OR(AD201="",AD198=""),"",IF(AD198=0,"",(AD201/AD198)-1)))</f>
        <v/>
      </c>
      <c r="AH201" s="23">
        <f>IF(ROW()&lt;9,"",IF(OR(AD201="",AD196=""),"",IF(AD196=0,"",(AD201/AD196)-1)))</f>
        <v/>
      </c>
      <c r="AJ201" s="23">
        <f>IF(OR(AE201="",AE200=""),"",IF(AE200=0,"",(AE201/AE200)-1))</f>
        <v/>
      </c>
      <c r="AK201" s="23">
        <f>IF(ROW()&lt;7,"",IF(OR(AE201="",AE198=""),"",IF(AE198=0,"",(AE201/AE198)-1)))</f>
        <v/>
      </c>
      <c r="AL201" s="23">
        <f>IF(ROW()&lt;9,"",IF(OR(AE201="",AE196=""),"",IF(AE196=0,"",(AE201/AE196)-1)))</f>
        <v/>
      </c>
      <c r="AN201">
        <f>IF(OR(AG201="",AH201=""),"",IF(AND(AG201&gt;0,AH201&gt;0),"Bull",IF(AND(AG201&lt;0,AH201&lt;0),"Bear","Mixed")))</f>
        <v/>
      </c>
      <c r="AO201">
        <f>IF(OR(AK201="",AL201=""),"",IF(AND(AK201&gt;0,AL201&gt;0),"Bull",IF(AND(AK201&lt;0,AL201&lt;0),"Bear","Mixed")))</f>
        <v/>
      </c>
      <c r="AP201">
        <f>IF(OR(AN201="",AO201=""),"",IF(AND(AN201="Bull",AO201="Bull"),"YES","NO"))</f>
        <v/>
      </c>
      <c r="AQ201">
        <f>IF(OR(AN201="",AO201=""),"",IF(AND(AN201="Bear",AO201="Bear"),"YES","NO"))</f>
        <v/>
      </c>
      <c r="AR201">
        <f>IF(AP201="YES",IF(SUM(N(X201),N(Y201),N(Z201))&gt;0,"SOXL","TQQQ"),IF(AQ201="YES",IF(SUM(N(AA201),N(AB201),N(AC201))&gt;0,"SOXS","SQQQ"),"WAIT"))</f>
        <v/>
      </c>
      <c r="AS201">
        <f>IF(AP201="YES",IF(SUM(N(X201),N(Y201),N(Z201))&gt;0,"TQQQ","SOXL"),IF(AQ201="YES",IF(SUM(N(AA201),N(AB201),N(AC201))&gt;0,"SQQQ","SOXS"),""))</f>
        <v/>
      </c>
      <c r="AT201" s="23">
        <f>IF(AR201="WAIT","",IF(AS201="",1,0.6))</f>
        <v/>
      </c>
      <c r="AU201" s="23">
        <f>IF(AS201="",0,0.4)</f>
        <v/>
      </c>
      <c r="AV201">
        <f>IF(AR201="WAIT","WAIT",IF(AP201="YES","BULL",IF(AQ201="YES","BEAR","WAIT")))</f>
        <v/>
      </c>
      <c r="AW201">
        <f>IF(AR201="WAIT","Low",IF(OR(AND(AV201="BULL",ABS(SUM(N(X201),N(Y201),N(Z201)))&gt;=0.15),AND(AV201="BEAR",ABS(SUM(N(AA201),N(AB201),N(AC201)))&gt;=0.15)),"Strong",IF(OR(AND(AV201="BULL",ABS(SUM(N(X201),N(Y201),N(Z201)))&gt;=0.05),AND(AV201="BEAR",ABS(SUM(N(AA201),N(AB201),N(AC201)))&gt;=0.05)),"Moderate","Low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13" t="n"/>
      <c r="AF202" s="23">
        <f>IF(OR(AD202="",AD201=""),"",IF(AD201=0,"",(AD202/AD201)-1))</f>
        <v/>
      </c>
      <c r="AG202" s="23">
        <f>IF(ROW()&lt;7,"",IF(OR(AD202="",AD199=""),"",IF(AD199=0,"",(AD202/AD199)-1)))</f>
        <v/>
      </c>
      <c r="AH202" s="23">
        <f>IF(ROW()&lt;9,"",IF(OR(AD202="",AD197=""),"",IF(AD197=0,"",(AD202/AD197)-1)))</f>
        <v/>
      </c>
      <c r="AJ202" s="23">
        <f>IF(OR(AE202="",AE201=""),"",IF(AE201=0,"",(AE202/AE201)-1))</f>
        <v/>
      </c>
      <c r="AK202" s="23">
        <f>IF(ROW()&lt;7,"",IF(OR(AE202="",AE199=""),"",IF(AE199=0,"",(AE202/AE199)-1)))</f>
        <v/>
      </c>
      <c r="AL202" s="23">
        <f>IF(ROW()&lt;9,"",IF(OR(AE202="",AE197=""),"",IF(AE197=0,"",(AE202/AE197)-1)))</f>
        <v/>
      </c>
      <c r="AN202">
        <f>IF(OR(AG202="",AH202=""),"",IF(AND(AG202&gt;0,AH202&gt;0),"Bull",IF(AND(AG202&lt;0,AH202&lt;0),"Bear","Mixed")))</f>
        <v/>
      </c>
      <c r="AO202">
        <f>IF(OR(AK202="",AL202=""),"",IF(AND(AK202&gt;0,AL202&gt;0),"Bull",IF(AND(AK202&lt;0,AL202&lt;0),"Bear","Mixed")))</f>
        <v/>
      </c>
      <c r="AP202">
        <f>IF(OR(AN202="",AO202=""),"",IF(AND(AN202="Bull",AO202="Bull"),"YES","NO"))</f>
        <v/>
      </c>
      <c r="AQ202">
        <f>IF(OR(AN202="",AO202=""),"",IF(AND(AN202="Bear",AO202="Bear"),"YES","NO"))</f>
        <v/>
      </c>
      <c r="AR202">
        <f>IF(AP202="YES",IF(SUM(N(X202),N(Y202),N(Z202))&gt;0,"SOXL","TQQQ"),IF(AQ202="YES",IF(SUM(N(AA202),N(AB202),N(AC202))&gt;0,"SOXS","SQQQ"),"WAIT"))</f>
        <v/>
      </c>
      <c r="AS202">
        <f>IF(AP202="YES",IF(SUM(N(X202),N(Y202),N(Z202))&gt;0,"TQQQ","SOXL"),IF(AQ202="YES",IF(SUM(N(AA202),N(AB202),N(AC202))&gt;0,"SQQQ","SOXS"),""))</f>
        <v/>
      </c>
      <c r="AT202" s="23">
        <f>IF(AR202="WAIT","",IF(AS202="",1,0.6))</f>
        <v/>
      </c>
      <c r="AU202" s="23">
        <f>IF(AS202="",0,0.4)</f>
        <v/>
      </c>
      <c r="AV202">
        <f>IF(AR202="WAIT","WAIT",IF(AP202="YES","BULL",IF(AQ202="YES","BEAR","WAIT")))</f>
        <v/>
      </c>
      <c r="AW202">
        <f>IF(AR202="WAIT","Low",IF(OR(AND(AV202="BULL",ABS(SUM(N(X202),N(Y202),N(Z202)))&gt;=0.15),AND(AV202="BEAR",ABS(SUM(N(AA202),N(AB202),N(AC202)))&gt;=0.15)),"Strong",IF(OR(AND(AV202="BULL",ABS(SUM(N(X202),N(Y202),N(Z202)))&gt;=0.05),AND(AV202="BEAR",ABS(SUM(N(AA202),N(AB202),N(AC202)))&gt;=0.05)),"Moderate","Low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13" t="n"/>
      <c r="AF203" s="23">
        <f>IF(OR(AD203="",AD202=""),"",IF(AD202=0,"",(AD203/AD202)-1))</f>
        <v/>
      </c>
      <c r="AG203" s="23">
        <f>IF(ROW()&lt;7,"",IF(OR(AD203="",AD200=""),"",IF(AD200=0,"",(AD203/AD200)-1)))</f>
        <v/>
      </c>
      <c r="AH203" s="23">
        <f>IF(ROW()&lt;9,"",IF(OR(AD203="",AD198=""),"",IF(AD198=0,"",(AD203/AD198)-1)))</f>
        <v/>
      </c>
      <c r="AJ203" s="23">
        <f>IF(OR(AE203="",AE202=""),"",IF(AE202=0,"",(AE203/AE202)-1))</f>
        <v/>
      </c>
      <c r="AK203" s="23">
        <f>IF(ROW()&lt;7,"",IF(OR(AE203="",AE200=""),"",IF(AE200=0,"",(AE203/AE200)-1)))</f>
        <v/>
      </c>
      <c r="AL203" s="23">
        <f>IF(ROW()&lt;9,"",IF(OR(AE203="",AE198=""),"",IF(AE198=0,"",(AE203/AE198)-1)))</f>
        <v/>
      </c>
      <c r="AN203">
        <f>IF(OR(AG203="",AH203=""),"",IF(AND(AG203&gt;0,AH203&gt;0),"Bull",IF(AND(AG203&lt;0,AH203&lt;0),"Bear","Mixed")))</f>
        <v/>
      </c>
      <c r="AO203">
        <f>IF(OR(AK203="",AL203=""),"",IF(AND(AK203&gt;0,AL203&gt;0),"Bull",IF(AND(AK203&lt;0,AL203&lt;0),"Bear","Mixed")))</f>
        <v/>
      </c>
      <c r="AP203">
        <f>IF(OR(AN203="",AO203=""),"",IF(AND(AN203="Bull",AO203="Bull"),"YES","NO"))</f>
        <v/>
      </c>
      <c r="AQ203">
        <f>IF(OR(AN203="",AO203=""),"",IF(AND(AN203="Bear",AO203="Bear"),"YES","NO"))</f>
        <v/>
      </c>
      <c r="AR203">
        <f>IF(AP203="YES",IF(SUM(N(X203),N(Y203),N(Z203))&gt;0,"SOXL","TQQQ"),IF(AQ203="YES",IF(SUM(N(AA203),N(AB203),N(AC203))&gt;0,"SOXS","SQQQ"),"WAIT"))</f>
        <v/>
      </c>
      <c r="AS203">
        <f>IF(AP203="YES",IF(SUM(N(X203),N(Y203),N(Z203))&gt;0,"TQQQ","SOXL"),IF(AQ203="YES",IF(SUM(N(AA203),N(AB203),N(AC203))&gt;0,"SQQQ","SOXS"),""))</f>
        <v/>
      </c>
      <c r="AT203" s="23">
        <f>IF(AR203="WAIT","",IF(AS203="",1,0.6))</f>
        <v/>
      </c>
      <c r="AU203" s="23">
        <f>IF(AS203="",0,0.4)</f>
        <v/>
      </c>
      <c r="AV203">
        <f>IF(AR203="WAIT","WAIT",IF(AP203="YES","BULL",IF(AQ203="YES","BEAR","WAIT")))</f>
        <v/>
      </c>
      <c r="AW203">
        <f>IF(AR203="WAIT","Low",IF(OR(AND(AV203="BULL",ABS(SUM(N(X203),N(Y203),N(Z203)))&gt;=0.15),AND(AV203="BEAR",ABS(SUM(N(AA203),N(AB203),N(AC203)))&gt;=0.15)),"Strong",IF(OR(AND(AV203="BULL",ABS(SUM(N(X203),N(Y203),N(Z203)))&gt;=0.05),AND(AV203="BEAR",ABS(SUM(N(AA203),N(AB203),N(AC203)))&gt;=0.05)),"Moderate","Low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13" t="n"/>
      <c r="AF204" s="23">
        <f>IF(OR(AD204="",AD203=""),"",IF(AD203=0,"",(AD204/AD203)-1))</f>
        <v/>
      </c>
      <c r="AG204" s="23">
        <f>IF(ROW()&lt;7,"",IF(OR(AD204="",AD201=""),"",IF(AD201=0,"",(AD204/AD201)-1)))</f>
        <v/>
      </c>
      <c r="AH204" s="23">
        <f>IF(ROW()&lt;9,"",IF(OR(AD204="",AD199=""),"",IF(AD199=0,"",(AD204/AD199)-1)))</f>
        <v/>
      </c>
      <c r="AJ204" s="23">
        <f>IF(OR(AE204="",AE203=""),"",IF(AE203=0,"",(AE204/AE203)-1))</f>
        <v/>
      </c>
      <c r="AK204" s="23">
        <f>IF(ROW()&lt;7,"",IF(OR(AE204="",AE201=""),"",IF(AE201=0,"",(AE204/AE201)-1)))</f>
        <v/>
      </c>
      <c r="AL204" s="23">
        <f>IF(ROW()&lt;9,"",IF(OR(AE204="",AE199=""),"",IF(AE199=0,"",(AE204/AE199)-1)))</f>
        <v/>
      </c>
      <c r="AN204">
        <f>IF(OR(AG204="",AH204=""),"",IF(AND(AG204&gt;0,AH204&gt;0),"Bull",IF(AND(AG204&lt;0,AH204&lt;0),"Bear","Mixed")))</f>
        <v/>
      </c>
      <c r="AO204">
        <f>IF(OR(AK204="",AL204=""),"",IF(AND(AK204&gt;0,AL204&gt;0),"Bull",IF(AND(AK204&lt;0,AL204&lt;0),"Bear","Mixed")))</f>
        <v/>
      </c>
      <c r="AP204">
        <f>IF(OR(AN204="",AO204=""),"",IF(AND(AN204="Bull",AO204="Bull"),"YES","NO"))</f>
        <v/>
      </c>
      <c r="AQ204">
        <f>IF(OR(AN204="",AO204=""),"",IF(AND(AN204="Bear",AO204="Bear"),"YES","NO"))</f>
        <v/>
      </c>
      <c r="AR204">
        <f>IF(AP204="YES",IF(SUM(N(X204),N(Y204),N(Z204))&gt;0,"SOXL","TQQQ"),IF(AQ204="YES",IF(SUM(N(AA204),N(AB204),N(AC204))&gt;0,"SOXS","SQQQ"),"WAIT"))</f>
        <v/>
      </c>
      <c r="AS204">
        <f>IF(AP204="YES",IF(SUM(N(X204),N(Y204),N(Z204))&gt;0,"TQQQ","SOXL"),IF(AQ204="YES",IF(SUM(N(AA204),N(AB204),N(AC204))&gt;0,"SQQQ","SOXS"),""))</f>
        <v/>
      </c>
      <c r="AT204" s="23">
        <f>IF(AR204="WAIT","",IF(AS204="",1,0.6))</f>
        <v/>
      </c>
      <c r="AU204" s="23">
        <f>IF(AS204="",0,0.4)</f>
        <v/>
      </c>
      <c r="AV204">
        <f>IF(AR204="WAIT","WAIT",IF(AP204="YES","BULL",IF(AQ204="YES","BEAR","WAIT")))</f>
        <v/>
      </c>
      <c r="AW204">
        <f>IF(AR204="WAIT","Low",IF(OR(AND(AV204="BULL",ABS(SUM(N(X204),N(Y204),N(Z204)))&gt;=0.15),AND(AV204="BEAR",ABS(SUM(N(AA204),N(AB204),N(AC204)))&gt;=0.15)),"Strong",IF(OR(AND(AV204="BULL",ABS(SUM(N(X204),N(Y204),N(Z204)))&gt;=0.05),AND(AV204="BEAR",ABS(SUM(N(AA204),N(AB204),N(AC204)))&gt;=0.05)),"Moderate","Low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13" t="n"/>
      <c r="AF205" s="23">
        <f>IF(OR(AD205="",AD204=""),"",IF(AD204=0,"",(AD205/AD204)-1))</f>
        <v/>
      </c>
      <c r="AG205" s="23">
        <f>IF(ROW()&lt;7,"",IF(OR(AD205="",AD202=""),"",IF(AD202=0,"",(AD205/AD202)-1)))</f>
        <v/>
      </c>
      <c r="AH205" s="23">
        <f>IF(ROW()&lt;9,"",IF(OR(AD205="",AD200=""),"",IF(AD200=0,"",(AD205/AD200)-1)))</f>
        <v/>
      </c>
      <c r="AJ205" s="23">
        <f>IF(OR(AE205="",AE204=""),"",IF(AE204=0,"",(AE205/AE204)-1))</f>
        <v/>
      </c>
      <c r="AK205" s="23">
        <f>IF(ROW()&lt;7,"",IF(OR(AE205="",AE202=""),"",IF(AE202=0,"",(AE205/AE202)-1)))</f>
        <v/>
      </c>
      <c r="AL205" s="23">
        <f>IF(ROW()&lt;9,"",IF(OR(AE205="",AE200=""),"",IF(AE200=0,"",(AE205/AE200)-1)))</f>
        <v/>
      </c>
      <c r="AN205">
        <f>IF(OR(AG205="",AH205=""),"",IF(AND(AG205&gt;0,AH205&gt;0),"Bull",IF(AND(AG205&lt;0,AH205&lt;0),"Bear","Mixed")))</f>
        <v/>
      </c>
      <c r="AO205">
        <f>IF(OR(AK205="",AL205=""),"",IF(AND(AK205&gt;0,AL205&gt;0),"Bull",IF(AND(AK205&lt;0,AL205&lt;0),"Bear","Mixed")))</f>
        <v/>
      </c>
      <c r="AP205">
        <f>IF(OR(AN205="",AO205=""),"",IF(AND(AN205="Bull",AO205="Bull"),"YES","NO"))</f>
        <v/>
      </c>
      <c r="AQ205">
        <f>IF(OR(AN205="",AO205=""),"",IF(AND(AN205="Bear",AO205="Bear"),"YES","NO"))</f>
        <v/>
      </c>
      <c r="AR205">
        <f>IF(AP205="YES",IF(SUM(N(X205),N(Y205),N(Z205))&gt;0,"SOXL","TQQQ"),IF(AQ205="YES",IF(SUM(N(AA205),N(AB205),N(AC205))&gt;0,"SOXS","SQQQ"),"WAIT"))</f>
        <v/>
      </c>
      <c r="AS205">
        <f>IF(AP205="YES",IF(SUM(N(X205),N(Y205),N(Z205))&gt;0,"TQQQ","SOXL"),IF(AQ205="YES",IF(SUM(N(AA205),N(AB205),N(AC205))&gt;0,"SQQQ","SOXS"),""))</f>
        <v/>
      </c>
      <c r="AT205" s="23">
        <f>IF(AR205="WAIT","",IF(AS205="",1,0.6))</f>
        <v/>
      </c>
      <c r="AU205" s="23">
        <f>IF(AS205="",0,0.4)</f>
        <v/>
      </c>
      <c r="AV205">
        <f>IF(AR205="WAIT","WAIT",IF(AP205="YES","BULL",IF(AQ205="YES","BEAR","WAIT")))</f>
        <v/>
      </c>
      <c r="AW205">
        <f>IF(AR205="WAIT","Low",IF(OR(AND(AV205="BULL",ABS(SUM(N(X205),N(Y205),N(Z205)))&gt;=0.15),AND(AV205="BEAR",ABS(SUM(N(AA205),N(AB205),N(AC205)))&gt;=0.15)),"Strong",IF(OR(AND(AV205="BULL",ABS(SUM(N(X205),N(Y205),N(Z205)))&gt;=0.05),AND(AV205="BEAR",ABS(SUM(N(AA205),N(AB205),N(AC205)))&gt;=0.05)),"Moderate","Low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13" t="n"/>
      <c r="AF206" s="23">
        <f>IF(OR(AD206="",AD205=""),"",IF(AD205=0,"",(AD206/AD205)-1))</f>
        <v/>
      </c>
      <c r="AG206" s="23">
        <f>IF(ROW()&lt;7,"",IF(OR(AD206="",AD203=""),"",IF(AD203=0,"",(AD206/AD203)-1)))</f>
        <v/>
      </c>
      <c r="AH206" s="23">
        <f>IF(ROW()&lt;9,"",IF(OR(AD206="",AD201=""),"",IF(AD201=0,"",(AD206/AD201)-1)))</f>
        <v/>
      </c>
      <c r="AJ206" s="23">
        <f>IF(OR(AE206="",AE205=""),"",IF(AE205=0,"",(AE206/AE205)-1))</f>
        <v/>
      </c>
      <c r="AK206" s="23">
        <f>IF(ROW()&lt;7,"",IF(OR(AE206="",AE203=""),"",IF(AE203=0,"",(AE206/AE203)-1)))</f>
        <v/>
      </c>
      <c r="AL206" s="23">
        <f>IF(ROW()&lt;9,"",IF(OR(AE206="",AE201=""),"",IF(AE201=0,"",(AE206/AE201)-1)))</f>
        <v/>
      </c>
      <c r="AN206">
        <f>IF(OR(AG206="",AH206=""),"",IF(AND(AG206&gt;0,AH206&gt;0),"Bull",IF(AND(AG206&lt;0,AH206&lt;0),"Bear","Mixed")))</f>
        <v/>
      </c>
      <c r="AO206">
        <f>IF(OR(AK206="",AL206=""),"",IF(AND(AK206&gt;0,AL206&gt;0),"Bull",IF(AND(AK206&lt;0,AL206&lt;0),"Bear","Mixed")))</f>
        <v/>
      </c>
      <c r="AP206">
        <f>IF(OR(AN206="",AO206=""),"",IF(AND(AN206="Bull",AO206="Bull"),"YES","NO"))</f>
        <v/>
      </c>
      <c r="AQ206">
        <f>IF(OR(AN206="",AO206=""),"",IF(AND(AN206="Bear",AO206="Bear"),"YES","NO"))</f>
        <v/>
      </c>
      <c r="AR206">
        <f>IF(AP206="YES",IF(SUM(N(X206),N(Y206),N(Z206))&gt;0,"SOXL","TQQQ"),IF(AQ206="YES",IF(SUM(N(AA206),N(AB206),N(AC206))&gt;0,"SOXS","SQQQ"),"WAIT"))</f>
        <v/>
      </c>
      <c r="AS206">
        <f>IF(AP206="YES",IF(SUM(N(X206),N(Y206),N(Z206))&gt;0,"TQQQ","SOXL"),IF(AQ206="YES",IF(SUM(N(AA206),N(AB206),N(AC206))&gt;0,"SQQQ","SOXS"),""))</f>
        <v/>
      </c>
      <c r="AT206" s="23">
        <f>IF(AR206="WAIT","",IF(AS206="",1,0.6))</f>
        <v/>
      </c>
      <c r="AU206" s="23">
        <f>IF(AS206="",0,0.4)</f>
        <v/>
      </c>
      <c r="AV206">
        <f>IF(AR206="WAIT","WAIT",IF(AP206="YES","BULL",IF(AQ206="YES","BEAR","WAIT")))</f>
        <v/>
      </c>
      <c r="AW206">
        <f>IF(AR206="WAIT","Low",IF(OR(AND(AV206="BULL",ABS(SUM(N(X206),N(Y206),N(Z206)))&gt;=0.15),AND(AV206="BEAR",ABS(SUM(N(AA206),N(AB206),N(AC206)))&gt;=0.15)),"Strong",IF(OR(AND(AV206="BULL",ABS(SUM(N(X206),N(Y206),N(Z206)))&gt;=0.05),AND(AV206="BEAR",ABS(SUM(N(AA206),N(AB206),N(AC206)))&gt;=0.05)),"Moderate","Low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13" t="n"/>
      <c r="AF207" s="23">
        <f>IF(OR(AD207="",AD206=""),"",IF(AD206=0,"",(AD207/AD206)-1))</f>
        <v/>
      </c>
      <c r="AG207" s="23">
        <f>IF(ROW()&lt;7,"",IF(OR(AD207="",AD204=""),"",IF(AD204=0,"",(AD207/AD204)-1)))</f>
        <v/>
      </c>
      <c r="AH207" s="23">
        <f>IF(ROW()&lt;9,"",IF(OR(AD207="",AD202=""),"",IF(AD202=0,"",(AD207/AD202)-1)))</f>
        <v/>
      </c>
      <c r="AJ207" s="23">
        <f>IF(OR(AE207="",AE206=""),"",IF(AE206=0,"",(AE207/AE206)-1))</f>
        <v/>
      </c>
      <c r="AK207" s="23">
        <f>IF(ROW()&lt;7,"",IF(OR(AE207="",AE204=""),"",IF(AE204=0,"",(AE207/AE204)-1)))</f>
        <v/>
      </c>
      <c r="AL207" s="23">
        <f>IF(ROW()&lt;9,"",IF(OR(AE207="",AE202=""),"",IF(AE202=0,"",(AE207/AE202)-1)))</f>
        <v/>
      </c>
      <c r="AN207">
        <f>IF(OR(AG207="",AH207=""),"",IF(AND(AG207&gt;0,AH207&gt;0),"Bull",IF(AND(AG207&lt;0,AH207&lt;0),"Bear","Mixed")))</f>
        <v/>
      </c>
      <c r="AO207">
        <f>IF(OR(AK207="",AL207=""),"",IF(AND(AK207&gt;0,AL207&gt;0),"Bull",IF(AND(AK207&lt;0,AL207&lt;0),"Bear","Mixed")))</f>
        <v/>
      </c>
      <c r="AP207">
        <f>IF(OR(AN207="",AO207=""),"",IF(AND(AN207="Bull",AO207="Bull"),"YES","NO"))</f>
        <v/>
      </c>
      <c r="AQ207">
        <f>IF(OR(AN207="",AO207=""),"",IF(AND(AN207="Bear",AO207="Bear"),"YES","NO"))</f>
        <v/>
      </c>
      <c r="AR207">
        <f>IF(AP207="YES",IF(SUM(N(X207),N(Y207),N(Z207))&gt;0,"SOXL","TQQQ"),IF(AQ207="YES",IF(SUM(N(AA207),N(AB207),N(AC207))&gt;0,"SOXS","SQQQ"),"WAIT"))</f>
        <v/>
      </c>
      <c r="AS207">
        <f>IF(AP207="YES",IF(SUM(N(X207),N(Y207),N(Z207))&gt;0,"TQQQ","SOXL"),IF(AQ207="YES",IF(SUM(N(AA207),N(AB207),N(AC207))&gt;0,"SQQQ","SOXS"),""))</f>
        <v/>
      </c>
      <c r="AT207" s="23">
        <f>IF(AR207="WAIT","",IF(AS207="",1,0.6))</f>
        <v/>
      </c>
      <c r="AU207" s="23">
        <f>IF(AS207="",0,0.4)</f>
        <v/>
      </c>
      <c r="AV207">
        <f>IF(AR207="WAIT","WAIT",IF(AP207="YES","BULL",IF(AQ207="YES","BEAR","WAIT")))</f>
        <v/>
      </c>
      <c r="AW207">
        <f>IF(AR207="WAIT","Low",IF(OR(AND(AV207="BULL",ABS(SUM(N(X207),N(Y207),N(Z207)))&gt;=0.15),AND(AV207="BEAR",ABS(SUM(N(AA207),N(AB207),N(AC207)))&gt;=0.15)),"Strong",IF(OR(AND(AV207="BULL",ABS(SUM(N(X207),N(Y207),N(Z207)))&gt;=0.05),AND(AV207="BEAR",ABS(SUM(N(AA207),N(AB207),N(AC207)))&gt;=0.05)),"Moderate","Low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13" t="n"/>
      <c r="AF208" s="23">
        <f>IF(OR(AD208="",AD207=""),"",IF(AD207=0,"",(AD208/AD207)-1))</f>
        <v/>
      </c>
      <c r="AG208" s="23">
        <f>IF(ROW()&lt;7,"",IF(OR(AD208="",AD205=""),"",IF(AD205=0,"",(AD208/AD205)-1)))</f>
        <v/>
      </c>
      <c r="AH208" s="23">
        <f>IF(ROW()&lt;9,"",IF(OR(AD208="",AD203=""),"",IF(AD203=0,"",(AD208/AD203)-1)))</f>
        <v/>
      </c>
      <c r="AJ208" s="23">
        <f>IF(OR(AE208="",AE207=""),"",IF(AE207=0,"",(AE208/AE207)-1))</f>
        <v/>
      </c>
      <c r="AK208" s="23">
        <f>IF(ROW()&lt;7,"",IF(OR(AE208="",AE205=""),"",IF(AE205=0,"",(AE208/AE205)-1)))</f>
        <v/>
      </c>
      <c r="AL208" s="23">
        <f>IF(ROW()&lt;9,"",IF(OR(AE208="",AE203=""),"",IF(AE203=0,"",(AE208/AE203)-1)))</f>
        <v/>
      </c>
      <c r="AN208">
        <f>IF(OR(AG208="",AH208=""),"",IF(AND(AG208&gt;0,AH208&gt;0),"Bull",IF(AND(AG208&lt;0,AH208&lt;0),"Bear","Mixed")))</f>
        <v/>
      </c>
      <c r="AO208">
        <f>IF(OR(AK208="",AL208=""),"",IF(AND(AK208&gt;0,AL208&gt;0),"Bull",IF(AND(AK208&lt;0,AL208&lt;0),"Bear","Mixed")))</f>
        <v/>
      </c>
      <c r="AP208">
        <f>IF(OR(AN208="",AO208=""),"",IF(AND(AN208="Bull",AO208="Bull"),"YES","NO"))</f>
        <v/>
      </c>
      <c r="AQ208">
        <f>IF(OR(AN208="",AO208=""),"",IF(AND(AN208="Bear",AO208="Bear"),"YES","NO"))</f>
        <v/>
      </c>
      <c r="AR208">
        <f>IF(AP208="YES",IF(SUM(N(X208),N(Y208),N(Z208))&gt;0,"SOXL","TQQQ"),IF(AQ208="YES",IF(SUM(N(AA208),N(AB208),N(AC208))&gt;0,"SOXS","SQQQ"),"WAIT"))</f>
        <v/>
      </c>
      <c r="AS208">
        <f>IF(AP208="YES",IF(SUM(N(X208),N(Y208),N(Z208))&gt;0,"TQQQ","SOXL"),IF(AQ208="YES",IF(SUM(N(AA208),N(AB208),N(AC208))&gt;0,"SQQQ","SOXS"),""))</f>
        <v/>
      </c>
      <c r="AT208" s="23">
        <f>IF(AR208="WAIT","",IF(AS208="",1,0.6))</f>
        <v/>
      </c>
      <c r="AU208" s="23">
        <f>IF(AS208="",0,0.4)</f>
        <v/>
      </c>
      <c r="AV208">
        <f>IF(AR208="WAIT","WAIT",IF(AP208="YES","BULL",IF(AQ208="YES","BEAR","WAIT")))</f>
        <v/>
      </c>
      <c r="AW208">
        <f>IF(AR208="WAIT","Low",IF(OR(AND(AV208="BULL",ABS(SUM(N(X208),N(Y208),N(Z208)))&gt;=0.15),AND(AV208="BEAR",ABS(SUM(N(AA208),N(AB208),N(AC208)))&gt;=0.15)),"Strong",IF(OR(AND(AV208="BULL",ABS(SUM(N(X208),N(Y208),N(Z208)))&gt;=0.05),AND(AV208="BEAR",ABS(SUM(N(AA208),N(AB208),N(AC208)))&gt;=0.05)),"Moderate","Low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13" t="n"/>
      <c r="AF209" s="23">
        <f>IF(OR(AD209="",AD208=""),"",IF(AD208=0,"",(AD209/AD208)-1))</f>
        <v/>
      </c>
      <c r="AG209" s="23">
        <f>IF(ROW()&lt;7,"",IF(OR(AD209="",AD206=""),"",IF(AD206=0,"",(AD209/AD206)-1)))</f>
        <v/>
      </c>
      <c r="AH209" s="23">
        <f>IF(ROW()&lt;9,"",IF(OR(AD209="",AD204=""),"",IF(AD204=0,"",(AD209/AD204)-1)))</f>
        <v/>
      </c>
      <c r="AJ209" s="23">
        <f>IF(OR(AE209="",AE208=""),"",IF(AE208=0,"",(AE209/AE208)-1))</f>
        <v/>
      </c>
      <c r="AK209" s="23">
        <f>IF(ROW()&lt;7,"",IF(OR(AE209="",AE206=""),"",IF(AE206=0,"",(AE209/AE206)-1)))</f>
        <v/>
      </c>
      <c r="AL209" s="23">
        <f>IF(ROW()&lt;9,"",IF(OR(AE209="",AE204=""),"",IF(AE204=0,"",(AE209/AE204)-1)))</f>
        <v/>
      </c>
      <c r="AN209">
        <f>IF(OR(AG209="",AH209=""),"",IF(AND(AG209&gt;0,AH209&gt;0),"Bull",IF(AND(AG209&lt;0,AH209&lt;0),"Bear","Mixed")))</f>
        <v/>
      </c>
      <c r="AO209">
        <f>IF(OR(AK209="",AL209=""),"",IF(AND(AK209&gt;0,AL209&gt;0),"Bull",IF(AND(AK209&lt;0,AL209&lt;0),"Bear","Mixed")))</f>
        <v/>
      </c>
      <c r="AP209">
        <f>IF(OR(AN209="",AO209=""),"",IF(AND(AN209="Bull",AO209="Bull"),"YES","NO"))</f>
        <v/>
      </c>
      <c r="AQ209">
        <f>IF(OR(AN209="",AO209=""),"",IF(AND(AN209="Bear",AO209="Bear"),"YES","NO"))</f>
        <v/>
      </c>
      <c r="AR209">
        <f>IF(AP209="YES",IF(SUM(N(X209),N(Y209),N(Z209))&gt;0,"SOXL","TQQQ"),IF(AQ209="YES",IF(SUM(N(AA209),N(AB209),N(AC209))&gt;0,"SOXS","SQQQ"),"WAIT"))</f>
        <v/>
      </c>
      <c r="AS209">
        <f>IF(AP209="YES",IF(SUM(N(X209),N(Y209),N(Z209))&gt;0,"TQQQ","SOXL"),IF(AQ209="YES",IF(SUM(N(AA209),N(AB209),N(AC209))&gt;0,"SQQQ","SOXS"),""))</f>
        <v/>
      </c>
      <c r="AT209" s="23">
        <f>IF(AR209="WAIT","",IF(AS209="",1,0.6))</f>
        <v/>
      </c>
      <c r="AU209" s="23">
        <f>IF(AS209="",0,0.4)</f>
        <v/>
      </c>
      <c r="AV209">
        <f>IF(AR209="WAIT","WAIT",IF(AP209="YES","BULL",IF(AQ209="YES","BEAR","WAIT")))</f>
        <v/>
      </c>
      <c r="AW209">
        <f>IF(AR209="WAIT","Low",IF(OR(AND(AV209="BULL",ABS(SUM(N(X209),N(Y209),N(Z209)))&gt;=0.15),AND(AV209="BEAR",ABS(SUM(N(AA209),N(AB209),N(AC209)))&gt;=0.15)),"Strong",IF(OR(AND(AV209="BULL",ABS(SUM(N(X209),N(Y209),N(Z209)))&gt;=0.05),AND(AV209="BEAR",ABS(SUM(N(AA209),N(AB209),N(AC209)))&gt;=0.05)),"Moderate","Low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13" t="n"/>
      <c r="AF210" s="23">
        <f>IF(OR(AD210="",AD209=""),"",IF(AD209=0,"",(AD210/AD209)-1))</f>
        <v/>
      </c>
      <c r="AG210" s="23">
        <f>IF(ROW()&lt;7,"",IF(OR(AD210="",AD207=""),"",IF(AD207=0,"",(AD210/AD207)-1)))</f>
        <v/>
      </c>
      <c r="AH210" s="23">
        <f>IF(ROW()&lt;9,"",IF(OR(AD210="",AD205=""),"",IF(AD205=0,"",(AD210/AD205)-1)))</f>
        <v/>
      </c>
      <c r="AJ210" s="23">
        <f>IF(OR(AE210="",AE209=""),"",IF(AE209=0,"",(AE210/AE209)-1))</f>
        <v/>
      </c>
      <c r="AK210" s="23">
        <f>IF(ROW()&lt;7,"",IF(OR(AE210="",AE207=""),"",IF(AE207=0,"",(AE210/AE207)-1)))</f>
        <v/>
      </c>
      <c r="AL210" s="23">
        <f>IF(ROW()&lt;9,"",IF(OR(AE210="",AE205=""),"",IF(AE205=0,"",(AE210/AE205)-1)))</f>
        <v/>
      </c>
      <c r="AN210">
        <f>IF(OR(AG210="",AH210=""),"",IF(AND(AG210&gt;0,AH210&gt;0),"Bull",IF(AND(AG210&lt;0,AH210&lt;0),"Bear","Mixed")))</f>
        <v/>
      </c>
      <c r="AO210">
        <f>IF(OR(AK210="",AL210=""),"",IF(AND(AK210&gt;0,AL210&gt;0),"Bull",IF(AND(AK210&lt;0,AL210&lt;0),"Bear","Mixed")))</f>
        <v/>
      </c>
      <c r="AP210">
        <f>IF(OR(AN210="",AO210=""),"",IF(AND(AN210="Bull",AO210="Bull"),"YES","NO"))</f>
        <v/>
      </c>
      <c r="AQ210">
        <f>IF(OR(AN210="",AO210=""),"",IF(AND(AN210="Bear",AO210="Bear"),"YES","NO"))</f>
        <v/>
      </c>
      <c r="AR210">
        <f>IF(AP210="YES",IF(SUM(N(X210),N(Y210),N(Z210))&gt;0,"SOXL","TQQQ"),IF(AQ210="YES",IF(SUM(N(AA210),N(AB210),N(AC210))&gt;0,"SOXS","SQQQ"),"WAIT"))</f>
        <v/>
      </c>
      <c r="AS210">
        <f>IF(AP210="YES",IF(SUM(N(X210),N(Y210),N(Z210))&gt;0,"TQQQ","SOXL"),IF(AQ210="YES",IF(SUM(N(AA210),N(AB210),N(AC210))&gt;0,"SQQQ","SOXS"),""))</f>
        <v/>
      </c>
      <c r="AT210" s="23">
        <f>IF(AR210="WAIT","",IF(AS210="",1,0.6))</f>
        <v/>
      </c>
      <c r="AU210" s="23">
        <f>IF(AS210="",0,0.4)</f>
        <v/>
      </c>
      <c r="AV210">
        <f>IF(AR210="WAIT","WAIT",IF(AP210="YES","BULL",IF(AQ210="YES","BEAR","WAIT")))</f>
        <v/>
      </c>
      <c r="AW210">
        <f>IF(AR210="WAIT","Low",IF(OR(AND(AV210="BULL",ABS(SUM(N(X210),N(Y210),N(Z210)))&gt;=0.15),AND(AV210="BEAR",ABS(SUM(N(AA210),N(AB210),N(AC210)))&gt;=0.15)),"Strong",IF(OR(AND(AV210="BULL",ABS(SUM(N(X210),N(Y210),N(Z210)))&gt;=0.05),AND(AV210="BEAR",ABS(SUM(N(AA210),N(AB210),N(AC210)))&gt;=0.05)),"Moderate","Low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13" t="n"/>
      <c r="AF211" s="23">
        <f>IF(OR(AD211="",AD210=""),"",IF(AD210=0,"",(AD211/AD210)-1))</f>
        <v/>
      </c>
      <c r="AG211" s="23">
        <f>IF(ROW()&lt;7,"",IF(OR(AD211="",AD208=""),"",IF(AD208=0,"",(AD211/AD208)-1)))</f>
        <v/>
      </c>
      <c r="AH211" s="23">
        <f>IF(ROW()&lt;9,"",IF(OR(AD211="",AD206=""),"",IF(AD206=0,"",(AD211/AD206)-1)))</f>
        <v/>
      </c>
      <c r="AJ211" s="23">
        <f>IF(OR(AE211="",AE210=""),"",IF(AE210=0,"",(AE211/AE210)-1))</f>
        <v/>
      </c>
      <c r="AK211" s="23">
        <f>IF(ROW()&lt;7,"",IF(OR(AE211="",AE208=""),"",IF(AE208=0,"",(AE211/AE208)-1)))</f>
        <v/>
      </c>
      <c r="AL211" s="23">
        <f>IF(ROW()&lt;9,"",IF(OR(AE211="",AE206=""),"",IF(AE206=0,"",(AE211/AE206)-1)))</f>
        <v/>
      </c>
      <c r="AN211">
        <f>IF(OR(AG211="",AH211=""),"",IF(AND(AG211&gt;0,AH211&gt;0),"Bull",IF(AND(AG211&lt;0,AH211&lt;0),"Bear","Mixed")))</f>
        <v/>
      </c>
      <c r="AO211">
        <f>IF(OR(AK211="",AL211=""),"",IF(AND(AK211&gt;0,AL211&gt;0),"Bull",IF(AND(AK211&lt;0,AL211&lt;0),"Bear","Mixed")))</f>
        <v/>
      </c>
      <c r="AP211">
        <f>IF(OR(AN211="",AO211=""),"",IF(AND(AN211="Bull",AO211="Bull"),"YES","NO"))</f>
        <v/>
      </c>
      <c r="AQ211">
        <f>IF(OR(AN211="",AO211=""),"",IF(AND(AN211="Bear",AO211="Bear"),"YES","NO"))</f>
        <v/>
      </c>
      <c r="AR211">
        <f>IF(AP211="YES",IF(SUM(N(X211),N(Y211),N(Z211))&gt;0,"SOXL","TQQQ"),IF(AQ211="YES",IF(SUM(N(AA211),N(AB211),N(AC211))&gt;0,"SOXS","SQQQ"),"WAIT"))</f>
        <v/>
      </c>
      <c r="AS211">
        <f>IF(AP211="YES",IF(SUM(N(X211),N(Y211),N(Z211))&gt;0,"TQQQ","SOXL"),IF(AQ211="YES",IF(SUM(N(AA211),N(AB211),N(AC211))&gt;0,"SQQQ","SOXS"),""))</f>
        <v/>
      </c>
      <c r="AT211" s="23">
        <f>IF(AR211="WAIT","",IF(AS211="",1,0.6))</f>
        <v/>
      </c>
      <c r="AU211" s="23">
        <f>IF(AS211="",0,0.4)</f>
        <v/>
      </c>
      <c r="AV211">
        <f>IF(AR211="WAIT","WAIT",IF(AP211="YES","BULL",IF(AQ211="YES","BEAR","WAIT")))</f>
        <v/>
      </c>
      <c r="AW211">
        <f>IF(AR211="WAIT","Low",IF(OR(AND(AV211="BULL",ABS(SUM(N(X211),N(Y211),N(Z211)))&gt;=0.15),AND(AV211="BEAR",ABS(SUM(N(AA211),N(AB211),N(AC211)))&gt;=0.15)),"Strong",IF(OR(AND(AV211="BULL",ABS(SUM(N(X211),N(Y211),N(Z211)))&gt;=0.05),AND(AV211="BEAR",ABS(SUM(N(AA211),N(AB211),N(AC211)))&gt;=0.05)),"Moderate","Low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13" t="n"/>
      <c r="AF212" s="23">
        <f>IF(OR(AD212="",AD211=""),"",IF(AD211=0,"",(AD212/AD211)-1))</f>
        <v/>
      </c>
      <c r="AG212" s="23">
        <f>IF(ROW()&lt;7,"",IF(OR(AD212="",AD209=""),"",IF(AD209=0,"",(AD212/AD209)-1)))</f>
        <v/>
      </c>
      <c r="AH212" s="23">
        <f>IF(ROW()&lt;9,"",IF(OR(AD212="",AD207=""),"",IF(AD207=0,"",(AD212/AD207)-1)))</f>
        <v/>
      </c>
      <c r="AJ212" s="23">
        <f>IF(OR(AE212="",AE211=""),"",IF(AE211=0,"",(AE212/AE211)-1))</f>
        <v/>
      </c>
      <c r="AK212" s="23">
        <f>IF(ROW()&lt;7,"",IF(OR(AE212="",AE209=""),"",IF(AE209=0,"",(AE212/AE209)-1)))</f>
        <v/>
      </c>
      <c r="AL212" s="23">
        <f>IF(ROW()&lt;9,"",IF(OR(AE212="",AE207=""),"",IF(AE207=0,"",(AE212/AE207)-1)))</f>
        <v/>
      </c>
      <c r="AN212">
        <f>IF(OR(AG212="",AH212=""),"",IF(AND(AG212&gt;0,AH212&gt;0),"Bull",IF(AND(AG212&lt;0,AH212&lt;0),"Bear","Mixed")))</f>
        <v/>
      </c>
      <c r="AO212">
        <f>IF(OR(AK212="",AL212=""),"",IF(AND(AK212&gt;0,AL212&gt;0),"Bull",IF(AND(AK212&lt;0,AL212&lt;0),"Bear","Mixed")))</f>
        <v/>
      </c>
      <c r="AP212">
        <f>IF(OR(AN212="",AO212=""),"",IF(AND(AN212="Bull",AO212="Bull"),"YES","NO"))</f>
        <v/>
      </c>
      <c r="AQ212">
        <f>IF(OR(AN212="",AO212=""),"",IF(AND(AN212="Bear",AO212="Bear"),"YES","NO"))</f>
        <v/>
      </c>
      <c r="AR212">
        <f>IF(AP212="YES",IF(SUM(N(X212),N(Y212),N(Z212))&gt;0,"SOXL","TQQQ"),IF(AQ212="YES",IF(SUM(N(AA212),N(AB212),N(AC212))&gt;0,"SOXS","SQQQ"),"WAIT"))</f>
        <v/>
      </c>
      <c r="AS212">
        <f>IF(AP212="YES",IF(SUM(N(X212),N(Y212),N(Z212))&gt;0,"TQQQ","SOXL"),IF(AQ212="YES",IF(SUM(N(AA212),N(AB212),N(AC212))&gt;0,"SQQQ","SOXS"),""))</f>
        <v/>
      </c>
      <c r="AT212" s="23">
        <f>IF(AR212="WAIT","",IF(AS212="",1,0.6))</f>
        <v/>
      </c>
      <c r="AU212" s="23">
        <f>IF(AS212="",0,0.4)</f>
        <v/>
      </c>
      <c r="AV212">
        <f>IF(AR212="WAIT","WAIT",IF(AP212="YES","BULL",IF(AQ212="YES","BEAR","WAIT")))</f>
        <v/>
      </c>
      <c r="AW212">
        <f>IF(AR212="WAIT","Low",IF(OR(AND(AV212="BULL",ABS(SUM(N(X212),N(Y212),N(Z212)))&gt;=0.15),AND(AV212="BEAR",ABS(SUM(N(AA212),N(AB212),N(AC212)))&gt;=0.15)),"Strong",IF(OR(AND(AV212="BULL",ABS(SUM(N(X212),N(Y212),N(Z212)))&gt;=0.05),AND(AV212="BEAR",ABS(SUM(N(AA212),N(AB212),N(AC212)))&gt;=0.05)),"Moderate","Low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13" t="n"/>
      <c r="AF213" s="23">
        <f>IF(OR(AD213="",AD212=""),"",IF(AD212=0,"",(AD213/AD212)-1))</f>
        <v/>
      </c>
      <c r="AG213" s="23">
        <f>IF(ROW()&lt;7,"",IF(OR(AD213="",AD210=""),"",IF(AD210=0,"",(AD213/AD210)-1)))</f>
        <v/>
      </c>
      <c r="AH213" s="23">
        <f>IF(ROW()&lt;9,"",IF(OR(AD213="",AD208=""),"",IF(AD208=0,"",(AD213/AD208)-1)))</f>
        <v/>
      </c>
      <c r="AJ213" s="23">
        <f>IF(OR(AE213="",AE212=""),"",IF(AE212=0,"",(AE213/AE212)-1))</f>
        <v/>
      </c>
      <c r="AK213" s="23">
        <f>IF(ROW()&lt;7,"",IF(OR(AE213="",AE210=""),"",IF(AE210=0,"",(AE213/AE210)-1)))</f>
        <v/>
      </c>
      <c r="AL213" s="23">
        <f>IF(ROW()&lt;9,"",IF(OR(AE213="",AE208=""),"",IF(AE208=0,"",(AE213/AE208)-1)))</f>
        <v/>
      </c>
      <c r="AN213">
        <f>IF(OR(AG213="",AH213=""),"",IF(AND(AG213&gt;0,AH213&gt;0),"Bull",IF(AND(AG213&lt;0,AH213&lt;0),"Bear","Mixed")))</f>
        <v/>
      </c>
      <c r="AO213">
        <f>IF(OR(AK213="",AL213=""),"",IF(AND(AK213&gt;0,AL213&gt;0),"Bull",IF(AND(AK213&lt;0,AL213&lt;0),"Bear","Mixed")))</f>
        <v/>
      </c>
      <c r="AP213">
        <f>IF(OR(AN213="",AO213=""),"",IF(AND(AN213="Bull",AO213="Bull"),"YES","NO"))</f>
        <v/>
      </c>
      <c r="AQ213">
        <f>IF(OR(AN213="",AO213=""),"",IF(AND(AN213="Bear",AO213="Bear"),"YES","NO"))</f>
        <v/>
      </c>
      <c r="AR213">
        <f>IF(AP213="YES",IF(SUM(N(X213),N(Y213),N(Z213))&gt;0,"SOXL","TQQQ"),IF(AQ213="YES",IF(SUM(N(AA213),N(AB213),N(AC213))&gt;0,"SOXS","SQQQ"),"WAIT"))</f>
        <v/>
      </c>
      <c r="AS213">
        <f>IF(AP213="YES",IF(SUM(N(X213),N(Y213),N(Z213))&gt;0,"TQQQ","SOXL"),IF(AQ213="YES",IF(SUM(N(AA213),N(AB213),N(AC213))&gt;0,"SQQQ","SOXS"),""))</f>
        <v/>
      </c>
      <c r="AT213" s="23">
        <f>IF(AR213="WAIT","",IF(AS213="",1,0.6))</f>
        <v/>
      </c>
      <c r="AU213" s="23">
        <f>IF(AS213="",0,0.4)</f>
        <v/>
      </c>
      <c r="AV213">
        <f>IF(AR213="WAIT","WAIT",IF(AP213="YES","BULL",IF(AQ213="YES","BEAR","WAIT")))</f>
        <v/>
      </c>
      <c r="AW213">
        <f>IF(AR213="WAIT","Low",IF(OR(AND(AV213="BULL",ABS(SUM(N(X213),N(Y213),N(Z213)))&gt;=0.15),AND(AV213="BEAR",ABS(SUM(N(AA213),N(AB213),N(AC213)))&gt;=0.15)),"Strong",IF(OR(AND(AV213="BULL",ABS(SUM(N(X213),N(Y213),N(Z213)))&gt;=0.05),AND(AV213="BEAR",ABS(SUM(N(AA213),N(AB213),N(AC213)))&gt;=0.05)),"Moderate","Low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13" t="n"/>
      <c r="AF214" s="23">
        <f>IF(OR(AD214="",AD213=""),"",IF(AD213=0,"",(AD214/AD213)-1))</f>
        <v/>
      </c>
      <c r="AG214" s="23">
        <f>IF(ROW()&lt;7,"",IF(OR(AD214="",AD211=""),"",IF(AD211=0,"",(AD214/AD211)-1)))</f>
        <v/>
      </c>
      <c r="AH214" s="23">
        <f>IF(ROW()&lt;9,"",IF(OR(AD214="",AD209=""),"",IF(AD209=0,"",(AD214/AD209)-1)))</f>
        <v/>
      </c>
      <c r="AJ214" s="23">
        <f>IF(OR(AE214="",AE213=""),"",IF(AE213=0,"",(AE214/AE213)-1))</f>
        <v/>
      </c>
      <c r="AK214" s="23">
        <f>IF(ROW()&lt;7,"",IF(OR(AE214="",AE211=""),"",IF(AE211=0,"",(AE214/AE211)-1)))</f>
        <v/>
      </c>
      <c r="AL214" s="23">
        <f>IF(ROW()&lt;9,"",IF(OR(AE214="",AE209=""),"",IF(AE209=0,"",(AE214/AE209)-1)))</f>
        <v/>
      </c>
      <c r="AN214">
        <f>IF(OR(AG214="",AH214=""),"",IF(AND(AG214&gt;0,AH214&gt;0),"Bull",IF(AND(AG214&lt;0,AH214&lt;0),"Bear","Mixed")))</f>
        <v/>
      </c>
      <c r="AO214">
        <f>IF(OR(AK214="",AL214=""),"",IF(AND(AK214&gt;0,AL214&gt;0),"Bull",IF(AND(AK214&lt;0,AL214&lt;0),"Bear","Mixed")))</f>
        <v/>
      </c>
      <c r="AP214">
        <f>IF(OR(AN214="",AO214=""),"",IF(AND(AN214="Bull",AO214="Bull"),"YES","NO"))</f>
        <v/>
      </c>
      <c r="AQ214">
        <f>IF(OR(AN214="",AO214=""),"",IF(AND(AN214="Bear",AO214="Bear"),"YES","NO"))</f>
        <v/>
      </c>
      <c r="AR214">
        <f>IF(AP214="YES",IF(SUM(N(X214),N(Y214),N(Z214))&gt;0,"SOXL","TQQQ"),IF(AQ214="YES",IF(SUM(N(AA214),N(AB214),N(AC214))&gt;0,"SOXS","SQQQ"),"WAIT"))</f>
        <v/>
      </c>
      <c r="AS214">
        <f>IF(AP214="YES",IF(SUM(N(X214),N(Y214),N(Z214))&gt;0,"TQQQ","SOXL"),IF(AQ214="YES",IF(SUM(N(AA214),N(AB214),N(AC214))&gt;0,"SQQQ","SOXS"),""))</f>
        <v/>
      </c>
      <c r="AT214" s="23">
        <f>IF(AR214="WAIT","",IF(AS214="",1,0.6))</f>
        <v/>
      </c>
      <c r="AU214" s="23">
        <f>IF(AS214="",0,0.4)</f>
        <v/>
      </c>
      <c r="AV214">
        <f>IF(AR214="WAIT","WAIT",IF(AP214="YES","BULL",IF(AQ214="YES","BEAR","WAIT")))</f>
        <v/>
      </c>
      <c r="AW214">
        <f>IF(AR214="WAIT","Low",IF(OR(AND(AV214="BULL",ABS(SUM(N(X214),N(Y214),N(Z214)))&gt;=0.15),AND(AV214="BEAR",ABS(SUM(N(AA214),N(AB214),N(AC214)))&gt;=0.15)),"Strong",IF(OR(AND(AV214="BULL",ABS(SUM(N(X214),N(Y214),N(Z214)))&gt;=0.05),AND(AV214="BEAR",ABS(SUM(N(AA214),N(AB214),N(AC214)))&gt;=0.05)),"Moderate","Low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13" t="n"/>
      <c r="AF215" s="23">
        <f>IF(OR(AD215="",AD214=""),"",IF(AD214=0,"",(AD215/AD214)-1))</f>
        <v/>
      </c>
      <c r="AG215" s="23">
        <f>IF(ROW()&lt;7,"",IF(OR(AD215="",AD212=""),"",IF(AD212=0,"",(AD215/AD212)-1)))</f>
        <v/>
      </c>
      <c r="AH215" s="23">
        <f>IF(ROW()&lt;9,"",IF(OR(AD215="",AD210=""),"",IF(AD210=0,"",(AD215/AD210)-1)))</f>
        <v/>
      </c>
      <c r="AJ215" s="23">
        <f>IF(OR(AE215="",AE214=""),"",IF(AE214=0,"",(AE215/AE214)-1))</f>
        <v/>
      </c>
      <c r="AK215" s="23">
        <f>IF(ROW()&lt;7,"",IF(OR(AE215="",AE212=""),"",IF(AE212=0,"",(AE215/AE212)-1)))</f>
        <v/>
      </c>
      <c r="AL215" s="23">
        <f>IF(ROW()&lt;9,"",IF(OR(AE215="",AE210=""),"",IF(AE210=0,"",(AE215/AE210)-1)))</f>
        <v/>
      </c>
      <c r="AN215">
        <f>IF(OR(AG215="",AH215=""),"",IF(AND(AG215&gt;0,AH215&gt;0),"Bull",IF(AND(AG215&lt;0,AH215&lt;0),"Bear","Mixed")))</f>
        <v/>
      </c>
      <c r="AO215">
        <f>IF(OR(AK215="",AL215=""),"",IF(AND(AK215&gt;0,AL215&gt;0),"Bull",IF(AND(AK215&lt;0,AL215&lt;0),"Bear","Mixed")))</f>
        <v/>
      </c>
      <c r="AP215">
        <f>IF(OR(AN215="",AO215=""),"",IF(AND(AN215="Bull",AO215="Bull"),"YES","NO"))</f>
        <v/>
      </c>
      <c r="AQ215">
        <f>IF(OR(AN215="",AO215=""),"",IF(AND(AN215="Bear",AO215="Bear"),"YES","NO"))</f>
        <v/>
      </c>
      <c r="AR215">
        <f>IF(AP215="YES",IF(SUM(N(X215),N(Y215),N(Z215))&gt;0,"SOXL","TQQQ"),IF(AQ215="YES",IF(SUM(N(AA215),N(AB215),N(AC215))&gt;0,"SOXS","SQQQ"),"WAIT"))</f>
        <v/>
      </c>
      <c r="AS215">
        <f>IF(AP215="YES",IF(SUM(N(X215),N(Y215),N(Z215))&gt;0,"TQQQ","SOXL"),IF(AQ215="YES",IF(SUM(N(AA215),N(AB215),N(AC215))&gt;0,"SQQQ","SOXS"),""))</f>
        <v/>
      </c>
      <c r="AT215" s="23">
        <f>IF(AR215="WAIT","",IF(AS215="",1,0.6))</f>
        <v/>
      </c>
      <c r="AU215" s="23">
        <f>IF(AS215="",0,0.4)</f>
        <v/>
      </c>
      <c r="AV215">
        <f>IF(AR215="WAIT","WAIT",IF(AP215="YES","BULL",IF(AQ215="YES","BEAR","WAIT")))</f>
        <v/>
      </c>
      <c r="AW215">
        <f>IF(AR215="WAIT","Low",IF(OR(AND(AV215="BULL",ABS(SUM(N(X215),N(Y215),N(Z215)))&gt;=0.15),AND(AV215="BEAR",ABS(SUM(N(AA215),N(AB215),N(AC215)))&gt;=0.15)),"Strong",IF(OR(AND(AV215="BULL",ABS(SUM(N(X215),N(Y215),N(Z215)))&gt;=0.05),AND(AV215="BEAR",ABS(SUM(N(AA215),N(AB215),N(AC215)))&gt;=0.05)),"Moderate","Low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13" t="n"/>
      <c r="AF216" s="23">
        <f>IF(OR(AD216="",AD215=""),"",IF(AD215=0,"",(AD216/AD215)-1))</f>
        <v/>
      </c>
      <c r="AG216" s="23">
        <f>IF(ROW()&lt;7,"",IF(OR(AD216="",AD213=""),"",IF(AD213=0,"",(AD216/AD213)-1)))</f>
        <v/>
      </c>
      <c r="AH216" s="23">
        <f>IF(ROW()&lt;9,"",IF(OR(AD216="",AD211=""),"",IF(AD211=0,"",(AD216/AD211)-1)))</f>
        <v/>
      </c>
      <c r="AJ216" s="23">
        <f>IF(OR(AE216="",AE215=""),"",IF(AE215=0,"",(AE216/AE215)-1))</f>
        <v/>
      </c>
      <c r="AK216" s="23">
        <f>IF(ROW()&lt;7,"",IF(OR(AE216="",AE213=""),"",IF(AE213=0,"",(AE216/AE213)-1)))</f>
        <v/>
      </c>
      <c r="AL216" s="23">
        <f>IF(ROW()&lt;9,"",IF(OR(AE216="",AE211=""),"",IF(AE211=0,"",(AE216/AE211)-1)))</f>
        <v/>
      </c>
      <c r="AN216">
        <f>IF(OR(AG216="",AH216=""),"",IF(AND(AG216&gt;0,AH216&gt;0),"Bull",IF(AND(AG216&lt;0,AH216&lt;0),"Bear","Mixed")))</f>
        <v/>
      </c>
      <c r="AO216">
        <f>IF(OR(AK216="",AL216=""),"",IF(AND(AK216&gt;0,AL216&gt;0),"Bull",IF(AND(AK216&lt;0,AL216&lt;0),"Bear","Mixed")))</f>
        <v/>
      </c>
      <c r="AP216">
        <f>IF(OR(AN216="",AO216=""),"",IF(AND(AN216="Bull",AO216="Bull"),"YES","NO"))</f>
        <v/>
      </c>
      <c r="AQ216">
        <f>IF(OR(AN216="",AO216=""),"",IF(AND(AN216="Bear",AO216="Bear"),"YES","NO"))</f>
        <v/>
      </c>
      <c r="AR216">
        <f>IF(AP216="YES",IF(SUM(N(X216),N(Y216),N(Z216))&gt;0,"SOXL","TQQQ"),IF(AQ216="YES",IF(SUM(N(AA216),N(AB216),N(AC216))&gt;0,"SOXS","SQQQ"),"WAIT"))</f>
        <v/>
      </c>
      <c r="AS216">
        <f>IF(AP216="YES",IF(SUM(N(X216),N(Y216),N(Z216))&gt;0,"TQQQ","SOXL"),IF(AQ216="YES",IF(SUM(N(AA216),N(AB216),N(AC216))&gt;0,"SQQQ","SOXS"),""))</f>
        <v/>
      </c>
      <c r="AT216" s="23">
        <f>IF(AR216="WAIT","",IF(AS216="",1,0.6))</f>
        <v/>
      </c>
      <c r="AU216" s="23">
        <f>IF(AS216="",0,0.4)</f>
        <v/>
      </c>
      <c r="AV216">
        <f>IF(AR216="WAIT","WAIT",IF(AP216="YES","BULL",IF(AQ216="YES","BEAR","WAIT")))</f>
        <v/>
      </c>
      <c r="AW216">
        <f>IF(AR216="WAIT","Low",IF(OR(AND(AV216="BULL",ABS(SUM(N(X216),N(Y216),N(Z216)))&gt;=0.15),AND(AV216="BEAR",ABS(SUM(N(AA216),N(AB216),N(AC216)))&gt;=0.15)),"Strong",IF(OR(AND(AV216="BULL",ABS(SUM(N(X216),N(Y216),N(Z216)))&gt;=0.05),AND(AV216="BEAR",ABS(SUM(N(AA216),N(AB216),N(AC216)))&gt;=0.05)),"Moderate","Low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13" t="n"/>
      <c r="AF217" s="23">
        <f>IF(OR(AD217="",AD216=""),"",IF(AD216=0,"",(AD217/AD216)-1))</f>
        <v/>
      </c>
      <c r="AG217" s="23">
        <f>IF(ROW()&lt;7,"",IF(OR(AD217="",AD214=""),"",IF(AD214=0,"",(AD217/AD214)-1)))</f>
        <v/>
      </c>
      <c r="AH217" s="23">
        <f>IF(ROW()&lt;9,"",IF(OR(AD217="",AD212=""),"",IF(AD212=0,"",(AD217/AD212)-1)))</f>
        <v/>
      </c>
      <c r="AJ217" s="23">
        <f>IF(OR(AE217="",AE216=""),"",IF(AE216=0,"",(AE217/AE216)-1))</f>
        <v/>
      </c>
      <c r="AK217" s="23">
        <f>IF(ROW()&lt;7,"",IF(OR(AE217="",AE214=""),"",IF(AE214=0,"",(AE217/AE214)-1)))</f>
        <v/>
      </c>
      <c r="AL217" s="23">
        <f>IF(ROW()&lt;9,"",IF(OR(AE217="",AE212=""),"",IF(AE212=0,"",(AE217/AE212)-1)))</f>
        <v/>
      </c>
      <c r="AN217">
        <f>IF(OR(AG217="",AH217=""),"",IF(AND(AG217&gt;0,AH217&gt;0),"Bull",IF(AND(AG217&lt;0,AH217&lt;0),"Bear","Mixed")))</f>
        <v/>
      </c>
      <c r="AO217">
        <f>IF(OR(AK217="",AL217=""),"",IF(AND(AK217&gt;0,AL217&gt;0),"Bull",IF(AND(AK217&lt;0,AL217&lt;0),"Bear","Mixed")))</f>
        <v/>
      </c>
      <c r="AP217">
        <f>IF(OR(AN217="",AO217=""),"",IF(AND(AN217="Bull",AO217="Bull"),"YES","NO"))</f>
        <v/>
      </c>
      <c r="AQ217">
        <f>IF(OR(AN217="",AO217=""),"",IF(AND(AN217="Bear",AO217="Bear"),"YES","NO"))</f>
        <v/>
      </c>
      <c r="AR217">
        <f>IF(AP217="YES",IF(SUM(N(X217),N(Y217),N(Z217))&gt;0,"SOXL","TQQQ"),IF(AQ217="YES",IF(SUM(N(AA217),N(AB217),N(AC217))&gt;0,"SOXS","SQQQ"),"WAIT"))</f>
        <v/>
      </c>
      <c r="AS217">
        <f>IF(AP217="YES",IF(SUM(N(X217),N(Y217),N(Z217))&gt;0,"TQQQ","SOXL"),IF(AQ217="YES",IF(SUM(N(AA217),N(AB217),N(AC217))&gt;0,"SQQQ","SOXS"),""))</f>
        <v/>
      </c>
      <c r="AT217" s="23">
        <f>IF(AR217="WAIT","",IF(AS217="",1,0.6))</f>
        <v/>
      </c>
      <c r="AU217" s="23">
        <f>IF(AS217="",0,0.4)</f>
        <v/>
      </c>
      <c r="AV217">
        <f>IF(AR217="WAIT","WAIT",IF(AP217="YES","BULL",IF(AQ217="YES","BEAR","WAIT")))</f>
        <v/>
      </c>
      <c r="AW217">
        <f>IF(AR217="WAIT","Low",IF(OR(AND(AV217="BULL",ABS(SUM(N(X217),N(Y217),N(Z217)))&gt;=0.15),AND(AV217="BEAR",ABS(SUM(N(AA217),N(AB217),N(AC217)))&gt;=0.15)),"Strong",IF(OR(AND(AV217="BULL",ABS(SUM(N(X217),N(Y217),N(Z217)))&gt;=0.05),AND(AV217="BEAR",ABS(SUM(N(AA217),N(AB217),N(AC217)))&gt;=0.05)),"Moderate","Low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13" t="n"/>
      <c r="AF218" s="23">
        <f>IF(OR(AD218="",AD217=""),"",IF(AD217=0,"",(AD218/AD217)-1))</f>
        <v/>
      </c>
      <c r="AG218" s="23">
        <f>IF(ROW()&lt;7,"",IF(OR(AD218="",AD215=""),"",IF(AD215=0,"",(AD218/AD215)-1)))</f>
        <v/>
      </c>
      <c r="AH218" s="23">
        <f>IF(ROW()&lt;9,"",IF(OR(AD218="",AD213=""),"",IF(AD213=0,"",(AD218/AD213)-1)))</f>
        <v/>
      </c>
      <c r="AJ218" s="23">
        <f>IF(OR(AE218="",AE217=""),"",IF(AE217=0,"",(AE218/AE217)-1))</f>
        <v/>
      </c>
      <c r="AK218" s="23">
        <f>IF(ROW()&lt;7,"",IF(OR(AE218="",AE215=""),"",IF(AE215=0,"",(AE218/AE215)-1)))</f>
        <v/>
      </c>
      <c r="AL218" s="23">
        <f>IF(ROW()&lt;9,"",IF(OR(AE218="",AE213=""),"",IF(AE213=0,"",(AE218/AE213)-1)))</f>
        <v/>
      </c>
      <c r="AN218">
        <f>IF(OR(AG218="",AH218=""),"",IF(AND(AG218&gt;0,AH218&gt;0),"Bull",IF(AND(AG218&lt;0,AH218&lt;0),"Bear","Mixed")))</f>
        <v/>
      </c>
      <c r="AO218">
        <f>IF(OR(AK218="",AL218=""),"",IF(AND(AK218&gt;0,AL218&gt;0),"Bull",IF(AND(AK218&lt;0,AL218&lt;0),"Bear","Mixed")))</f>
        <v/>
      </c>
      <c r="AP218">
        <f>IF(OR(AN218="",AO218=""),"",IF(AND(AN218="Bull",AO218="Bull"),"YES","NO"))</f>
        <v/>
      </c>
      <c r="AQ218">
        <f>IF(OR(AN218="",AO218=""),"",IF(AND(AN218="Bear",AO218="Bear"),"YES","NO"))</f>
        <v/>
      </c>
      <c r="AR218">
        <f>IF(AP218="YES",IF(SUM(N(X218),N(Y218),N(Z218))&gt;0,"SOXL","TQQQ"),IF(AQ218="YES",IF(SUM(N(AA218),N(AB218),N(AC218))&gt;0,"SOXS","SQQQ"),"WAIT"))</f>
        <v/>
      </c>
      <c r="AS218">
        <f>IF(AP218="YES",IF(SUM(N(X218),N(Y218),N(Z218))&gt;0,"TQQQ","SOXL"),IF(AQ218="YES",IF(SUM(N(AA218),N(AB218),N(AC218))&gt;0,"SQQQ","SOXS"),""))</f>
        <v/>
      </c>
      <c r="AT218" s="23">
        <f>IF(AR218="WAIT","",IF(AS218="",1,0.6))</f>
        <v/>
      </c>
      <c r="AU218" s="23">
        <f>IF(AS218="",0,0.4)</f>
        <v/>
      </c>
      <c r="AV218">
        <f>IF(AR218="WAIT","WAIT",IF(AP218="YES","BULL",IF(AQ218="YES","BEAR","WAIT")))</f>
        <v/>
      </c>
      <c r="AW218">
        <f>IF(AR218="WAIT","Low",IF(OR(AND(AV218="BULL",ABS(SUM(N(X218),N(Y218),N(Z218)))&gt;=0.15),AND(AV218="BEAR",ABS(SUM(N(AA218),N(AB218),N(AC218)))&gt;=0.15)),"Strong",IF(OR(AND(AV218="BULL",ABS(SUM(N(X218),N(Y218),N(Z218)))&gt;=0.05),AND(AV218="BEAR",ABS(SUM(N(AA218),N(AB218),N(AC218)))&gt;=0.05)),"Moderate","Low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13" t="n"/>
      <c r="AF219" s="23">
        <f>IF(OR(AD219="",AD218=""),"",IF(AD218=0,"",(AD219/AD218)-1))</f>
        <v/>
      </c>
      <c r="AG219" s="23">
        <f>IF(ROW()&lt;7,"",IF(OR(AD219="",AD216=""),"",IF(AD216=0,"",(AD219/AD216)-1)))</f>
        <v/>
      </c>
      <c r="AH219" s="23">
        <f>IF(ROW()&lt;9,"",IF(OR(AD219="",AD214=""),"",IF(AD214=0,"",(AD219/AD214)-1)))</f>
        <v/>
      </c>
      <c r="AJ219" s="23">
        <f>IF(OR(AE219="",AE218=""),"",IF(AE218=0,"",(AE219/AE218)-1))</f>
        <v/>
      </c>
      <c r="AK219" s="23">
        <f>IF(ROW()&lt;7,"",IF(OR(AE219="",AE216=""),"",IF(AE216=0,"",(AE219/AE216)-1)))</f>
        <v/>
      </c>
      <c r="AL219" s="23">
        <f>IF(ROW()&lt;9,"",IF(OR(AE219="",AE214=""),"",IF(AE214=0,"",(AE219/AE214)-1)))</f>
        <v/>
      </c>
      <c r="AN219">
        <f>IF(OR(AG219="",AH219=""),"",IF(AND(AG219&gt;0,AH219&gt;0),"Bull",IF(AND(AG219&lt;0,AH219&lt;0),"Bear","Mixed")))</f>
        <v/>
      </c>
      <c r="AO219">
        <f>IF(OR(AK219="",AL219=""),"",IF(AND(AK219&gt;0,AL219&gt;0),"Bull",IF(AND(AK219&lt;0,AL219&lt;0),"Bear","Mixed")))</f>
        <v/>
      </c>
      <c r="AP219">
        <f>IF(OR(AN219="",AO219=""),"",IF(AND(AN219="Bull",AO219="Bull"),"YES","NO"))</f>
        <v/>
      </c>
      <c r="AQ219">
        <f>IF(OR(AN219="",AO219=""),"",IF(AND(AN219="Bear",AO219="Bear"),"YES","NO"))</f>
        <v/>
      </c>
      <c r="AR219">
        <f>IF(AP219="YES",IF(SUM(N(X219),N(Y219),N(Z219))&gt;0,"SOXL","TQQQ"),IF(AQ219="YES",IF(SUM(N(AA219),N(AB219),N(AC219))&gt;0,"SOXS","SQQQ"),"WAIT"))</f>
        <v/>
      </c>
      <c r="AS219">
        <f>IF(AP219="YES",IF(SUM(N(X219),N(Y219),N(Z219))&gt;0,"TQQQ","SOXL"),IF(AQ219="YES",IF(SUM(N(AA219),N(AB219),N(AC219))&gt;0,"SQQQ","SOXS"),""))</f>
        <v/>
      </c>
      <c r="AT219" s="23">
        <f>IF(AR219="WAIT","",IF(AS219="",1,0.6))</f>
        <v/>
      </c>
      <c r="AU219" s="23">
        <f>IF(AS219="",0,0.4)</f>
        <v/>
      </c>
      <c r="AV219">
        <f>IF(AR219="WAIT","WAIT",IF(AP219="YES","BULL",IF(AQ219="YES","BEAR","WAIT")))</f>
        <v/>
      </c>
      <c r="AW219">
        <f>IF(AR219="WAIT","Low",IF(OR(AND(AV219="BULL",ABS(SUM(N(X219),N(Y219),N(Z219)))&gt;=0.15),AND(AV219="BEAR",ABS(SUM(N(AA219),N(AB219),N(AC219)))&gt;=0.15)),"Strong",IF(OR(AND(AV219="BULL",ABS(SUM(N(X219),N(Y219),N(Z219)))&gt;=0.05),AND(AV219="BEAR",ABS(SUM(N(AA219),N(AB219),N(AC219)))&gt;=0.05)),"Moderate","Low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13" t="n"/>
      <c r="AF220" s="23">
        <f>IF(OR(AD220="",AD219=""),"",IF(AD219=0,"",(AD220/AD219)-1))</f>
        <v/>
      </c>
      <c r="AG220" s="23">
        <f>IF(ROW()&lt;7,"",IF(OR(AD220="",AD217=""),"",IF(AD217=0,"",(AD220/AD217)-1)))</f>
        <v/>
      </c>
      <c r="AH220" s="23">
        <f>IF(ROW()&lt;9,"",IF(OR(AD220="",AD215=""),"",IF(AD215=0,"",(AD220/AD215)-1)))</f>
        <v/>
      </c>
      <c r="AJ220" s="23">
        <f>IF(OR(AE220="",AE219=""),"",IF(AE219=0,"",(AE220/AE219)-1))</f>
        <v/>
      </c>
      <c r="AK220" s="23">
        <f>IF(ROW()&lt;7,"",IF(OR(AE220="",AE217=""),"",IF(AE217=0,"",(AE220/AE217)-1)))</f>
        <v/>
      </c>
      <c r="AL220" s="23">
        <f>IF(ROW()&lt;9,"",IF(OR(AE220="",AE215=""),"",IF(AE215=0,"",(AE220/AE215)-1)))</f>
        <v/>
      </c>
      <c r="AN220">
        <f>IF(OR(AG220="",AH220=""),"",IF(AND(AG220&gt;0,AH220&gt;0),"Bull",IF(AND(AG220&lt;0,AH220&lt;0),"Bear","Mixed")))</f>
        <v/>
      </c>
      <c r="AO220">
        <f>IF(OR(AK220="",AL220=""),"",IF(AND(AK220&gt;0,AL220&gt;0),"Bull",IF(AND(AK220&lt;0,AL220&lt;0),"Bear","Mixed")))</f>
        <v/>
      </c>
      <c r="AP220">
        <f>IF(OR(AN220="",AO220=""),"",IF(AND(AN220="Bull",AO220="Bull"),"YES","NO"))</f>
        <v/>
      </c>
      <c r="AQ220">
        <f>IF(OR(AN220="",AO220=""),"",IF(AND(AN220="Bear",AO220="Bear"),"YES","NO"))</f>
        <v/>
      </c>
      <c r="AR220">
        <f>IF(AP220="YES",IF(SUM(N(X220),N(Y220),N(Z220))&gt;0,"SOXL","TQQQ"),IF(AQ220="YES",IF(SUM(N(AA220),N(AB220),N(AC220))&gt;0,"SOXS","SQQQ"),"WAIT"))</f>
        <v/>
      </c>
      <c r="AS220">
        <f>IF(AP220="YES",IF(SUM(N(X220),N(Y220),N(Z220))&gt;0,"TQQQ","SOXL"),IF(AQ220="YES",IF(SUM(N(AA220),N(AB220),N(AC220))&gt;0,"SQQQ","SOXS"),""))</f>
        <v/>
      </c>
      <c r="AT220" s="23">
        <f>IF(AR220="WAIT","",IF(AS220="",1,0.6))</f>
        <v/>
      </c>
      <c r="AU220" s="23">
        <f>IF(AS220="",0,0.4)</f>
        <v/>
      </c>
      <c r="AV220">
        <f>IF(AR220="WAIT","WAIT",IF(AP220="YES","BULL",IF(AQ220="YES","BEAR","WAIT")))</f>
        <v/>
      </c>
      <c r="AW220">
        <f>IF(AR220="WAIT","Low",IF(OR(AND(AV220="BULL",ABS(SUM(N(X220),N(Y220),N(Z220)))&gt;=0.15),AND(AV220="BEAR",ABS(SUM(N(AA220),N(AB220),N(AC220)))&gt;=0.15)),"Strong",IF(OR(AND(AV220="BULL",ABS(SUM(N(X220),N(Y220),N(Z220)))&gt;=0.05),AND(AV220="BEAR",ABS(SUM(N(AA220),N(AB220),N(AC220)))&gt;=0.05)),"Moderate","Low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13" t="n"/>
      <c r="AF221" s="23">
        <f>IF(OR(AD221="",AD220=""),"",IF(AD220=0,"",(AD221/AD220)-1))</f>
        <v/>
      </c>
      <c r="AG221" s="23">
        <f>IF(ROW()&lt;7,"",IF(OR(AD221="",AD218=""),"",IF(AD218=0,"",(AD221/AD218)-1)))</f>
        <v/>
      </c>
      <c r="AH221" s="23">
        <f>IF(ROW()&lt;9,"",IF(OR(AD221="",AD216=""),"",IF(AD216=0,"",(AD221/AD216)-1)))</f>
        <v/>
      </c>
      <c r="AJ221" s="23">
        <f>IF(OR(AE221="",AE220=""),"",IF(AE220=0,"",(AE221/AE220)-1))</f>
        <v/>
      </c>
      <c r="AK221" s="23">
        <f>IF(ROW()&lt;7,"",IF(OR(AE221="",AE218=""),"",IF(AE218=0,"",(AE221/AE218)-1)))</f>
        <v/>
      </c>
      <c r="AL221" s="23">
        <f>IF(ROW()&lt;9,"",IF(OR(AE221="",AE216=""),"",IF(AE216=0,"",(AE221/AE216)-1)))</f>
        <v/>
      </c>
      <c r="AN221">
        <f>IF(OR(AG221="",AH221=""),"",IF(AND(AG221&gt;0,AH221&gt;0),"Bull",IF(AND(AG221&lt;0,AH221&lt;0),"Bear","Mixed")))</f>
        <v/>
      </c>
      <c r="AO221">
        <f>IF(OR(AK221="",AL221=""),"",IF(AND(AK221&gt;0,AL221&gt;0),"Bull",IF(AND(AK221&lt;0,AL221&lt;0),"Bear","Mixed")))</f>
        <v/>
      </c>
      <c r="AP221">
        <f>IF(OR(AN221="",AO221=""),"",IF(AND(AN221="Bull",AO221="Bull"),"YES","NO"))</f>
        <v/>
      </c>
      <c r="AQ221">
        <f>IF(OR(AN221="",AO221=""),"",IF(AND(AN221="Bear",AO221="Bear"),"YES","NO"))</f>
        <v/>
      </c>
      <c r="AR221">
        <f>IF(AP221="YES",IF(SUM(N(X221),N(Y221),N(Z221))&gt;0,"SOXL","TQQQ"),IF(AQ221="YES",IF(SUM(N(AA221),N(AB221),N(AC221))&gt;0,"SOXS","SQQQ"),"WAIT"))</f>
        <v/>
      </c>
      <c r="AS221">
        <f>IF(AP221="YES",IF(SUM(N(X221),N(Y221),N(Z221))&gt;0,"TQQQ","SOXL"),IF(AQ221="YES",IF(SUM(N(AA221),N(AB221),N(AC221))&gt;0,"SQQQ","SOXS"),""))</f>
        <v/>
      </c>
      <c r="AT221" s="23">
        <f>IF(AR221="WAIT","",IF(AS221="",1,0.6))</f>
        <v/>
      </c>
      <c r="AU221" s="23">
        <f>IF(AS221="",0,0.4)</f>
        <v/>
      </c>
      <c r="AV221">
        <f>IF(AR221="WAIT","WAIT",IF(AP221="YES","BULL",IF(AQ221="YES","BEAR","WAIT")))</f>
        <v/>
      </c>
      <c r="AW221">
        <f>IF(AR221="WAIT","Low",IF(OR(AND(AV221="BULL",ABS(SUM(N(X221),N(Y221),N(Z221)))&gt;=0.15),AND(AV221="BEAR",ABS(SUM(N(AA221),N(AB221),N(AC221)))&gt;=0.15)),"Strong",IF(OR(AND(AV221="BULL",ABS(SUM(N(X221),N(Y221),N(Z221)))&gt;=0.05),AND(AV221="BEAR",ABS(SUM(N(AA221),N(AB221),N(AC221)))&gt;=0.05)),"Moderate","Low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13" t="n"/>
      <c r="AF222" s="23">
        <f>IF(OR(AD222="",AD221=""),"",IF(AD221=0,"",(AD222/AD221)-1))</f>
        <v/>
      </c>
      <c r="AG222" s="23">
        <f>IF(ROW()&lt;7,"",IF(OR(AD222="",AD219=""),"",IF(AD219=0,"",(AD222/AD219)-1)))</f>
        <v/>
      </c>
      <c r="AH222" s="23">
        <f>IF(ROW()&lt;9,"",IF(OR(AD222="",AD217=""),"",IF(AD217=0,"",(AD222/AD217)-1)))</f>
        <v/>
      </c>
      <c r="AJ222" s="23">
        <f>IF(OR(AE222="",AE221=""),"",IF(AE221=0,"",(AE222/AE221)-1))</f>
        <v/>
      </c>
      <c r="AK222" s="23">
        <f>IF(ROW()&lt;7,"",IF(OR(AE222="",AE219=""),"",IF(AE219=0,"",(AE222/AE219)-1)))</f>
        <v/>
      </c>
      <c r="AL222" s="23">
        <f>IF(ROW()&lt;9,"",IF(OR(AE222="",AE217=""),"",IF(AE217=0,"",(AE222/AE217)-1)))</f>
        <v/>
      </c>
      <c r="AN222">
        <f>IF(OR(AG222="",AH222=""),"",IF(AND(AG222&gt;0,AH222&gt;0),"Bull",IF(AND(AG222&lt;0,AH222&lt;0),"Bear","Mixed")))</f>
        <v/>
      </c>
      <c r="AO222">
        <f>IF(OR(AK222="",AL222=""),"",IF(AND(AK222&gt;0,AL222&gt;0),"Bull",IF(AND(AK222&lt;0,AL222&lt;0),"Bear","Mixed")))</f>
        <v/>
      </c>
      <c r="AP222">
        <f>IF(OR(AN222="",AO222=""),"",IF(AND(AN222="Bull",AO222="Bull"),"YES","NO"))</f>
        <v/>
      </c>
      <c r="AQ222">
        <f>IF(OR(AN222="",AO222=""),"",IF(AND(AN222="Bear",AO222="Bear"),"YES","NO"))</f>
        <v/>
      </c>
      <c r="AR222">
        <f>IF(AP222="YES",IF(SUM(N(X222),N(Y222),N(Z222))&gt;0,"SOXL","TQQQ"),IF(AQ222="YES",IF(SUM(N(AA222),N(AB222),N(AC222))&gt;0,"SOXS","SQQQ"),"WAIT"))</f>
        <v/>
      </c>
      <c r="AS222">
        <f>IF(AP222="YES",IF(SUM(N(X222),N(Y222),N(Z222))&gt;0,"TQQQ","SOXL"),IF(AQ222="YES",IF(SUM(N(AA222),N(AB222),N(AC222))&gt;0,"SQQQ","SOXS"),""))</f>
        <v/>
      </c>
      <c r="AT222" s="23">
        <f>IF(AR222="WAIT","",IF(AS222="",1,0.6))</f>
        <v/>
      </c>
      <c r="AU222" s="23">
        <f>IF(AS222="",0,0.4)</f>
        <v/>
      </c>
      <c r="AV222">
        <f>IF(AR222="WAIT","WAIT",IF(AP222="YES","BULL",IF(AQ222="YES","BEAR","WAIT")))</f>
        <v/>
      </c>
      <c r="AW222">
        <f>IF(AR222="WAIT","Low",IF(OR(AND(AV222="BULL",ABS(SUM(N(X222),N(Y222),N(Z222)))&gt;=0.15),AND(AV222="BEAR",ABS(SUM(N(AA222),N(AB222),N(AC222)))&gt;=0.15)),"Strong",IF(OR(AND(AV222="BULL",ABS(SUM(N(X222),N(Y222),N(Z222)))&gt;=0.05),AND(AV222="BEAR",ABS(SUM(N(AA222),N(AB222),N(AC222)))&gt;=0.05)),"Moderate","Low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13" t="n"/>
      <c r="AF223" s="23">
        <f>IF(OR(AD223="",AD222=""),"",IF(AD222=0,"",(AD223/AD222)-1))</f>
        <v/>
      </c>
      <c r="AG223" s="23">
        <f>IF(ROW()&lt;7,"",IF(OR(AD223="",AD220=""),"",IF(AD220=0,"",(AD223/AD220)-1)))</f>
        <v/>
      </c>
      <c r="AH223" s="23">
        <f>IF(ROW()&lt;9,"",IF(OR(AD223="",AD218=""),"",IF(AD218=0,"",(AD223/AD218)-1)))</f>
        <v/>
      </c>
      <c r="AJ223" s="23">
        <f>IF(OR(AE223="",AE222=""),"",IF(AE222=0,"",(AE223/AE222)-1))</f>
        <v/>
      </c>
      <c r="AK223" s="23">
        <f>IF(ROW()&lt;7,"",IF(OR(AE223="",AE220=""),"",IF(AE220=0,"",(AE223/AE220)-1)))</f>
        <v/>
      </c>
      <c r="AL223" s="23">
        <f>IF(ROW()&lt;9,"",IF(OR(AE223="",AE218=""),"",IF(AE218=0,"",(AE223/AE218)-1)))</f>
        <v/>
      </c>
      <c r="AN223">
        <f>IF(OR(AG223="",AH223=""),"",IF(AND(AG223&gt;0,AH223&gt;0),"Bull",IF(AND(AG223&lt;0,AH223&lt;0),"Bear","Mixed")))</f>
        <v/>
      </c>
      <c r="AO223">
        <f>IF(OR(AK223="",AL223=""),"",IF(AND(AK223&gt;0,AL223&gt;0),"Bull",IF(AND(AK223&lt;0,AL223&lt;0),"Bear","Mixed")))</f>
        <v/>
      </c>
      <c r="AP223">
        <f>IF(OR(AN223="",AO223=""),"",IF(AND(AN223="Bull",AO223="Bull"),"YES","NO"))</f>
        <v/>
      </c>
      <c r="AQ223">
        <f>IF(OR(AN223="",AO223=""),"",IF(AND(AN223="Bear",AO223="Bear"),"YES","NO"))</f>
        <v/>
      </c>
      <c r="AR223">
        <f>IF(AP223="YES",IF(SUM(N(X223),N(Y223),N(Z223))&gt;0,"SOXL","TQQQ"),IF(AQ223="YES",IF(SUM(N(AA223),N(AB223),N(AC223))&gt;0,"SOXS","SQQQ"),"WAIT"))</f>
        <v/>
      </c>
      <c r="AS223">
        <f>IF(AP223="YES",IF(SUM(N(X223),N(Y223),N(Z223))&gt;0,"TQQQ","SOXL"),IF(AQ223="YES",IF(SUM(N(AA223),N(AB223),N(AC223))&gt;0,"SQQQ","SOXS"),""))</f>
        <v/>
      </c>
      <c r="AT223" s="23">
        <f>IF(AR223="WAIT","",IF(AS223="",1,0.6))</f>
        <v/>
      </c>
      <c r="AU223" s="23">
        <f>IF(AS223="",0,0.4)</f>
        <v/>
      </c>
      <c r="AV223">
        <f>IF(AR223="WAIT","WAIT",IF(AP223="YES","BULL",IF(AQ223="YES","BEAR","WAIT")))</f>
        <v/>
      </c>
      <c r="AW223">
        <f>IF(AR223="WAIT","Low",IF(OR(AND(AV223="BULL",ABS(SUM(N(X223),N(Y223),N(Z223)))&gt;=0.15),AND(AV223="BEAR",ABS(SUM(N(AA223),N(AB223),N(AC223)))&gt;=0.15)),"Strong",IF(OR(AND(AV223="BULL",ABS(SUM(N(X223),N(Y223),N(Z223)))&gt;=0.05),AND(AV223="BEAR",ABS(SUM(N(AA223),N(AB223),N(AC223)))&gt;=0.05)),"Moderate","Low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13" t="n"/>
      <c r="AF224" s="23">
        <f>IF(OR(AD224="",AD223=""),"",IF(AD223=0,"",(AD224/AD223)-1))</f>
        <v/>
      </c>
      <c r="AG224" s="23">
        <f>IF(ROW()&lt;7,"",IF(OR(AD224="",AD221=""),"",IF(AD221=0,"",(AD224/AD221)-1)))</f>
        <v/>
      </c>
      <c r="AH224" s="23">
        <f>IF(ROW()&lt;9,"",IF(OR(AD224="",AD219=""),"",IF(AD219=0,"",(AD224/AD219)-1)))</f>
        <v/>
      </c>
      <c r="AJ224" s="23">
        <f>IF(OR(AE224="",AE223=""),"",IF(AE223=0,"",(AE224/AE223)-1))</f>
        <v/>
      </c>
      <c r="AK224" s="23">
        <f>IF(ROW()&lt;7,"",IF(OR(AE224="",AE221=""),"",IF(AE221=0,"",(AE224/AE221)-1)))</f>
        <v/>
      </c>
      <c r="AL224" s="23">
        <f>IF(ROW()&lt;9,"",IF(OR(AE224="",AE219=""),"",IF(AE219=0,"",(AE224/AE219)-1)))</f>
        <v/>
      </c>
      <c r="AN224">
        <f>IF(OR(AG224="",AH224=""),"",IF(AND(AG224&gt;0,AH224&gt;0),"Bull",IF(AND(AG224&lt;0,AH224&lt;0),"Bear","Mixed")))</f>
        <v/>
      </c>
      <c r="AO224">
        <f>IF(OR(AK224="",AL224=""),"",IF(AND(AK224&gt;0,AL224&gt;0),"Bull",IF(AND(AK224&lt;0,AL224&lt;0),"Bear","Mixed")))</f>
        <v/>
      </c>
      <c r="AP224">
        <f>IF(OR(AN224="",AO224=""),"",IF(AND(AN224="Bull",AO224="Bull"),"YES","NO"))</f>
        <v/>
      </c>
      <c r="AQ224">
        <f>IF(OR(AN224="",AO224=""),"",IF(AND(AN224="Bear",AO224="Bear"),"YES","NO"))</f>
        <v/>
      </c>
      <c r="AR224">
        <f>IF(AP224="YES",IF(SUM(N(X224),N(Y224),N(Z224))&gt;0,"SOXL","TQQQ"),IF(AQ224="YES",IF(SUM(N(AA224),N(AB224),N(AC224))&gt;0,"SOXS","SQQQ"),"WAIT"))</f>
        <v/>
      </c>
      <c r="AS224">
        <f>IF(AP224="YES",IF(SUM(N(X224),N(Y224),N(Z224))&gt;0,"TQQQ","SOXL"),IF(AQ224="YES",IF(SUM(N(AA224),N(AB224),N(AC224))&gt;0,"SQQQ","SOXS"),""))</f>
        <v/>
      </c>
      <c r="AT224" s="23">
        <f>IF(AR224="WAIT","",IF(AS224="",1,0.6))</f>
        <v/>
      </c>
      <c r="AU224" s="23">
        <f>IF(AS224="",0,0.4)</f>
        <v/>
      </c>
      <c r="AV224">
        <f>IF(AR224="WAIT","WAIT",IF(AP224="YES","BULL",IF(AQ224="YES","BEAR","WAIT")))</f>
        <v/>
      </c>
      <c r="AW224">
        <f>IF(AR224="WAIT","Low",IF(OR(AND(AV224="BULL",ABS(SUM(N(X224),N(Y224),N(Z224)))&gt;=0.15),AND(AV224="BEAR",ABS(SUM(N(AA224),N(AB224),N(AC224)))&gt;=0.15)),"Strong",IF(OR(AND(AV224="BULL",ABS(SUM(N(X224),N(Y224),N(Z224)))&gt;=0.05),AND(AV224="BEAR",ABS(SUM(N(AA224),N(AB224),N(AC224)))&gt;=0.05)),"Moderate","Low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13" t="n"/>
      <c r="AF225" s="23">
        <f>IF(OR(AD225="",AD224=""),"",IF(AD224=0,"",(AD225/AD224)-1))</f>
        <v/>
      </c>
      <c r="AG225" s="23">
        <f>IF(ROW()&lt;7,"",IF(OR(AD225="",AD222=""),"",IF(AD222=0,"",(AD225/AD222)-1)))</f>
        <v/>
      </c>
      <c r="AH225" s="23">
        <f>IF(ROW()&lt;9,"",IF(OR(AD225="",AD220=""),"",IF(AD220=0,"",(AD225/AD220)-1)))</f>
        <v/>
      </c>
      <c r="AJ225" s="23">
        <f>IF(OR(AE225="",AE224=""),"",IF(AE224=0,"",(AE225/AE224)-1))</f>
        <v/>
      </c>
      <c r="AK225" s="23">
        <f>IF(ROW()&lt;7,"",IF(OR(AE225="",AE222=""),"",IF(AE222=0,"",(AE225/AE222)-1)))</f>
        <v/>
      </c>
      <c r="AL225" s="23">
        <f>IF(ROW()&lt;9,"",IF(OR(AE225="",AE220=""),"",IF(AE220=0,"",(AE225/AE220)-1)))</f>
        <v/>
      </c>
      <c r="AN225">
        <f>IF(OR(AG225="",AH225=""),"",IF(AND(AG225&gt;0,AH225&gt;0),"Bull",IF(AND(AG225&lt;0,AH225&lt;0),"Bear","Mixed")))</f>
        <v/>
      </c>
      <c r="AO225">
        <f>IF(OR(AK225="",AL225=""),"",IF(AND(AK225&gt;0,AL225&gt;0),"Bull",IF(AND(AK225&lt;0,AL225&lt;0),"Bear","Mixed")))</f>
        <v/>
      </c>
      <c r="AP225">
        <f>IF(OR(AN225="",AO225=""),"",IF(AND(AN225="Bull",AO225="Bull"),"YES","NO"))</f>
        <v/>
      </c>
      <c r="AQ225">
        <f>IF(OR(AN225="",AO225=""),"",IF(AND(AN225="Bear",AO225="Bear"),"YES","NO"))</f>
        <v/>
      </c>
      <c r="AR225">
        <f>IF(AP225="YES",IF(SUM(N(X225),N(Y225),N(Z225))&gt;0,"SOXL","TQQQ"),IF(AQ225="YES",IF(SUM(N(AA225),N(AB225),N(AC225))&gt;0,"SOXS","SQQQ"),"WAIT"))</f>
        <v/>
      </c>
      <c r="AS225">
        <f>IF(AP225="YES",IF(SUM(N(X225),N(Y225),N(Z225))&gt;0,"TQQQ","SOXL"),IF(AQ225="YES",IF(SUM(N(AA225),N(AB225),N(AC225))&gt;0,"SQQQ","SOXS"),""))</f>
        <v/>
      </c>
      <c r="AT225" s="23">
        <f>IF(AR225="WAIT","",IF(AS225="",1,0.6))</f>
        <v/>
      </c>
      <c r="AU225" s="23">
        <f>IF(AS225="",0,0.4)</f>
        <v/>
      </c>
      <c r="AV225">
        <f>IF(AR225="WAIT","WAIT",IF(AP225="YES","BULL",IF(AQ225="YES","BEAR","WAIT")))</f>
        <v/>
      </c>
      <c r="AW225">
        <f>IF(AR225="WAIT","Low",IF(OR(AND(AV225="BULL",ABS(SUM(N(X225),N(Y225),N(Z225)))&gt;=0.15),AND(AV225="BEAR",ABS(SUM(N(AA225),N(AB225),N(AC225)))&gt;=0.15)),"Strong",IF(OR(AND(AV225="BULL",ABS(SUM(N(X225),N(Y225),N(Z225)))&gt;=0.05),AND(AV225="BEAR",ABS(SUM(N(AA225),N(AB225),N(AC225)))&gt;=0.05)),"Moderate","Low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13" t="n"/>
      <c r="AF226" s="23">
        <f>IF(OR(AD226="",AD225=""),"",IF(AD225=0,"",(AD226/AD225)-1))</f>
        <v/>
      </c>
      <c r="AG226" s="23">
        <f>IF(ROW()&lt;7,"",IF(OR(AD226="",AD223=""),"",IF(AD223=0,"",(AD226/AD223)-1)))</f>
        <v/>
      </c>
      <c r="AH226" s="23">
        <f>IF(ROW()&lt;9,"",IF(OR(AD226="",AD221=""),"",IF(AD221=0,"",(AD226/AD221)-1)))</f>
        <v/>
      </c>
      <c r="AJ226" s="23">
        <f>IF(OR(AE226="",AE225=""),"",IF(AE225=0,"",(AE226/AE225)-1))</f>
        <v/>
      </c>
      <c r="AK226" s="23">
        <f>IF(ROW()&lt;7,"",IF(OR(AE226="",AE223=""),"",IF(AE223=0,"",(AE226/AE223)-1)))</f>
        <v/>
      </c>
      <c r="AL226" s="23">
        <f>IF(ROW()&lt;9,"",IF(OR(AE226="",AE221=""),"",IF(AE221=0,"",(AE226/AE221)-1)))</f>
        <v/>
      </c>
      <c r="AN226">
        <f>IF(OR(AG226="",AH226=""),"",IF(AND(AG226&gt;0,AH226&gt;0),"Bull",IF(AND(AG226&lt;0,AH226&lt;0),"Bear","Mixed")))</f>
        <v/>
      </c>
      <c r="AO226">
        <f>IF(OR(AK226="",AL226=""),"",IF(AND(AK226&gt;0,AL226&gt;0),"Bull",IF(AND(AK226&lt;0,AL226&lt;0),"Bear","Mixed")))</f>
        <v/>
      </c>
      <c r="AP226">
        <f>IF(OR(AN226="",AO226=""),"",IF(AND(AN226="Bull",AO226="Bull"),"YES","NO"))</f>
        <v/>
      </c>
      <c r="AQ226">
        <f>IF(OR(AN226="",AO226=""),"",IF(AND(AN226="Bear",AO226="Bear"),"YES","NO"))</f>
        <v/>
      </c>
      <c r="AR226">
        <f>IF(AP226="YES",IF(SUM(N(X226),N(Y226),N(Z226))&gt;0,"SOXL","TQQQ"),IF(AQ226="YES",IF(SUM(N(AA226),N(AB226),N(AC226))&gt;0,"SOXS","SQQQ"),"WAIT"))</f>
        <v/>
      </c>
      <c r="AS226">
        <f>IF(AP226="YES",IF(SUM(N(X226),N(Y226),N(Z226))&gt;0,"TQQQ","SOXL"),IF(AQ226="YES",IF(SUM(N(AA226),N(AB226),N(AC226))&gt;0,"SQQQ","SOXS"),""))</f>
        <v/>
      </c>
      <c r="AT226" s="23">
        <f>IF(AR226="WAIT","",IF(AS226="",1,0.6))</f>
        <v/>
      </c>
      <c r="AU226" s="23">
        <f>IF(AS226="",0,0.4)</f>
        <v/>
      </c>
      <c r="AV226">
        <f>IF(AR226="WAIT","WAIT",IF(AP226="YES","BULL",IF(AQ226="YES","BEAR","WAIT")))</f>
        <v/>
      </c>
      <c r="AW226">
        <f>IF(AR226="WAIT","Low",IF(OR(AND(AV226="BULL",ABS(SUM(N(X226),N(Y226),N(Z226)))&gt;=0.15),AND(AV226="BEAR",ABS(SUM(N(AA226),N(AB226),N(AC226)))&gt;=0.15)),"Strong",IF(OR(AND(AV226="BULL",ABS(SUM(N(X226),N(Y226),N(Z226)))&gt;=0.05),AND(AV226="BEAR",ABS(SUM(N(AA226),N(AB226),N(AC226)))&gt;=0.05)),"Moderate","Low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13" t="n"/>
      <c r="AF227" s="23">
        <f>IF(OR(AD227="",AD226=""),"",IF(AD226=0,"",(AD227/AD226)-1))</f>
        <v/>
      </c>
      <c r="AG227" s="23">
        <f>IF(ROW()&lt;7,"",IF(OR(AD227="",AD224=""),"",IF(AD224=0,"",(AD227/AD224)-1)))</f>
        <v/>
      </c>
      <c r="AH227" s="23">
        <f>IF(ROW()&lt;9,"",IF(OR(AD227="",AD222=""),"",IF(AD222=0,"",(AD227/AD222)-1)))</f>
        <v/>
      </c>
      <c r="AJ227" s="23">
        <f>IF(OR(AE227="",AE226=""),"",IF(AE226=0,"",(AE227/AE226)-1))</f>
        <v/>
      </c>
      <c r="AK227" s="23">
        <f>IF(ROW()&lt;7,"",IF(OR(AE227="",AE224=""),"",IF(AE224=0,"",(AE227/AE224)-1)))</f>
        <v/>
      </c>
      <c r="AL227" s="23">
        <f>IF(ROW()&lt;9,"",IF(OR(AE227="",AE222=""),"",IF(AE222=0,"",(AE227/AE222)-1)))</f>
        <v/>
      </c>
      <c r="AN227">
        <f>IF(OR(AG227="",AH227=""),"",IF(AND(AG227&gt;0,AH227&gt;0),"Bull",IF(AND(AG227&lt;0,AH227&lt;0),"Bear","Mixed")))</f>
        <v/>
      </c>
      <c r="AO227">
        <f>IF(OR(AK227="",AL227=""),"",IF(AND(AK227&gt;0,AL227&gt;0),"Bull",IF(AND(AK227&lt;0,AL227&lt;0),"Bear","Mixed")))</f>
        <v/>
      </c>
      <c r="AP227">
        <f>IF(OR(AN227="",AO227=""),"",IF(AND(AN227="Bull",AO227="Bull"),"YES","NO"))</f>
        <v/>
      </c>
      <c r="AQ227">
        <f>IF(OR(AN227="",AO227=""),"",IF(AND(AN227="Bear",AO227="Bear"),"YES","NO"))</f>
        <v/>
      </c>
      <c r="AR227">
        <f>IF(AP227="YES",IF(SUM(N(X227),N(Y227),N(Z227))&gt;0,"SOXL","TQQQ"),IF(AQ227="YES",IF(SUM(N(AA227),N(AB227),N(AC227))&gt;0,"SOXS","SQQQ"),"WAIT"))</f>
        <v/>
      </c>
      <c r="AS227">
        <f>IF(AP227="YES",IF(SUM(N(X227),N(Y227),N(Z227))&gt;0,"TQQQ","SOXL"),IF(AQ227="YES",IF(SUM(N(AA227),N(AB227),N(AC227))&gt;0,"SQQQ","SOXS"),""))</f>
        <v/>
      </c>
      <c r="AT227" s="23">
        <f>IF(AR227="WAIT","",IF(AS227="",1,0.6))</f>
        <v/>
      </c>
      <c r="AU227" s="23">
        <f>IF(AS227="",0,0.4)</f>
        <v/>
      </c>
      <c r="AV227">
        <f>IF(AR227="WAIT","WAIT",IF(AP227="YES","BULL",IF(AQ227="YES","BEAR","WAIT")))</f>
        <v/>
      </c>
      <c r="AW227">
        <f>IF(AR227="WAIT","Low",IF(OR(AND(AV227="BULL",ABS(SUM(N(X227),N(Y227),N(Z227)))&gt;=0.15),AND(AV227="BEAR",ABS(SUM(N(AA227),N(AB227),N(AC227)))&gt;=0.15)),"Strong",IF(OR(AND(AV227="BULL",ABS(SUM(N(X227),N(Y227),N(Z227)))&gt;=0.05),AND(AV227="BEAR",ABS(SUM(N(AA227),N(AB227),N(AC227)))&gt;=0.05)),"Moderate","Low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13" t="n"/>
      <c r="AF228" s="23">
        <f>IF(OR(AD228="",AD227=""),"",IF(AD227=0,"",(AD228/AD227)-1))</f>
        <v/>
      </c>
      <c r="AG228" s="23">
        <f>IF(ROW()&lt;7,"",IF(OR(AD228="",AD225=""),"",IF(AD225=0,"",(AD228/AD225)-1)))</f>
        <v/>
      </c>
      <c r="AH228" s="23">
        <f>IF(ROW()&lt;9,"",IF(OR(AD228="",AD223=""),"",IF(AD223=0,"",(AD228/AD223)-1)))</f>
        <v/>
      </c>
      <c r="AJ228" s="23">
        <f>IF(OR(AE228="",AE227=""),"",IF(AE227=0,"",(AE228/AE227)-1))</f>
        <v/>
      </c>
      <c r="AK228" s="23">
        <f>IF(ROW()&lt;7,"",IF(OR(AE228="",AE225=""),"",IF(AE225=0,"",(AE228/AE225)-1)))</f>
        <v/>
      </c>
      <c r="AL228" s="23">
        <f>IF(ROW()&lt;9,"",IF(OR(AE228="",AE223=""),"",IF(AE223=0,"",(AE228/AE223)-1)))</f>
        <v/>
      </c>
      <c r="AN228">
        <f>IF(OR(AG228="",AH228=""),"",IF(AND(AG228&gt;0,AH228&gt;0),"Bull",IF(AND(AG228&lt;0,AH228&lt;0),"Bear","Mixed")))</f>
        <v/>
      </c>
      <c r="AO228">
        <f>IF(OR(AK228="",AL228=""),"",IF(AND(AK228&gt;0,AL228&gt;0),"Bull",IF(AND(AK228&lt;0,AL228&lt;0),"Bear","Mixed")))</f>
        <v/>
      </c>
      <c r="AP228">
        <f>IF(OR(AN228="",AO228=""),"",IF(AND(AN228="Bull",AO228="Bull"),"YES","NO"))</f>
        <v/>
      </c>
      <c r="AQ228">
        <f>IF(OR(AN228="",AO228=""),"",IF(AND(AN228="Bear",AO228="Bear"),"YES","NO"))</f>
        <v/>
      </c>
      <c r="AR228">
        <f>IF(AP228="YES",IF(SUM(N(X228),N(Y228),N(Z228))&gt;0,"SOXL","TQQQ"),IF(AQ228="YES",IF(SUM(N(AA228),N(AB228),N(AC228))&gt;0,"SOXS","SQQQ"),"WAIT"))</f>
        <v/>
      </c>
      <c r="AS228">
        <f>IF(AP228="YES",IF(SUM(N(X228),N(Y228),N(Z228))&gt;0,"TQQQ","SOXL"),IF(AQ228="YES",IF(SUM(N(AA228),N(AB228),N(AC228))&gt;0,"SQQQ","SOXS"),""))</f>
        <v/>
      </c>
      <c r="AT228" s="23">
        <f>IF(AR228="WAIT","",IF(AS228="",1,0.6))</f>
        <v/>
      </c>
      <c r="AU228" s="23">
        <f>IF(AS228="",0,0.4)</f>
        <v/>
      </c>
      <c r="AV228">
        <f>IF(AR228="WAIT","WAIT",IF(AP228="YES","BULL",IF(AQ228="YES","BEAR","WAIT")))</f>
        <v/>
      </c>
      <c r="AW228">
        <f>IF(AR228="WAIT","Low",IF(OR(AND(AV228="BULL",ABS(SUM(N(X228),N(Y228),N(Z228)))&gt;=0.15),AND(AV228="BEAR",ABS(SUM(N(AA228),N(AB228),N(AC228)))&gt;=0.15)),"Strong",IF(OR(AND(AV228="BULL",ABS(SUM(N(X228),N(Y228),N(Z228)))&gt;=0.05),AND(AV228="BEAR",ABS(SUM(N(AA228),N(AB228),N(AC228)))&gt;=0.05)),"Moderate","Low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13" t="n"/>
      <c r="AF229" s="23">
        <f>IF(OR(AD229="",AD228=""),"",IF(AD228=0,"",(AD229/AD228)-1))</f>
        <v/>
      </c>
      <c r="AG229" s="23">
        <f>IF(ROW()&lt;7,"",IF(OR(AD229="",AD226=""),"",IF(AD226=0,"",(AD229/AD226)-1)))</f>
        <v/>
      </c>
      <c r="AH229" s="23">
        <f>IF(ROW()&lt;9,"",IF(OR(AD229="",AD224=""),"",IF(AD224=0,"",(AD229/AD224)-1)))</f>
        <v/>
      </c>
      <c r="AJ229" s="23">
        <f>IF(OR(AE229="",AE228=""),"",IF(AE228=0,"",(AE229/AE228)-1))</f>
        <v/>
      </c>
      <c r="AK229" s="23">
        <f>IF(ROW()&lt;7,"",IF(OR(AE229="",AE226=""),"",IF(AE226=0,"",(AE229/AE226)-1)))</f>
        <v/>
      </c>
      <c r="AL229" s="23">
        <f>IF(ROW()&lt;9,"",IF(OR(AE229="",AE224=""),"",IF(AE224=0,"",(AE229/AE224)-1)))</f>
        <v/>
      </c>
      <c r="AN229">
        <f>IF(OR(AG229="",AH229=""),"",IF(AND(AG229&gt;0,AH229&gt;0),"Bull",IF(AND(AG229&lt;0,AH229&lt;0),"Bear","Mixed")))</f>
        <v/>
      </c>
      <c r="AO229">
        <f>IF(OR(AK229="",AL229=""),"",IF(AND(AK229&gt;0,AL229&gt;0),"Bull",IF(AND(AK229&lt;0,AL229&lt;0),"Bear","Mixed")))</f>
        <v/>
      </c>
      <c r="AP229">
        <f>IF(OR(AN229="",AO229=""),"",IF(AND(AN229="Bull",AO229="Bull"),"YES","NO"))</f>
        <v/>
      </c>
      <c r="AQ229">
        <f>IF(OR(AN229="",AO229=""),"",IF(AND(AN229="Bear",AO229="Bear"),"YES","NO"))</f>
        <v/>
      </c>
      <c r="AR229">
        <f>IF(AP229="YES",IF(SUM(N(X229),N(Y229),N(Z229))&gt;0,"SOXL","TQQQ"),IF(AQ229="YES",IF(SUM(N(AA229),N(AB229),N(AC229))&gt;0,"SOXS","SQQQ"),"WAIT"))</f>
        <v/>
      </c>
      <c r="AS229">
        <f>IF(AP229="YES",IF(SUM(N(X229),N(Y229),N(Z229))&gt;0,"TQQQ","SOXL"),IF(AQ229="YES",IF(SUM(N(AA229),N(AB229),N(AC229))&gt;0,"SQQQ","SOXS"),""))</f>
        <v/>
      </c>
      <c r="AT229" s="23">
        <f>IF(AR229="WAIT","",IF(AS229="",1,0.6))</f>
        <v/>
      </c>
      <c r="AU229" s="23">
        <f>IF(AS229="",0,0.4)</f>
        <v/>
      </c>
      <c r="AV229">
        <f>IF(AR229="WAIT","WAIT",IF(AP229="YES","BULL",IF(AQ229="YES","BEAR","WAIT")))</f>
        <v/>
      </c>
      <c r="AW229">
        <f>IF(AR229="WAIT","Low",IF(OR(AND(AV229="BULL",ABS(SUM(N(X229),N(Y229),N(Z229)))&gt;=0.15),AND(AV229="BEAR",ABS(SUM(N(AA229),N(AB229),N(AC229)))&gt;=0.15)),"Strong",IF(OR(AND(AV229="BULL",ABS(SUM(N(X229),N(Y229),N(Z229)))&gt;=0.05),AND(AV229="BEAR",ABS(SUM(N(AA229),N(AB229),N(AC229)))&gt;=0.05)),"Moderate","Low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13" t="n"/>
      <c r="AF230" s="23">
        <f>IF(OR(AD230="",AD229=""),"",IF(AD229=0,"",(AD230/AD229)-1))</f>
        <v/>
      </c>
      <c r="AG230" s="23">
        <f>IF(ROW()&lt;7,"",IF(OR(AD230="",AD227=""),"",IF(AD227=0,"",(AD230/AD227)-1)))</f>
        <v/>
      </c>
      <c r="AH230" s="23">
        <f>IF(ROW()&lt;9,"",IF(OR(AD230="",AD225=""),"",IF(AD225=0,"",(AD230/AD225)-1)))</f>
        <v/>
      </c>
      <c r="AJ230" s="23">
        <f>IF(OR(AE230="",AE229=""),"",IF(AE229=0,"",(AE230/AE229)-1))</f>
        <v/>
      </c>
      <c r="AK230" s="23">
        <f>IF(ROW()&lt;7,"",IF(OR(AE230="",AE227=""),"",IF(AE227=0,"",(AE230/AE227)-1)))</f>
        <v/>
      </c>
      <c r="AL230" s="23">
        <f>IF(ROW()&lt;9,"",IF(OR(AE230="",AE225=""),"",IF(AE225=0,"",(AE230/AE225)-1)))</f>
        <v/>
      </c>
      <c r="AN230">
        <f>IF(OR(AG230="",AH230=""),"",IF(AND(AG230&gt;0,AH230&gt;0),"Bull",IF(AND(AG230&lt;0,AH230&lt;0),"Bear","Mixed")))</f>
        <v/>
      </c>
      <c r="AO230">
        <f>IF(OR(AK230="",AL230=""),"",IF(AND(AK230&gt;0,AL230&gt;0),"Bull",IF(AND(AK230&lt;0,AL230&lt;0),"Bear","Mixed")))</f>
        <v/>
      </c>
      <c r="AP230">
        <f>IF(OR(AN230="",AO230=""),"",IF(AND(AN230="Bull",AO230="Bull"),"YES","NO"))</f>
        <v/>
      </c>
      <c r="AQ230">
        <f>IF(OR(AN230="",AO230=""),"",IF(AND(AN230="Bear",AO230="Bear"),"YES","NO"))</f>
        <v/>
      </c>
      <c r="AR230">
        <f>IF(AP230="YES",IF(SUM(N(X230),N(Y230),N(Z230))&gt;0,"SOXL","TQQQ"),IF(AQ230="YES",IF(SUM(N(AA230),N(AB230),N(AC230))&gt;0,"SOXS","SQQQ"),"WAIT"))</f>
        <v/>
      </c>
      <c r="AS230">
        <f>IF(AP230="YES",IF(SUM(N(X230),N(Y230),N(Z230))&gt;0,"TQQQ","SOXL"),IF(AQ230="YES",IF(SUM(N(AA230),N(AB230),N(AC230))&gt;0,"SQQQ","SOXS"),""))</f>
        <v/>
      </c>
      <c r="AT230" s="23">
        <f>IF(AR230="WAIT","",IF(AS230="",1,0.6))</f>
        <v/>
      </c>
      <c r="AU230" s="23">
        <f>IF(AS230="",0,0.4)</f>
        <v/>
      </c>
      <c r="AV230">
        <f>IF(AR230="WAIT","WAIT",IF(AP230="YES","BULL",IF(AQ230="YES","BEAR","WAIT")))</f>
        <v/>
      </c>
      <c r="AW230">
        <f>IF(AR230="WAIT","Low",IF(OR(AND(AV230="BULL",ABS(SUM(N(X230),N(Y230),N(Z230)))&gt;=0.15),AND(AV230="BEAR",ABS(SUM(N(AA230),N(AB230),N(AC230)))&gt;=0.15)),"Strong",IF(OR(AND(AV230="BULL",ABS(SUM(N(X230),N(Y230),N(Z230)))&gt;=0.05),AND(AV230="BEAR",ABS(SUM(N(AA230),N(AB230),N(AC230)))&gt;=0.05)),"Moderate","Low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13" t="n"/>
      <c r="AF231" s="23">
        <f>IF(OR(AD231="",AD230=""),"",IF(AD230=0,"",(AD231/AD230)-1))</f>
        <v/>
      </c>
      <c r="AG231" s="23">
        <f>IF(ROW()&lt;7,"",IF(OR(AD231="",AD228=""),"",IF(AD228=0,"",(AD231/AD228)-1)))</f>
        <v/>
      </c>
      <c r="AH231" s="23">
        <f>IF(ROW()&lt;9,"",IF(OR(AD231="",AD226=""),"",IF(AD226=0,"",(AD231/AD226)-1)))</f>
        <v/>
      </c>
      <c r="AJ231" s="23">
        <f>IF(OR(AE231="",AE230=""),"",IF(AE230=0,"",(AE231/AE230)-1))</f>
        <v/>
      </c>
      <c r="AK231" s="23">
        <f>IF(ROW()&lt;7,"",IF(OR(AE231="",AE228=""),"",IF(AE228=0,"",(AE231/AE228)-1)))</f>
        <v/>
      </c>
      <c r="AL231" s="23">
        <f>IF(ROW()&lt;9,"",IF(OR(AE231="",AE226=""),"",IF(AE226=0,"",(AE231/AE226)-1)))</f>
        <v/>
      </c>
      <c r="AN231">
        <f>IF(OR(AG231="",AH231=""),"",IF(AND(AG231&gt;0,AH231&gt;0),"Bull",IF(AND(AG231&lt;0,AH231&lt;0),"Bear","Mixed")))</f>
        <v/>
      </c>
      <c r="AO231">
        <f>IF(OR(AK231="",AL231=""),"",IF(AND(AK231&gt;0,AL231&gt;0),"Bull",IF(AND(AK231&lt;0,AL231&lt;0),"Bear","Mixed")))</f>
        <v/>
      </c>
      <c r="AP231">
        <f>IF(OR(AN231="",AO231=""),"",IF(AND(AN231="Bull",AO231="Bull"),"YES","NO"))</f>
        <v/>
      </c>
      <c r="AQ231">
        <f>IF(OR(AN231="",AO231=""),"",IF(AND(AN231="Bear",AO231="Bear"),"YES","NO"))</f>
        <v/>
      </c>
      <c r="AR231">
        <f>IF(AP231="YES",IF(SUM(N(X231),N(Y231),N(Z231))&gt;0,"SOXL","TQQQ"),IF(AQ231="YES",IF(SUM(N(AA231),N(AB231),N(AC231))&gt;0,"SOXS","SQQQ"),"WAIT"))</f>
        <v/>
      </c>
      <c r="AS231">
        <f>IF(AP231="YES",IF(SUM(N(X231),N(Y231),N(Z231))&gt;0,"TQQQ","SOXL"),IF(AQ231="YES",IF(SUM(N(AA231),N(AB231),N(AC231))&gt;0,"SQQQ","SOXS"),""))</f>
        <v/>
      </c>
      <c r="AT231" s="23">
        <f>IF(AR231="WAIT","",IF(AS231="",1,0.6))</f>
        <v/>
      </c>
      <c r="AU231" s="23">
        <f>IF(AS231="",0,0.4)</f>
        <v/>
      </c>
      <c r="AV231">
        <f>IF(AR231="WAIT","WAIT",IF(AP231="YES","BULL",IF(AQ231="YES","BEAR","WAIT")))</f>
        <v/>
      </c>
      <c r="AW231">
        <f>IF(AR231="WAIT","Low",IF(OR(AND(AV231="BULL",ABS(SUM(N(X231),N(Y231),N(Z231)))&gt;=0.15),AND(AV231="BEAR",ABS(SUM(N(AA231),N(AB231),N(AC231)))&gt;=0.15)),"Strong",IF(OR(AND(AV231="BULL",ABS(SUM(N(X231),N(Y231),N(Z231)))&gt;=0.05),AND(AV231="BEAR",ABS(SUM(N(AA231),N(AB231),N(AC231)))&gt;=0.05)),"Moderate","Low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13" t="n"/>
      <c r="AF232" s="23">
        <f>IF(OR(AD232="",AD231=""),"",IF(AD231=0,"",(AD232/AD231)-1))</f>
        <v/>
      </c>
      <c r="AG232" s="23">
        <f>IF(ROW()&lt;7,"",IF(OR(AD232="",AD229=""),"",IF(AD229=0,"",(AD232/AD229)-1)))</f>
        <v/>
      </c>
      <c r="AH232" s="23">
        <f>IF(ROW()&lt;9,"",IF(OR(AD232="",AD227=""),"",IF(AD227=0,"",(AD232/AD227)-1)))</f>
        <v/>
      </c>
      <c r="AJ232" s="23">
        <f>IF(OR(AE232="",AE231=""),"",IF(AE231=0,"",(AE232/AE231)-1))</f>
        <v/>
      </c>
      <c r="AK232" s="23">
        <f>IF(ROW()&lt;7,"",IF(OR(AE232="",AE229=""),"",IF(AE229=0,"",(AE232/AE229)-1)))</f>
        <v/>
      </c>
      <c r="AL232" s="23">
        <f>IF(ROW()&lt;9,"",IF(OR(AE232="",AE227=""),"",IF(AE227=0,"",(AE232/AE227)-1)))</f>
        <v/>
      </c>
      <c r="AN232">
        <f>IF(OR(AG232="",AH232=""),"",IF(AND(AG232&gt;0,AH232&gt;0),"Bull",IF(AND(AG232&lt;0,AH232&lt;0),"Bear","Mixed")))</f>
        <v/>
      </c>
      <c r="AO232">
        <f>IF(OR(AK232="",AL232=""),"",IF(AND(AK232&gt;0,AL232&gt;0),"Bull",IF(AND(AK232&lt;0,AL232&lt;0),"Bear","Mixed")))</f>
        <v/>
      </c>
      <c r="AP232">
        <f>IF(OR(AN232="",AO232=""),"",IF(AND(AN232="Bull",AO232="Bull"),"YES","NO"))</f>
        <v/>
      </c>
      <c r="AQ232">
        <f>IF(OR(AN232="",AO232=""),"",IF(AND(AN232="Bear",AO232="Bear"),"YES","NO"))</f>
        <v/>
      </c>
      <c r="AR232">
        <f>IF(AP232="YES",IF(SUM(N(X232),N(Y232),N(Z232))&gt;0,"SOXL","TQQQ"),IF(AQ232="YES",IF(SUM(N(AA232),N(AB232),N(AC232))&gt;0,"SOXS","SQQQ"),"WAIT"))</f>
        <v/>
      </c>
      <c r="AS232">
        <f>IF(AP232="YES",IF(SUM(N(X232),N(Y232),N(Z232))&gt;0,"TQQQ","SOXL"),IF(AQ232="YES",IF(SUM(N(AA232),N(AB232),N(AC232))&gt;0,"SQQQ","SOXS"),""))</f>
        <v/>
      </c>
      <c r="AT232" s="23">
        <f>IF(AR232="WAIT","",IF(AS232="",1,0.6))</f>
        <v/>
      </c>
      <c r="AU232" s="23">
        <f>IF(AS232="",0,0.4)</f>
        <v/>
      </c>
      <c r="AV232">
        <f>IF(AR232="WAIT","WAIT",IF(AP232="YES","BULL",IF(AQ232="YES","BEAR","WAIT")))</f>
        <v/>
      </c>
      <c r="AW232">
        <f>IF(AR232="WAIT","Low",IF(OR(AND(AV232="BULL",ABS(SUM(N(X232),N(Y232),N(Z232)))&gt;=0.15),AND(AV232="BEAR",ABS(SUM(N(AA232),N(AB232),N(AC232)))&gt;=0.15)),"Strong",IF(OR(AND(AV232="BULL",ABS(SUM(N(X232),N(Y232),N(Z232)))&gt;=0.05),AND(AV232="BEAR",ABS(SUM(N(AA232),N(AB232),N(AC232)))&gt;=0.05)),"Moderate","Low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13" t="n"/>
      <c r="AF233" s="23">
        <f>IF(OR(AD233="",AD232=""),"",IF(AD232=0,"",(AD233/AD232)-1))</f>
        <v/>
      </c>
      <c r="AG233" s="23">
        <f>IF(ROW()&lt;7,"",IF(OR(AD233="",AD230=""),"",IF(AD230=0,"",(AD233/AD230)-1)))</f>
        <v/>
      </c>
      <c r="AH233" s="23">
        <f>IF(ROW()&lt;9,"",IF(OR(AD233="",AD228=""),"",IF(AD228=0,"",(AD233/AD228)-1)))</f>
        <v/>
      </c>
      <c r="AJ233" s="23">
        <f>IF(OR(AE233="",AE232=""),"",IF(AE232=0,"",(AE233/AE232)-1))</f>
        <v/>
      </c>
      <c r="AK233" s="23">
        <f>IF(ROW()&lt;7,"",IF(OR(AE233="",AE230=""),"",IF(AE230=0,"",(AE233/AE230)-1)))</f>
        <v/>
      </c>
      <c r="AL233" s="23">
        <f>IF(ROW()&lt;9,"",IF(OR(AE233="",AE228=""),"",IF(AE228=0,"",(AE233/AE228)-1)))</f>
        <v/>
      </c>
      <c r="AN233">
        <f>IF(OR(AG233="",AH233=""),"",IF(AND(AG233&gt;0,AH233&gt;0),"Bull",IF(AND(AG233&lt;0,AH233&lt;0),"Bear","Mixed")))</f>
        <v/>
      </c>
      <c r="AO233">
        <f>IF(OR(AK233="",AL233=""),"",IF(AND(AK233&gt;0,AL233&gt;0),"Bull",IF(AND(AK233&lt;0,AL233&lt;0),"Bear","Mixed")))</f>
        <v/>
      </c>
      <c r="AP233">
        <f>IF(OR(AN233="",AO233=""),"",IF(AND(AN233="Bull",AO233="Bull"),"YES","NO"))</f>
        <v/>
      </c>
      <c r="AQ233">
        <f>IF(OR(AN233="",AO233=""),"",IF(AND(AN233="Bear",AO233="Bear"),"YES","NO"))</f>
        <v/>
      </c>
      <c r="AR233">
        <f>IF(AP233="YES",IF(SUM(N(X233),N(Y233),N(Z233))&gt;0,"SOXL","TQQQ"),IF(AQ233="YES",IF(SUM(N(AA233),N(AB233),N(AC233))&gt;0,"SOXS","SQQQ"),"WAIT"))</f>
        <v/>
      </c>
      <c r="AS233">
        <f>IF(AP233="YES",IF(SUM(N(X233),N(Y233),N(Z233))&gt;0,"TQQQ","SOXL"),IF(AQ233="YES",IF(SUM(N(AA233),N(AB233),N(AC233))&gt;0,"SQQQ","SOXS"),""))</f>
        <v/>
      </c>
      <c r="AT233" s="23">
        <f>IF(AR233="WAIT","",IF(AS233="",1,0.6))</f>
        <v/>
      </c>
      <c r="AU233" s="23">
        <f>IF(AS233="",0,0.4)</f>
        <v/>
      </c>
      <c r="AV233">
        <f>IF(AR233="WAIT","WAIT",IF(AP233="YES","BULL",IF(AQ233="YES","BEAR","WAIT")))</f>
        <v/>
      </c>
      <c r="AW233">
        <f>IF(AR233="WAIT","Low",IF(OR(AND(AV233="BULL",ABS(SUM(N(X233),N(Y233),N(Z233)))&gt;=0.15),AND(AV233="BEAR",ABS(SUM(N(AA233),N(AB233),N(AC233)))&gt;=0.15)),"Strong",IF(OR(AND(AV233="BULL",ABS(SUM(N(X233),N(Y233),N(Z233)))&gt;=0.05),AND(AV233="BEAR",ABS(SUM(N(AA233),N(AB233),N(AC233)))&gt;=0.05)),"Moderate","Low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13" t="n"/>
      <c r="AF234" s="23">
        <f>IF(OR(AD234="",AD233=""),"",IF(AD233=0,"",(AD234/AD233)-1))</f>
        <v/>
      </c>
      <c r="AG234" s="23">
        <f>IF(ROW()&lt;7,"",IF(OR(AD234="",AD231=""),"",IF(AD231=0,"",(AD234/AD231)-1)))</f>
        <v/>
      </c>
      <c r="AH234" s="23">
        <f>IF(ROW()&lt;9,"",IF(OR(AD234="",AD229=""),"",IF(AD229=0,"",(AD234/AD229)-1)))</f>
        <v/>
      </c>
      <c r="AJ234" s="23">
        <f>IF(OR(AE234="",AE233=""),"",IF(AE233=0,"",(AE234/AE233)-1))</f>
        <v/>
      </c>
      <c r="AK234" s="23">
        <f>IF(ROW()&lt;7,"",IF(OR(AE234="",AE231=""),"",IF(AE231=0,"",(AE234/AE231)-1)))</f>
        <v/>
      </c>
      <c r="AL234" s="23">
        <f>IF(ROW()&lt;9,"",IF(OR(AE234="",AE229=""),"",IF(AE229=0,"",(AE234/AE229)-1)))</f>
        <v/>
      </c>
      <c r="AN234">
        <f>IF(OR(AG234="",AH234=""),"",IF(AND(AG234&gt;0,AH234&gt;0),"Bull",IF(AND(AG234&lt;0,AH234&lt;0),"Bear","Mixed")))</f>
        <v/>
      </c>
      <c r="AO234">
        <f>IF(OR(AK234="",AL234=""),"",IF(AND(AK234&gt;0,AL234&gt;0),"Bull",IF(AND(AK234&lt;0,AL234&lt;0),"Bear","Mixed")))</f>
        <v/>
      </c>
      <c r="AP234">
        <f>IF(OR(AN234="",AO234=""),"",IF(AND(AN234="Bull",AO234="Bull"),"YES","NO"))</f>
        <v/>
      </c>
      <c r="AQ234">
        <f>IF(OR(AN234="",AO234=""),"",IF(AND(AN234="Bear",AO234="Bear"),"YES","NO"))</f>
        <v/>
      </c>
      <c r="AR234">
        <f>IF(AP234="YES",IF(SUM(N(X234),N(Y234),N(Z234))&gt;0,"SOXL","TQQQ"),IF(AQ234="YES",IF(SUM(N(AA234),N(AB234),N(AC234))&gt;0,"SOXS","SQQQ"),"WAIT"))</f>
        <v/>
      </c>
      <c r="AS234">
        <f>IF(AP234="YES",IF(SUM(N(X234),N(Y234),N(Z234))&gt;0,"TQQQ","SOXL"),IF(AQ234="YES",IF(SUM(N(AA234),N(AB234),N(AC234))&gt;0,"SQQQ","SOXS"),""))</f>
        <v/>
      </c>
      <c r="AT234" s="23">
        <f>IF(AR234="WAIT","",IF(AS234="",1,0.6))</f>
        <v/>
      </c>
      <c r="AU234" s="23">
        <f>IF(AS234="",0,0.4)</f>
        <v/>
      </c>
      <c r="AV234">
        <f>IF(AR234="WAIT","WAIT",IF(AP234="YES","BULL",IF(AQ234="YES","BEAR","WAIT")))</f>
        <v/>
      </c>
      <c r="AW234">
        <f>IF(AR234="WAIT","Low",IF(OR(AND(AV234="BULL",ABS(SUM(N(X234),N(Y234),N(Z234)))&gt;=0.15),AND(AV234="BEAR",ABS(SUM(N(AA234),N(AB234),N(AC234)))&gt;=0.15)),"Strong",IF(OR(AND(AV234="BULL",ABS(SUM(N(X234),N(Y234),N(Z234)))&gt;=0.05),AND(AV234="BEAR",ABS(SUM(N(AA234),N(AB234),N(AC234)))&gt;=0.05)),"Moderate","Low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13" t="n"/>
      <c r="AF235" s="23">
        <f>IF(OR(AD235="",AD234=""),"",IF(AD234=0,"",(AD235/AD234)-1))</f>
        <v/>
      </c>
      <c r="AG235" s="23">
        <f>IF(ROW()&lt;7,"",IF(OR(AD235="",AD232=""),"",IF(AD232=0,"",(AD235/AD232)-1)))</f>
        <v/>
      </c>
      <c r="AH235" s="23">
        <f>IF(ROW()&lt;9,"",IF(OR(AD235="",AD230=""),"",IF(AD230=0,"",(AD235/AD230)-1)))</f>
        <v/>
      </c>
      <c r="AJ235" s="23">
        <f>IF(OR(AE235="",AE234=""),"",IF(AE234=0,"",(AE235/AE234)-1))</f>
        <v/>
      </c>
      <c r="AK235" s="23">
        <f>IF(ROW()&lt;7,"",IF(OR(AE235="",AE232=""),"",IF(AE232=0,"",(AE235/AE232)-1)))</f>
        <v/>
      </c>
      <c r="AL235" s="23">
        <f>IF(ROW()&lt;9,"",IF(OR(AE235="",AE230=""),"",IF(AE230=0,"",(AE235/AE230)-1)))</f>
        <v/>
      </c>
      <c r="AN235">
        <f>IF(OR(AG235="",AH235=""),"",IF(AND(AG235&gt;0,AH235&gt;0),"Bull",IF(AND(AG235&lt;0,AH235&lt;0),"Bear","Mixed")))</f>
        <v/>
      </c>
      <c r="AO235">
        <f>IF(OR(AK235="",AL235=""),"",IF(AND(AK235&gt;0,AL235&gt;0),"Bull",IF(AND(AK235&lt;0,AL235&lt;0),"Bear","Mixed")))</f>
        <v/>
      </c>
      <c r="AP235">
        <f>IF(OR(AN235="",AO235=""),"",IF(AND(AN235="Bull",AO235="Bull"),"YES","NO"))</f>
        <v/>
      </c>
      <c r="AQ235">
        <f>IF(OR(AN235="",AO235=""),"",IF(AND(AN235="Bear",AO235="Bear"),"YES","NO"))</f>
        <v/>
      </c>
      <c r="AR235">
        <f>IF(AP235="YES",IF(SUM(N(X235),N(Y235),N(Z235))&gt;0,"SOXL","TQQQ"),IF(AQ235="YES",IF(SUM(N(AA235),N(AB235),N(AC235))&gt;0,"SOXS","SQQQ"),"WAIT"))</f>
        <v/>
      </c>
      <c r="AS235">
        <f>IF(AP235="YES",IF(SUM(N(X235),N(Y235),N(Z235))&gt;0,"TQQQ","SOXL"),IF(AQ235="YES",IF(SUM(N(AA235),N(AB235),N(AC235))&gt;0,"SQQQ","SOXS"),""))</f>
        <v/>
      </c>
      <c r="AT235" s="23">
        <f>IF(AR235="WAIT","",IF(AS235="",1,0.6))</f>
        <v/>
      </c>
      <c r="AU235" s="23">
        <f>IF(AS235="",0,0.4)</f>
        <v/>
      </c>
      <c r="AV235">
        <f>IF(AR235="WAIT","WAIT",IF(AP235="YES","BULL",IF(AQ235="YES","BEAR","WAIT")))</f>
        <v/>
      </c>
      <c r="AW235">
        <f>IF(AR235="WAIT","Low",IF(OR(AND(AV235="BULL",ABS(SUM(N(X235),N(Y235),N(Z235)))&gt;=0.15),AND(AV235="BEAR",ABS(SUM(N(AA235),N(AB235),N(AC235)))&gt;=0.15)),"Strong",IF(OR(AND(AV235="BULL",ABS(SUM(N(X235),N(Y235),N(Z235)))&gt;=0.05),AND(AV235="BEAR",ABS(SUM(N(AA235),N(AB235),N(AC235)))&gt;=0.05)),"Moderate","Low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13" t="n"/>
      <c r="AF236" s="23">
        <f>IF(OR(AD236="",AD235=""),"",IF(AD235=0,"",(AD236/AD235)-1))</f>
        <v/>
      </c>
      <c r="AG236" s="23">
        <f>IF(ROW()&lt;7,"",IF(OR(AD236="",AD233=""),"",IF(AD233=0,"",(AD236/AD233)-1)))</f>
        <v/>
      </c>
      <c r="AH236" s="23">
        <f>IF(ROW()&lt;9,"",IF(OR(AD236="",AD231=""),"",IF(AD231=0,"",(AD236/AD231)-1)))</f>
        <v/>
      </c>
      <c r="AJ236" s="23">
        <f>IF(OR(AE236="",AE235=""),"",IF(AE235=0,"",(AE236/AE235)-1))</f>
        <v/>
      </c>
      <c r="AK236" s="23">
        <f>IF(ROW()&lt;7,"",IF(OR(AE236="",AE233=""),"",IF(AE233=0,"",(AE236/AE233)-1)))</f>
        <v/>
      </c>
      <c r="AL236" s="23">
        <f>IF(ROW()&lt;9,"",IF(OR(AE236="",AE231=""),"",IF(AE231=0,"",(AE236/AE231)-1)))</f>
        <v/>
      </c>
      <c r="AN236">
        <f>IF(OR(AG236="",AH236=""),"",IF(AND(AG236&gt;0,AH236&gt;0),"Bull",IF(AND(AG236&lt;0,AH236&lt;0),"Bear","Mixed")))</f>
        <v/>
      </c>
      <c r="AO236">
        <f>IF(OR(AK236="",AL236=""),"",IF(AND(AK236&gt;0,AL236&gt;0),"Bull",IF(AND(AK236&lt;0,AL236&lt;0),"Bear","Mixed")))</f>
        <v/>
      </c>
      <c r="AP236">
        <f>IF(OR(AN236="",AO236=""),"",IF(AND(AN236="Bull",AO236="Bull"),"YES","NO"))</f>
        <v/>
      </c>
      <c r="AQ236">
        <f>IF(OR(AN236="",AO236=""),"",IF(AND(AN236="Bear",AO236="Bear"),"YES","NO"))</f>
        <v/>
      </c>
      <c r="AR236">
        <f>IF(AP236="YES",IF(SUM(N(X236),N(Y236),N(Z236))&gt;0,"SOXL","TQQQ"),IF(AQ236="YES",IF(SUM(N(AA236),N(AB236),N(AC236))&gt;0,"SOXS","SQQQ"),"WAIT"))</f>
        <v/>
      </c>
      <c r="AS236">
        <f>IF(AP236="YES",IF(SUM(N(X236),N(Y236),N(Z236))&gt;0,"TQQQ","SOXL"),IF(AQ236="YES",IF(SUM(N(AA236),N(AB236),N(AC236))&gt;0,"SQQQ","SOXS"),""))</f>
        <v/>
      </c>
      <c r="AT236" s="23">
        <f>IF(AR236="WAIT","",IF(AS236="",1,0.6))</f>
        <v/>
      </c>
      <c r="AU236" s="23">
        <f>IF(AS236="",0,0.4)</f>
        <v/>
      </c>
      <c r="AV236">
        <f>IF(AR236="WAIT","WAIT",IF(AP236="YES","BULL",IF(AQ236="YES","BEAR","WAIT")))</f>
        <v/>
      </c>
      <c r="AW236">
        <f>IF(AR236="WAIT","Low",IF(OR(AND(AV236="BULL",ABS(SUM(N(X236),N(Y236),N(Z236)))&gt;=0.15),AND(AV236="BEAR",ABS(SUM(N(AA236),N(AB236),N(AC236)))&gt;=0.15)),"Strong",IF(OR(AND(AV236="BULL",ABS(SUM(N(X236),N(Y236),N(Z236)))&gt;=0.05),AND(AV236="BEAR",ABS(SUM(N(AA236),N(AB236),N(AC236)))&gt;=0.05)),"Moderate","Low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13" t="n"/>
      <c r="AF237" s="23">
        <f>IF(OR(AD237="",AD236=""),"",IF(AD236=0,"",(AD237/AD236)-1))</f>
        <v/>
      </c>
      <c r="AG237" s="23">
        <f>IF(ROW()&lt;7,"",IF(OR(AD237="",AD234=""),"",IF(AD234=0,"",(AD237/AD234)-1)))</f>
        <v/>
      </c>
      <c r="AH237" s="23">
        <f>IF(ROW()&lt;9,"",IF(OR(AD237="",AD232=""),"",IF(AD232=0,"",(AD237/AD232)-1)))</f>
        <v/>
      </c>
      <c r="AJ237" s="23">
        <f>IF(OR(AE237="",AE236=""),"",IF(AE236=0,"",(AE237/AE236)-1))</f>
        <v/>
      </c>
      <c r="AK237" s="23">
        <f>IF(ROW()&lt;7,"",IF(OR(AE237="",AE234=""),"",IF(AE234=0,"",(AE237/AE234)-1)))</f>
        <v/>
      </c>
      <c r="AL237" s="23">
        <f>IF(ROW()&lt;9,"",IF(OR(AE237="",AE232=""),"",IF(AE232=0,"",(AE237/AE232)-1)))</f>
        <v/>
      </c>
      <c r="AN237">
        <f>IF(OR(AG237="",AH237=""),"",IF(AND(AG237&gt;0,AH237&gt;0),"Bull",IF(AND(AG237&lt;0,AH237&lt;0),"Bear","Mixed")))</f>
        <v/>
      </c>
      <c r="AO237">
        <f>IF(OR(AK237="",AL237=""),"",IF(AND(AK237&gt;0,AL237&gt;0),"Bull",IF(AND(AK237&lt;0,AL237&lt;0),"Bear","Mixed")))</f>
        <v/>
      </c>
      <c r="AP237">
        <f>IF(OR(AN237="",AO237=""),"",IF(AND(AN237="Bull",AO237="Bull"),"YES","NO"))</f>
        <v/>
      </c>
      <c r="AQ237">
        <f>IF(OR(AN237="",AO237=""),"",IF(AND(AN237="Bear",AO237="Bear"),"YES","NO"))</f>
        <v/>
      </c>
      <c r="AR237">
        <f>IF(AP237="YES",IF(SUM(N(X237),N(Y237),N(Z237))&gt;0,"SOXL","TQQQ"),IF(AQ237="YES",IF(SUM(N(AA237),N(AB237),N(AC237))&gt;0,"SOXS","SQQQ"),"WAIT"))</f>
        <v/>
      </c>
      <c r="AS237">
        <f>IF(AP237="YES",IF(SUM(N(X237),N(Y237),N(Z237))&gt;0,"TQQQ","SOXL"),IF(AQ237="YES",IF(SUM(N(AA237),N(AB237),N(AC237))&gt;0,"SQQQ","SOXS"),""))</f>
        <v/>
      </c>
      <c r="AT237" s="23">
        <f>IF(AR237="WAIT","",IF(AS237="",1,0.6))</f>
        <v/>
      </c>
      <c r="AU237" s="23">
        <f>IF(AS237="",0,0.4)</f>
        <v/>
      </c>
      <c r="AV237">
        <f>IF(AR237="WAIT","WAIT",IF(AP237="YES","BULL",IF(AQ237="YES","BEAR","WAIT")))</f>
        <v/>
      </c>
      <c r="AW237">
        <f>IF(AR237="WAIT","Low",IF(OR(AND(AV237="BULL",ABS(SUM(N(X237),N(Y237),N(Z237)))&gt;=0.15),AND(AV237="BEAR",ABS(SUM(N(AA237),N(AB237),N(AC237)))&gt;=0.15)),"Strong",IF(OR(AND(AV237="BULL",ABS(SUM(N(X237),N(Y237),N(Z237)))&gt;=0.05),AND(AV237="BEAR",ABS(SUM(N(AA237),N(AB237),N(AC237)))&gt;=0.05)),"Moderate","Low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13" t="n"/>
      <c r="AF238" s="23">
        <f>IF(OR(AD238="",AD237=""),"",IF(AD237=0,"",(AD238/AD237)-1))</f>
        <v/>
      </c>
      <c r="AG238" s="23">
        <f>IF(ROW()&lt;7,"",IF(OR(AD238="",AD235=""),"",IF(AD235=0,"",(AD238/AD235)-1)))</f>
        <v/>
      </c>
      <c r="AH238" s="23">
        <f>IF(ROW()&lt;9,"",IF(OR(AD238="",AD233=""),"",IF(AD233=0,"",(AD238/AD233)-1)))</f>
        <v/>
      </c>
      <c r="AJ238" s="23">
        <f>IF(OR(AE238="",AE237=""),"",IF(AE237=0,"",(AE238/AE237)-1))</f>
        <v/>
      </c>
      <c r="AK238" s="23">
        <f>IF(ROW()&lt;7,"",IF(OR(AE238="",AE235=""),"",IF(AE235=0,"",(AE238/AE235)-1)))</f>
        <v/>
      </c>
      <c r="AL238" s="23">
        <f>IF(ROW()&lt;9,"",IF(OR(AE238="",AE233=""),"",IF(AE233=0,"",(AE238/AE233)-1)))</f>
        <v/>
      </c>
      <c r="AN238">
        <f>IF(OR(AG238="",AH238=""),"",IF(AND(AG238&gt;0,AH238&gt;0),"Bull",IF(AND(AG238&lt;0,AH238&lt;0),"Bear","Mixed")))</f>
        <v/>
      </c>
      <c r="AO238">
        <f>IF(OR(AK238="",AL238=""),"",IF(AND(AK238&gt;0,AL238&gt;0),"Bull",IF(AND(AK238&lt;0,AL238&lt;0),"Bear","Mixed")))</f>
        <v/>
      </c>
      <c r="AP238">
        <f>IF(OR(AN238="",AO238=""),"",IF(AND(AN238="Bull",AO238="Bull"),"YES","NO"))</f>
        <v/>
      </c>
      <c r="AQ238">
        <f>IF(OR(AN238="",AO238=""),"",IF(AND(AN238="Bear",AO238="Bear"),"YES","NO"))</f>
        <v/>
      </c>
      <c r="AR238">
        <f>IF(AP238="YES",IF(SUM(N(X238),N(Y238),N(Z238))&gt;0,"SOXL","TQQQ"),IF(AQ238="YES",IF(SUM(N(AA238),N(AB238),N(AC238))&gt;0,"SOXS","SQQQ"),"WAIT"))</f>
        <v/>
      </c>
      <c r="AS238">
        <f>IF(AP238="YES",IF(SUM(N(X238),N(Y238),N(Z238))&gt;0,"TQQQ","SOXL"),IF(AQ238="YES",IF(SUM(N(AA238),N(AB238),N(AC238))&gt;0,"SQQQ","SOXS"),""))</f>
        <v/>
      </c>
      <c r="AT238" s="23">
        <f>IF(AR238="WAIT","",IF(AS238="",1,0.6))</f>
        <v/>
      </c>
      <c r="AU238" s="23">
        <f>IF(AS238="",0,0.4)</f>
        <v/>
      </c>
      <c r="AV238">
        <f>IF(AR238="WAIT","WAIT",IF(AP238="YES","BULL",IF(AQ238="YES","BEAR","WAIT")))</f>
        <v/>
      </c>
      <c r="AW238">
        <f>IF(AR238="WAIT","Low",IF(OR(AND(AV238="BULL",ABS(SUM(N(X238),N(Y238),N(Z238)))&gt;=0.15),AND(AV238="BEAR",ABS(SUM(N(AA238),N(AB238),N(AC238)))&gt;=0.15)),"Strong",IF(OR(AND(AV238="BULL",ABS(SUM(N(X238),N(Y238),N(Z238)))&gt;=0.05),AND(AV238="BEAR",ABS(SUM(N(AA238),N(AB238),N(AC238)))&gt;=0.05)),"Moderate","Low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13" t="n"/>
      <c r="AF239" s="23">
        <f>IF(OR(AD239="",AD238=""),"",IF(AD238=0,"",(AD239/AD238)-1))</f>
        <v/>
      </c>
      <c r="AG239" s="23">
        <f>IF(ROW()&lt;7,"",IF(OR(AD239="",AD236=""),"",IF(AD236=0,"",(AD239/AD236)-1)))</f>
        <v/>
      </c>
      <c r="AH239" s="23">
        <f>IF(ROW()&lt;9,"",IF(OR(AD239="",AD234=""),"",IF(AD234=0,"",(AD239/AD234)-1)))</f>
        <v/>
      </c>
      <c r="AJ239" s="23">
        <f>IF(OR(AE239="",AE238=""),"",IF(AE238=0,"",(AE239/AE238)-1))</f>
        <v/>
      </c>
      <c r="AK239" s="23">
        <f>IF(ROW()&lt;7,"",IF(OR(AE239="",AE236=""),"",IF(AE236=0,"",(AE239/AE236)-1)))</f>
        <v/>
      </c>
      <c r="AL239" s="23">
        <f>IF(ROW()&lt;9,"",IF(OR(AE239="",AE234=""),"",IF(AE234=0,"",(AE239/AE234)-1)))</f>
        <v/>
      </c>
      <c r="AN239">
        <f>IF(OR(AG239="",AH239=""),"",IF(AND(AG239&gt;0,AH239&gt;0),"Bull",IF(AND(AG239&lt;0,AH239&lt;0),"Bear","Mixed")))</f>
        <v/>
      </c>
      <c r="AO239">
        <f>IF(OR(AK239="",AL239=""),"",IF(AND(AK239&gt;0,AL239&gt;0),"Bull",IF(AND(AK239&lt;0,AL239&lt;0),"Bear","Mixed")))</f>
        <v/>
      </c>
      <c r="AP239">
        <f>IF(OR(AN239="",AO239=""),"",IF(AND(AN239="Bull",AO239="Bull"),"YES","NO"))</f>
        <v/>
      </c>
      <c r="AQ239">
        <f>IF(OR(AN239="",AO239=""),"",IF(AND(AN239="Bear",AO239="Bear"),"YES","NO"))</f>
        <v/>
      </c>
      <c r="AR239">
        <f>IF(AP239="YES",IF(SUM(N(X239),N(Y239),N(Z239))&gt;0,"SOXL","TQQQ"),IF(AQ239="YES",IF(SUM(N(AA239),N(AB239),N(AC239))&gt;0,"SOXS","SQQQ"),"WAIT"))</f>
        <v/>
      </c>
      <c r="AS239">
        <f>IF(AP239="YES",IF(SUM(N(X239),N(Y239),N(Z239))&gt;0,"TQQQ","SOXL"),IF(AQ239="YES",IF(SUM(N(AA239),N(AB239),N(AC239))&gt;0,"SQQQ","SOXS"),""))</f>
        <v/>
      </c>
      <c r="AT239" s="23">
        <f>IF(AR239="WAIT","",IF(AS239="",1,0.6))</f>
        <v/>
      </c>
      <c r="AU239" s="23">
        <f>IF(AS239="",0,0.4)</f>
        <v/>
      </c>
      <c r="AV239">
        <f>IF(AR239="WAIT","WAIT",IF(AP239="YES","BULL",IF(AQ239="YES","BEAR","WAIT")))</f>
        <v/>
      </c>
      <c r="AW239">
        <f>IF(AR239="WAIT","Low",IF(OR(AND(AV239="BULL",ABS(SUM(N(X239),N(Y239),N(Z239)))&gt;=0.15),AND(AV239="BEAR",ABS(SUM(N(AA239),N(AB239),N(AC239)))&gt;=0.15)),"Strong",IF(OR(AND(AV239="BULL",ABS(SUM(N(X239),N(Y239),N(Z239)))&gt;=0.05),AND(AV239="BEAR",ABS(SUM(N(AA239),N(AB239),N(AC239)))&gt;=0.05)),"Moderate","Low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13" t="n"/>
      <c r="AF240" s="23">
        <f>IF(OR(AD240="",AD239=""),"",IF(AD239=0,"",(AD240/AD239)-1))</f>
        <v/>
      </c>
      <c r="AG240" s="23">
        <f>IF(ROW()&lt;7,"",IF(OR(AD240="",AD237=""),"",IF(AD237=0,"",(AD240/AD237)-1)))</f>
        <v/>
      </c>
      <c r="AH240" s="23">
        <f>IF(ROW()&lt;9,"",IF(OR(AD240="",AD235=""),"",IF(AD235=0,"",(AD240/AD235)-1)))</f>
        <v/>
      </c>
      <c r="AJ240" s="23">
        <f>IF(OR(AE240="",AE239=""),"",IF(AE239=0,"",(AE240/AE239)-1))</f>
        <v/>
      </c>
      <c r="AK240" s="23">
        <f>IF(ROW()&lt;7,"",IF(OR(AE240="",AE237=""),"",IF(AE237=0,"",(AE240/AE237)-1)))</f>
        <v/>
      </c>
      <c r="AL240" s="23">
        <f>IF(ROW()&lt;9,"",IF(OR(AE240="",AE235=""),"",IF(AE235=0,"",(AE240/AE235)-1)))</f>
        <v/>
      </c>
      <c r="AN240">
        <f>IF(OR(AG240="",AH240=""),"",IF(AND(AG240&gt;0,AH240&gt;0),"Bull",IF(AND(AG240&lt;0,AH240&lt;0),"Bear","Mixed")))</f>
        <v/>
      </c>
      <c r="AO240">
        <f>IF(OR(AK240="",AL240=""),"",IF(AND(AK240&gt;0,AL240&gt;0),"Bull",IF(AND(AK240&lt;0,AL240&lt;0),"Bear","Mixed")))</f>
        <v/>
      </c>
      <c r="AP240">
        <f>IF(OR(AN240="",AO240=""),"",IF(AND(AN240="Bull",AO240="Bull"),"YES","NO"))</f>
        <v/>
      </c>
      <c r="AQ240">
        <f>IF(OR(AN240="",AO240=""),"",IF(AND(AN240="Bear",AO240="Bear"),"YES","NO"))</f>
        <v/>
      </c>
      <c r="AR240">
        <f>IF(AP240="YES",IF(SUM(N(X240),N(Y240),N(Z240))&gt;0,"SOXL","TQQQ"),IF(AQ240="YES",IF(SUM(N(AA240),N(AB240),N(AC240))&gt;0,"SOXS","SQQQ"),"WAIT"))</f>
        <v/>
      </c>
      <c r="AS240">
        <f>IF(AP240="YES",IF(SUM(N(X240),N(Y240),N(Z240))&gt;0,"TQQQ","SOXL"),IF(AQ240="YES",IF(SUM(N(AA240),N(AB240),N(AC240))&gt;0,"SQQQ","SOXS"),""))</f>
        <v/>
      </c>
      <c r="AT240" s="23">
        <f>IF(AR240="WAIT","",IF(AS240="",1,0.6))</f>
        <v/>
      </c>
      <c r="AU240" s="23">
        <f>IF(AS240="",0,0.4)</f>
        <v/>
      </c>
      <c r="AV240">
        <f>IF(AR240="WAIT","WAIT",IF(AP240="YES","BULL",IF(AQ240="YES","BEAR","WAIT")))</f>
        <v/>
      </c>
      <c r="AW240">
        <f>IF(AR240="WAIT","Low",IF(OR(AND(AV240="BULL",ABS(SUM(N(X240),N(Y240),N(Z240)))&gt;=0.15),AND(AV240="BEAR",ABS(SUM(N(AA240),N(AB240),N(AC240)))&gt;=0.15)),"Strong",IF(OR(AND(AV240="BULL",ABS(SUM(N(X240),N(Y240),N(Z240)))&gt;=0.05),AND(AV240="BEAR",ABS(SUM(N(AA240),N(AB240),N(AC240)))&gt;=0.05)),"Moderate","Low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13" t="n"/>
      <c r="AF241" s="23">
        <f>IF(OR(AD241="",AD240=""),"",IF(AD240=0,"",(AD241/AD240)-1))</f>
        <v/>
      </c>
      <c r="AG241" s="23">
        <f>IF(ROW()&lt;7,"",IF(OR(AD241="",AD238=""),"",IF(AD238=0,"",(AD241/AD238)-1)))</f>
        <v/>
      </c>
      <c r="AH241" s="23">
        <f>IF(ROW()&lt;9,"",IF(OR(AD241="",AD236=""),"",IF(AD236=0,"",(AD241/AD236)-1)))</f>
        <v/>
      </c>
      <c r="AJ241" s="23">
        <f>IF(OR(AE241="",AE240=""),"",IF(AE240=0,"",(AE241/AE240)-1))</f>
        <v/>
      </c>
      <c r="AK241" s="23">
        <f>IF(ROW()&lt;7,"",IF(OR(AE241="",AE238=""),"",IF(AE238=0,"",(AE241/AE238)-1)))</f>
        <v/>
      </c>
      <c r="AL241" s="23">
        <f>IF(ROW()&lt;9,"",IF(OR(AE241="",AE236=""),"",IF(AE236=0,"",(AE241/AE236)-1)))</f>
        <v/>
      </c>
      <c r="AN241">
        <f>IF(OR(AG241="",AH241=""),"",IF(AND(AG241&gt;0,AH241&gt;0),"Bull",IF(AND(AG241&lt;0,AH241&lt;0),"Bear","Mixed")))</f>
        <v/>
      </c>
      <c r="AO241">
        <f>IF(OR(AK241="",AL241=""),"",IF(AND(AK241&gt;0,AL241&gt;0),"Bull",IF(AND(AK241&lt;0,AL241&lt;0),"Bear","Mixed")))</f>
        <v/>
      </c>
      <c r="AP241">
        <f>IF(OR(AN241="",AO241=""),"",IF(AND(AN241="Bull",AO241="Bull"),"YES","NO"))</f>
        <v/>
      </c>
      <c r="AQ241">
        <f>IF(OR(AN241="",AO241=""),"",IF(AND(AN241="Bear",AO241="Bear"),"YES","NO"))</f>
        <v/>
      </c>
      <c r="AR241">
        <f>IF(AP241="YES",IF(SUM(N(X241),N(Y241),N(Z241))&gt;0,"SOXL","TQQQ"),IF(AQ241="YES",IF(SUM(N(AA241),N(AB241),N(AC241))&gt;0,"SOXS","SQQQ"),"WAIT"))</f>
        <v/>
      </c>
      <c r="AS241">
        <f>IF(AP241="YES",IF(SUM(N(X241),N(Y241),N(Z241))&gt;0,"TQQQ","SOXL"),IF(AQ241="YES",IF(SUM(N(AA241),N(AB241),N(AC241))&gt;0,"SQQQ","SOXS"),""))</f>
        <v/>
      </c>
      <c r="AT241" s="23">
        <f>IF(AR241="WAIT","",IF(AS241="",1,0.6))</f>
        <v/>
      </c>
      <c r="AU241" s="23">
        <f>IF(AS241="",0,0.4)</f>
        <v/>
      </c>
      <c r="AV241">
        <f>IF(AR241="WAIT","WAIT",IF(AP241="YES","BULL",IF(AQ241="YES","BEAR","WAIT")))</f>
        <v/>
      </c>
      <c r="AW241">
        <f>IF(AR241="WAIT","Low",IF(OR(AND(AV241="BULL",ABS(SUM(N(X241),N(Y241),N(Z241)))&gt;=0.15),AND(AV241="BEAR",ABS(SUM(N(AA241),N(AB241),N(AC241)))&gt;=0.15)),"Strong",IF(OR(AND(AV241="BULL",ABS(SUM(N(X241),N(Y241),N(Z241)))&gt;=0.05),AND(AV241="BEAR",ABS(SUM(N(AA241),N(AB241),N(AC241)))&gt;=0.05)),"Moderate","Low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13" t="n"/>
      <c r="AF242" s="23">
        <f>IF(OR(AD242="",AD241=""),"",IF(AD241=0,"",(AD242/AD241)-1))</f>
        <v/>
      </c>
      <c r="AG242" s="23">
        <f>IF(ROW()&lt;7,"",IF(OR(AD242="",AD239=""),"",IF(AD239=0,"",(AD242/AD239)-1)))</f>
        <v/>
      </c>
      <c r="AH242" s="23">
        <f>IF(ROW()&lt;9,"",IF(OR(AD242="",AD237=""),"",IF(AD237=0,"",(AD242/AD237)-1)))</f>
        <v/>
      </c>
      <c r="AJ242" s="23">
        <f>IF(OR(AE242="",AE241=""),"",IF(AE241=0,"",(AE242/AE241)-1))</f>
        <v/>
      </c>
      <c r="AK242" s="23">
        <f>IF(ROW()&lt;7,"",IF(OR(AE242="",AE239=""),"",IF(AE239=0,"",(AE242/AE239)-1)))</f>
        <v/>
      </c>
      <c r="AL242" s="23">
        <f>IF(ROW()&lt;9,"",IF(OR(AE242="",AE237=""),"",IF(AE237=0,"",(AE242/AE237)-1)))</f>
        <v/>
      </c>
      <c r="AN242">
        <f>IF(OR(AG242="",AH242=""),"",IF(AND(AG242&gt;0,AH242&gt;0),"Bull",IF(AND(AG242&lt;0,AH242&lt;0),"Bear","Mixed")))</f>
        <v/>
      </c>
      <c r="AO242">
        <f>IF(OR(AK242="",AL242=""),"",IF(AND(AK242&gt;0,AL242&gt;0),"Bull",IF(AND(AK242&lt;0,AL242&lt;0),"Bear","Mixed")))</f>
        <v/>
      </c>
      <c r="AP242">
        <f>IF(OR(AN242="",AO242=""),"",IF(AND(AN242="Bull",AO242="Bull"),"YES","NO"))</f>
        <v/>
      </c>
      <c r="AQ242">
        <f>IF(OR(AN242="",AO242=""),"",IF(AND(AN242="Bear",AO242="Bear"),"YES","NO"))</f>
        <v/>
      </c>
      <c r="AR242">
        <f>IF(AP242="YES",IF(SUM(N(X242),N(Y242),N(Z242))&gt;0,"SOXL","TQQQ"),IF(AQ242="YES",IF(SUM(N(AA242),N(AB242),N(AC242))&gt;0,"SOXS","SQQQ"),"WAIT"))</f>
        <v/>
      </c>
      <c r="AS242">
        <f>IF(AP242="YES",IF(SUM(N(X242),N(Y242),N(Z242))&gt;0,"TQQQ","SOXL"),IF(AQ242="YES",IF(SUM(N(AA242),N(AB242),N(AC242))&gt;0,"SQQQ","SOXS"),""))</f>
        <v/>
      </c>
      <c r="AT242" s="23">
        <f>IF(AR242="WAIT","",IF(AS242="",1,0.6))</f>
        <v/>
      </c>
      <c r="AU242" s="23">
        <f>IF(AS242="",0,0.4)</f>
        <v/>
      </c>
      <c r="AV242">
        <f>IF(AR242="WAIT","WAIT",IF(AP242="YES","BULL",IF(AQ242="YES","BEAR","WAIT")))</f>
        <v/>
      </c>
      <c r="AW242">
        <f>IF(AR242="WAIT","Low",IF(OR(AND(AV242="BULL",ABS(SUM(N(X242),N(Y242),N(Z242)))&gt;=0.15),AND(AV242="BEAR",ABS(SUM(N(AA242),N(AB242),N(AC242)))&gt;=0.15)),"Strong",IF(OR(AND(AV242="BULL",ABS(SUM(N(X242),N(Y242),N(Z242)))&gt;=0.05),AND(AV242="BEAR",ABS(SUM(N(AA242),N(AB242),N(AC242)))&gt;=0.05)),"Moderate","Low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13" t="n"/>
      <c r="AF243" s="23">
        <f>IF(OR(AD243="",AD242=""),"",IF(AD242=0,"",(AD243/AD242)-1))</f>
        <v/>
      </c>
      <c r="AG243" s="23">
        <f>IF(ROW()&lt;7,"",IF(OR(AD243="",AD240=""),"",IF(AD240=0,"",(AD243/AD240)-1)))</f>
        <v/>
      </c>
      <c r="AH243" s="23">
        <f>IF(ROW()&lt;9,"",IF(OR(AD243="",AD238=""),"",IF(AD238=0,"",(AD243/AD238)-1)))</f>
        <v/>
      </c>
      <c r="AJ243" s="23">
        <f>IF(OR(AE243="",AE242=""),"",IF(AE242=0,"",(AE243/AE242)-1))</f>
        <v/>
      </c>
      <c r="AK243" s="23">
        <f>IF(ROW()&lt;7,"",IF(OR(AE243="",AE240=""),"",IF(AE240=0,"",(AE243/AE240)-1)))</f>
        <v/>
      </c>
      <c r="AL243" s="23">
        <f>IF(ROW()&lt;9,"",IF(OR(AE243="",AE238=""),"",IF(AE238=0,"",(AE243/AE238)-1)))</f>
        <v/>
      </c>
      <c r="AN243">
        <f>IF(OR(AG243="",AH243=""),"",IF(AND(AG243&gt;0,AH243&gt;0),"Bull",IF(AND(AG243&lt;0,AH243&lt;0),"Bear","Mixed")))</f>
        <v/>
      </c>
      <c r="AO243">
        <f>IF(OR(AK243="",AL243=""),"",IF(AND(AK243&gt;0,AL243&gt;0),"Bull",IF(AND(AK243&lt;0,AL243&lt;0),"Bear","Mixed")))</f>
        <v/>
      </c>
      <c r="AP243">
        <f>IF(OR(AN243="",AO243=""),"",IF(AND(AN243="Bull",AO243="Bull"),"YES","NO"))</f>
        <v/>
      </c>
      <c r="AQ243">
        <f>IF(OR(AN243="",AO243=""),"",IF(AND(AN243="Bear",AO243="Bear"),"YES","NO"))</f>
        <v/>
      </c>
      <c r="AR243">
        <f>IF(AP243="YES",IF(SUM(N(X243),N(Y243),N(Z243))&gt;0,"SOXL","TQQQ"),IF(AQ243="YES",IF(SUM(N(AA243),N(AB243),N(AC243))&gt;0,"SOXS","SQQQ"),"WAIT"))</f>
        <v/>
      </c>
      <c r="AS243">
        <f>IF(AP243="YES",IF(SUM(N(X243),N(Y243),N(Z243))&gt;0,"TQQQ","SOXL"),IF(AQ243="YES",IF(SUM(N(AA243),N(AB243),N(AC243))&gt;0,"SQQQ","SOXS"),""))</f>
        <v/>
      </c>
      <c r="AT243" s="23">
        <f>IF(AR243="WAIT","",IF(AS243="",1,0.6))</f>
        <v/>
      </c>
      <c r="AU243" s="23">
        <f>IF(AS243="",0,0.4)</f>
        <v/>
      </c>
      <c r="AV243">
        <f>IF(AR243="WAIT","WAIT",IF(AP243="YES","BULL",IF(AQ243="YES","BEAR","WAIT")))</f>
        <v/>
      </c>
      <c r="AW243">
        <f>IF(AR243="WAIT","Low",IF(OR(AND(AV243="BULL",ABS(SUM(N(X243),N(Y243),N(Z243)))&gt;=0.15),AND(AV243="BEAR",ABS(SUM(N(AA243),N(AB243),N(AC243)))&gt;=0.15)),"Strong",IF(OR(AND(AV243="BULL",ABS(SUM(N(X243),N(Y243),N(Z243)))&gt;=0.05),AND(AV243="BEAR",ABS(SUM(N(AA243),N(AB243),N(AC243)))&gt;=0.05)),"Moderate","Low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13" t="n"/>
      <c r="AF244" s="23">
        <f>IF(OR(AD244="",AD243=""),"",IF(AD243=0,"",(AD244/AD243)-1))</f>
        <v/>
      </c>
      <c r="AG244" s="23">
        <f>IF(ROW()&lt;7,"",IF(OR(AD244="",AD241=""),"",IF(AD241=0,"",(AD244/AD241)-1)))</f>
        <v/>
      </c>
      <c r="AH244" s="23">
        <f>IF(ROW()&lt;9,"",IF(OR(AD244="",AD239=""),"",IF(AD239=0,"",(AD244/AD239)-1)))</f>
        <v/>
      </c>
      <c r="AJ244" s="23">
        <f>IF(OR(AE244="",AE243=""),"",IF(AE243=0,"",(AE244/AE243)-1))</f>
        <v/>
      </c>
      <c r="AK244" s="23">
        <f>IF(ROW()&lt;7,"",IF(OR(AE244="",AE241=""),"",IF(AE241=0,"",(AE244/AE241)-1)))</f>
        <v/>
      </c>
      <c r="AL244" s="23">
        <f>IF(ROW()&lt;9,"",IF(OR(AE244="",AE239=""),"",IF(AE239=0,"",(AE244/AE239)-1)))</f>
        <v/>
      </c>
      <c r="AN244">
        <f>IF(OR(AG244="",AH244=""),"",IF(AND(AG244&gt;0,AH244&gt;0),"Bull",IF(AND(AG244&lt;0,AH244&lt;0),"Bear","Mixed")))</f>
        <v/>
      </c>
      <c r="AO244">
        <f>IF(OR(AK244="",AL244=""),"",IF(AND(AK244&gt;0,AL244&gt;0),"Bull",IF(AND(AK244&lt;0,AL244&lt;0),"Bear","Mixed")))</f>
        <v/>
      </c>
      <c r="AP244">
        <f>IF(OR(AN244="",AO244=""),"",IF(AND(AN244="Bull",AO244="Bull"),"YES","NO"))</f>
        <v/>
      </c>
      <c r="AQ244">
        <f>IF(OR(AN244="",AO244=""),"",IF(AND(AN244="Bear",AO244="Bear"),"YES","NO"))</f>
        <v/>
      </c>
      <c r="AR244">
        <f>IF(AP244="YES",IF(SUM(N(X244),N(Y244),N(Z244))&gt;0,"SOXL","TQQQ"),IF(AQ244="YES",IF(SUM(N(AA244),N(AB244),N(AC244))&gt;0,"SOXS","SQQQ"),"WAIT"))</f>
        <v/>
      </c>
      <c r="AS244">
        <f>IF(AP244="YES",IF(SUM(N(X244),N(Y244),N(Z244))&gt;0,"TQQQ","SOXL"),IF(AQ244="YES",IF(SUM(N(AA244),N(AB244),N(AC244))&gt;0,"SQQQ","SOXS"),""))</f>
        <v/>
      </c>
      <c r="AT244" s="23">
        <f>IF(AR244="WAIT","",IF(AS244="",1,0.6))</f>
        <v/>
      </c>
      <c r="AU244" s="23">
        <f>IF(AS244="",0,0.4)</f>
        <v/>
      </c>
      <c r="AV244">
        <f>IF(AR244="WAIT","WAIT",IF(AP244="YES","BULL",IF(AQ244="YES","BEAR","WAIT")))</f>
        <v/>
      </c>
      <c r="AW244">
        <f>IF(AR244="WAIT","Low",IF(OR(AND(AV244="BULL",ABS(SUM(N(X244),N(Y244),N(Z244)))&gt;=0.15),AND(AV244="BEAR",ABS(SUM(N(AA244),N(AB244),N(AC244)))&gt;=0.15)),"Strong",IF(OR(AND(AV244="BULL",ABS(SUM(N(X244),N(Y244),N(Z244)))&gt;=0.05),AND(AV244="BEAR",ABS(SUM(N(AA244),N(AB244),N(AC244)))&gt;=0.05)),"Moderate","Low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13" t="n"/>
      <c r="AF245" s="23">
        <f>IF(OR(AD245="",AD244=""),"",IF(AD244=0,"",(AD245/AD244)-1))</f>
        <v/>
      </c>
      <c r="AG245" s="23">
        <f>IF(ROW()&lt;7,"",IF(OR(AD245="",AD242=""),"",IF(AD242=0,"",(AD245/AD242)-1)))</f>
        <v/>
      </c>
      <c r="AH245" s="23">
        <f>IF(ROW()&lt;9,"",IF(OR(AD245="",AD240=""),"",IF(AD240=0,"",(AD245/AD240)-1)))</f>
        <v/>
      </c>
      <c r="AJ245" s="23">
        <f>IF(OR(AE245="",AE244=""),"",IF(AE244=0,"",(AE245/AE244)-1))</f>
        <v/>
      </c>
      <c r="AK245" s="23">
        <f>IF(ROW()&lt;7,"",IF(OR(AE245="",AE242=""),"",IF(AE242=0,"",(AE245/AE242)-1)))</f>
        <v/>
      </c>
      <c r="AL245" s="23">
        <f>IF(ROW()&lt;9,"",IF(OR(AE245="",AE240=""),"",IF(AE240=0,"",(AE245/AE240)-1)))</f>
        <v/>
      </c>
      <c r="AN245">
        <f>IF(OR(AG245="",AH245=""),"",IF(AND(AG245&gt;0,AH245&gt;0),"Bull",IF(AND(AG245&lt;0,AH245&lt;0),"Bear","Mixed")))</f>
        <v/>
      </c>
      <c r="AO245">
        <f>IF(OR(AK245="",AL245=""),"",IF(AND(AK245&gt;0,AL245&gt;0),"Bull",IF(AND(AK245&lt;0,AL245&lt;0),"Bear","Mixed")))</f>
        <v/>
      </c>
      <c r="AP245">
        <f>IF(OR(AN245="",AO245=""),"",IF(AND(AN245="Bull",AO245="Bull"),"YES","NO"))</f>
        <v/>
      </c>
      <c r="AQ245">
        <f>IF(OR(AN245="",AO245=""),"",IF(AND(AN245="Bear",AO245="Bear"),"YES","NO"))</f>
        <v/>
      </c>
      <c r="AR245">
        <f>IF(AP245="YES",IF(SUM(N(X245),N(Y245),N(Z245))&gt;0,"SOXL","TQQQ"),IF(AQ245="YES",IF(SUM(N(AA245),N(AB245),N(AC245))&gt;0,"SOXS","SQQQ"),"WAIT"))</f>
        <v/>
      </c>
      <c r="AS245">
        <f>IF(AP245="YES",IF(SUM(N(X245),N(Y245),N(Z245))&gt;0,"TQQQ","SOXL"),IF(AQ245="YES",IF(SUM(N(AA245),N(AB245),N(AC245))&gt;0,"SQQQ","SOXS"),""))</f>
        <v/>
      </c>
      <c r="AT245" s="23">
        <f>IF(AR245="WAIT","",IF(AS245="",1,0.6))</f>
        <v/>
      </c>
      <c r="AU245" s="23">
        <f>IF(AS245="",0,0.4)</f>
        <v/>
      </c>
      <c r="AV245">
        <f>IF(AR245="WAIT","WAIT",IF(AP245="YES","BULL",IF(AQ245="YES","BEAR","WAIT")))</f>
        <v/>
      </c>
      <c r="AW245">
        <f>IF(AR245="WAIT","Low",IF(OR(AND(AV245="BULL",ABS(SUM(N(X245),N(Y245),N(Z245)))&gt;=0.15),AND(AV245="BEAR",ABS(SUM(N(AA245),N(AB245),N(AC245)))&gt;=0.15)),"Strong",IF(OR(AND(AV245="BULL",ABS(SUM(N(X245),N(Y245),N(Z245)))&gt;=0.05),AND(AV245="BEAR",ABS(SUM(N(AA245),N(AB245),N(AC245)))&gt;=0.05)),"Moderate","Low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13" t="n"/>
      <c r="AF246" s="23">
        <f>IF(OR(AD246="",AD245=""),"",IF(AD245=0,"",(AD246/AD245)-1))</f>
        <v/>
      </c>
      <c r="AG246" s="23">
        <f>IF(ROW()&lt;7,"",IF(OR(AD246="",AD243=""),"",IF(AD243=0,"",(AD246/AD243)-1)))</f>
        <v/>
      </c>
      <c r="AH246" s="23">
        <f>IF(ROW()&lt;9,"",IF(OR(AD246="",AD241=""),"",IF(AD241=0,"",(AD246/AD241)-1)))</f>
        <v/>
      </c>
      <c r="AJ246" s="23">
        <f>IF(OR(AE246="",AE245=""),"",IF(AE245=0,"",(AE246/AE245)-1))</f>
        <v/>
      </c>
      <c r="AK246" s="23">
        <f>IF(ROW()&lt;7,"",IF(OR(AE246="",AE243=""),"",IF(AE243=0,"",(AE246/AE243)-1)))</f>
        <v/>
      </c>
      <c r="AL246" s="23">
        <f>IF(ROW()&lt;9,"",IF(OR(AE246="",AE241=""),"",IF(AE241=0,"",(AE246/AE241)-1)))</f>
        <v/>
      </c>
      <c r="AN246">
        <f>IF(OR(AG246="",AH246=""),"",IF(AND(AG246&gt;0,AH246&gt;0),"Bull",IF(AND(AG246&lt;0,AH246&lt;0),"Bear","Mixed")))</f>
        <v/>
      </c>
      <c r="AO246">
        <f>IF(OR(AK246="",AL246=""),"",IF(AND(AK246&gt;0,AL246&gt;0),"Bull",IF(AND(AK246&lt;0,AL246&lt;0),"Bear","Mixed")))</f>
        <v/>
      </c>
      <c r="AP246">
        <f>IF(OR(AN246="",AO246=""),"",IF(AND(AN246="Bull",AO246="Bull"),"YES","NO"))</f>
        <v/>
      </c>
      <c r="AQ246">
        <f>IF(OR(AN246="",AO246=""),"",IF(AND(AN246="Bear",AO246="Bear"),"YES","NO"))</f>
        <v/>
      </c>
      <c r="AR246">
        <f>IF(AP246="YES",IF(SUM(N(X246),N(Y246),N(Z246))&gt;0,"SOXL","TQQQ"),IF(AQ246="YES",IF(SUM(N(AA246),N(AB246),N(AC246))&gt;0,"SOXS","SQQQ"),"WAIT"))</f>
        <v/>
      </c>
      <c r="AS246">
        <f>IF(AP246="YES",IF(SUM(N(X246),N(Y246),N(Z246))&gt;0,"TQQQ","SOXL"),IF(AQ246="YES",IF(SUM(N(AA246),N(AB246),N(AC246))&gt;0,"SQQQ","SOXS"),""))</f>
        <v/>
      </c>
      <c r="AT246" s="23">
        <f>IF(AR246="WAIT","",IF(AS246="",1,0.6))</f>
        <v/>
      </c>
      <c r="AU246" s="23">
        <f>IF(AS246="",0,0.4)</f>
        <v/>
      </c>
      <c r="AV246">
        <f>IF(AR246="WAIT","WAIT",IF(AP246="YES","BULL",IF(AQ246="YES","BEAR","WAIT")))</f>
        <v/>
      </c>
      <c r="AW246">
        <f>IF(AR246="WAIT","Low",IF(OR(AND(AV246="BULL",ABS(SUM(N(X246),N(Y246),N(Z246)))&gt;=0.15),AND(AV246="BEAR",ABS(SUM(N(AA246),N(AB246),N(AC246)))&gt;=0.15)),"Strong",IF(OR(AND(AV246="BULL",ABS(SUM(N(X246),N(Y246),N(Z246)))&gt;=0.05),AND(AV246="BEAR",ABS(SUM(N(AA246),N(AB246),N(AC246)))&gt;=0.05)),"Moderate","Low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13" t="n"/>
      <c r="AF247" s="23">
        <f>IF(OR(AD247="",AD246=""),"",IF(AD246=0,"",(AD247/AD246)-1))</f>
        <v/>
      </c>
      <c r="AG247" s="23">
        <f>IF(ROW()&lt;7,"",IF(OR(AD247="",AD244=""),"",IF(AD244=0,"",(AD247/AD244)-1)))</f>
        <v/>
      </c>
      <c r="AH247" s="23">
        <f>IF(ROW()&lt;9,"",IF(OR(AD247="",AD242=""),"",IF(AD242=0,"",(AD247/AD242)-1)))</f>
        <v/>
      </c>
      <c r="AJ247" s="23">
        <f>IF(OR(AE247="",AE246=""),"",IF(AE246=0,"",(AE247/AE246)-1))</f>
        <v/>
      </c>
      <c r="AK247" s="23">
        <f>IF(ROW()&lt;7,"",IF(OR(AE247="",AE244=""),"",IF(AE244=0,"",(AE247/AE244)-1)))</f>
        <v/>
      </c>
      <c r="AL247" s="23">
        <f>IF(ROW()&lt;9,"",IF(OR(AE247="",AE242=""),"",IF(AE242=0,"",(AE247/AE242)-1)))</f>
        <v/>
      </c>
      <c r="AN247">
        <f>IF(OR(AG247="",AH247=""),"",IF(AND(AG247&gt;0,AH247&gt;0),"Bull",IF(AND(AG247&lt;0,AH247&lt;0),"Bear","Mixed")))</f>
        <v/>
      </c>
      <c r="AO247">
        <f>IF(OR(AK247="",AL247=""),"",IF(AND(AK247&gt;0,AL247&gt;0),"Bull",IF(AND(AK247&lt;0,AL247&lt;0),"Bear","Mixed")))</f>
        <v/>
      </c>
      <c r="AP247">
        <f>IF(OR(AN247="",AO247=""),"",IF(AND(AN247="Bull",AO247="Bull"),"YES","NO"))</f>
        <v/>
      </c>
      <c r="AQ247">
        <f>IF(OR(AN247="",AO247=""),"",IF(AND(AN247="Bear",AO247="Bear"),"YES","NO"))</f>
        <v/>
      </c>
      <c r="AR247">
        <f>IF(AP247="YES",IF(SUM(N(X247),N(Y247),N(Z247))&gt;0,"SOXL","TQQQ"),IF(AQ247="YES",IF(SUM(N(AA247),N(AB247),N(AC247))&gt;0,"SOXS","SQQQ"),"WAIT"))</f>
        <v/>
      </c>
      <c r="AS247">
        <f>IF(AP247="YES",IF(SUM(N(X247),N(Y247),N(Z247))&gt;0,"TQQQ","SOXL"),IF(AQ247="YES",IF(SUM(N(AA247),N(AB247),N(AC247))&gt;0,"SQQQ","SOXS"),""))</f>
        <v/>
      </c>
      <c r="AT247" s="23">
        <f>IF(AR247="WAIT","",IF(AS247="",1,0.6))</f>
        <v/>
      </c>
      <c r="AU247" s="23">
        <f>IF(AS247="",0,0.4)</f>
        <v/>
      </c>
      <c r="AV247">
        <f>IF(AR247="WAIT","WAIT",IF(AP247="YES","BULL",IF(AQ247="YES","BEAR","WAIT")))</f>
        <v/>
      </c>
      <c r="AW247">
        <f>IF(AR247="WAIT","Low",IF(OR(AND(AV247="BULL",ABS(SUM(N(X247),N(Y247),N(Z247)))&gt;=0.15),AND(AV247="BEAR",ABS(SUM(N(AA247),N(AB247),N(AC247)))&gt;=0.15)),"Strong",IF(OR(AND(AV247="BULL",ABS(SUM(N(X247),N(Y247),N(Z247)))&gt;=0.05),AND(AV247="BEAR",ABS(SUM(N(AA247),N(AB247),N(AC247)))&gt;=0.05)),"Moderate","Low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13" t="n"/>
      <c r="AF248" s="23">
        <f>IF(OR(AD248="",AD247=""),"",IF(AD247=0,"",(AD248/AD247)-1))</f>
        <v/>
      </c>
      <c r="AG248" s="23">
        <f>IF(ROW()&lt;7,"",IF(OR(AD248="",AD245=""),"",IF(AD245=0,"",(AD248/AD245)-1)))</f>
        <v/>
      </c>
      <c r="AH248" s="23">
        <f>IF(ROW()&lt;9,"",IF(OR(AD248="",AD243=""),"",IF(AD243=0,"",(AD248/AD243)-1)))</f>
        <v/>
      </c>
      <c r="AJ248" s="23">
        <f>IF(OR(AE248="",AE247=""),"",IF(AE247=0,"",(AE248/AE247)-1))</f>
        <v/>
      </c>
      <c r="AK248" s="23">
        <f>IF(ROW()&lt;7,"",IF(OR(AE248="",AE245=""),"",IF(AE245=0,"",(AE248/AE245)-1)))</f>
        <v/>
      </c>
      <c r="AL248" s="23">
        <f>IF(ROW()&lt;9,"",IF(OR(AE248="",AE243=""),"",IF(AE243=0,"",(AE248/AE243)-1)))</f>
        <v/>
      </c>
      <c r="AN248">
        <f>IF(OR(AG248="",AH248=""),"",IF(AND(AG248&gt;0,AH248&gt;0),"Bull",IF(AND(AG248&lt;0,AH248&lt;0),"Bear","Mixed")))</f>
        <v/>
      </c>
      <c r="AO248">
        <f>IF(OR(AK248="",AL248=""),"",IF(AND(AK248&gt;0,AL248&gt;0),"Bull",IF(AND(AK248&lt;0,AL248&lt;0),"Bear","Mixed")))</f>
        <v/>
      </c>
      <c r="AP248">
        <f>IF(OR(AN248="",AO248=""),"",IF(AND(AN248="Bull",AO248="Bull"),"YES","NO"))</f>
        <v/>
      </c>
      <c r="AQ248">
        <f>IF(OR(AN248="",AO248=""),"",IF(AND(AN248="Bear",AO248="Bear"),"YES","NO"))</f>
        <v/>
      </c>
      <c r="AR248">
        <f>IF(AP248="YES",IF(SUM(N(X248),N(Y248),N(Z248))&gt;0,"SOXL","TQQQ"),IF(AQ248="YES",IF(SUM(N(AA248),N(AB248),N(AC248))&gt;0,"SOXS","SQQQ"),"WAIT"))</f>
        <v/>
      </c>
      <c r="AS248">
        <f>IF(AP248="YES",IF(SUM(N(X248),N(Y248),N(Z248))&gt;0,"TQQQ","SOXL"),IF(AQ248="YES",IF(SUM(N(AA248),N(AB248),N(AC248))&gt;0,"SQQQ","SOXS"),""))</f>
        <v/>
      </c>
      <c r="AT248" s="23">
        <f>IF(AR248="WAIT","",IF(AS248="",1,0.6))</f>
        <v/>
      </c>
      <c r="AU248" s="23">
        <f>IF(AS248="",0,0.4)</f>
        <v/>
      </c>
      <c r="AV248">
        <f>IF(AR248="WAIT","WAIT",IF(AP248="YES","BULL",IF(AQ248="YES","BEAR","WAIT")))</f>
        <v/>
      </c>
      <c r="AW248">
        <f>IF(AR248="WAIT","Low",IF(OR(AND(AV248="BULL",ABS(SUM(N(X248),N(Y248),N(Z248)))&gt;=0.15),AND(AV248="BEAR",ABS(SUM(N(AA248),N(AB248),N(AC248)))&gt;=0.15)),"Strong",IF(OR(AND(AV248="BULL",ABS(SUM(N(X248),N(Y248),N(Z248)))&gt;=0.05),AND(AV248="BEAR",ABS(SUM(N(AA248),N(AB248),N(AC248)))&gt;=0.05)),"Moderate","Low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13" t="n"/>
      <c r="AF249" s="23">
        <f>IF(OR(AD249="",AD248=""),"",IF(AD248=0,"",(AD249/AD248)-1))</f>
        <v/>
      </c>
      <c r="AG249" s="23">
        <f>IF(ROW()&lt;7,"",IF(OR(AD249="",AD246=""),"",IF(AD246=0,"",(AD249/AD246)-1)))</f>
        <v/>
      </c>
      <c r="AH249" s="23">
        <f>IF(ROW()&lt;9,"",IF(OR(AD249="",AD244=""),"",IF(AD244=0,"",(AD249/AD244)-1)))</f>
        <v/>
      </c>
      <c r="AJ249" s="23">
        <f>IF(OR(AE249="",AE248=""),"",IF(AE248=0,"",(AE249/AE248)-1))</f>
        <v/>
      </c>
      <c r="AK249" s="23">
        <f>IF(ROW()&lt;7,"",IF(OR(AE249="",AE246=""),"",IF(AE246=0,"",(AE249/AE246)-1)))</f>
        <v/>
      </c>
      <c r="AL249" s="23">
        <f>IF(ROW()&lt;9,"",IF(OR(AE249="",AE244=""),"",IF(AE244=0,"",(AE249/AE244)-1)))</f>
        <v/>
      </c>
      <c r="AN249">
        <f>IF(OR(AG249="",AH249=""),"",IF(AND(AG249&gt;0,AH249&gt;0),"Bull",IF(AND(AG249&lt;0,AH249&lt;0),"Bear","Mixed")))</f>
        <v/>
      </c>
      <c r="AO249">
        <f>IF(OR(AK249="",AL249=""),"",IF(AND(AK249&gt;0,AL249&gt;0),"Bull",IF(AND(AK249&lt;0,AL249&lt;0),"Bear","Mixed")))</f>
        <v/>
      </c>
      <c r="AP249">
        <f>IF(OR(AN249="",AO249=""),"",IF(AND(AN249="Bull",AO249="Bull"),"YES","NO"))</f>
        <v/>
      </c>
      <c r="AQ249">
        <f>IF(OR(AN249="",AO249=""),"",IF(AND(AN249="Bear",AO249="Bear"),"YES","NO"))</f>
        <v/>
      </c>
      <c r="AR249">
        <f>IF(AP249="YES",IF(SUM(N(X249),N(Y249),N(Z249))&gt;0,"SOXL","TQQQ"),IF(AQ249="YES",IF(SUM(N(AA249),N(AB249),N(AC249))&gt;0,"SOXS","SQQQ"),"WAIT"))</f>
        <v/>
      </c>
      <c r="AS249">
        <f>IF(AP249="YES",IF(SUM(N(X249),N(Y249),N(Z249))&gt;0,"TQQQ","SOXL"),IF(AQ249="YES",IF(SUM(N(AA249),N(AB249),N(AC249))&gt;0,"SQQQ","SOXS"),""))</f>
        <v/>
      </c>
      <c r="AT249" s="23">
        <f>IF(AR249="WAIT","",IF(AS249="",1,0.6))</f>
        <v/>
      </c>
      <c r="AU249" s="23">
        <f>IF(AS249="",0,0.4)</f>
        <v/>
      </c>
      <c r="AV249">
        <f>IF(AR249="WAIT","WAIT",IF(AP249="YES","BULL",IF(AQ249="YES","BEAR","WAIT")))</f>
        <v/>
      </c>
      <c r="AW249">
        <f>IF(AR249="WAIT","Low",IF(OR(AND(AV249="BULL",ABS(SUM(N(X249),N(Y249),N(Z249)))&gt;=0.15),AND(AV249="BEAR",ABS(SUM(N(AA249),N(AB249),N(AC249)))&gt;=0.15)),"Strong",IF(OR(AND(AV249="BULL",ABS(SUM(N(X249),N(Y249),N(Z249)))&gt;=0.05),AND(AV249="BEAR",ABS(SUM(N(AA249),N(AB249),N(AC249)))&gt;=0.05)),"Moderate","Low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13" t="n"/>
      <c r="AF250" s="23">
        <f>IF(OR(AD250="",AD249=""),"",IF(AD249=0,"",(AD250/AD249)-1))</f>
        <v/>
      </c>
      <c r="AG250" s="23">
        <f>IF(ROW()&lt;7,"",IF(OR(AD250="",AD247=""),"",IF(AD247=0,"",(AD250/AD247)-1)))</f>
        <v/>
      </c>
      <c r="AH250" s="23">
        <f>IF(ROW()&lt;9,"",IF(OR(AD250="",AD245=""),"",IF(AD245=0,"",(AD250/AD245)-1)))</f>
        <v/>
      </c>
      <c r="AJ250" s="23">
        <f>IF(OR(AE250="",AE249=""),"",IF(AE249=0,"",(AE250/AE249)-1))</f>
        <v/>
      </c>
      <c r="AK250" s="23">
        <f>IF(ROW()&lt;7,"",IF(OR(AE250="",AE247=""),"",IF(AE247=0,"",(AE250/AE247)-1)))</f>
        <v/>
      </c>
      <c r="AL250" s="23">
        <f>IF(ROW()&lt;9,"",IF(OR(AE250="",AE245=""),"",IF(AE245=0,"",(AE250/AE245)-1)))</f>
        <v/>
      </c>
      <c r="AN250">
        <f>IF(OR(AG250="",AH250=""),"",IF(AND(AG250&gt;0,AH250&gt;0),"Bull",IF(AND(AG250&lt;0,AH250&lt;0),"Bear","Mixed")))</f>
        <v/>
      </c>
      <c r="AO250">
        <f>IF(OR(AK250="",AL250=""),"",IF(AND(AK250&gt;0,AL250&gt;0),"Bull",IF(AND(AK250&lt;0,AL250&lt;0),"Bear","Mixed")))</f>
        <v/>
      </c>
      <c r="AP250">
        <f>IF(OR(AN250="",AO250=""),"",IF(AND(AN250="Bull",AO250="Bull"),"YES","NO"))</f>
        <v/>
      </c>
      <c r="AQ250">
        <f>IF(OR(AN250="",AO250=""),"",IF(AND(AN250="Bear",AO250="Bear"),"YES","NO"))</f>
        <v/>
      </c>
      <c r="AR250">
        <f>IF(AP250="YES",IF(SUM(N(X250),N(Y250),N(Z250))&gt;0,"SOXL","TQQQ"),IF(AQ250="YES",IF(SUM(N(AA250),N(AB250),N(AC250))&gt;0,"SOXS","SQQQ"),"WAIT"))</f>
        <v/>
      </c>
      <c r="AS250">
        <f>IF(AP250="YES",IF(SUM(N(X250),N(Y250),N(Z250))&gt;0,"TQQQ","SOXL"),IF(AQ250="YES",IF(SUM(N(AA250),N(AB250),N(AC250))&gt;0,"SQQQ","SOXS"),""))</f>
        <v/>
      </c>
      <c r="AT250" s="23">
        <f>IF(AR250="WAIT","",IF(AS250="",1,0.6))</f>
        <v/>
      </c>
      <c r="AU250" s="23">
        <f>IF(AS250="",0,0.4)</f>
        <v/>
      </c>
      <c r="AV250">
        <f>IF(AR250="WAIT","WAIT",IF(AP250="YES","BULL",IF(AQ250="YES","BEAR","WAIT")))</f>
        <v/>
      </c>
      <c r="AW250">
        <f>IF(AR250="WAIT","Low",IF(OR(AND(AV250="BULL",ABS(SUM(N(X250),N(Y250),N(Z250)))&gt;=0.15),AND(AV250="BEAR",ABS(SUM(N(AA250),N(AB250),N(AC250)))&gt;=0.15)),"Strong",IF(OR(AND(AV250="BULL",ABS(SUM(N(X250),N(Y250),N(Z250)))&gt;=0.05),AND(AV250="BEAR",ABS(SUM(N(AA250),N(AB250),N(AC250)))&gt;=0.05)),"Moderate","Low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13" t="n"/>
      <c r="AF251" s="23">
        <f>IF(OR(AD251="",AD250=""),"",IF(AD250=0,"",(AD251/AD250)-1))</f>
        <v/>
      </c>
      <c r="AG251" s="23">
        <f>IF(ROW()&lt;7,"",IF(OR(AD251="",AD248=""),"",IF(AD248=0,"",(AD251/AD248)-1)))</f>
        <v/>
      </c>
      <c r="AH251" s="23">
        <f>IF(ROW()&lt;9,"",IF(OR(AD251="",AD246=""),"",IF(AD246=0,"",(AD251/AD246)-1)))</f>
        <v/>
      </c>
      <c r="AJ251" s="23">
        <f>IF(OR(AE251="",AE250=""),"",IF(AE250=0,"",(AE251/AE250)-1))</f>
        <v/>
      </c>
      <c r="AK251" s="23">
        <f>IF(ROW()&lt;7,"",IF(OR(AE251="",AE248=""),"",IF(AE248=0,"",(AE251/AE248)-1)))</f>
        <v/>
      </c>
      <c r="AL251" s="23">
        <f>IF(ROW()&lt;9,"",IF(OR(AE251="",AE246=""),"",IF(AE246=0,"",(AE251/AE246)-1)))</f>
        <v/>
      </c>
      <c r="AN251">
        <f>IF(OR(AG251="",AH251=""),"",IF(AND(AG251&gt;0,AH251&gt;0),"Bull",IF(AND(AG251&lt;0,AH251&lt;0),"Bear","Mixed")))</f>
        <v/>
      </c>
      <c r="AO251">
        <f>IF(OR(AK251="",AL251=""),"",IF(AND(AK251&gt;0,AL251&gt;0),"Bull",IF(AND(AK251&lt;0,AL251&lt;0),"Bear","Mixed")))</f>
        <v/>
      </c>
      <c r="AP251">
        <f>IF(OR(AN251="",AO251=""),"",IF(AND(AN251="Bull",AO251="Bull"),"YES","NO"))</f>
        <v/>
      </c>
      <c r="AQ251">
        <f>IF(OR(AN251="",AO251=""),"",IF(AND(AN251="Bear",AO251="Bear"),"YES","NO"))</f>
        <v/>
      </c>
      <c r="AR251">
        <f>IF(AP251="YES",IF(SUM(N(X251),N(Y251),N(Z251))&gt;0,"SOXL","TQQQ"),IF(AQ251="YES",IF(SUM(N(AA251),N(AB251),N(AC251))&gt;0,"SOXS","SQQQ"),"WAIT"))</f>
        <v/>
      </c>
      <c r="AS251">
        <f>IF(AP251="YES",IF(SUM(N(X251),N(Y251),N(Z251))&gt;0,"TQQQ","SOXL"),IF(AQ251="YES",IF(SUM(N(AA251),N(AB251),N(AC251))&gt;0,"SQQQ","SOXS"),""))</f>
        <v/>
      </c>
      <c r="AT251" s="23">
        <f>IF(AR251="WAIT","",IF(AS251="",1,0.6))</f>
        <v/>
      </c>
      <c r="AU251" s="23">
        <f>IF(AS251="",0,0.4)</f>
        <v/>
      </c>
      <c r="AV251">
        <f>IF(AR251="WAIT","WAIT",IF(AP251="YES","BULL",IF(AQ251="YES","BEAR","WAIT")))</f>
        <v/>
      </c>
      <c r="AW251">
        <f>IF(AR251="WAIT","Low",IF(OR(AND(AV251="BULL",ABS(SUM(N(X251),N(Y251),N(Z251)))&gt;=0.15),AND(AV251="BEAR",ABS(SUM(N(AA251),N(AB251),N(AC251)))&gt;=0.15)),"Strong",IF(OR(AND(AV251="BULL",ABS(SUM(N(X251),N(Y251),N(Z251)))&gt;=0.05),AND(AV251="BEAR",ABS(SUM(N(AA251),N(AB251),N(AC251)))&gt;=0.05)),"Moderate","Low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13" t="n"/>
      <c r="AF252" s="23">
        <f>IF(OR(AD252="",AD251=""),"",IF(AD251=0,"",(AD252/AD251)-1))</f>
        <v/>
      </c>
      <c r="AG252" s="23">
        <f>IF(ROW()&lt;7,"",IF(OR(AD252="",AD249=""),"",IF(AD249=0,"",(AD252/AD249)-1)))</f>
        <v/>
      </c>
      <c r="AH252" s="23">
        <f>IF(ROW()&lt;9,"",IF(OR(AD252="",AD247=""),"",IF(AD247=0,"",(AD252/AD247)-1)))</f>
        <v/>
      </c>
      <c r="AJ252" s="23">
        <f>IF(OR(AE252="",AE251=""),"",IF(AE251=0,"",(AE252/AE251)-1))</f>
        <v/>
      </c>
      <c r="AK252" s="23">
        <f>IF(ROW()&lt;7,"",IF(OR(AE252="",AE249=""),"",IF(AE249=0,"",(AE252/AE249)-1)))</f>
        <v/>
      </c>
      <c r="AL252" s="23">
        <f>IF(ROW()&lt;9,"",IF(OR(AE252="",AE247=""),"",IF(AE247=0,"",(AE252/AE247)-1)))</f>
        <v/>
      </c>
      <c r="AN252">
        <f>IF(OR(AG252="",AH252=""),"",IF(AND(AG252&gt;0,AH252&gt;0),"Bull",IF(AND(AG252&lt;0,AH252&lt;0),"Bear","Mixed")))</f>
        <v/>
      </c>
      <c r="AO252">
        <f>IF(OR(AK252="",AL252=""),"",IF(AND(AK252&gt;0,AL252&gt;0),"Bull",IF(AND(AK252&lt;0,AL252&lt;0),"Bear","Mixed")))</f>
        <v/>
      </c>
      <c r="AP252">
        <f>IF(OR(AN252="",AO252=""),"",IF(AND(AN252="Bull",AO252="Bull"),"YES","NO"))</f>
        <v/>
      </c>
      <c r="AQ252">
        <f>IF(OR(AN252="",AO252=""),"",IF(AND(AN252="Bear",AO252="Bear"),"YES","NO"))</f>
        <v/>
      </c>
      <c r="AR252">
        <f>IF(AP252="YES",IF(SUM(N(X252),N(Y252),N(Z252))&gt;0,"SOXL","TQQQ"),IF(AQ252="YES",IF(SUM(N(AA252),N(AB252),N(AC252))&gt;0,"SOXS","SQQQ"),"WAIT"))</f>
        <v/>
      </c>
      <c r="AS252">
        <f>IF(AP252="YES",IF(SUM(N(X252),N(Y252),N(Z252))&gt;0,"TQQQ","SOXL"),IF(AQ252="YES",IF(SUM(N(AA252),N(AB252),N(AC252))&gt;0,"SQQQ","SOXS"),""))</f>
        <v/>
      </c>
      <c r="AT252" s="23">
        <f>IF(AR252="WAIT","",IF(AS252="",1,0.6))</f>
        <v/>
      </c>
      <c r="AU252" s="23">
        <f>IF(AS252="",0,0.4)</f>
        <v/>
      </c>
      <c r="AV252">
        <f>IF(AR252="WAIT","WAIT",IF(AP252="YES","BULL",IF(AQ252="YES","BEAR","WAIT")))</f>
        <v/>
      </c>
      <c r="AW252">
        <f>IF(AR252="WAIT","Low",IF(OR(AND(AV252="BULL",ABS(SUM(N(X252),N(Y252),N(Z252)))&gt;=0.15),AND(AV252="BEAR",ABS(SUM(N(AA252),N(AB252),N(AC252)))&gt;=0.15)),"Strong",IF(OR(AND(AV252="BULL",ABS(SUM(N(X252),N(Y252),N(Z252)))&gt;=0.05),AND(AV252="BEAR",ABS(SUM(N(AA252),N(AB252),N(AC252)))&gt;=0.05)),"Moderate","Low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13" t="n"/>
      <c r="AF253" s="23">
        <f>IF(OR(AD253="",AD252=""),"",IF(AD252=0,"",(AD253/AD252)-1))</f>
        <v/>
      </c>
      <c r="AG253" s="23">
        <f>IF(ROW()&lt;7,"",IF(OR(AD253="",AD250=""),"",IF(AD250=0,"",(AD253/AD250)-1)))</f>
        <v/>
      </c>
      <c r="AH253" s="23">
        <f>IF(ROW()&lt;9,"",IF(OR(AD253="",AD248=""),"",IF(AD248=0,"",(AD253/AD248)-1)))</f>
        <v/>
      </c>
      <c r="AJ253" s="23">
        <f>IF(OR(AE253="",AE252=""),"",IF(AE252=0,"",(AE253/AE252)-1))</f>
        <v/>
      </c>
      <c r="AK253" s="23">
        <f>IF(ROW()&lt;7,"",IF(OR(AE253="",AE250=""),"",IF(AE250=0,"",(AE253/AE250)-1)))</f>
        <v/>
      </c>
      <c r="AL253" s="23">
        <f>IF(ROW()&lt;9,"",IF(OR(AE253="",AE248=""),"",IF(AE248=0,"",(AE253/AE248)-1)))</f>
        <v/>
      </c>
      <c r="AN253">
        <f>IF(OR(AG253="",AH253=""),"",IF(AND(AG253&gt;0,AH253&gt;0),"Bull",IF(AND(AG253&lt;0,AH253&lt;0),"Bear","Mixed")))</f>
        <v/>
      </c>
      <c r="AO253">
        <f>IF(OR(AK253="",AL253=""),"",IF(AND(AK253&gt;0,AL253&gt;0),"Bull",IF(AND(AK253&lt;0,AL253&lt;0),"Bear","Mixed")))</f>
        <v/>
      </c>
      <c r="AP253">
        <f>IF(OR(AN253="",AO253=""),"",IF(AND(AN253="Bull",AO253="Bull"),"YES","NO"))</f>
        <v/>
      </c>
      <c r="AQ253">
        <f>IF(OR(AN253="",AO253=""),"",IF(AND(AN253="Bear",AO253="Bear"),"YES","NO"))</f>
        <v/>
      </c>
      <c r="AR253">
        <f>IF(AP253="YES",IF(SUM(N(X253),N(Y253),N(Z253))&gt;0,"SOXL","TQQQ"),IF(AQ253="YES",IF(SUM(N(AA253),N(AB253),N(AC253))&gt;0,"SOXS","SQQQ"),"WAIT"))</f>
        <v/>
      </c>
      <c r="AS253">
        <f>IF(AP253="YES",IF(SUM(N(X253),N(Y253),N(Z253))&gt;0,"TQQQ","SOXL"),IF(AQ253="YES",IF(SUM(N(AA253),N(AB253),N(AC253))&gt;0,"SQQQ","SOXS"),""))</f>
        <v/>
      </c>
      <c r="AT253" s="23">
        <f>IF(AR253="WAIT","",IF(AS253="",1,0.6))</f>
        <v/>
      </c>
      <c r="AU253" s="23">
        <f>IF(AS253="",0,0.4)</f>
        <v/>
      </c>
      <c r="AV253">
        <f>IF(AR253="WAIT","WAIT",IF(AP253="YES","BULL",IF(AQ253="YES","BEAR","WAIT")))</f>
        <v/>
      </c>
      <c r="AW253">
        <f>IF(AR253="WAIT","Low",IF(OR(AND(AV253="BULL",ABS(SUM(N(X253),N(Y253),N(Z253)))&gt;=0.15),AND(AV253="BEAR",ABS(SUM(N(AA253),N(AB253),N(AC253)))&gt;=0.15)),"Strong",IF(OR(AND(AV253="BULL",ABS(SUM(N(X253),N(Y253),N(Z253)))&gt;=0.05),AND(AV253="BEAR",ABS(SUM(N(AA253),N(AB253),N(AC253)))&gt;=0.05)),"Moderate","Low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13" t="n"/>
      <c r="AF254" s="23">
        <f>IF(OR(AD254="",AD253=""),"",IF(AD253=0,"",(AD254/AD253)-1))</f>
        <v/>
      </c>
      <c r="AG254" s="23">
        <f>IF(ROW()&lt;7,"",IF(OR(AD254="",AD251=""),"",IF(AD251=0,"",(AD254/AD251)-1)))</f>
        <v/>
      </c>
      <c r="AH254" s="23">
        <f>IF(ROW()&lt;9,"",IF(OR(AD254="",AD249=""),"",IF(AD249=0,"",(AD254/AD249)-1)))</f>
        <v/>
      </c>
      <c r="AJ254" s="23">
        <f>IF(OR(AE254="",AE253=""),"",IF(AE253=0,"",(AE254/AE253)-1))</f>
        <v/>
      </c>
      <c r="AK254" s="23">
        <f>IF(ROW()&lt;7,"",IF(OR(AE254="",AE251=""),"",IF(AE251=0,"",(AE254/AE251)-1)))</f>
        <v/>
      </c>
      <c r="AL254" s="23">
        <f>IF(ROW()&lt;9,"",IF(OR(AE254="",AE249=""),"",IF(AE249=0,"",(AE254/AE249)-1)))</f>
        <v/>
      </c>
      <c r="AN254">
        <f>IF(OR(AG254="",AH254=""),"",IF(AND(AG254&gt;0,AH254&gt;0),"Bull",IF(AND(AG254&lt;0,AH254&lt;0),"Bear","Mixed")))</f>
        <v/>
      </c>
      <c r="AO254">
        <f>IF(OR(AK254="",AL254=""),"",IF(AND(AK254&gt;0,AL254&gt;0),"Bull",IF(AND(AK254&lt;0,AL254&lt;0),"Bear","Mixed")))</f>
        <v/>
      </c>
      <c r="AP254">
        <f>IF(OR(AN254="",AO254=""),"",IF(AND(AN254="Bull",AO254="Bull"),"YES","NO"))</f>
        <v/>
      </c>
      <c r="AQ254">
        <f>IF(OR(AN254="",AO254=""),"",IF(AND(AN254="Bear",AO254="Bear"),"YES","NO"))</f>
        <v/>
      </c>
      <c r="AR254">
        <f>IF(AP254="YES",IF(SUM(N(X254),N(Y254),N(Z254))&gt;0,"SOXL","TQQQ"),IF(AQ254="YES",IF(SUM(N(AA254),N(AB254),N(AC254))&gt;0,"SOXS","SQQQ"),"WAIT"))</f>
        <v/>
      </c>
      <c r="AS254">
        <f>IF(AP254="YES",IF(SUM(N(X254),N(Y254),N(Z254))&gt;0,"TQQQ","SOXL"),IF(AQ254="YES",IF(SUM(N(AA254),N(AB254),N(AC254))&gt;0,"SQQQ","SOXS"),""))</f>
        <v/>
      </c>
      <c r="AT254" s="23">
        <f>IF(AR254="WAIT","",IF(AS254="",1,0.6))</f>
        <v/>
      </c>
      <c r="AU254" s="23">
        <f>IF(AS254="",0,0.4)</f>
        <v/>
      </c>
      <c r="AV254">
        <f>IF(AR254="WAIT","WAIT",IF(AP254="YES","BULL",IF(AQ254="YES","BEAR","WAIT")))</f>
        <v/>
      </c>
      <c r="AW254">
        <f>IF(AR254="WAIT","Low",IF(OR(AND(AV254="BULL",ABS(SUM(N(X254),N(Y254),N(Z254)))&gt;=0.15),AND(AV254="BEAR",ABS(SUM(N(AA254),N(AB254),N(AC254)))&gt;=0.15)),"Strong",IF(OR(AND(AV254="BULL",ABS(SUM(N(X254),N(Y254),N(Z254)))&gt;=0.05),AND(AV254="BEAR",ABS(SUM(N(AA254),N(AB254),N(AC254)))&gt;=0.05)),"Moderate","Low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13" t="n"/>
      <c r="AF255" s="23">
        <f>IF(OR(AD255="",AD254=""),"",IF(AD254=0,"",(AD255/AD254)-1))</f>
        <v/>
      </c>
      <c r="AG255" s="23">
        <f>IF(ROW()&lt;7,"",IF(OR(AD255="",AD252=""),"",IF(AD252=0,"",(AD255/AD252)-1)))</f>
        <v/>
      </c>
      <c r="AH255" s="23">
        <f>IF(ROW()&lt;9,"",IF(OR(AD255="",AD250=""),"",IF(AD250=0,"",(AD255/AD250)-1)))</f>
        <v/>
      </c>
      <c r="AJ255" s="23">
        <f>IF(OR(AE255="",AE254=""),"",IF(AE254=0,"",(AE255/AE254)-1))</f>
        <v/>
      </c>
      <c r="AK255" s="23">
        <f>IF(ROW()&lt;7,"",IF(OR(AE255="",AE252=""),"",IF(AE252=0,"",(AE255/AE252)-1)))</f>
        <v/>
      </c>
      <c r="AL255" s="23">
        <f>IF(ROW()&lt;9,"",IF(OR(AE255="",AE250=""),"",IF(AE250=0,"",(AE255/AE250)-1)))</f>
        <v/>
      </c>
      <c r="AN255">
        <f>IF(OR(AG255="",AH255=""),"",IF(AND(AG255&gt;0,AH255&gt;0),"Bull",IF(AND(AG255&lt;0,AH255&lt;0),"Bear","Mixed")))</f>
        <v/>
      </c>
      <c r="AO255">
        <f>IF(OR(AK255="",AL255=""),"",IF(AND(AK255&gt;0,AL255&gt;0),"Bull",IF(AND(AK255&lt;0,AL255&lt;0),"Bear","Mixed")))</f>
        <v/>
      </c>
      <c r="AP255">
        <f>IF(OR(AN255="",AO255=""),"",IF(AND(AN255="Bull",AO255="Bull"),"YES","NO"))</f>
        <v/>
      </c>
      <c r="AQ255">
        <f>IF(OR(AN255="",AO255=""),"",IF(AND(AN255="Bear",AO255="Bear"),"YES","NO"))</f>
        <v/>
      </c>
      <c r="AR255">
        <f>IF(AP255="YES",IF(SUM(N(X255),N(Y255),N(Z255))&gt;0,"SOXL","TQQQ"),IF(AQ255="YES",IF(SUM(N(AA255),N(AB255),N(AC255))&gt;0,"SOXS","SQQQ"),"WAIT"))</f>
        <v/>
      </c>
      <c r="AS255">
        <f>IF(AP255="YES",IF(SUM(N(X255),N(Y255),N(Z255))&gt;0,"TQQQ","SOXL"),IF(AQ255="YES",IF(SUM(N(AA255),N(AB255),N(AC255))&gt;0,"SQQQ","SOXS"),""))</f>
        <v/>
      </c>
      <c r="AT255" s="23">
        <f>IF(AR255="WAIT","",IF(AS255="",1,0.6))</f>
        <v/>
      </c>
      <c r="AU255" s="23">
        <f>IF(AS255="",0,0.4)</f>
        <v/>
      </c>
      <c r="AV255">
        <f>IF(AR255="WAIT","WAIT",IF(AP255="YES","BULL",IF(AQ255="YES","BEAR","WAIT")))</f>
        <v/>
      </c>
      <c r="AW255">
        <f>IF(AR255="WAIT","Low",IF(OR(AND(AV255="BULL",ABS(SUM(N(X255),N(Y255),N(Z255)))&gt;=0.15),AND(AV255="BEAR",ABS(SUM(N(AA255),N(AB255),N(AC255)))&gt;=0.15)),"Strong",IF(OR(AND(AV255="BULL",ABS(SUM(N(X255),N(Y255),N(Z255)))&gt;=0.05),AND(AV255="BEAR",ABS(SUM(N(AA255),N(AB255),N(AC255)))&gt;=0.05)),"Moderate","Low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13" t="n"/>
      <c r="AF256" s="23">
        <f>IF(OR(AD256="",AD255=""),"",IF(AD255=0,"",(AD256/AD255)-1))</f>
        <v/>
      </c>
      <c r="AG256" s="23">
        <f>IF(ROW()&lt;7,"",IF(OR(AD256="",AD253=""),"",IF(AD253=0,"",(AD256/AD253)-1)))</f>
        <v/>
      </c>
      <c r="AH256" s="23">
        <f>IF(ROW()&lt;9,"",IF(OR(AD256="",AD251=""),"",IF(AD251=0,"",(AD256/AD251)-1)))</f>
        <v/>
      </c>
      <c r="AJ256" s="23">
        <f>IF(OR(AE256="",AE255=""),"",IF(AE255=0,"",(AE256/AE255)-1))</f>
        <v/>
      </c>
      <c r="AK256" s="23">
        <f>IF(ROW()&lt;7,"",IF(OR(AE256="",AE253=""),"",IF(AE253=0,"",(AE256/AE253)-1)))</f>
        <v/>
      </c>
      <c r="AL256" s="23">
        <f>IF(ROW()&lt;9,"",IF(OR(AE256="",AE251=""),"",IF(AE251=0,"",(AE256/AE251)-1)))</f>
        <v/>
      </c>
      <c r="AN256">
        <f>IF(OR(AG256="",AH256=""),"",IF(AND(AG256&gt;0,AH256&gt;0),"Bull",IF(AND(AG256&lt;0,AH256&lt;0),"Bear","Mixed")))</f>
        <v/>
      </c>
      <c r="AO256">
        <f>IF(OR(AK256="",AL256=""),"",IF(AND(AK256&gt;0,AL256&gt;0),"Bull",IF(AND(AK256&lt;0,AL256&lt;0),"Bear","Mixed")))</f>
        <v/>
      </c>
      <c r="AP256">
        <f>IF(OR(AN256="",AO256=""),"",IF(AND(AN256="Bull",AO256="Bull"),"YES","NO"))</f>
        <v/>
      </c>
      <c r="AQ256">
        <f>IF(OR(AN256="",AO256=""),"",IF(AND(AN256="Bear",AO256="Bear"),"YES","NO"))</f>
        <v/>
      </c>
      <c r="AR256">
        <f>IF(AP256="YES",IF(SUM(N(X256),N(Y256),N(Z256))&gt;0,"SOXL","TQQQ"),IF(AQ256="YES",IF(SUM(N(AA256),N(AB256),N(AC256))&gt;0,"SOXS","SQQQ"),"WAIT"))</f>
        <v/>
      </c>
      <c r="AS256">
        <f>IF(AP256="YES",IF(SUM(N(X256),N(Y256),N(Z256))&gt;0,"TQQQ","SOXL"),IF(AQ256="YES",IF(SUM(N(AA256),N(AB256),N(AC256))&gt;0,"SQQQ","SOXS"),""))</f>
        <v/>
      </c>
      <c r="AT256" s="23">
        <f>IF(AR256="WAIT","",IF(AS256="",1,0.6))</f>
        <v/>
      </c>
      <c r="AU256" s="23">
        <f>IF(AS256="",0,0.4)</f>
        <v/>
      </c>
      <c r="AV256">
        <f>IF(AR256="WAIT","WAIT",IF(AP256="YES","BULL",IF(AQ256="YES","BEAR","WAIT")))</f>
        <v/>
      </c>
      <c r="AW256">
        <f>IF(AR256="WAIT","Low",IF(OR(AND(AV256="BULL",ABS(SUM(N(X256),N(Y256),N(Z256)))&gt;=0.15),AND(AV256="BEAR",ABS(SUM(N(AA256),N(AB256),N(AC256)))&gt;=0.15)),"Strong",IF(OR(AND(AV256="BULL",ABS(SUM(N(X256),N(Y256),N(Z256)))&gt;=0.05),AND(AV256="BEAR",ABS(SUM(N(AA256),N(AB256),N(AC256)))&gt;=0.05)),"Moderate","Low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13" t="n"/>
      <c r="AF257" s="23">
        <f>IF(OR(AD257="",AD256=""),"",IF(AD256=0,"",(AD257/AD256)-1))</f>
        <v/>
      </c>
      <c r="AG257" s="23">
        <f>IF(ROW()&lt;7,"",IF(OR(AD257="",AD254=""),"",IF(AD254=0,"",(AD257/AD254)-1)))</f>
        <v/>
      </c>
      <c r="AH257" s="23">
        <f>IF(ROW()&lt;9,"",IF(OR(AD257="",AD252=""),"",IF(AD252=0,"",(AD257/AD252)-1)))</f>
        <v/>
      </c>
      <c r="AJ257" s="23">
        <f>IF(OR(AE257="",AE256=""),"",IF(AE256=0,"",(AE257/AE256)-1))</f>
        <v/>
      </c>
      <c r="AK257" s="23">
        <f>IF(ROW()&lt;7,"",IF(OR(AE257="",AE254=""),"",IF(AE254=0,"",(AE257/AE254)-1)))</f>
        <v/>
      </c>
      <c r="AL257" s="23">
        <f>IF(ROW()&lt;9,"",IF(OR(AE257="",AE252=""),"",IF(AE252=0,"",(AE257/AE252)-1)))</f>
        <v/>
      </c>
      <c r="AN257">
        <f>IF(OR(AG257="",AH257=""),"",IF(AND(AG257&gt;0,AH257&gt;0),"Bull",IF(AND(AG257&lt;0,AH257&lt;0),"Bear","Mixed")))</f>
        <v/>
      </c>
      <c r="AO257">
        <f>IF(OR(AK257="",AL257=""),"",IF(AND(AK257&gt;0,AL257&gt;0),"Bull",IF(AND(AK257&lt;0,AL257&lt;0),"Bear","Mixed")))</f>
        <v/>
      </c>
      <c r="AP257">
        <f>IF(OR(AN257="",AO257=""),"",IF(AND(AN257="Bull",AO257="Bull"),"YES","NO"))</f>
        <v/>
      </c>
      <c r="AQ257">
        <f>IF(OR(AN257="",AO257=""),"",IF(AND(AN257="Bear",AO257="Bear"),"YES","NO"))</f>
        <v/>
      </c>
      <c r="AR257">
        <f>IF(AP257="YES",IF(SUM(N(X257),N(Y257),N(Z257))&gt;0,"SOXL","TQQQ"),IF(AQ257="YES",IF(SUM(N(AA257),N(AB257),N(AC257))&gt;0,"SOXS","SQQQ"),"WAIT"))</f>
        <v/>
      </c>
      <c r="AS257">
        <f>IF(AP257="YES",IF(SUM(N(X257),N(Y257),N(Z257))&gt;0,"TQQQ","SOXL"),IF(AQ257="YES",IF(SUM(N(AA257),N(AB257),N(AC257))&gt;0,"SQQQ","SOXS"),""))</f>
        <v/>
      </c>
      <c r="AT257" s="23">
        <f>IF(AR257="WAIT","",IF(AS257="",1,0.6))</f>
        <v/>
      </c>
      <c r="AU257" s="23">
        <f>IF(AS257="",0,0.4)</f>
        <v/>
      </c>
      <c r="AV257">
        <f>IF(AR257="WAIT","WAIT",IF(AP257="YES","BULL",IF(AQ257="YES","BEAR","WAIT")))</f>
        <v/>
      </c>
      <c r="AW257">
        <f>IF(AR257="WAIT","Low",IF(OR(AND(AV257="BULL",ABS(SUM(N(X257),N(Y257),N(Z257)))&gt;=0.15),AND(AV257="BEAR",ABS(SUM(N(AA257),N(AB257),N(AC257)))&gt;=0.15)),"Strong",IF(OR(AND(AV257="BULL",ABS(SUM(N(X257),N(Y257),N(Z257)))&gt;=0.05),AND(AV257="BEAR",ABS(SUM(N(AA257),N(AB257),N(AC257)))&gt;=0.05)),"Moderate","Low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13" t="n"/>
      <c r="AF258" s="23">
        <f>IF(OR(AD258="",AD257=""),"",IF(AD257=0,"",(AD258/AD257)-1))</f>
        <v/>
      </c>
      <c r="AG258" s="23">
        <f>IF(ROW()&lt;7,"",IF(OR(AD258="",AD255=""),"",IF(AD255=0,"",(AD258/AD255)-1)))</f>
        <v/>
      </c>
      <c r="AH258" s="23">
        <f>IF(ROW()&lt;9,"",IF(OR(AD258="",AD253=""),"",IF(AD253=0,"",(AD258/AD253)-1)))</f>
        <v/>
      </c>
      <c r="AJ258" s="23">
        <f>IF(OR(AE258="",AE257=""),"",IF(AE257=0,"",(AE258/AE257)-1))</f>
        <v/>
      </c>
      <c r="AK258" s="23">
        <f>IF(ROW()&lt;7,"",IF(OR(AE258="",AE255=""),"",IF(AE255=0,"",(AE258/AE255)-1)))</f>
        <v/>
      </c>
      <c r="AL258" s="23">
        <f>IF(ROW()&lt;9,"",IF(OR(AE258="",AE253=""),"",IF(AE253=0,"",(AE258/AE253)-1)))</f>
        <v/>
      </c>
      <c r="AN258">
        <f>IF(OR(AG258="",AH258=""),"",IF(AND(AG258&gt;0,AH258&gt;0),"Bull",IF(AND(AG258&lt;0,AH258&lt;0),"Bear","Mixed")))</f>
        <v/>
      </c>
      <c r="AO258">
        <f>IF(OR(AK258="",AL258=""),"",IF(AND(AK258&gt;0,AL258&gt;0),"Bull",IF(AND(AK258&lt;0,AL258&lt;0),"Bear","Mixed")))</f>
        <v/>
      </c>
      <c r="AP258">
        <f>IF(OR(AN258="",AO258=""),"",IF(AND(AN258="Bull",AO258="Bull"),"YES","NO"))</f>
        <v/>
      </c>
      <c r="AQ258">
        <f>IF(OR(AN258="",AO258=""),"",IF(AND(AN258="Bear",AO258="Bear"),"YES","NO"))</f>
        <v/>
      </c>
      <c r="AR258">
        <f>IF(AP258="YES",IF(SUM(N(X258),N(Y258),N(Z258))&gt;0,"SOXL","TQQQ"),IF(AQ258="YES",IF(SUM(N(AA258),N(AB258),N(AC258))&gt;0,"SOXS","SQQQ"),"WAIT"))</f>
        <v/>
      </c>
      <c r="AS258">
        <f>IF(AP258="YES",IF(SUM(N(X258),N(Y258),N(Z258))&gt;0,"TQQQ","SOXL"),IF(AQ258="YES",IF(SUM(N(AA258),N(AB258),N(AC258))&gt;0,"SQQQ","SOXS"),""))</f>
        <v/>
      </c>
      <c r="AT258" s="23">
        <f>IF(AR258="WAIT","",IF(AS258="",1,0.6))</f>
        <v/>
      </c>
      <c r="AU258" s="23">
        <f>IF(AS258="",0,0.4)</f>
        <v/>
      </c>
      <c r="AV258">
        <f>IF(AR258="WAIT","WAIT",IF(AP258="YES","BULL",IF(AQ258="YES","BEAR","WAIT")))</f>
        <v/>
      </c>
      <c r="AW258">
        <f>IF(AR258="WAIT","Low",IF(OR(AND(AV258="BULL",ABS(SUM(N(X258),N(Y258),N(Z258)))&gt;=0.15),AND(AV258="BEAR",ABS(SUM(N(AA258),N(AB258),N(AC258)))&gt;=0.15)),"Strong",IF(OR(AND(AV258="BULL",ABS(SUM(N(X258),N(Y258),N(Z258)))&gt;=0.05),AND(AV258="BEAR",ABS(SUM(N(AA258),N(AB258),N(AC258)))&gt;=0.05)),"Moderate","Low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13" t="n"/>
      <c r="AF259" s="23">
        <f>IF(OR(AD259="",AD258=""),"",IF(AD258=0,"",(AD259/AD258)-1))</f>
        <v/>
      </c>
      <c r="AG259" s="23">
        <f>IF(ROW()&lt;7,"",IF(OR(AD259="",AD256=""),"",IF(AD256=0,"",(AD259/AD256)-1)))</f>
        <v/>
      </c>
      <c r="AH259" s="23">
        <f>IF(ROW()&lt;9,"",IF(OR(AD259="",AD254=""),"",IF(AD254=0,"",(AD259/AD254)-1)))</f>
        <v/>
      </c>
      <c r="AJ259" s="23">
        <f>IF(OR(AE259="",AE258=""),"",IF(AE258=0,"",(AE259/AE258)-1))</f>
        <v/>
      </c>
      <c r="AK259" s="23">
        <f>IF(ROW()&lt;7,"",IF(OR(AE259="",AE256=""),"",IF(AE256=0,"",(AE259/AE256)-1)))</f>
        <v/>
      </c>
      <c r="AL259" s="23">
        <f>IF(ROW()&lt;9,"",IF(OR(AE259="",AE254=""),"",IF(AE254=0,"",(AE259/AE254)-1)))</f>
        <v/>
      </c>
      <c r="AN259">
        <f>IF(OR(AG259="",AH259=""),"",IF(AND(AG259&gt;0,AH259&gt;0),"Bull",IF(AND(AG259&lt;0,AH259&lt;0),"Bear","Mixed")))</f>
        <v/>
      </c>
      <c r="AO259">
        <f>IF(OR(AK259="",AL259=""),"",IF(AND(AK259&gt;0,AL259&gt;0),"Bull",IF(AND(AK259&lt;0,AL259&lt;0),"Bear","Mixed")))</f>
        <v/>
      </c>
      <c r="AP259">
        <f>IF(OR(AN259="",AO259=""),"",IF(AND(AN259="Bull",AO259="Bull"),"YES","NO"))</f>
        <v/>
      </c>
      <c r="AQ259">
        <f>IF(OR(AN259="",AO259=""),"",IF(AND(AN259="Bear",AO259="Bear"),"YES","NO"))</f>
        <v/>
      </c>
      <c r="AR259">
        <f>IF(AP259="YES",IF(SUM(N(X259),N(Y259),N(Z259))&gt;0,"SOXL","TQQQ"),IF(AQ259="YES",IF(SUM(N(AA259),N(AB259),N(AC259))&gt;0,"SOXS","SQQQ"),"WAIT"))</f>
        <v/>
      </c>
      <c r="AS259">
        <f>IF(AP259="YES",IF(SUM(N(X259),N(Y259),N(Z259))&gt;0,"TQQQ","SOXL"),IF(AQ259="YES",IF(SUM(N(AA259),N(AB259),N(AC259))&gt;0,"SQQQ","SOXS"),""))</f>
        <v/>
      </c>
      <c r="AT259" s="23">
        <f>IF(AR259="WAIT","",IF(AS259="",1,0.6))</f>
        <v/>
      </c>
      <c r="AU259" s="23">
        <f>IF(AS259="",0,0.4)</f>
        <v/>
      </c>
      <c r="AV259">
        <f>IF(AR259="WAIT","WAIT",IF(AP259="YES","BULL",IF(AQ259="YES","BEAR","WAIT")))</f>
        <v/>
      </c>
      <c r="AW259">
        <f>IF(AR259="WAIT","Low",IF(OR(AND(AV259="BULL",ABS(SUM(N(X259),N(Y259),N(Z259)))&gt;=0.15),AND(AV259="BEAR",ABS(SUM(N(AA259),N(AB259),N(AC259)))&gt;=0.15)),"Strong",IF(OR(AND(AV259="BULL",ABS(SUM(N(X259),N(Y259),N(Z259)))&gt;=0.05),AND(AV259="BEAR",ABS(SUM(N(AA259),N(AB259),N(AC259)))&gt;=0.05)),"Moderate","Low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13" t="n"/>
      <c r="AF260" s="23">
        <f>IF(OR(AD260="",AD259=""),"",IF(AD259=0,"",(AD260/AD259)-1))</f>
        <v/>
      </c>
      <c r="AG260" s="23">
        <f>IF(ROW()&lt;7,"",IF(OR(AD260="",AD257=""),"",IF(AD257=0,"",(AD260/AD257)-1)))</f>
        <v/>
      </c>
      <c r="AH260" s="23">
        <f>IF(ROW()&lt;9,"",IF(OR(AD260="",AD255=""),"",IF(AD255=0,"",(AD260/AD255)-1)))</f>
        <v/>
      </c>
      <c r="AJ260" s="23">
        <f>IF(OR(AE260="",AE259=""),"",IF(AE259=0,"",(AE260/AE259)-1))</f>
        <v/>
      </c>
      <c r="AK260" s="23">
        <f>IF(ROW()&lt;7,"",IF(OR(AE260="",AE257=""),"",IF(AE257=0,"",(AE260/AE257)-1)))</f>
        <v/>
      </c>
      <c r="AL260" s="23">
        <f>IF(ROW()&lt;9,"",IF(OR(AE260="",AE255=""),"",IF(AE255=0,"",(AE260/AE255)-1)))</f>
        <v/>
      </c>
      <c r="AN260">
        <f>IF(OR(AG260="",AH260=""),"",IF(AND(AG260&gt;0,AH260&gt;0),"Bull",IF(AND(AG260&lt;0,AH260&lt;0),"Bear","Mixed")))</f>
        <v/>
      </c>
      <c r="AO260">
        <f>IF(OR(AK260="",AL260=""),"",IF(AND(AK260&gt;0,AL260&gt;0),"Bull",IF(AND(AK260&lt;0,AL260&lt;0),"Bear","Mixed")))</f>
        <v/>
      </c>
      <c r="AP260">
        <f>IF(OR(AN260="",AO260=""),"",IF(AND(AN260="Bull",AO260="Bull"),"YES","NO"))</f>
        <v/>
      </c>
      <c r="AQ260">
        <f>IF(OR(AN260="",AO260=""),"",IF(AND(AN260="Bear",AO260="Bear"),"YES","NO"))</f>
        <v/>
      </c>
      <c r="AR260">
        <f>IF(AP260="YES",IF(SUM(N(X260),N(Y260),N(Z260))&gt;0,"SOXL","TQQQ"),IF(AQ260="YES",IF(SUM(N(AA260),N(AB260),N(AC260))&gt;0,"SOXS","SQQQ"),"WAIT"))</f>
        <v/>
      </c>
      <c r="AS260">
        <f>IF(AP260="YES",IF(SUM(N(X260),N(Y260),N(Z260))&gt;0,"TQQQ","SOXL"),IF(AQ260="YES",IF(SUM(N(AA260),N(AB260),N(AC260))&gt;0,"SQQQ","SOXS"),""))</f>
        <v/>
      </c>
      <c r="AT260" s="23">
        <f>IF(AR260="WAIT","",IF(AS260="",1,0.6))</f>
        <v/>
      </c>
      <c r="AU260" s="23">
        <f>IF(AS260="",0,0.4)</f>
        <v/>
      </c>
      <c r="AV260">
        <f>IF(AR260="WAIT","WAIT",IF(AP260="YES","BULL",IF(AQ260="YES","BEAR","WAIT")))</f>
        <v/>
      </c>
      <c r="AW260">
        <f>IF(AR260="WAIT","Low",IF(OR(AND(AV260="BULL",ABS(SUM(N(X260),N(Y260),N(Z260)))&gt;=0.15),AND(AV260="BEAR",ABS(SUM(N(AA260),N(AB260),N(AC260)))&gt;=0.15)),"Strong",IF(OR(AND(AV260="BULL",ABS(SUM(N(X260),N(Y260),N(Z260)))&gt;=0.05),AND(AV260="BEAR",ABS(SUM(N(AA260),N(AB260),N(AC260)))&gt;=0.05)),"Moderate","Low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13" t="n"/>
      <c r="AF261" s="23">
        <f>IF(OR(AD261="",AD260=""),"",IF(AD260=0,"",(AD261/AD260)-1))</f>
        <v/>
      </c>
      <c r="AG261" s="23">
        <f>IF(ROW()&lt;7,"",IF(OR(AD261="",AD258=""),"",IF(AD258=0,"",(AD261/AD258)-1)))</f>
        <v/>
      </c>
      <c r="AH261" s="23">
        <f>IF(ROW()&lt;9,"",IF(OR(AD261="",AD256=""),"",IF(AD256=0,"",(AD261/AD256)-1)))</f>
        <v/>
      </c>
      <c r="AJ261" s="23">
        <f>IF(OR(AE261="",AE260=""),"",IF(AE260=0,"",(AE261/AE260)-1))</f>
        <v/>
      </c>
      <c r="AK261" s="23">
        <f>IF(ROW()&lt;7,"",IF(OR(AE261="",AE258=""),"",IF(AE258=0,"",(AE261/AE258)-1)))</f>
        <v/>
      </c>
      <c r="AL261" s="23">
        <f>IF(ROW()&lt;9,"",IF(OR(AE261="",AE256=""),"",IF(AE256=0,"",(AE261/AE256)-1)))</f>
        <v/>
      </c>
      <c r="AN261">
        <f>IF(OR(AG261="",AH261=""),"",IF(AND(AG261&gt;0,AH261&gt;0),"Bull",IF(AND(AG261&lt;0,AH261&lt;0),"Bear","Mixed")))</f>
        <v/>
      </c>
      <c r="AO261">
        <f>IF(OR(AK261="",AL261=""),"",IF(AND(AK261&gt;0,AL261&gt;0),"Bull",IF(AND(AK261&lt;0,AL261&lt;0),"Bear","Mixed")))</f>
        <v/>
      </c>
      <c r="AP261">
        <f>IF(OR(AN261="",AO261=""),"",IF(AND(AN261="Bull",AO261="Bull"),"YES","NO"))</f>
        <v/>
      </c>
      <c r="AQ261">
        <f>IF(OR(AN261="",AO261=""),"",IF(AND(AN261="Bear",AO261="Bear"),"YES","NO"))</f>
        <v/>
      </c>
      <c r="AR261">
        <f>IF(AP261="YES",IF(SUM(N(X261),N(Y261),N(Z261))&gt;0,"SOXL","TQQQ"),IF(AQ261="YES",IF(SUM(N(AA261),N(AB261),N(AC261))&gt;0,"SOXS","SQQQ"),"WAIT"))</f>
        <v/>
      </c>
      <c r="AS261">
        <f>IF(AP261="YES",IF(SUM(N(X261),N(Y261),N(Z261))&gt;0,"TQQQ","SOXL"),IF(AQ261="YES",IF(SUM(N(AA261),N(AB261),N(AC261))&gt;0,"SQQQ","SOXS"),""))</f>
        <v/>
      </c>
      <c r="AT261" s="23">
        <f>IF(AR261="WAIT","",IF(AS261="",1,0.6))</f>
        <v/>
      </c>
      <c r="AU261" s="23">
        <f>IF(AS261="",0,0.4)</f>
        <v/>
      </c>
      <c r="AV261">
        <f>IF(AR261="WAIT","WAIT",IF(AP261="YES","BULL",IF(AQ261="YES","BEAR","WAIT")))</f>
        <v/>
      </c>
      <c r="AW261">
        <f>IF(AR261="WAIT","Low",IF(OR(AND(AV261="BULL",ABS(SUM(N(X261),N(Y261),N(Z261)))&gt;=0.15),AND(AV261="BEAR",ABS(SUM(N(AA261),N(AB261),N(AC261)))&gt;=0.15)),"Strong",IF(OR(AND(AV261="BULL",ABS(SUM(N(X261),N(Y261),N(Z261)))&gt;=0.05),AND(AV261="BEAR",ABS(SUM(N(AA261),N(AB261),N(AC261)))&gt;=0.05)),"Moderate","Low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13" t="n"/>
      <c r="AF262" s="23">
        <f>IF(OR(AD262="",AD261=""),"",IF(AD261=0,"",(AD262/AD261)-1))</f>
        <v/>
      </c>
      <c r="AG262" s="23">
        <f>IF(ROW()&lt;7,"",IF(OR(AD262="",AD259=""),"",IF(AD259=0,"",(AD262/AD259)-1)))</f>
        <v/>
      </c>
      <c r="AH262" s="23">
        <f>IF(ROW()&lt;9,"",IF(OR(AD262="",AD257=""),"",IF(AD257=0,"",(AD262/AD257)-1)))</f>
        <v/>
      </c>
      <c r="AJ262" s="23">
        <f>IF(OR(AE262="",AE261=""),"",IF(AE261=0,"",(AE262/AE261)-1))</f>
        <v/>
      </c>
      <c r="AK262" s="23">
        <f>IF(ROW()&lt;7,"",IF(OR(AE262="",AE259=""),"",IF(AE259=0,"",(AE262/AE259)-1)))</f>
        <v/>
      </c>
      <c r="AL262" s="23">
        <f>IF(ROW()&lt;9,"",IF(OR(AE262="",AE257=""),"",IF(AE257=0,"",(AE262/AE257)-1)))</f>
        <v/>
      </c>
      <c r="AN262">
        <f>IF(OR(AG262="",AH262=""),"",IF(AND(AG262&gt;0,AH262&gt;0),"Bull",IF(AND(AG262&lt;0,AH262&lt;0),"Bear","Mixed")))</f>
        <v/>
      </c>
      <c r="AO262">
        <f>IF(OR(AK262="",AL262=""),"",IF(AND(AK262&gt;0,AL262&gt;0),"Bull",IF(AND(AK262&lt;0,AL262&lt;0),"Bear","Mixed")))</f>
        <v/>
      </c>
      <c r="AP262">
        <f>IF(OR(AN262="",AO262=""),"",IF(AND(AN262="Bull",AO262="Bull"),"YES","NO"))</f>
        <v/>
      </c>
      <c r="AQ262">
        <f>IF(OR(AN262="",AO262=""),"",IF(AND(AN262="Bear",AO262="Bear"),"YES","NO"))</f>
        <v/>
      </c>
      <c r="AR262">
        <f>IF(AP262="YES",IF(SUM(N(X262),N(Y262),N(Z262))&gt;0,"SOXL","TQQQ"),IF(AQ262="YES",IF(SUM(N(AA262),N(AB262),N(AC262))&gt;0,"SOXS","SQQQ"),"WAIT"))</f>
        <v/>
      </c>
      <c r="AS262">
        <f>IF(AP262="YES",IF(SUM(N(X262),N(Y262),N(Z262))&gt;0,"TQQQ","SOXL"),IF(AQ262="YES",IF(SUM(N(AA262),N(AB262),N(AC262))&gt;0,"SQQQ","SOXS"),""))</f>
        <v/>
      </c>
      <c r="AT262" s="23">
        <f>IF(AR262="WAIT","",IF(AS262="",1,0.6))</f>
        <v/>
      </c>
      <c r="AU262" s="23">
        <f>IF(AS262="",0,0.4)</f>
        <v/>
      </c>
      <c r="AV262">
        <f>IF(AR262="WAIT","WAIT",IF(AP262="YES","BULL",IF(AQ262="YES","BEAR","WAIT")))</f>
        <v/>
      </c>
      <c r="AW262">
        <f>IF(AR262="WAIT","Low",IF(OR(AND(AV262="BULL",ABS(SUM(N(X262),N(Y262),N(Z262)))&gt;=0.15),AND(AV262="BEAR",ABS(SUM(N(AA262),N(AB262),N(AC262)))&gt;=0.15)),"Strong",IF(OR(AND(AV262="BULL",ABS(SUM(N(X262),N(Y262),N(Z262)))&gt;=0.05),AND(AV262="BEAR",ABS(SUM(N(AA262),N(AB262),N(AC262)))&gt;=0.05)),"Moderate","Low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13" t="n"/>
      <c r="AF263" s="23">
        <f>IF(OR(AD263="",AD262=""),"",IF(AD262=0,"",(AD263/AD262)-1))</f>
        <v/>
      </c>
      <c r="AG263" s="23">
        <f>IF(ROW()&lt;7,"",IF(OR(AD263="",AD260=""),"",IF(AD260=0,"",(AD263/AD260)-1)))</f>
        <v/>
      </c>
      <c r="AH263" s="23">
        <f>IF(ROW()&lt;9,"",IF(OR(AD263="",AD258=""),"",IF(AD258=0,"",(AD263/AD258)-1)))</f>
        <v/>
      </c>
      <c r="AJ263" s="23">
        <f>IF(OR(AE263="",AE262=""),"",IF(AE262=0,"",(AE263/AE262)-1))</f>
        <v/>
      </c>
      <c r="AK263" s="23">
        <f>IF(ROW()&lt;7,"",IF(OR(AE263="",AE260=""),"",IF(AE260=0,"",(AE263/AE260)-1)))</f>
        <v/>
      </c>
      <c r="AL263" s="23">
        <f>IF(ROW()&lt;9,"",IF(OR(AE263="",AE258=""),"",IF(AE258=0,"",(AE263/AE258)-1)))</f>
        <v/>
      </c>
      <c r="AN263">
        <f>IF(OR(AG263="",AH263=""),"",IF(AND(AG263&gt;0,AH263&gt;0),"Bull",IF(AND(AG263&lt;0,AH263&lt;0),"Bear","Mixed")))</f>
        <v/>
      </c>
      <c r="AO263">
        <f>IF(OR(AK263="",AL263=""),"",IF(AND(AK263&gt;0,AL263&gt;0),"Bull",IF(AND(AK263&lt;0,AL263&lt;0),"Bear","Mixed")))</f>
        <v/>
      </c>
      <c r="AP263">
        <f>IF(OR(AN263="",AO263=""),"",IF(AND(AN263="Bull",AO263="Bull"),"YES","NO"))</f>
        <v/>
      </c>
      <c r="AQ263">
        <f>IF(OR(AN263="",AO263=""),"",IF(AND(AN263="Bear",AO263="Bear"),"YES","NO"))</f>
        <v/>
      </c>
      <c r="AR263">
        <f>IF(AP263="YES",IF(SUM(N(X263),N(Y263),N(Z263))&gt;0,"SOXL","TQQQ"),IF(AQ263="YES",IF(SUM(N(AA263),N(AB263),N(AC263))&gt;0,"SOXS","SQQQ"),"WAIT"))</f>
        <v/>
      </c>
      <c r="AS263">
        <f>IF(AP263="YES",IF(SUM(N(X263),N(Y263),N(Z263))&gt;0,"TQQQ","SOXL"),IF(AQ263="YES",IF(SUM(N(AA263),N(AB263),N(AC263))&gt;0,"SQQQ","SOXS"),""))</f>
        <v/>
      </c>
      <c r="AT263" s="23">
        <f>IF(AR263="WAIT","",IF(AS263="",1,0.6))</f>
        <v/>
      </c>
      <c r="AU263" s="23">
        <f>IF(AS263="",0,0.4)</f>
        <v/>
      </c>
      <c r="AV263">
        <f>IF(AR263="WAIT","WAIT",IF(AP263="YES","BULL",IF(AQ263="YES","BEAR","WAIT")))</f>
        <v/>
      </c>
      <c r="AW263">
        <f>IF(AR263="WAIT","Low",IF(OR(AND(AV263="BULL",ABS(SUM(N(X263),N(Y263),N(Z263)))&gt;=0.15),AND(AV263="BEAR",ABS(SUM(N(AA263),N(AB263),N(AC263)))&gt;=0.15)),"Strong",IF(OR(AND(AV263="BULL",ABS(SUM(N(X263),N(Y263),N(Z263)))&gt;=0.05),AND(AV263="BEAR",ABS(SUM(N(AA263),N(AB263),N(AC263)))&gt;=0.05)),"Moderate","Low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13" t="n"/>
      <c r="AF264" s="23">
        <f>IF(OR(AD264="",AD263=""),"",IF(AD263=0,"",(AD264/AD263)-1))</f>
        <v/>
      </c>
      <c r="AG264" s="23">
        <f>IF(ROW()&lt;7,"",IF(OR(AD264="",AD261=""),"",IF(AD261=0,"",(AD264/AD261)-1)))</f>
        <v/>
      </c>
      <c r="AH264" s="23">
        <f>IF(ROW()&lt;9,"",IF(OR(AD264="",AD259=""),"",IF(AD259=0,"",(AD264/AD259)-1)))</f>
        <v/>
      </c>
      <c r="AJ264" s="23">
        <f>IF(OR(AE264="",AE263=""),"",IF(AE263=0,"",(AE264/AE263)-1))</f>
        <v/>
      </c>
      <c r="AK264" s="23">
        <f>IF(ROW()&lt;7,"",IF(OR(AE264="",AE261=""),"",IF(AE261=0,"",(AE264/AE261)-1)))</f>
        <v/>
      </c>
      <c r="AL264" s="23">
        <f>IF(ROW()&lt;9,"",IF(OR(AE264="",AE259=""),"",IF(AE259=0,"",(AE264/AE259)-1)))</f>
        <v/>
      </c>
      <c r="AN264">
        <f>IF(OR(AG264="",AH264=""),"",IF(AND(AG264&gt;0,AH264&gt;0),"Bull",IF(AND(AG264&lt;0,AH264&lt;0),"Bear","Mixed")))</f>
        <v/>
      </c>
      <c r="AO264">
        <f>IF(OR(AK264="",AL264=""),"",IF(AND(AK264&gt;0,AL264&gt;0),"Bull",IF(AND(AK264&lt;0,AL264&lt;0),"Bear","Mixed")))</f>
        <v/>
      </c>
      <c r="AP264">
        <f>IF(OR(AN264="",AO264=""),"",IF(AND(AN264="Bull",AO264="Bull"),"YES","NO"))</f>
        <v/>
      </c>
      <c r="AQ264">
        <f>IF(OR(AN264="",AO264=""),"",IF(AND(AN264="Bear",AO264="Bear"),"YES","NO"))</f>
        <v/>
      </c>
      <c r="AR264">
        <f>IF(AP264="YES",IF(SUM(N(X264),N(Y264),N(Z264))&gt;0,"SOXL","TQQQ"),IF(AQ264="YES",IF(SUM(N(AA264),N(AB264),N(AC264))&gt;0,"SOXS","SQQQ"),"WAIT"))</f>
        <v/>
      </c>
      <c r="AS264">
        <f>IF(AP264="YES",IF(SUM(N(X264),N(Y264),N(Z264))&gt;0,"TQQQ","SOXL"),IF(AQ264="YES",IF(SUM(N(AA264),N(AB264),N(AC264))&gt;0,"SQQQ","SOXS"),""))</f>
        <v/>
      </c>
      <c r="AT264" s="23">
        <f>IF(AR264="WAIT","",IF(AS264="",1,0.6))</f>
        <v/>
      </c>
      <c r="AU264" s="23">
        <f>IF(AS264="",0,0.4)</f>
        <v/>
      </c>
      <c r="AV264">
        <f>IF(AR264="WAIT","WAIT",IF(AP264="YES","BULL",IF(AQ264="YES","BEAR","WAIT")))</f>
        <v/>
      </c>
      <c r="AW264">
        <f>IF(AR264="WAIT","Low",IF(OR(AND(AV264="BULL",ABS(SUM(N(X264),N(Y264),N(Z264)))&gt;=0.15),AND(AV264="BEAR",ABS(SUM(N(AA264),N(AB264),N(AC264)))&gt;=0.15)),"Strong",IF(OR(AND(AV264="BULL",ABS(SUM(N(X264),N(Y264),N(Z264)))&gt;=0.05),AND(AV264="BEAR",ABS(SUM(N(AA264),N(AB264),N(AC264)))&gt;=0.05)),"Moderate","Low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13" t="n"/>
      <c r="AF265" s="23">
        <f>IF(OR(AD265="",AD264=""),"",IF(AD264=0,"",(AD265/AD264)-1))</f>
        <v/>
      </c>
      <c r="AG265" s="23">
        <f>IF(ROW()&lt;7,"",IF(OR(AD265="",AD262=""),"",IF(AD262=0,"",(AD265/AD262)-1)))</f>
        <v/>
      </c>
      <c r="AH265" s="23">
        <f>IF(ROW()&lt;9,"",IF(OR(AD265="",AD260=""),"",IF(AD260=0,"",(AD265/AD260)-1)))</f>
        <v/>
      </c>
      <c r="AJ265" s="23">
        <f>IF(OR(AE265="",AE264=""),"",IF(AE264=0,"",(AE265/AE264)-1))</f>
        <v/>
      </c>
      <c r="AK265" s="23">
        <f>IF(ROW()&lt;7,"",IF(OR(AE265="",AE262=""),"",IF(AE262=0,"",(AE265/AE262)-1)))</f>
        <v/>
      </c>
      <c r="AL265" s="23">
        <f>IF(ROW()&lt;9,"",IF(OR(AE265="",AE260=""),"",IF(AE260=0,"",(AE265/AE260)-1)))</f>
        <v/>
      </c>
      <c r="AN265">
        <f>IF(OR(AG265="",AH265=""),"",IF(AND(AG265&gt;0,AH265&gt;0),"Bull",IF(AND(AG265&lt;0,AH265&lt;0),"Bear","Mixed")))</f>
        <v/>
      </c>
      <c r="AO265">
        <f>IF(OR(AK265="",AL265=""),"",IF(AND(AK265&gt;0,AL265&gt;0),"Bull",IF(AND(AK265&lt;0,AL265&lt;0),"Bear","Mixed")))</f>
        <v/>
      </c>
      <c r="AP265">
        <f>IF(OR(AN265="",AO265=""),"",IF(AND(AN265="Bull",AO265="Bull"),"YES","NO"))</f>
        <v/>
      </c>
      <c r="AQ265">
        <f>IF(OR(AN265="",AO265=""),"",IF(AND(AN265="Bear",AO265="Bear"),"YES","NO"))</f>
        <v/>
      </c>
      <c r="AR265">
        <f>IF(AP265="YES",IF(SUM(N(X265),N(Y265),N(Z265))&gt;0,"SOXL","TQQQ"),IF(AQ265="YES",IF(SUM(N(AA265),N(AB265),N(AC265))&gt;0,"SOXS","SQQQ"),"WAIT"))</f>
        <v/>
      </c>
      <c r="AS265">
        <f>IF(AP265="YES",IF(SUM(N(X265),N(Y265),N(Z265))&gt;0,"TQQQ","SOXL"),IF(AQ265="YES",IF(SUM(N(AA265),N(AB265),N(AC265))&gt;0,"SQQQ","SOXS"),""))</f>
        <v/>
      </c>
      <c r="AT265" s="23">
        <f>IF(AR265="WAIT","",IF(AS265="",1,0.6))</f>
        <v/>
      </c>
      <c r="AU265" s="23">
        <f>IF(AS265="",0,0.4)</f>
        <v/>
      </c>
      <c r="AV265">
        <f>IF(AR265="WAIT","WAIT",IF(AP265="YES","BULL",IF(AQ265="YES","BEAR","WAIT")))</f>
        <v/>
      </c>
      <c r="AW265">
        <f>IF(AR265="WAIT","Low",IF(OR(AND(AV265="BULL",ABS(SUM(N(X265),N(Y265),N(Z265)))&gt;=0.15),AND(AV265="BEAR",ABS(SUM(N(AA265),N(AB265),N(AC265)))&gt;=0.15)),"Strong",IF(OR(AND(AV265="BULL",ABS(SUM(N(X265),N(Y265),N(Z265)))&gt;=0.05),AND(AV265="BEAR",ABS(SUM(N(AA265),N(AB265),N(AC265)))&gt;=0.05)),"Moderate","Low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13" t="n"/>
      <c r="AF266" s="23">
        <f>IF(OR(AD266="",AD265=""),"",IF(AD265=0,"",(AD266/AD265)-1))</f>
        <v/>
      </c>
      <c r="AG266" s="23">
        <f>IF(ROW()&lt;7,"",IF(OR(AD266="",AD263=""),"",IF(AD263=0,"",(AD266/AD263)-1)))</f>
        <v/>
      </c>
      <c r="AH266" s="23">
        <f>IF(ROW()&lt;9,"",IF(OR(AD266="",AD261=""),"",IF(AD261=0,"",(AD266/AD261)-1)))</f>
        <v/>
      </c>
      <c r="AJ266" s="23">
        <f>IF(OR(AE266="",AE265=""),"",IF(AE265=0,"",(AE266/AE265)-1))</f>
        <v/>
      </c>
      <c r="AK266" s="23">
        <f>IF(ROW()&lt;7,"",IF(OR(AE266="",AE263=""),"",IF(AE263=0,"",(AE266/AE263)-1)))</f>
        <v/>
      </c>
      <c r="AL266" s="23">
        <f>IF(ROW()&lt;9,"",IF(OR(AE266="",AE261=""),"",IF(AE261=0,"",(AE266/AE261)-1)))</f>
        <v/>
      </c>
      <c r="AN266">
        <f>IF(OR(AG266="",AH266=""),"",IF(AND(AG266&gt;0,AH266&gt;0),"Bull",IF(AND(AG266&lt;0,AH266&lt;0),"Bear","Mixed")))</f>
        <v/>
      </c>
      <c r="AO266">
        <f>IF(OR(AK266="",AL266=""),"",IF(AND(AK266&gt;0,AL266&gt;0),"Bull",IF(AND(AK266&lt;0,AL266&lt;0),"Bear","Mixed")))</f>
        <v/>
      </c>
      <c r="AP266">
        <f>IF(OR(AN266="",AO266=""),"",IF(AND(AN266="Bull",AO266="Bull"),"YES","NO"))</f>
        <v/>
      </c>
      <c r="AQ266">
        <f>IF(OR(AN266="",AO266=""),"",IF(AND(AN266="Bear",AO266="Bear"),"YES","NO"))</f>
        <v/>
      </c>
      <c r="AR266">
        <f>IF(AP266="YES",IF(SUM(N(X266),N(Y266),N(Z266))&gt;0,"SOXL","TQQQ"),IF(AQ266="YES",IF(SUM(N(AA266),N(AB266),N(AC266))&gt;0,"SOXS","SQQQ"),"WAIT"))</f>
        <v/>
      </c>
      <c r="AS266">
        <f>IF(AP266="YES",IF(SUM(N(X266),N(Y266),N(Z266))&gt;0,"TQQQ","SOXL"),IF(AQ266="YES",IF(SUM(N(AA266),N(AB266),N(AC266))&gt;0,"SQQQ","SOXS"),""))</f>
        <v/>
      </c>
      <c r="AT266" s="23">
        <f>IF(AR266="WAIT","",IF(AS266="",1,0.6))</f>
        <v/>
      </c>
      <c r="AU266" s="23">
        <f>IF(AS266="",0,0.4)</f>
        <v/>
      </c>
      <c r="AV266">
        <f>IF(AR266="WAIT","WAIT",IF(AP266="YES","BULL",IF(AQ266="YES","BEAR","WAIT")))</f>
        <v/>
      </c>
      <c r="AW266">
        <f>IF(AR266="WAIT","Low",IF(OR(AND(AV266="BULL",ABS(SUM(N(X266),N(Y266),N(Z266)))&gt;=0.15),AND(AV266="BEAR",ABS(SUM(N(AA266),N(AB266),N(AC266)))&gt;=0.15)),"Strong",IF(OR(AND(AV266="BULL",ABS(SUM(N(X266),N(Y266),N(Z266)))&gt;=0.05),AND(AV266="BEAR",ABS(SUM(N(AA266),N(AB266),N(AC266)))&gt;=0.05)),"Moderate","Low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13" t="n"/>
      <c r="AF267" s="23">
        <f>IF(OR(AD267="",AD266=""),"",IF(AD266=0,"",(AD267/AD266)-1))</f>
        <v/>
      </c>
      <c r="AG267" s="23">
        <f>IF(ROW()&lt;7,"",IF(OR(AD267="",AD264=""),"",IF(AD264=0,"",(AD267/AD264)-1)))</f>
        <v/>
      </c>
      <c r="AH267" s="23">
        <f>IF(ROW()&lt;9,"",IF(OR(AD267="",AD262=""),"",IF(AD262=0,"",(AD267/AD262)-1)))</f>
        <v/>
      </c>
      <c r="AJ267" s="23">
        <f>IF(OR(AE267="",AE266=""),"",IF(AE266=0,"",(AE267/AE266)-1))</f>
        <v/>
      </c>
      <c r="AK267" s="23">
        <f>IF(ROW()&lt;7,"",IF(OR(AE267="",AE264=""),"",IF(AE264=0,"",(AE267/AE264)-1)))</f>
        <v/>
      </c>
      <c r="AL267" s="23">
        <f>IF(ROW()&lt;9,"",IF(OR(AE267="",AE262=""),"",IF(AE262=0,"",(AE267/AE262)-1)))</f>
        <v/>
      </c>
      <c r="AN267">
        <f>IF(OR(AG267="",AH267=""),"",IF(AND(AG267&gt;0,AH267&gt;0),"Bull",IF(AND(AG267&lt;0,AH267&lt;0),"Bear","Mixed")))</f>
        <v/>
      </c>
      <c r="AO267">
        <f>IF(OR(AK267="",AL267=""),"",IF(AND(AK267&gt;0,AL267&gt;0),"Bull",IF(AND(AK267&lt;0,AL267&lt;0),"Bear","Mixed")))</f>
        <v/>
      </c>
      <c r="AP267">
        <f>IF(OR(AN267="",AO267=""),"",IF(AND(AN267="Bull",AO267="Bull"),"YES","NO"))</f>
        <v/>
      </c>
      <c r="AQ267">
        <f>IF(OR(AN267="",AO267=""),"",IF(AND(AN267="Bear",AO267="Bear"),"YES","NO"))</f>
        <v/>
      </c>
      <c r="AR267">
        <f>IF(AP267="YES",IF(SUM(N(X267),N(Y267),N(Z267))&gt;0,"SOXL","TQQQ"),IF(AQ267="YES",IF(SUM(N(AA267),N(AB267),N(AC267))&gt;0,"SOXS","SQQQ"),"WAIT"))</f>
        <v/>
      </c>
      <c r="AS267">
        <f>IF(AP267="YES",IF(SUM(N(X267),N(Y267),N(Z267))&gt;0,"TQQQ","SOXL"),IF(AQ267="YES",IF(SUM(N(AA267),N(AB267),N(AC267))&gt;0,"SQQQ","SOXS"),""))</f>
        <v/>
      </c>
      <c r="AT267" s="23">
        <f>IF(AR267="WAIT","",IF(AS267="",1,0.6))</f>
        <v/>
      </c>
      <c r="AU267" s="23">
        <f>IF(AS267="",0,0.4)</f>
        <v/>
      </c>
      <c r="AV267">
        <f>IF(AR267="WAIT","WAIT",IF(AP267="YES","BULL",IF(AQ267="YES","BEAR","WAIT")))</f>
        <v/>
      </c>
      <c r="AW267">
        <f>IF(AR267="WAIT","Low",IF(OR(AND(AV267="BULL",ABS(SUM(N(X267),N(Y267),N(Z267)))&gt;=0.15),AND(AV267="BEAR",ABS(SUM(N(AA267),N(AB267),N(AC267)))&gt;=0.15)),"Strong",IF(OR(AND(AV267="BULL",ABS(SUM(N(X267),N(Y267),N(Z267)))&gt;=0.05),AND(AV267="BEAR",ABS(SUM(N(AA267),N(AB267),N(AC267)))&gt;=0.05)),"Moderate","Low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13" t="n"/>
      <c r="AF268" s="23">
        <f>IF(OR(AD268="",AD267=""),"",IF(AD267=0,"",(AD268/AD267)-1))</f>
        <v/>
      </c>
      <c r="AG268" s="23">
        <f>IF(ROW()&lt;7,"",IF(OR(AD268="",AD265=""),"",IF(AD265=0,"",(AD268/AD265)-1)))</f>
        <v/>
      </c>
      <c r="AH268" s="23">
        <f>IF(ROW()&lt;9,"",IF(OR(AD268="",AD263=""),"",IF(AD263=0,"",(AD268/AD263)-1)))</f>
        <v/>
      </c>
      <c r="AJ268" s="23">
        <f>IF(OR(AE268="",AE267=""),"",IF(AE267=0,"",(AE268/AE267)-1))</f>
        <v/>
      </c>
      <c r="AK268" s="23">
        <f>IF(ROW()&lt;7,"",IF(OR(AE268="",AE265=""),"",IF(AE265=0,"",(AE268/AE265)-1)))</f>
        <v/>
      </c>
      <c r="AL268" s="23">
        <f>IF(ROW()&lt;9,"",IF(OR(AE268="",AE263=""),"",IF(AE263=0,"",(AE268/AE263)-1)))</f>
        <v/>
      </c>
      <c r="AN268">
        <f>IF(OR(AG268="",AH268=""),"",IF(AND(AG268&gt;0,AH268&gt;0),"Bull",IF(AND(AG268&lt;0,AH268&lt;0),"Bear","Mixed")))</f>
        <v/>
      </c>
      <c r="AO268">
        <f>IF(OR(AK268="",AL268=""),"",IF(AND(AK268&gt;0,AL268&gt;0),"Bull",IF(AND(AK268&lt;0,AL268&lt;0),"Bear","Mixed")))</f>
        <v/>
      </c>
      <c r="AP268">
        <f>IF(OR(AN268="",AO268=""),"",IF(AND(AN268="Bull",AO268="Bull"),"YES","NO"))</f>
        <v/>
      </c>
      <c r="AQ268">
        <f>IF(OR(AN268="",AO268=""),"",IF(AND(AN268="Bear",AO268="Bear"),"YES","NO"))</f>
        <v/>
      </c>
      <c r="AR268">
        <f>IF(AP268="YES",IF(SUM(N(X268),N(Y268),N(Z268))&gt;0,"SOXL","TQQQ"),IF(AQ268="YES",IF(SUM(N(AA268),N(AB268),N(AC268))&gt;0,"SOXS","SQQQ"),"WAIT"))</f>
        <v/>
      </c>
      <c r="AS268">
        <f>IF(AP268="YES",IF(SUM(N(X268),N(Y268),N(Z268))&gt;0,"TQQQ","SOXL"),IF(AQ268="YES",IF(SUM(N(AA268),N(AB268),N(AC268))&gt;0,"SQQQ","SOXS"),""))</f>
        <v/>
      </c>
      <c r="AT268" s="23">
        <f>IF(AR268="WAIT","",IF(AS268="",1,0.6))</f>
        <v/>
      </c>
      <c r="AU268" s="23">
        <f>IF(AS268="",0,0.4)</f>
        <v/>
      </c>
      <c r="AV268">
        <f>IF(AR268="WAIT","WAIT",IF(AP268="YES","BULL",IF(AQ268="YES","BEAR","WAIT")))</f>
        <v/>
      </c>
      <c r="AW268">
        <f>IF(AR268="WAIT","Low",IF(OR(AND(AV268="BULL",ABS(SUM(N(X268),N(Y268),N(Z268)))&gt;=0.15),AND(AV268="BEAR",ABS(SUM(N(AA268),N(AB268),N(AC268)))&gt;=0.15)),"Strong",IF(OR(AND(AV268="BULL",ABS(SUM(N(X268),N(Y268),N(Z268)))&gt;=0.05),AND(AV268="BEAR",ABS(SUM(N(AA268),N(AB268),N(AC268)))&gt;=0.05)),"Moderate","Low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13" t="n"/>
      <c r="AF269" s="23">
        <f>IF(OR(AD269="",AD268=""),"",IF(AD268=0,"",(AD269/AD268)-1))</f>
        <v/>
      </c>
      <c r="AG269" s="23">
        <f>IF(ROW()&lt;7,"",IF(OR(AD269="",AD266=""),"",IF(AD266=0,"",(AD269/AD266)-1)))</f>
        <v/>
      </c>
      <c r="AH269" s="23">
        <f>IF(ROW()&lt;9,"",IF(OR(AD269="",AD264=""),"",IF(AD264=0,"",(AD269/AD264)-1)))</f>
        <v/>
      </c>
      <c r="AJ269" s="23">
        <f>IF(OR(AE269="",AE268=""),"",IF(AE268=0,"",(AE269/AE268)-1))</f>
        <v/>
      </c>
      <c r="AK269" s="23">
        <f>IF(ROW()&lt;7,"",IF(OR(AE269="",AE266=""),"",IF(AE266=0,"",(AE269/AE266)-1)))</f>
        <v/>
      </c>
      <c r="AL269" s="23">
        <f>IF(ROW()&lt;9,"",IF(OR(AE269="",AE264=""),"",IF(AE264=0,"",(AE269/AE264)-1)))</f>
        <v/>
      </c>
      <c r="AN269">
        <f>IF(OR(AG269="",AH269=""),"",IF(AND(AG269&gt;0,AH269&gt;0),"Bull",IF(AND(AG269&lt;0,AH269&lt;0),"Bear","Mixed")))</f>
        <v/>
      </c>
      <c r="AO269">
        <f>IF(OR(AK269="",AL269=""),"",IF(AND(AK269&gt;0,AL269&gt;0),"Bull",IF(AND(AK269&lt;0,AL269&lt;0),"Bear","Mixed")))</f>
        <v/>
      </c>
      <c r="AP269">
        <f>IF(OR(AN269="",AO269=""),"",IF(AND(AN269="Bull",AO269="Bull"),"YES","NO"))</f>
        <v/>
      </c>
      <c r="AQ269">
        <f>IF(OR(AN269="",AO269=""),"",IF(AND(AN269="Bear",AO269="Bear"),"YES","NO"))</f>
        <v/>
      </c>
      <c r="AR269">
        <f>IF(AP269="YES",IF(SUM(N(X269),N(Y269),N(Z269))&gt;0,"SOXL","TQQQ"),IF(AQ269="YES",IF(SUM(N(AA269),N(AB269),N(AC269))&gt;0,"SOXS","SQQQ"),"WAIT"))</f>
        <v/>
      </c>
      <c r="AS269">
        <f>IF(AP269="YES",IF(SUM(N(X269),N(Y269),N(Z269))&gt;0,"TQQQ","SOXL"),IF(AQ269="YES",IF(SUM(N(AA269),N(AB269),N(AC269))&gt;0,"SQQQ","SOXS"),""))</f>
        <v/>
      </c>
      <c r="AT269" s="23">
        <f>IF(AR269="WAIT","",IF(AS269="",1,0.6))</f>
        <v/>
      </c>
      <c r="AU269" s="23">
        <f>IF(AS269="",0,0.4)</f>
        <v/>
      </c>
      <c r="AV269">
        <f>IF(AR269="WAIT","WAIT",IF(AP269="YES","BULL",IF(AQ269="YES","BEAR","WAIT")))</f>
        <v/>
      </c>
      <c r="AW269">
        <f>IF(AR269="WAIT","Low",IF(OR(AND(AV269="BULL",ABS(SUM(N(X269),N(Y269),N(Z269)))&gt;=0.15),AND(AV269="BEAR",ABS(SUM(N(AA269),N(AB269),N(AC269)))&gt;=0.15)),"Strong",IF(OR(AND(AV269="BULL",ABS(SUM(N(X269),N(Y269),N(Z269)))&gt;=0.05),AND(AV269="BEAR",ABS(SUM(N(AA269),N(AB269),N(AC269)))&gt;=0.05)),"Moderate","Low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13" t="n"/>
      <c r="AF270" s="23">
        <f>IF(OR(AD270="",AD269=""),"",IF(AD269=0,"",(AD270/AD269)-1))</f>
        <v/>
      </c>
      <c r="AG270" s="23">
        <f>IF(ROW()&lt;7,"",IF(OR(AD270="",AD267=""),"",IF(AD267=0,"",(AD270/AD267)-1)))</f>
        <v/>
      </c>
      <c r="AH270" s="23">
        <f>IF(ROW()&lt;9,"",IF(OR(AD270="",AD265=""),"",IF(AD265=0,"",(AD270/AD265)-1)))</f>
        <v/>
      </c>
      <c r="AJ270" s="23">
        <f>IF(OR(AE270="",AE269=""),"",IF(AE269=0,"",(AE270/AE269)-1))</f>
        <v/>
      </c>
      <c r="AK270" s="23">
        <f>IF(ROW()&lt;7,"",IF(OR(AE270="",AE267=""),"",IF(AE267=0,"",(AE270/AE267)-1)))</f>
        <v/>
      </c>
      <c r="AL270" s="23">
        <f>IF(ROW()&lt;9,"",IF(OR(AE270="",AE265=""),"",IF(AE265=0,"",(AE270/AE265)-1)))</f>
        <v/>
      </c>
      <c r="AN270">
        <f>IF(OR(AG270="",AH270=""),"",IF(AND(AG270&gt;0,AH270&gt;0),"Bull",IF(AND(AG270&lt;0,AH270&lt;0),"Bear","Mixed")))</f>
        <v/>
      </c>
      <c r="AO270">
        <f>IF(OR(AK270="",AL270=""),"",IF(AND(AK270&gt;0,AL270&gt;0),"Bull",IF(AND(AK270&lt;0,AL270&lt;0),"Bear","Mixed")))</f>
        <v/>
      </c>
      <c r="AP270">
        <f>IF(OR(AN270="",AO270=""),"",IF(AND(AN270="Bull",AO270="Bull"),"YES","NO"))</f>
        <v/>
      </c>
      <c r="AQ270">
        <f>IF(OR(AN270="",AO270=""),"",IF(AND(AN270="Bear",AO270="Bear"),"YES","NO"))</f>
        <v/>
      </c>
      <c r="AR270">
        <f>IF(AP270="YES",IF(SUM(N(X270),N(Y270),N(Z270))&gt;0,"SOXL","TQQQ"),IF(AQ270="YES",IF(SUM(N(AA270),N(AB270),N(AC270))&gt;0,"SOXS","SQQQ"),"WAIT"))</f>
        <v/>
      </c>
      <c r="AS270">
        <f>IF(AP270="YES",IF(SUM(N(X270),N(Y270),N(Z270))&gt;0,"TQQQ","SOXL"),IF(AQ270="YES",IF(SUM(N(AA270),N(AB270),N(AC270))&gt;0,"SQQQ","SOXS"),""))</f>
        <v/>
      </c>
      <c r="AT270" s="23">
        <f>IF(AR270="WAIT","",IF(AS270="",1,0.6))</f>
        <v/>
      </c>
      <c r="AU270" s="23">
        <f>IF(AS270="",0,0.4)</f>
        <v/>
      </c>
      <c r="AV270">
        <f>IF(AR270="WAIT","WAIT",IF(AP270="YES","BULL",IF(AQ270="YES","BEAR","WAIT")))</f>
        <v/>
      </c>
      <c r="AW270">
        <f>IF(AR270="WAIT","Low",IF(OR(AND(AV270="BULL",ABS(SUM(N(X270),N(Y270),N(Z270)))&gt;=0.15),AND(AV270="BEAR",ABS(SUM(N(AA270),N(AB270),N(AC270)))&gt;=0.15)),"Strong",IF(OR(AND(AV270="BULL",ABS(SUM(N(X270),N(Y270),N(Z270)))&gt;=0.05),AND(AV270="BEAR",ABS(SUM(N(AA270),N(AB270),N(AC270)))&gt;=0.05)),"Moderate","Low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13" t="n"/>
      <c r="AF271" s="23">
        <f>IF(OR(AD271="",AD270=""),"",IF(AD270=0,"",(AD271/AD270)-1))</f>
        <v/>
      </c>
      <c r="AG271" s="23">
        <f>IF(ROW()&lt;7,"",IF(OR(AD271="",AD268=""),"",IF(AD268=0,"",(AD271/AD268)-1)))</f>
        <v/>
      </c>
      <c r="AH271" s="23">
        <f>IF(ROW()&lt;9,"",IF(OR(AD271="",AD266=""),"",IF(AD266=0,"",(AD271/AD266)-1)))</f>
        <v/>
      </c>
      <c r="AJ271" s="23">
        <f>IF(OR(AE271="",AE270=""),"",IF(AE270=0,"",(AE271/AE270)-1))</f>
        <v/>
      </c>
      <c r="AK271" s="23">
        <f>IF(ROW()&lt;7,"",IF(OR(AE271="",AE268=""),"",IF(AE268=0,"",(AE271/AE268)-1)))</f>
        <v/>
      </c>
      <c r="AL271" s="23">
        <f>IF(ROW()&lt;9,"",IF(OR(AE271="",AE266=""),"",IF(AE266=0,"",(AE271/AE266)-1)))</f>
        <v/>
      </c>
      <c r="AN271">
        <f>IF(OR(AG271="",AH271=""),"",IF(AND(AG271&gt;0,AH271&gt;0),"Bull",IF(AND(AG271&lt;0,AH271&lt;0),"Bear","Mixed")))</f>
        <v/>
      </c>
      <c r="AO271">
        <f>IF(OR(AK271="",AL271=""),"",IF(AND(AK271&gt;0,AL271&gt;0),"Bull",IF(AND(AK271&lt;0,AL271&lt;0),"Bear","Mixed")))</f>
        <v/>
      </c>
      <c r="AP271">
        <f>IF(OR(AN271="",AO271=""),"",IF(AND(AN271="Bull",AO271="Bull"),"YES","NO"))</f>
        <v/>
      </c>
      <c r="AQ271">
        <f>IF(OR(AN271="",AO271=""),"",IF(AND(AN271="Bear",AO271="Bear"),"YES","NO"))</f>
        <v/>
      </c>
      <c r="AR271">
        <f>IF(AP271="YES",IF(SUM(N(X271),N(Y271),N(Z271))&gt;0,"SOXL","TQQQ"),IF(AQ271="YES",IF(SUM(N(AA271),N(AB271),N(AC271))&gt;0,"SOXS","SQQQ"),"WAIT"))</f>
        <v/>
      </c>
      <c r="AS271">
        <f>IF(AP271="YES",IF(SUM(N(X271),N(Y271),N(Z271))&gt;0,"TQQQ","SOXL"),IF(AQ271="YES",IF(SUM(N(AA271),N(AB271),N(AC271))&gt;0,"SQQQ","SOXS"),""))</f>
        <v/>
      </c>
      <c r="AT271" s="23">
        <f>IF(AR271="WAIT","",IF(AS271="",1,0.6))</f>
        <v/>
      </c>
      <c r="AU271" s="23">
        <f>IF(AS271="",0,0.4)</f>
        <v/>
      </c>
      <c r="AV271">
        <f>IF(AR271="WAIT","WAIT",IF(AP271="YES","BULL",IF(AQ271="YES","BEAR","WAIT")))</f>
        <v/>
      </c>
      <c r="AW271">
        <f>IF(AR271="WAIT","Low",IF(OR(AND(AV271="BULL",ABS(SUM(N(X271),N(Y271),N(Z271)))&gt;=0.15),AND(AV271="BEAR",ABS(SUM(N(AA271),N(AB271),N(AC271)))&gt;=0.15)),"Strong",IF(OR(AND(AV271="BULL",ABS(SUM(N(X271),N(Y271),N(Z271)))&gt;=0.05),AND(AV271="BEAR",ABS(SUM(N(AA271),N(AB271),N(AC271)))&gt;=0.05)),"Moderate","Low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13" t="n"/>
      <c r="AF272" s="23">
        <f>IF(OR(AD272="",AD271=""),"",IF(AD271=0,"",(AD272/AD271)-1))</f>
        <v/>
      </c>
      <c r="AG272" s="23">
        <f>IF(ROW()&lt;7,"",IF(OR(AD272="",AD269=""),"",IF(AD269=0,"",(AD272/AD269)-1)))</f>
        <v/>
      </c>
      <c r="AH272" s="23">
        <f>IF(ROW()&lt;9,"",IF(OR(AD272="",AD267=""),"",IF(AD267=0,"",(AD272/AD267)-1)))</f>
        <v/>
      </c>
      <c r="AJ272" s="23">
        <f>IF(OR(AE272="",AE271=""),"",IF(AE271=0,"",(AE272/AE271)-1))</f>
        <v/>
      </c>
      <c r="AK272" s="23">
        <f>IF(ROW()&lt;7,"",IF(OR(AE272="",AE269=""),"",IF(AE269=0,"",(AE272/AE269)-1)))</f>
        <v/>
      </c>
      <c r="AL272" s="23">
        <f>IF(ROW()&lt;9,"",IF(OR(AE272="",AE267=""),"",IF(AE267=0,"",(AE272/AE267)-1)))</f>
        <v/>
      </c>
      <c r="AN272">
        <f>IF(OR(AG272="",AH272=""),"",IF(AND(AG272&gt;0,AH272&gt;0),"Bull",IF(AND(AG272&lt;0,AH272&lt;0),"Bear","Mixed")))</f>
        <v/>
      </c>
      <c r="AO272">
        <f>IF(OR(AK272="",AL272=""),"",IF(AND(AK272&gt;0,AL272&gt;0),"Bull",IF(AND(AK272&lt;0,AL272&lt;0),"Bear","Mixed")))</f>
        <v/>
      </c>
      <c r="AP272">
        <f>IF(OR(AN272="",AO272=""),"",IF(AND(AN272="Bull",AO272="Bull"),"YES","NO"))</f>
        <v/>
      </c>
      <c r="AQ272">
        <f>IF(OR(AN272="",AO272=""),"",IF(AND(AN272="Bear",AO272="Bear"),"YES","NO"))</f>
        <v/>
      </c>
      <c r="AR272">
        <f>IF(AP272="YES",IF(SUM(N(X272),N(Y272),N(Z272))&gt;0,"SOXL","TQQQ"),IF(AQ272="YES",IF(SUM(N(AA272),N(AB272),N(AC272))&gt;0,"SOXS","SQQQ"),"WAIT"))</f>
        <v/>
      </c>
      <c r="AS272">
        <f>IF(AP272="YES",IF(SUM(N(X272),N(Y272),N(Z272))&gt;0,"TQQQ","SOXL"),IF(AQ272="YES",IF(SUM(N(AA272),N(AB272),N(AC272))&gt;0,"SQQQ","SOXS"),""))</f>
        <v/>
      </c>
      <c r="AT272" s="23">
        <f>IF(AR272="WAIT","",IF(AS272="",1,0.6))</f>
        <v/>
      </c>
      <c r="AU272" s="23">
        <f>IF(AS272="",0,0.4)</f>
        <v/>
      </c>
      <c r="AV272">
        <f>IF(AR272="WAIT","WAIT",IF(AP272="YES","BULL",IF(AQ272="YES","BEAR","WAIT")))</f>
        <v/>
      </c>
      <c r="AW272">
        <f>IF(AR272="WAIT","Low",IF(OR(AND(AV272="BULL",ABS(SUM(N(X272),N(Y272),N(Z272)))&gt;=0.15),AND(AV272="BEAR",ABS(SUM(N(AA272),N(AB272),N(AC272)))&gt;=0.15)),"Strong",IF(OR(AND(AV272="BULL",ABS(SUM(N(X272),N(Y272),N(Z272)))&gt;=0.05),AND(AV272="BEAR",ABS(SUM(N(AA272),N(AB272),N(AC272)))&gt;=0.05)),"Moderate","Low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13" t="n"/>
      <c r="AF273" s="23">
        <f>IF(OR(AD273="",AD272=""),"",IF(AD272=0,"",(AD273/AD272)-1))</f>
        <v/>
      </c>
      <c r="AG273" s="23">
        <f>IF(ROW()&lt;7,"",IF(OR(AD273="",AD270=""),"",IF(AD270=0,"",(AD273/AD270)-1)))</f>
        <v/>
      </c>
      <c r="AH273" s="23">
        <f>IF(ROW()&lt;9,"",IF(OR(AD273="",AD268=""),"",IF(AD268=0,"",(AD273/AD268)-1)))</f>
        <v/>
      </c>
      <c r="AJ273" s="23">
        <f>IF(OR(AE273="",AE272=""),"",IF(AE272=0,"",(AE273/AE272)-1))</f>
        <v/>
      </c>
      <c r="AK273" s="23">
        <f>IF(ROW()&lt;7,"",IF(OR(AE273="",AE270=""),"",IF(AE270=0,"",(AE273/AE270)-1)))</f>
        <v/>
      </c>
      <c r="AL273" s="23">
        <f>IF(ROW()&lt;9,"",IF(OR(AE273="",AE268=""),"",IF(AE268=0,"",(AE273/AE268)-1)))</f>
        <v/>
      </c>
      <c r="AN273">
        <f>IF(OR(AG273="",AH273=""),"",IF(AND(AG273&gt;0,AH273&gt;0),"Bull",IF(AND(AG273&lt;0,AH273&lt;0),"Bear","Mixed")))</f>
        <v/>
      </c>
      <c r="AO273">
        <f>IF(OR(AK273="",AL273=""),"",IF(AND(AK273&gt;0,AL273&gt;0),"Bull",IF(AND(AK273&lt;0,AL273&lt;0),"Bear","Mixed")))</f>
        <v/>
      </c>
      <c r="AP273">
        <f>IF(OR(AN273="",AO273=""),"",IF(AND(AN273="Bull",AO273="Bull"),"YES","NO"))</f>
        <v/>
      </c>
      <c r="AQ273">
        <f>IF(OR(AN273="",AO273=""),"",IF(AND(AN273="Bear",AO273="Bear"),"YES","NO"))</f>
        <v/>
      </c>
      <c r="AR273">
        <f>IF(AP273="YES",IF(SUM(N(X273),N(Y273),N(Z273))&gt;0,"SOXL","TQQQ"),IF(AQ273="YES",IF(SUM(N(AA273),N(AB273),N(AC273))&gt;0,"SOXS","SQQQ"),"WAIT"))</f>
        <v/>
      </c>
      <c r="AS273">
        <f>IF(AP273="YES",IF(SUM(N(X273),N(Y273),N(Z273))&gt;0,"TQQQ","SOXL"),IF(AQ273="YES",IF(SUM(N(AA273),N(AB273),N(AC273))&gt;0,"SQQQ","SOXS"),""))</f>
        <v/>
      </c>
      <c r="AT273" s="23">
        <f>IF(AR273="WAIT","",IF(AS273="",1,0.6))</f>
        <v/>
      </c>
      <c r="AU273" s="23">
        <f>IF(AS273="",0,0.4)</f>
        <v/>
      </c>
      <c r="AV273">
        <f>IF(AR273="WAIT","WAIT",IF(AP273="YES","BULL",IF(AQ273="YES","BEAR","WAIT")))</f>
        <v/>
      </c>
      <c r="AW273">
        <f>IF(AR273="WAIT","Low",IF(OR(AND(AV273="BULL",ABS(SUM(N(X273),N(Y273),N(Z273)))&gt;=0.15),AND(AV273="BEAR",ABS(SUM(N(AA273),N(AB273),N(AC273)))&gt;=0.15)),"Strong",IF(OR(AND(AV273="BULL",ABS(SUM(N(X273),N(Y273),N(Z273)))&gt;=0.05),AND(AV273="BEAR",ABS(SUM(N(AA273),N(AB273),N(AC273)))&gt;=0.05)),"Moderate","Low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13" t="n"/>
      <c r="AF274" s="23">
        <f>IF(OR(AD274="",AD273=""),"",IF(AD273=0,"",(AD274/AD273)-1))</f>
        <v/>
      </c>
      <c r="AG274" s="23">
        <f>IF(ROW()&lt;7,"",IF(OR(AD274="",AD271=""),"",IF(AD271=0,"",(AD274/AD271)-1)))</f>
        <v/>
      </c>
      <c r="AH274" s="23">
        <f>IF(ROW()&lt;9,"",IF(OR(AD274="",AD269=""),"",IF(AD269=0,"",(AD274/AD269)-1)))</f>
        <v/>
      </c>
      <c r="AJ274" s="23">
        <f>IF(OR(AE274="",AE273=""),"",IF(AE273=0,"",(AE274/AE273)-1))</f>
        <v/>
      </c>
      <c r="AK274" s="23">
        <f>IF(ROW()&lt;7,"",IF(OR(AE274="",AE271=""),"",IF(AE271=0,"",(AE274/AE271)-1)))</f>
        <v/>
      </c>
      <c r="AL274" s="23">
        <f>IF(ROW()&lt;9,"",IF(OR(AE274="",AE269=""),"",IF(AE269=0,"",(AE274/AE269)-1)))</f>
        <v/>
      </c>
      <c r="AN274">
        <f>IF(OR(AG274="",AH274=""),"",IF(AND(AG274&gt;0,AH274&gt;0),"Bull",IF(AND(AG274&lt;0,AH274&lt;0),"Bear","Mixed")))</f>
        <v/>
      </c>
      <c r="AO274">
        <f>IF(OR(AK274="",AL274=""),"",IF(AND(AK274&gt;0,AL274&gt;0),"Bull",IF(AND(AK274&lt;0,AL274&lt;0),"Bear","Mixed")))</f>
        <v/>
      </c>
      <c r="AP274">
        <f>IF(OR(AN274="",AO274=""),"",IF(AND(AN274="Bull",AO274="Bull"),"YES","NO"))</f>
        <v/>
      </c>
      <c r="AQ274">
        <f>IF(OR(AN274="",AO274=""),"",IF(AND(AN274="Bear",AO274="Bear"),"YES","NO"))</f>
        <v/>
      </c>
      <c r="AR274">
        <f>IF(AP274="YES",IF(SUM(N(X274),N(Y274),N(Z274))&gt;0,"SOXL","TQQQ"),IF(AQ274="YES",IF(SUM(N(AA274),N(AB274),N(AC274))&gt;0,"SOXS","SQQQ"),"WAIT"))</f>
        <v/>
      </c>
      <c r="AS274">
        <f>IF(AP274="YES",IF(SUM(N(X274),N(Y274),N(Z274))&gt;0,"TQQQ","SOXL"),IF(AQ274="YES",IF(SUM(N(AA274),N(AB274),N(AC274))&gt;0,"SQQQ","SOXS"),""))</f>
        <v/>
      </c>
      <c r="AT274" s="23">
        <f>IF(AR274="WAIT","",IF(AS274="",1,0.6))</f>
        <v/>
      </c>
      <c r="AU274" s="23">
        <f>IF(AS274="",0,0.4)</f>
        <v/>
      </c>
      <c r="AV274">
        <f>IF(AR274="WAIT","WAIT",IF(AP274="YES","BULL",IF(AQ274="YES","BEAR","WAIT")))</f>
        <v/>
      </c>
      <c r="AW274">
        <f>IF(AR274="WAIT","Low",IF(OR(AND(AV274="BULL",ABS(SUM(N(X274),N(Y274),N(Z274)))&gt;=0.15),AND(AV274="BEAR",ABS(SUM(N(AA274),N(AB274),N(AC274)))&gt;=0.15)),"Strong",IF(OR(AND(AV274="BULL",ABS(SUM(N(X274),N(Y274),N(Z274)))&gt;=0.05),AND(AV274="BEAR",ABS(SUM(N(AA274),N(AB274),N(AC274)))&gt;=0.05)),"Moderate","Low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13" t="n"/>
      <c r="AF275" s="23">
        <f>IF(OR(AD275="",AD274=""),"",IF(AD274=0,"",(AD275/AD274)-1))</f>
        <v/>
      </c>
      <c r="AG275" s="23">
        <f>IF(ROW()&lt;7,"",IF(OR(AD275="",AD272=""),"",IF(AD272=0,"",(AD275/AD272)-1)))</f>
        <v/>
      </c>
      <c r="AH275" s="23">
        <f>IF(ROW()&lt;9,"",IF(OR(AD275="",AD270=""),"",IF(AD270=0,"",(AD275/AD270)-1)))</f>
        <v/>
      </c>
      <c r="AJ275" s="23">
        <f>IF(OR(AE275="",AE274=""),"",IF(AE274=0,"",(AE275/AE274)-1))</f>
        <v/>
      </c>
      <c r="AK275" s="23">
        <f>IF(ROW()&lt;7,"",IF(OR(AE275="",AE272=""),"",IF(AE272=0,"",(AE275/AE272)-1)))</f>
        <v/>
      </c>
      <c r="AL275" s="23">
        <f>IF(ROW()&lt;9,"",IF(OR(AE275="",AE270=""),"",IF(AE270=0,"",(AE275/AE270)-1)))</f>
        <v/>
      </c>
      <c r="AN275">
        <f>IF(OR(AG275="",AH275=""),"",IF(AND(AG275&gt;0,AH275&gt;0),"Bull",IF(AND(AG275&lt;0,AH275&lt;0),"Bear","Mixed")))</f>
        <v/>
      </c>
      <c r="AO275">
        <f>IF(OR(AK275="",AL275=""),"",IF(AND(AK275&gt;0,AL275&gt;0),"Bull",IF(AND(AK275&lt;0,AL275&lt;0),"Bear","Mixed")))</f>
        <v/>
      </c>
      <c r="AP275">
        <f>IF(OR(AN275="",AO275=""),"",IF(AND(AN275="Bull",AO275="Bull"),"YES","NO"))</f>
        <v/>
      </c>
      <c r="AQ275">
        <f>IF(OR(AN275="",AO275=""),"",IF(AND(AN275="Bear",AO275="Bear"),"YES","NO"))</f>
        <v/>
      </c>
      <c r="AR275">
        <f>IF(AP275="YES",IF(SUM(N(X275),N(Y275),N(Z275))&gt;0,"SOXL","TQQQ"),IF(AQ275="YES",IF(SUM(N(AA275),N(AB275),N(AC275))&gt;0,"SOXS","SQQQ"),"WAIT"))</f>
        <v/>
      </c>
      <c r="AS275">
        <f>IF(AP275="YES",IF(SUM(N(X275),N(Y275),N(Z275))&gt;0,"TQQQ","SOXL"),IF(AQ275="YES",IF(SUM(N(AA275),N(AB275),N(AC275))&gt;0,"SQQQ","SOXS"),""))</f>
        <v/>
      </c>
      <c r="AT275" s="23">
        <f>IF(AR275="WAIT","",IF(AS275="",1,0.6))</f>
        <v/>
      </c>
      <c r="AU275" s="23">
        <f>IF(AS275="",0,0.4)</f>
        <v/>
      </c>
      <c r="AV275">
        <f>IF(AR275="WAIT","WAIT",IF(AP275="YES","BULL",IF(AQ275="YES","BEAR","WAIT")))</f>
        <v/>
      </c>
      <c r="AW275">
        <f>IF(AR275="WAIT","Low",IF(OR(AND(AV275="BULL",ABS(SUM(N(X275),N(Y275),N(Z275)))&gt;=0.15),AND(AV275="BEAR",ABS(SUM(N(AA275),N(AB275),N(AC275)))&gt;=0.15)),"Strong",IF(OR(AND(AV275="BULL",ABS(SUM(N(X275),N(Y275),N(Z275)))&gt;=0.05),AND(AV275="BEAR",ABS(SUM(N(AA275),N(AB275),N(AC275)))&gt;=0.05)),"Moderate","Low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13" t="n"/>
      <c r="AF276" s="23">
        <f>IF(OR(AD276="",AD275=""),"",IF(AD275=0,"",(AD276/AD275)-1))</f>
        <v/>
      </c>
      <c r="AG276" s="23">
        <f>IF(ROW()&lt;7,"",IF(OR(AD276="",AD273=""),"",IF(AD273=0,"",(AD276/AD273)-1)))</f>
        <v/>
      </c>
      <c r="AH276" s="23">
        <f>IF(ROW()&lt;9,"",IF(OR(AD276="",AD271=""),"",IF(AD271=0,"",(AD276/AD271)-1)))</f>
        <v/>
      </c>
      <c r="AJ276" s="23">
        <f>IF(OR(AE276="",AE275=""),"",IF(AE275=0,"",(AE276/AE275)-1))</f>
        <v/>
      </c>
      <c r="AK276" s="23">
        <f>IF(ROW()&lt;7,"",IF(OR(AE276="",AE273=""),"",IF(AE273=0,"",(AE276/AE273)-1)))</f>
        <v/>
      </c>
      <c r="AL276" s="23">
        <f>IF(ROW()&lt;9,"",IF(OR(AE276="",AE271=""),"",IF(AE271=0,"",(AE276/AE271)-1)))</f>
        <v/>
      </c>
      <c r="AN276">
        <f>IF(OR(AG276="",AH276=""),"",IF(AND(AG276&gt;0,AH276&gt;0),"Bull",IF(AND(AG276&lt;0,AH276&lt;0),"Bear","Mixed")))</f>
        <v/>
      </c>
      <c r="AO276">
        <f>IF(OR(AK276="",AL276=""),"",IF(AND(AK276&gt;0,AL276&gt;0),"Bull",IF(AND(AK276&lt;0,AL276&lt;0),"Bear","Mixed")))</f>
        <v/>
      </c>
      <c r="AP276">
        <f>IF(OR(AN276="",AO276=""),"",IF(AND(AN276="Bull",AO276="Bull"),"YES","NO"))</f>
        <v/>
      </c>
      <c r="AQ276">
        <f>IF(OR(AN276="",AO276=""),"",IF(AND(AN276="Bear",AO276="Bear"),"YES","NO"))</f>
        <v/>
      </c>
      <c r="AR276">
        <f>IF(AP276="YES",IF(SUM(N(X276),N(Y276),N(Z276))&gt;0,"SOXL","TQQQ"),IF(AQ276="YES",IF(SUM(N(AA276),N(AB276),N(AC276))&gt;0,"SOXS","SQQQ"),"WAIT"))</f>
        <v/>
      </c>
      <c r="AS276">
        <f>IF(AP276="YES",IF(SUM(N(X276),N(Y276),N(Z276))&gt;0,"TQQQ","SOXL"),IF(AQ276="YES",IF(SUM(N(AA276),N(AB276),N(AC276))&gt;0,"SQQQ","SOXS"),""))</f>
        <v/>
      </c>
      <c r="AT276" s="23">
        <f>IF(AR276="WAIT","",IF(AS276="",1,0.6))</f>
        <v/>
      </c>
      <c r="AU276" s="23">
        <f>IF(AS276="",0,0.4)</f>
        <v/>
      </c>
      <c r="AV276">
        <f>IF(AR276="WAIT","WAIT",IF(AP276="YES","BULL",IF(AQ276="YES","BEAR","WAIT")))</f>
        <v/>
      </c>
      <c r="AW276">
        <f>IF(AR276="WAIT","Low",IF(OR(AND(AV276="BULL",ABS(SUM(N(X276),N(Y276),N(Z276)))&gt;=0.15),AND(AV276="BEAR",ABS(SUM(N(AA276),N(AB276),N(AC276)))&gt;=0.15)),"Strong",IF(OR(AND(AV276="BULL",ABS(SUM(N(X276),N(Y276),N(Z276)))&gt;=0.05),AND(AV276="BEAR",ABS(SUM(N(AA276),N(AB276),N(AC276)))&gt;=0.05)),"Moderate","Low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13" t="n"/>
      <c r="AF277" s="23">
        <f>IF(OR(AD277="",AD276=""),"",IF(AD276=0,"",(AD277/AD276)-1))</f>
        <v/>
      </c>
      <c r="AG277" s="23">
        <f>IF(ROW()&lt;7,"",IF(OR(AD277="",AD274=""),"",IF(AD274=0,"",(AD277/AD274)-1)))</f>
        <v/>
      </c>
      <c r="AH277" s="23">
        <f>IF(ROW()&lt;9,"",IF(OR(AD277="",AD272=""),"",IF(AD272=0,"",(AD277/AD272)-1)))</f>
        <v/>
      </c>
      <c r="AJ277" s="23">
        <f>IF(OR(AE277="",AE276=""),"",IF(AE276=0,"",(AE277/AE276)-1))</f>
        <v/>
      </c>
      <c r="AK277" s="23">
        <f>IF(ROW()&lt;7,"",IF(OR(AE277="",AE274=""),"",IF(AE274=0,"",(AE277/AE274)-1)))</f>
        <v/>
      </c>
      <c r="AL277" s="23">
        <f>IF(ROW()&lt;9,"",IF(OR(AE277="",AE272=""),"",IF(AE272=0,"",(AE277/AE272)-1)))</f>
        <v/>
      </c>
      <c r="AN277">
        <f>IF(OR(AG277="",AH277=""),"",IF(AND(AG277&gt;0,AH277&gt;0),"Bull",IF(AND(AG277&lt;0,AH277&lt;0),"Bear","Mixed")))</f>
        <v/>
      </c>
      <c r="AO277">
        <f>IF(OR(AK277="",AL277=""),"",IF(AND(AK277&gt;0,AL277&gt;0),"Bull",IF(AND(AK277&lt;0,AL277&lt;0),"Bear","Mixed")))</f>
        <v/>
      </c>
      <c r="AP277">
        <f>IF(OR(AN277="",AO277=""),"",IF(AND(AN277="Bull",AO277="Bull"),"YES","NO"))</f>
        <v/>
      </c>
      <c r="AQ277">
        <f>IF(OR(AN277="",AO277=""),"",IF(AND(AN277="Bear",AO277="Bear"),"YES","NO"))</f>
        <v/>
      </c>
      <c r="AR277">
        <f>IF(AP277="YES",IF(SUM(N(X277),N(Y277),N(Z277))&gt;0,"SOXL","TQQQ"),IF(AQ277="YES",IF(SUM(N(AA277),N(AB277),N(AC277))&gt;0,"SOXS","SQQQ"),"WAIT"))</f>
        <v/>
      </c>
      <c r="AS277">
        <f>IF(AP277="YES",IF(SUM(N(X277),N(Y277),N(Z277))&gt;0,"TQQQ","SOXL"),IF(AQ277="YES",IF(SUM(N(AA277),N(AB277),N(AC277))&gt;0,"SQQQ","SOXS"),""))</f>
        <v/>
      </c>
      <c r="AT277" s="23">
        <f>IF(AR277="WAIT","",IF(AS277="",1,0.6))</f>
        <v/>
      </c>
      <c r="AU277" s="23">
        <f>IF(AS277="",0,0.4)</f>
        <v/>
      </c>
      <c r="AV277">
        <f>IF(AR277="WAIT","WAIT",IF(AP277="YES","BULL",IF(AQ277="YES","BEAR","WAIT")))</f>
        <v/>
      </c>
      <c r="AW277">
        <f>IF(AR277="WAIT","Low",IF(OR(AND(AV277="BULL",ABS(SUM(N(X277),N(Y277),N(Z277)))&gt;=0.15),AND(AV277="BEAR",ABS(SUM(N(AA277),N(AB277),N(AC277)))&gt;=0.15)),"Strong",IF(OR(AND(AV277="BULL",ABS(SUM(N(X277),N(Y277),N(Z277)))&gt;=0.05),AND(AV277="BEAR",ABS(SUM(N(AA277),N(AB277),N(AC277)))&gt;=0.05)),"Moderate","Low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13" t="n"/>
      <c r="AF278" s="23">
        <f>IF(OR(AD278="",AD277=""),"",IF(AD277=0,"",(AD278/AD277)-1))</f>
        <v/>
      </c>
      <c r="AG278" s="23">
        <f>IF(ROW()&lt;7,"",IF(OR(AD278="",AD275=""),"",IF(AD275=0,"",(AD278/AD275)-1)))</f>
        <v/>
      </c>
      <c r="AH278" s="23">
        <f>IF(ROW()&lt;9,"",IF(OR(AD278="",AD273=""),"",IF(AD273=0,"",(AD278/AD273)-1)))</f>
        <v/>
      </c>
      <c r="AJ278" s="23">
        <f>IF(OR(AE278="",AE277=""),"",IF(AE277=0,"",(AE278/AE277)-1))</f>
        <v/>
      </c>
      <c r="AK278" s="23">
        <f>IF(ROW()&lt;7,"",IF(OR(AE278="",AE275=""),"",IF(AE275=0,"",(AE278/AE275)-1)))</f>
        <v/>
      </c>
      <c r="AL278" s="23">
        <f>IF(ROW()&lt;9,"",IF(OR(AE278="",AE273=""),"",IF(AE273=0,"",(AE278/AE273)-1)))</f>
        <v/>
      </c>
      <c r="AN278">
        <f>IF(OR(AG278="",AH278=""),"",IF(AND(AG278&gt;0,AH278&gt;0),"Bull",IF(AND(AG278&lt;0,AH278&lt;0),"Bear","Mixed")))</f>
        <v/>
      </c>
      <c r="AO278">
        <f>IF(OR(AK278="",AL278=""),"",IF(AND(AK278&gt;0,AL278&gt;0),"Bull",IF(AND(AK278&lt;0,AL278&lt;0),"Bear","Mixed")))</f>
        <v/>
      </c>
      <c r="AP278">
        <f>IF(OR(AN278="",AO278=""),"",IF(AND(AN278="Bull",AO278="Bull"),"YES","NO"))</f>
        <v/>
      </c>
      <c r="AQ278">
        <f>IF(OR(AN278="",AO278=""),"",IF(AND(AN278="Bear",AO278="Bear"),"YES","NO"))</f>
        <v/>
      </c>
      <c r="AR278">
        <f>IF(AP278="YES",IF(SUM(N(X278),N(Y278),N(Z278))&gt;0,"SOXL","TQQQ"),IF(AQ278="YES",IF(SUM(N(AA278),N(AB278),N(AC278))&gt;0,"SOXS","SQQQ"),"WAIT"))</f>
        <v/>
      </c>
      <c r="AS278">
        <f>IF(AP278="YES",IF(SUM(N(X278),N(Y278),N(Z278))&gt;0,"TQQQ","SOXL"),IF(AQ278="YES",IF(SUM(N(AA278),N(AB278),N(AC278))&gt;0,"SQQQ","SOXS"),""))</f>
        <v/>
      </c>
      <c r="AT278" s="23">
        <f>IF(AR278="WAIT","",IF(AS278="",1,0.6))</f>
        <v/>
      </c>
      <c r="AU278" s="23">
        <f>IF(AS278="",0,0.4)</f>
        <v/>
      </c>
      <c r="AV278">
        <f>IF(AR278="WAIT","WAIT",IF(AP278="YES","BULL",IF(AQ278="YES","BEAR","WAIT")))</f>
        <v/>
      </c>
      <c r="AW278">
        <f>IF(AR278="WAIT","Low",IF(OR(AND(AV278="BULL",ABS(SUM(N(X278),N(Y278),N(Z278)))&gt;=0.15),AND(AV278="BEAR",ABS(SUM(N(AA278),N(AB278),N(AC278)))&gt;=0.15)),"Strong",IF(OR(AND(AV278="BULL",ABS(SUM(N(X278),N(Y278),N(Z278)))&gt;=0.05),AND(AV278="BEAR",ABS(SUM(N(AA278),N(AB278),N(AC278)))&gt;=0.05)),"Moderate","Low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13" t="n"/>
      <c r="AF279" s="23">
        <f>IF(OR(AD279="",AD278=""),"",IF(AD278=0,"",(AD279/AD278)-1))</f>
        <v/>
      </c>
      <c r="AG279" s="23">
        <f>IF(ROW()&lt;7,"",IF(OR(AD279="",AD276=""),"",IF(AD276=0,"",(AD279/AD276)-1)))</f>
        <v/>
      </c>
      <c r="AH279" s="23">
        <f>IF(ROW()&lt;9,"",IF(OR(AD279="",AD274=""),"",IF(AD274=0,"",(AD279/AD274)-1)))</f>
        <v/>
      </c>
      <c r="AJ279" s="23">
        <f>IF(OR(AE279="",AE278=""),"",IF(AE278=0,"",(AE279/AE278)-1))</f>
        <v/>
      </c>
      <c r="AK279" s="23">
        <f>IF(ROW()&lt;7,"",IF(OR(AE279="",AE276=""),"",IF(AE276=0,"",(AE279/AE276)-1)))</f>
        <v/>
      </c>
      <c r="AL279" s="23">
        <f>IF(ROW()&lt;9,"",IF(OR(AE279="",AE274=""),"",IF(AE274=0,"",(AE279/AE274)-1)))</f>
        <v/>
      </c>
      <c r="AN279">
        <f>IF(OR(AG279="",AH279=""),"",IF(AND(AG279&gt;0,AH279&gt;0),"Bull",IF(AND(AG279&lt;0,AH279&lt;0),"Bear","Mixed")))</f>
        <v/>
      </c>
      <c r="AO279">
        <f>IF(OR(AK279="",AL279=""),"",IF(AND(AK279&gt;0,AL279&gt;0),"Bull",IF(AND(AK279&lt;0,AL279&lt;0),"Bear","Mixed")))</f>
        <v/>
      </c>
      <c r="AP279">
        <f>IF(OR(AN279="",AO279=""),"",IF(AND(AN279="Bull",AO279="Bull"),"YES","NO"))</f>
        <v/>
      </c>
      <c r="AQ279">
        <f>IF(OR(AN279="",AO279=""),"",IF(AND(AN279="Bear",AO279="Bear"),"YES","NO"))</f>
        <v/>
      </c>
      <c r="AR279">
        <f>IF(AP279="YES",IF(SUM(N(X279),N(Y279),N(Z279))&gt;0,"SOXL","TQQQ"),IF(AQ279="YES",IF(SUM(N(AA279),N(AB279),N(AC279))&gt;0,"SOXS","SQQQ"),"WAIT"))</f>
        <v/>
      </c>
      <c r="AS279">
        <f>IF(AP279="YES",IF(SUM(N(X279),N(Y279),N(Z279))&gt;0,"TQQQ","SOXL"),IF(AQ279="YES",IF(SUM(N(AA279),N(AB279),N(AC279))&gt;0,"SQQQ","SOXS"),""))</f>
        <v/>
      </c>
      <c r="AT279" s="23">
        <f>IF(AR279="WAIT","",IF(AS279="",1,0.6))</f>
        <v/>
      </c>
      <c r="AU279" s="23">
        <f>IF(AS279="",0,0.4)</f>
        <v/>
      </c>
      <c r="AV279">
        <f>IF(AR279="WAIT","WAIT",IF(AP279="YES","BULL",IF(AQ279="YES","BEAR","WAIT")))</f>
        <v/>
      </c>
      <c r="AW279">
        <f>IF(AR279="WAIT","Low",IF(OR(AND(AV279="BULL",ABS(SUM(N(X279),N(Y279),N(Z279)))&gt;=0.15),AND(AV279="BEAR",ABS(SUM(N(AA279),N(AB279),N(AC279)))&gt;=0.15)),"Strong",IF(OR(AND(AV279="BULL",ABS(SUM(N(X279),N(Y279),N(Z279)))&gt;=0.05),AND(AV279="BEAR",ABS(SUM(N(AA279),N(AB279),N(AC279)))&gt;=0.05)),"Moderate","Low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13" t="n"/>
      <c r="AF280" s="23">
        <f>IF(OR(AD280="",AD279=""),"",IF(AD279=0,"",(AD280/AD279)-1))</f>
        <v/>
      </c>
      <c r="AG280" s="23">
        <f>IF(ROW()&lt;7,"",IF(OR(AD280="",AD277=""),"",IF(AD277=0,"",(AD280/AD277)-1)))</f>
        <v/>
      </c>
      <c r="AH280" s="23">
        <f>IF(ROW()&lt;9,"",IF(OR(AD280="",AD275=""),"",IF(AD275=0,"",(AD280/AD275)-1)))</f>
        <v/>
      </c>
      <c r="AJ280" s="23">
        <f>IF(OR(AE280="",AE279=""),"",IF(AE279=0,"",(AE280/AE279)-1))</f>
        <v/>
      </c>
      <c r="AK280" s="23">
        <f>IF(ROW()&lt;7,"",IF(OR(AE280="",AE277=""),"",IF(AE277=0,"",(AE280/AE277)-1)))</f>
        <v/>
      </c>
      <c r="AL280" s="23">
        <f>IF(ROW()&lt;9,"",IF(OR(AE280="",AE275=""),"",IF(AE275=0,"",(AE280/AE275)-1)))</f>
        <v/>
      </c>
      <c r="AN280">
        <f>IF(OR(AG280="",AH280=""),"",IF(AND(AG280&gt;0,AH280&gt;0),"Bull",IF(AND(AG280&lt;0,AH280&lt;0),"Bear","Mixed")))</f>
        <v/>
      </c>
      <c r="AO280">
        <f>IF(OR(AK280="",AL280=""),"",IF(AND(AK280&gt;0,AL280&gt;0),"Bull",IF(AND(AK280&lt;0,AL280&lt;0),"Bear","Mixed")))</f>
        <v/>
      </c>
      <c r="AP280">
        <f>IF(OR(AN280="",AO280=""),"",IF(AND(AN280="Bull",AO280="Bull"),"YES","NO"))</f>
        <v/>
      </c>
      <c r="AQ280">
        <f>IF(OR(AN280="",AO280=""),"",IF(AND(AN280="Bear",AO280="Bear"),"YES","NO"))</f>
        <v/>
      </c>
      <c r="AR280">
        <f>IF(AP280="YES",IF(SUM(N(X280),N(Y280),N(Z280))&gt;0,"SOXL","TQQQ"),IF(AQ280="YES",IF(SUM(N(AA280),N(AB280),N(AC280))&gt;0,"SOXS","SQQQ"),"WAIT"))</f>
        <v/>
      </c>
      <c r="AS280">
        <f>IF(AP280="YES",IF(SUM(N(X280),N(Y280),N(Z280))&gt;0,"TQQQ","SOXL"),IF(AQ280="YES",IF(SUM(N(AA280),N(AB280),N(AC280))&gt;0,"SQQQ","SOXS"),""))</f>
        <v/>
      </c>
      <c r="AT280" s="23">
        <f>IF(AR280="WAIT","",IF(AS280="",1,0.6))</f>
        <v/>
      </c>
      <c r="AU280" s="23">
        <f>IF(AS280="",0,0.4)</f>
        <v/>
      </c>
      <c r="AV280">
        <f>IF(AR280="WAIT","WAIT",IF(AP280="YES","BULL",IF(AQ280="YES","BEAR","WAIT")))</f>
        <v/>
      </c>
      <c r="AW280">
        <f>IF(AR280="WAIT","Low",IF(OR(AND(AV280="BULL",ABS(SUM(N(X280),N(Y280),N(Z280)))&gt;=0.15),AND(AV280="BEAR",ABS(SUM(N(AA280),N(AB280),N(AC280)))&gt;=0.15)),"Strong",IF(OR(AND(AV280="BULL",ABS(SUM(N(X280),N(Y280),N(Z280)))&gt;=0.05),AND(AV280="BEAR",ABS(SUM(N(AA280),N(AB280),N(AC280)))&gt;=0.05)),"Moderate","Low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13" t="n"/>
      <c r="AF281" s="23">
        <f>IF(OR(AD281="",AD280=""),"",IF(AD280=0,"",(AD281/AD280)-1))</f>
        <v/>
      </c>
      <c r="AG281" s="23">
        <f>IF(ROW()&lt;7,"",IF(OR(AD281="",AD278=""),"",IF(AD278=0,"",(AD281/AD278)-1)))</f>
        <v/>
      </c>
      <c r="AH281" s="23">
        <f>IF(ROW()&lt;9,"",IF(OR(AD281="",AD276=""),"",IF(AD276=0,"",(AD281/AD276)-1)))</f>
        <v/>
      </c>
      <c r="AJ281" s="23">
        <f>IF(OR(AE281="",AE280=""),"",IF(AE280=0,"",(AE281/AE280)-1))</f>
        <v/>
      </c>
      <c r="AK281" s="23">
        <f>IF(ROW()&lt;7,"",IF(OR(AE281="",AE278=""),"",IF(AE278=0,"",(AE281/AE278)-1)))</f>
        <v/>
      </c>
      <c r="AL281" s="23">
        <f>IF(ROW()&lt;9,"",IF(OR(AE281="",AE276=""),"",IF(AE276=0,"",(AE281/AE276)-1)))</f>
        <v/>
      </c>
      <c r="AN281">
        <f>IF(OR(AG281="",AH281=""),"",IF(AND(AG281&gt;0,AH281&gt;0),"Bull",IF(AND(AG281&lt;0,AH281&lt;0),"Bear","Mixed")))</f>
        <v/>
      </c>
      <c r="AO281">
        <f>IF(OR(AK281="",AL281=""),"",IF(AND(AK281&gt;0,AL281&gt;0),"Bull",IF(AND(AK281&lt;0,AL281&lt;0),"Bear","Mixed")))</f>
        <v/>
      </c>
      <c r="AP281">
        <f>IF(OR(AN281="",AO281=""),"",IF(AND(AN281="Bull",AO281="Bull"),"YES","NO"))</f>
        <v/>
      </c>
      <c r="AQ281">
        <f>IF(OR(AN281="",AO281=""),"",IF(AND(AN281="Bear",AO281="Bear"),"YES","NO"))</f>
        <v/>
      </c>
      <c r="AR281">
        <f>IF(AP281="YES",IF(SUM(N(X281),N(Y281),N(Z281))&gt;0,"SOXL","TQQQ"),IF(AQ281="YES",IF(SUM(N(AA281),N(AB281),N(AC281))&gt;0,"SOXS","SQQQ"),"WAIT"))</f>
        <v/>
      </c>
      <c r="AS281">
        <f>IF(AP281="YES",IF(SUM(N(X281),N(Y281),N(Z281))&gt;0,"TQQQ","SOXL"),IF(AQ281="YES",IF(SUM(N(AA281),N(AB281),N(AC281))&gt;0,"SQQQ","SOXS"),""))</f>
        <v/>
      </c>
      <c r="AT281" s="23">
        <f>IF(AR281="WAIT","",IF(AS281="",1,0.6))</f>
        <v/>
      </c>
      <c r="AU281" s="23">
        <f>IF(AS281="",0,0.4)</f>
        <v/>
      </c>
      <c r="AV281">
        <f>IF(AR281="WAIT","WAIT",IF(AP281="YES","BULL",IF(AQ281="YES","BEAR","WAIT")))</f>
        <v/>
      </c>
      <c r="AW281">
        <f>IF(AR281="WAIT","Low",IF(OR(AND(AV281="BULL",ABS(SUM(N(X281),N(Y281),N(Z281)))&gt;=0.15),AND(AV281="BEAR",ABS(SUM(N(AA281),N(AB281),N(AC281)))&gt;=0.15)),"Strong",IF(OR(AND(AV281="BULL",ABS(SUM(N(X281),N(Y281),N(Z281)))&gt;=0.05),AND(AV281="BEAR",ABS(SUM(N(AA281),N(AB281),N(AC281)))&gt;=0.05)),"Moderate","Low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13" t="n"/>
      <c r="AF282" s="23">
        <f>IF(OR(AD282="",AD281=""),"",IF(AD281=0,"",(AD282/AD281)-1))</f>
        <v/>
      </c>
      <c r="AG282" s="23">
        <f>IF(ROW()&lt;7,"",IF(OR(AD282="",AD279=""),"",IF(AD279=0,"",(AD282/AD279)-1)))</f>
        <v/>
      </c>
      <c r="AH282" s="23">
        <f>IF(ROW()&lt;9,"",IF(OR(AD282="",AD277=""),"",IF(AD277=0,"",(AD282/AD277)-1)))</f>
        <v/>
      </c>
      <c r="AJ282" s="23">
        <f>IF(OR(AE282="",AE281=""),"",IF(AE281=0,"",(AE282/AE281)-1))</f>
        <v/>
      </c>
      <c r="AK282" s="23">
        <f>IF(ROW()&lt;7,"",IF(OR(AE282="",AE279=""),"",IF(AE279=0,"",(AE282/AE279)-1)))</f>
        <v/>
      </c>
      <c r="AL282" s="23">
        <f>IF(ROW()&lt;9,"",IF(OR(AE282="",AE277=""),"",IF(AE277=0,"",(AE282/AE277)-1)))</f>
        <v/>
      </c>
      <c r="AN282">
        <f>IF(OR(AG282="",AH282=""),"",IF(AND(AG282&gt;0,AH282&gt;0),"Bull",IF(AND(AG282&lt;0,AH282&lt;0),"Bear","Mixed")))</f>
        <v/>
      </c>
      <c r="AO282">
        <f>IF(OR(AK282="",AL282=""),"",IF(AND(AK282&gt;0,AL282&gt;0),"Bull",IF(AND(AK282&lt;0,AL282&lt;0),"Bear","Mixed")))</f>
        <v/>
      </c>
      <c r="AP282">
        <f>IF(OR(AN282="",AO282=""),"",IF(AND(AN282="Bull",AO282="Bull"),"YES","NO"))</f>
        <v/>
      </c>
      <c r="AQ282">
        <f>IF(OR(AN282="",AO282=""),"",IF(AND(AN282="Bear",AO282="Bear"),"YES","NO"))</f>
        <v/>
      </c>
      <c r="AR282">
        <f>IF(AP282="YES",IF(SUM(N(X282),N(Y282),N(Z282))&gt;0,"SOXL","TQQQ"),IF(AQ282="YES",IF(SUM(N(AA282),N(AB282),N(AC282))&gt;0,"SOXS","SQQQ"),"WAIT"))</f>
        <v/>
      </c>
      <c r="AS282">
        <f>IF(AP282="YES",IF(SUM(N(X282),N(Y282),N(Z282))&gt;0,"TQQQ","SOXL"),IF(AQ282="YES",IF(SUM(N(AA282),N(AB282),N(AC282))&gt;0,"SQQQ","SOXS"),""))</f>
        <v/>
      </c>
      <c r="AT282" s="23">
        <f>IF(AR282="WAIT","",IF(AS282="",1,0.6))</f>
        <v/>
      </c>
      <c r="AU282" s="23">
        <f>IF(AS282="",0,0.4)</f>
        <v/>
      </c>
      <c r="AV282">
        <f>IF(AR282="WAIT","WAIT",IF(AP282="YES","BULL",IF(AQ282="YES","BEAR","WAIT")))</f>
        <v/>
      </c>
      <c r="AW282">
        <f>IF(AR282="WAIT","Low",IF(OR(AND(AV282="BULL",ABS(SUM(N(X282),N(Y282),N(Z282)))&gt;=0.15),AND(AV282="BEAR",ABS(SUM(N(AA282),N(AB282),N(AC282)))&gt;=0.15)),"Strong",IF(OR(AND(AV282="BULL",ABS(SUM(N(X282),N(Y282),N(Z282)))&gt;=0.05),AND(AV282="BEAR",ABS(SUM(N(AA282),N(AB282),N(AC282)))&gt;=0.05)),"Moderate","Low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13" t="n"/>
      <c r="AF283" s="23">
        <f>IF(OR(AD283="",AD282=""),"",IF(AD282=0,"",(AD283/AD282)-1))</f>
        <v/>
      </c>
      <c r="AG283" s="23">
        <f>IF(ROW()&lt;7,"",IF(OR(AD283="",AD280=""),"",IF(AD280=0,"",(AD283/AD280)-1)))</f>
        <v/>
      </c>
      <c r="AH283" s="23">
        <f>IF(ROW()&lt;9,"",IF(OR(AD283="",AD278=""),"",IF(AD278=0,"",(AD283/AD278)-1)))</f>
        <v/>
      </c>
      <c r="AJ283" s="23">
        <f>IF(OR(AE283="",AE282=""),"",IF(AE282=0,"",(AE283/AE282)-1))</f>
        <v/>
      </c>
      <c r="AK283" s="23">
        <f>IF(ROW()&lt;7,"",IF(OR(AE283="",AE280=""),"",IF(AE280=0,"",(AE283/AE280)-1)))</f>
        <v/>
      </c>
      <c r="AL283" s="23">
        <f>IF(ROW()&lt;9,"",IF(OR(AE283="",AE278=""),"",IF(AE278=0,"",(AE283/AE278)-1)))</f>
        <v/>
      </c>
      <c r="AN283">
        <f>IF(OR(AG283="",AH283=""),"",IF(AND(AG283&gt;0,AH283&gt;0),"Bull",IF(AND(AG283&lt;0,AH283&lt;0),"Bear","Mixed")))</f>
        <v/>
      </c>
      <c r="AO283">
        <f>IF(OR(AK283="",AL283=""),"",IF(AND(AK283&gt;0,AL283&gt;0),"Bull",IF(AND(AK283&lt;0,AL283&lt;0),"Bear","Mixed")))</f>
        <v/>
      </c>
      <c r="AP283">
        <f>IF(OR(AN283="",AO283=""),"",IF(AND(AN283="Bull",AO283="Bull"),"YES","NO"))</f>
        <v/>
      </c>
      <c r="AQ283">
        <f>IF(OR(AN283="",AO283=""),"",IF(AND(AN283="Bear",AO283="Bear"),"YES","NO"))</f>
        <v/>
      </c>
      <c r="AR283">
        <f>IF(AP283="YES",IF(SUM(N(X283),N(Y283),N(Z283))&gt;0,"SOXL","TQQQ"),IF(AQ283="YES",IF(SUM(N(AA283),N(AB283),N(AC283))&gt;0,"SOXS","SQQQ"),"WAIT"))</f>
        <v/>
      </c>
      <c r="AS283">
        <f>IF(AP283="YES",IF(SUM(N(X283),N(Y283),N(Z283))&gt;0,"TQQQ","SOXL"),IF(AQ283="YES",IF(SUM(N(AA283),N(AB283),N(AC283))&gt;0,"SQQQ","SOXS"),""))</f>
        <v/>
      </c>
      <c r="AT283" s="23">
        <f>IF(AR283="WAIT","",IF(AS283="",1,0.6))</f>
        <v/>
      </c>
      <c r="AU283" s="23">
        <f>IF(AS283="",0,0.4)</f>
        <v/>
      </c>
      <c r="AV283">
        <f>IF(AR283="WAIT","WAIT",IF(AP283="YES","BULL",IF(AQ283="YES","BEAR","WAIT")))</f>
        <v/>
      </c>
      <c r="AW283">
        <f>IF(AR283="WAIT","Low",IF(OR(AND(AV283="BULL",ABS(SUM(N(X283),N(Y283),N(Z283)))&gt;=0.15),AND(AV283="BEAR",ABS(SUM(N(AA283),N(AB283),N(AC283)))&gt;=0.15)),"Strong",IF(OR(AND(AV283="BULL",ABS(SUM(N(X283),N(Y283),N(Z283)))&gt;=0.05),AND(AV283="BEAR",ABS(SUM(N(AA283),N(AB283),N(AC283)))&gt;=0.05)),"Moderate","Low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13" t="n"/>
      <c r="AF284" s="23">
        <f>IF(OR(AD284="",AD283=""),"",IF(AD283=0,"",(AD284/AD283)-1))</f>
        <v/>
      </c>
      <c r="AG284" s="23">
        <f>IF(ROW()&lt;7,"",IF(OR(AD284="",AD281=""),"",IF(AD281=0,"",(AD284/AD281)-1)))</f>
        <v/>
      </c>
      <c r="AH284" s="23">
        <f>IF(ROW()&lt;9,"",IF(OR(AD284="",AD279=""),"",IF(AD279=0,"",(AD284/AD279)-1)))</f>
        <v/>
      </c>
      <c r="AJ284" s="23">
        <f>IF(OR(AE284="",AE283=""),"",IF(AE283=0,"",(AE284/AE283)-1))</f>
        <v/>
      </c>
      <c r="AK284" s="23">
        <f>IF(ROW()&lt;7,"",IF(OR(AE284="",AE281=""),"",IF(AE281=0,"",(AE284/AE281)-1)))</f>
        <v/>
      </c>
      <c r="AL284" s="23">
        <f>IF(ROW()&lt;9,"",IF(OR(AE284="",AE279=""),"",IF(AE279=0,"",(AE284/AE279)-1)))</f>
        <v/>
      </c>
      <c r="AN284">
        <f>IF(OR(AG284="",AH284=""),"",IF(AND(AG284&gt;0,AH284&gt;0),"Bull",IF(AND(AG284&lt;0,AH284&lt;0),"Bear","Mixed")))</f>
        <v/>
      </c>
      <c r="AO284">
        <f>IF(OR(AK284="",AL284=""),"",IF(AND(AK284&gt;0,AL284&gt;0),"Bull",IF(AND(AK284&lt;0,AL284&lt;0),"Bear","Mixed")))</f>
        <v/>
      </c>
      <c r="AP284">
        <f>IF(OR(AN284="",AO284=""),"",IF(AND(AN284="Bull",AO284="Bull"),"YES","NO"))</f>
        <v/>
      </c>
      <c r="AQ284">
        <f>IF(OR(AN284="",AO284=""),"",IF(AND(AN284="Bear",AO284="Bear"),"YES","NO"))</f>
        <v/>
      </c>
      <c r="AR284">
        <f>IF(AP284="YES",IF(SUM(N(X284),N(Y284),N(Z284))&gt;0,"SOXL","TQQQ"),IF(AQ284="YES",IF(SUM(N(AA284),N(AB284),N(AC284))&gt;0,"SOXS","SQQQ"),"WAIT"))</f>
        <v/>
      </c>
      <c r="AS284">
        <f>IF(AP284="YES",IF(SUM(N(X284),N(Y284),N(Z284))&gt;0,"TQQQ","SOXL"),IF(AQ284="YES",IF(SUM(N(AA284),N(AB284),N(AC284))&gt;0,"SQQQ","SOXS"),""))</f>
        <v/>
      </c>
      <c r="AT284" s="23">
        <f>IF(AR284="WAIT","",IF(AS284="",1,0.6))</f>
        <v/>
      </c>
      <c r="AU284" s="23">
        <f>IF(AS284="",0,0.4)</f>
        <v/>
      </c>
      <c r="AV284">
        <f>IF(AR284="WAIT","WAIT",IF(AP284="YES","BULL",IF(AQ284="YES","BEAR","WAIT")))</f>
        <v/>
      </c>
      <c r="AW284">
        <f>IF(AR284="WAIT","Low",IF(OR(AND(AV284="BULL",ABS(SUM(N(X284),N(Y284),N(Z284)))&gt;=0.15),AND(AV284="BEAR",ABS(SUM(N(AA284),N(AB284),N(AC284)))&gt;=0.15)),"Strong",IF(OR(AND(AV284="BULL",ABS(SUM(N(X284),N(Y284),N(Z284)))&gt;=0.05),AND(AV284="BEAR",ABS(SUM(N(AA284),N(AB284),N(AC284)))&gt;=0.05)),"Moderate","Low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13" t="n"/>
      <c r="AF285" s="23">
        <f>IF(OR(AD285="",AD284=""),"",IF(AD284=0,"",(AD285/AD284)-1))</f>
        <v/>
      </c>
      <c r="AG285" s="23">
        <f>IF(ROW()&lt;7,"",IF(OR(AD285="",AD282=""),"",IF(AD282=0,"",(AD285/AD282)-1)))</f>
        <v/>
      </c>
      <c r="AH285" s="23">
        <f>IF(ROW()&lt;9,"",IF(OR(AD285="",AD280=""),"",IF(AD280=0,"",(AD285/AD280)-1)))</f>
        <v/>
      </c>
      <c r="AJ285" s="23">
        <f>IF(OR(AE285="",AE284=""),"",IF(AE284=0,"",(AE285/AE284)-1))</f>
        <v/>
      </c>
      <c r="AK285" s="23">
        <f>IF(ROW()&lt;7,"",IF(OR(AE285="",AE282=""),"",IF(AE282=0,"",(AE285/AE282)-1)))</f>
        <v/>
      </c>
      <c r="AL285" s="23">
        <f>IF(ROW()&lt;9,"",IF(OR(AE285="",AE280=""),"",IF(AE280=0,"",(AE285/AE280)-1)))</f>
        <v/>
      </c>
      <c r="AN285">
        <f>IF(OR(AG285="",AH285=""),"",IF(AND(AG285&gt;0,AH285&gt;0),"Bull",IF(AND(AG285&lt;0,AH285&lt;0),"Bear","Mixed")))</f>
        <v/>
      </c>
      <c r="AO285">
        <f>IF(OR(AK285="",AL285=""),"",IF(AND(AK285&gt;0,AL285&gt;0),"Bull",IF(AND(AK285&lt;0,AL285&lt;0),"Bear","Mixed")))</f>
        <v/>
      </c>
      <c r="AP285">
        <f>IF(OR(AN285="",AO285=""),"",IF(AND(AN285="Bull",AO285="Bull"),"YES","NO"))</f>
        <v/>
      </c>
      <c r="AQ285">
        <f>IF(OR(AN285="",AO285=""),"",IF(AND(AN285="Bear",AO285="Bear"),"YES","NO"))</f>
        <v/>
      </c>
      <c r="AR285">
        <f>IF(AP285="YES",IF(SUM(N(X285),N(Y285),N(Z285))&gt;0,"SOXL","TQQQ"),IF(AQ285="YES",IF(SUM(N(AA285),N(AB285),N(AC285))&gt;0,"SOXS","SQQQ"),"WAIT"))</f>
        <v/>
      </c>
      <c r="AS285">
        <f>IF(AP285="YES",IF(SUM(N(X285),N(Y285),N(Z285))&gt;0,"TQQQ","SOXL"),IF(AQ285="YES",IF(SUM(N(AA285),N(AB285),N(AC285))&gt;0,"SQQQ","SOXS"),""))</f>
        <v/>
      </c>
      <c r="AT285" s="23">
        <f>IF(AR285="WAIT","",IF(AS285="",1,0.6))</f>
        <v/>
      </c>
      <c r="AU285" s="23">
        <f>IF(AS285="",0,0.4)</f>
        <v/>
      </c>
      <c r="AV285">
        <f>IF(AR285="WAIT","WAIT",IF(AP285="YES","BULL",IF(AQ285="YES","BEAR","WAIT")))</f>
        <v/>
      </c>
      <c r="AW285">
        <f>IF(AR285="WAIT","Low",IF(OR(AND(AV285="BULL",ABS(SUM(N(X285),N(Y285),N(Z285)))&gt;=0.15),AND(AV285="BEAR",ABS(SUM(N(AA285),N(AB285),N(AC285)))&gt;=0.15)),"Strong",IF(OR(AND(AV285="BULL",ABS(SUM(N(X285),N(Y285),N(Z285)))&gt;=0.05),AND(AV285="BEAR",ABS(SUM(N(AA285),N(AB285),N(AC285)))&gt;=0.05)),"Moderate","Low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13" t="n"/>
      <c r="AF286" s="23">
        <f>IF(OR(AD286="",AD285=""),"",IF(AD285=0,"",(AD286/AD285)-1))</f>
        <v/>
      </c>
      <c r="AG286" s="23">
        <f>IF(ROW()&lt;7,"",IF(OR(AD286="",AD283=""),"",IF(AD283=0,"",(AD286/AD283)-1)))</f>
        <v/>
      </c>
      <c r="AH286" s="23">
        <f>IF(ROW()&lt;9,"",IF(OR(AD286="",AD281=""),"",IF(AD281=0,"",(AD286/AD281)-1)))</f>
        <v/>
      </c>
      <c r="AJ286" s="23">
        <f>IF(OR(AE286="",AE285=""),"",IF(AE285=0,"",(AE286/AE285)-1))</f>
        <v/>
      </c>
      <c r="AK286" s="23">
        <f>IF(ROW()&lt;7,"",IF(OR(AE286="",AE283=""),"",IF(AE283=0,"",(AE286/AE283)-1)))</f>
        <v/>
      </c>
      <c r="AL286" s="23">
        <f>IF(ROW()&lt;9,"",IF(OR(AE286="",AE281=""),"",IF(AE281=0,"",(AE286/AE281)-1)))</f>
        <v/>
      </c>
      <c r="AN286">
        <f>IF(OR(AG286="",AH286=""),"",IF(AND(AG286&gt;0,AH286&gt;0),"Bull",IF(AND(AG286&lt;0,AH286&lt;0),"Bear","Mixed")))</f>
        <v/>
      </c>
      <c r="AO286">
        <f>IF(OR(AK286="",AL286=""),"",IF(AND(AK286&gt;0,AL286&gt;0),"Bull",IF(AND(AK286&lt;0,AL286&lt;0),"Bear","Mixed")))</f>
        <v/>
      </c>
      <c r="AP286">
        <f>IF(OR(AN286="",AO286=""),"",IF(AND(AN286="Bull",AO286="Bull"),"YES","NO"))</f>
        <v/>
      </c>
      <c r="AQ286">
        <f>IF(OR(AN286="",AO286=""),"",IF(AND(AN286="Bear",AO286="Bear"),"YES","NO"))</f>
        <v/>
      </c>
      <c r="AR286">
        <f>IF(AP286="YES",IF(SUM(N(X286),N(Y286),N(Z286))&gt;0,"SOXL","TQQQ"),IF(AQ286="YES",IF(SUM(N(AA286),N(AB286),N(AC286))&gt;0,"SOXS","SQQQ"),"WAIT"))</f>
        <v/>
      </c>
      <c r="AS286">
        <f>IF(AP286="YES",IF(SUM(N(X286),N(Y286),N(Z286))&gt;0,"TQQQ","SOXL"),IF(AQ286="YES",IF(SUM(N(AA286),N(AB286),N(AC286))&gt;0,"SQQQ","SOXS"),""))</f>
        <v/>
      </c>
      <c r="AT286" s="23">
        <f>IF(AR286="WAIT","",IF(AS286="",1,0.6))</f>
        <v/>
      </c>
      <c r="AU286" s="23">
        <f>IF(AS286="",0,0.4)</f>
        <v/>
      </c>
      <c r="AV286">
        <f>IF(AR286="WAIT","WAIT",IF(AP286="YES","BULL",IF(AQ286="YES","BEAR","WAIT")))</f>
        <v/>
      </c>
      <c r="AW286">
        <f>IF(AR286="WAIT","Low",IF(OR(AND(AV286="BULL",ABS(SUM(N(X286),N(Y286),N(Z286)))&gt;=0.15),AND(AV286="BEAR",ABS(SUM(N(AA286),N(AB286),N(AC286)))&gt;=0.15)),"Strong",IF(OR(AND(AV286="BULL",ABS(SUM(N(X286),N(Y286),N(Z286)))&gt;=0.05),AND(AV286="BEAR",ABS(SUM(N(AA286),N(AB286),N(AC286)))&gt;=0.05)),"Moderate","Low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13" t="n"/>
      <c r="AF287" s="23">
        <f>IF(OR(AD287="",AD286=""),"",IF(AD286=0,"",(AD287/AD286)-1))</f>
        <v/>
      </c>
      <c r="AG287" s="23">
        <f>IF(ROW()&lt;7,"",IF(OR(AD287="",AD284=""),"",IF(AD284=0,"",(AD287/AD284)-1)))</f>
        <v/>
      </c>
      <c r="AH287" s="23">
        <f>IF(ROW()&lt;9,"",IF(OR(AD287="",AD282=""),"",IF(AD282=0,"",(AD287/AD282)-1)))</f>
        <v/>
      </c>
      <c r="AJ287" s="23">
        <f>IF(OR(AE287="",AE286=""),"",IF(AE286=0,"",(AE287/AE286)-1))</f>
        <v/>
      </c>
      <c r="AK287" s="23">
        <f>IF(ROW()&lt;7,"",IF(OR(AE287="",AE284=""),"",IF(AE284=0,"",(AE287/AE284)-1)))</f>
        <v/>
      </c>
      <c r="AL287" s="23">
        <f>IF(ROW()&lt;9,"",IF(OR(AE287="",AE282=""),"",IF(AE282=0,"",(AE287/AE282)-1)))</f>
        <v/>
      </c>
      <c r="AN287">
        <f>IF(OR(AG287="",AH287=""),"",IF(AND(AG287&gt;0,AH287&gt;0),"Bull",IF(AND(AG287&lt;0,AH287&lt;0),"Bear","Mixed")))</f>
        <v/>
      </c>
      <c r="AO287">
        <f>IF(OR(AK287="",AL287=""),"",IF(AND(AK287&gt;0,AL287&gt;0),"Bull",IF(AND(AK287&lt;0,AL287&lt;0),"Bear","Mixed")))</f>
        <v/>
      </c>
      <c r="AP287">
        <f>IF(OR(AN287="",AO287=""),"",IF(AND(AN287="Bull",AO287="Bull"),"YES","NO"))</f>
        <v/>
      </c>
      <c r="AQ287">
        <f>IF(OR(AN287="",AO287=""),"",IF(AND(AN287="Bear",AO287="Bear"),"YES","NO"))</f>
        <v/>
      </c>
      <c r="AR287">
        <f>IF(AP287="YES",IF(SUM(N(X287),N(Y287),N(Z287))&gt;0,"SOXL","TQQQ"),IF(AQ287="YES",IF(SUM(N(AA287),N(AB287),N(AC287))&gt;0,"SOXS","SQQQ"),"WAIT"))</f>
        <v/>
      </c>
      <c r="AS287">
        <f>IF(AP287="YES",IF(SUM(N(X287),N(Y287),N(Z287))&gt;0,"TQQQ","SOXL"),IF(AQ287="YES",IF(SUM(N(AA287),N(AB287),N(AC287))&gt;0,"SQQQ","SOXS"),""))</f>
        <v/>
      </c>
      <c r="AT287" s="23">
        <f>IF(AR287="WAIT","",IF(AS287="",1,0.6))</f>
        <v/>
      </c>
      <c r="AU287" s="23">
        <f>IF(AS287="",0,0.4)</f>
        <v/>
      </c>
      <c r="AV287">
        <f>IF(AR287="WAIT","WAIT",IF(AP287="YES","BULL",IF(AQ287="YES","BEAR","WAIT")))</f>
        <v/>
      </c>
      <c r="AW287">
        <f>IF(AR287="WAIT","Low",IF(OR(AND(AV287="BULL",ABS(SUM(N(X287),N(Y287),N(Z287)))&gt;=0.15),AND(AV287="BEAR",ABS(SUM(N(AA287),N(AB287),N(AC287)))&gt;=0.15)),"Strong",IF(OR(AND(AV287="BULL",ABS(SUM(N(X287),N(Y287),N(Z287)))&gt;=0.05),AND(AV287="BEAR",ABS(SUM(N(AA287),N(AB287),N(AC287)))&gt;=0.05)),"Moderate","Low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13" t="n"/>
      <c r="AF288" s="23">
        <f>IF(OR(AD288="",AD287=""),"",IF(AD287=0,"",(AD288/AD287)-1))</f>
        <v/>
      </c>
      <c r="AG288" s="23">
        <f>IF(ROW()&lt;7,"",IF(OR(AD288="",AD285=""),"",IF(AD285=0,"",(AD288/AD285)-1)))</f>
        <v/>
      </c>
      <c r="AH288" s="23">
        <f>IF(ROW()&lt;9,"",IF(OR(AD288="",AD283=""),"",IF(AD283=0,"",(AD288/AD283)-1)))</f>
        <v/>
      </c>
      <c r="AJ288" s="23">
        <f>IF(OR(AE288="",AE287=""),"",IF(AE287=0,"",(AE288/AE287)-1))</f>
        <v/>
      </c>
      <c r="AK288" s="23">
        <f>IF(ROW()&lt;7,"",IF(OR(AE288="",AE285=""),"",IF(AE285=0,"",(AE288/AE285)-1)))</f>
        <v/>
      </c>
      <c r="AL288" s="23">
        <f>IF(ROW()&lt;9,"",IF(OR(AE288="",AE283=""),"",IF(AE283=0,"",(AE288/AE283)-1)))</f>
        <v/>
      </c>
      <c r="AN288">
        <f>IF(OR(AG288="",AH288=""),"",IF(AND(AG288&gt;0,AH288&gt;0),"Bull",IF(AND(AG288&lt;0,AH288&lt;0),"Bear","Mixed")))</f>
        <v/>
      </c>
      <c r="AO288">
        <f>IF(OR(AK288="",AL288=""),"",IF(AND(AK288&gt;0,AL288&gt;0),"Bull",IF(AND(AK288&lt;0,AL288&lt;0),"Bear","Mixed")))</f>
        <v/>
      </c>
      <c r="AP288">
        <f>IF(OR(AN288="",AO288=""),"",IF(AND(AN288="Bull",AO288="Bull"),"YES","NO"))</f>
        <v/>
      </c>
      <c r="AQ288">
        <f>IF(OR(AN288="",AO288=""),"",IF(AND(AN288="Bear",AO288="Bear"),"YES","NO"))</f>
        <v/>
      </c>
      <c r="AR288">
        <f>IF(AP288="YES",IF(SUM(N(X288),N(Y288),N(Z288))&gt;0,"SOXL","TQQQ"),IF(AQ288="YES",IF(SUM(N(AA288),N(AB288),N(AC288))&gt;0,"SOXS","SQQQ"),"WAIT"))</f>
        <v/>
      </c>
      <c r="AS288">
        <f>IF(AP288="YES",IF(SUM(N(X288),N(Y288),N(Z288))&gt;0,"TQQQ","SOXL"),IF(AQ288="YES",IF(SUM(N(AA288),N(AB288),N(AC288))&gt;0,"SQQQ","SOXS"),""))</f>
        <v/>
      </c>
      <c r="AT288" s="23">
        <f>IF(AR288="WAIT","",IF(AS288="",1,0.6))</f>
        <v/>
      </c>
      <c r="AU288" s="23">
        <f>IF(AS288="",0,0.4)</f>
        <v/>
      </c>
      <c r="AV288">
        <f>IF(AR288="WAIT","WAIT",IF(AP288="YES","BULL",IF(AQ288="YES","BEAR","WAIT")))</f>
        <v/>
      </c>
      <c r="AW288">
        <f>IF(AR288="WAIT","Low",IF(OR(AND(AV288="BULL",ABS(SUM(N(X288),N(Y288),N(Z288)))&gt;=0.15),AND(AV288="BEAR",ABS(SUM(N(AA288),N(AB288),N(AC288)))&gt;=0.15)),"Strong",IF(OR(AND(AV288="BULL",ABS(SUM(N(X288),N(Y288),N(Z288)))&gt;=0.05),AND(AV288="BEAR",ABS(SUM(N(AA288),N(AB288),N(AC288)))&gt;=0.05)),"Moderate","Low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13" t="n"/>
      <c r="AF289" s="23">
        <f>IF(OR(AD289="",AD288=""),"",IF(AD288=0,"",(AD289/AD288)-1))</f>
        <v/>
      </c>
      <c r="AG289" s="23">
        <f>IF(ROW()&lt;7,"",IF(OR(AD289="",AD286=""),"",IF(AD286=0,"",(AD289/AD286)-1)))</f>
        <v/>
      </c>
      <c r="AH289" s="23">
        <f>IF(ROW()&lt;9,"",IF(OR(AD289="",AD284=""),"",IF(AD284=0,"",(AD289/AD284)-1)))</f>
        <v/>
      </c>
      <c r="AJ289" s="23">
        <f>IF(OR(AE289="",AE288=""),"",IF(AE288=0,"",(AE289/AE288)-1))</f>
        <v/>
      </c>
      <c r="AK289" s="23">
        <f>IF(ROW()&lt;7,"",IF(OR(AE289="",AE286=""),"",IF(AE286=0,"",(AE289/AE286)-1)))</f>
        <v/>
      </c>
      <c r="AL289" s="23">
        <f>IF(ROW()&lt;9,"",IF(OR(AE289="",AE284=""),"",IF(AE284=0,"",(AE289/AE284)-1)))</f>
        <v/>
      </c>
      <c r="AN289">
        <f>IF(OR(AG289="",AH289=""),"",IF(AND(AG289&gt;0,AH289&gt;0),"Bull",IF(AND(AG289&lt;0,AH289&lt;0),"Bear","Mixed")))</f>
        <v/>
      </c>
      <c r="AO289">
        <f>IF(OR(AK289="",AL289=""),"",IF(AND(AK289&gt;0,AL289&gt;0),"Bull",IF(AND(AK289&lt;0,AL289&lt;0),"Bear","Mixed")))</f>
        <v/>
      </c>
      <c r="AP289">
        <f>IF(OR(AN289="",AO289=""),"",IF(AND(AN289="Bull",AO289="Bull"),"YES","NO"))</f>
        <v/>
      </c>
      <c r="AQ289">
        <f>IF(OR(AN289="",AO289=""),"",IF(AND(AN289="Bear",AO289="Bear"),"YES","NO"))</f>
        <v/>
      </c>
      <c r="AR289">
        <f>IF(AP289="YES",IF(SUM(N(X289),N(Y289),N(Z289))&gt;0,"SOXL","TQQQ"),IF(AQ289="YES",IF(SUM(N(AA289),N(AB289),N(AC289))&gt;0,"SOXS","SQQQ"),"WAIT"))</f>
        <v/>
      </c>
      <c r="AS289">
        <f>IF(AP289="YES",IF(SUM(N(X289),N(Y289),N(Z289))&gt;0,"TQQQ","SOXL"),IF(AQ289="YES",IF(SUM(N(AA289),N(AB289),N(AC289))&gt;0,"SQQQ","SOXS"),""))</f>
        <v/>
      </c>
      <c r="AT289" s="23">
        <f>IF(AR289="WAIT","",IF(AS289="",1,0.6))</f>
        <v/>
      </c>
      <c r="AU289" s="23">
        <f>IF(AS289="",0,0.4)</f>
        <v/>
      </c>
      <c r="AV289">
        <f>IF(AR289="WAIT","WAIT",IF(AP289="YES","BULL",IF(AQ289="YES","BEAR","WAIT")))</f>
        <v/>
      </c>
      <c r="AW289">
        <f>IF(AR289="WAIT","Low",IF(OR(AND(AV289="BULL",ABS(SUM(N(X289),N(Y289),N(Z289)))&gt;=0.15),AND(AV289="BEAR",ABS(SUM(N(AA289),N(AB289),N(AC289)))&gt;=0.15)),"Strong",IF(OR(AND(AV289="BULL",ABS(SUM(N(X289),N(Y289),N(Z289)))&gt;=0.05),AND(AV289="BEAR",ABS(SUM(N(AA289),N(AB289),N(AC289)))&gt;=0.05)),"Moderate","Low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13" t="n"/>
      <c r="AF290" s="23">
        <f>IF(OR(AD290="",AD289=""),"",IF(AD289=0,"",(AD290/AD289)-1))</f>
        <v/>
      </c>
      <c r="AG290" s="23">
        <f>IF(ROW()&lt;7,"",IF(OR(AD290="",AD287=""),"",IF(AD287=0,"",(AD290/AD287)-1)))</f>
        <v/>
      </c>
      <c r="AH290" s="23">
        <f>IF(ROW()&lt;9,"",IF(OR(AD290="",AD285=""),"",IF(AD285=0,"",(AD290/AD285)-1)))</f>
        <v/>
      </c>
      <c r="AJ290" s="23">
        <f>IF(OR(AE290="",AE289=""),"",IF(AE289=0,"",(AE290/AE289)-1))</f>
        <v/>
      </c>
      <c r="AK290" s="23">
        <f>IF(ROW()&lt;7,"",IF(OR(AE290="",AE287=""),"",IF(AE287=0,"",(AE290/AE287)-1)))</f>
        <v/>
      </c>
      <c r="AL290" s="23">
        <f>IF(ROW()&lt;9,"",IF(OR(AE290="",AE285=""),"",IF(AE285=0,"",(AE290/AE285)-1)))</f>
        <v/>
      </c>
      <c r="AN290">
        <f>IF(OR(AG290="",AH290=""),"",IF(AND(AG290&gt;0,AH290&gt;0),"Bull",IF(AND(AG290&lt;0,AH290&lt;0),"Bear","Mixed")))</f>
        <v/>
      </c>
      <c r="AO290">
        <f>IF(OR(AK290="",AL290=""),"",IF(AND(AK290&gt;0,AL290&gt;0),"Bull",IF(AND(AK290&lt;0,AL290&lt;0),"Bear","Mixed")))</f>
        <v/>
      </c>
      <c r="AP290">
        <f>IF(OR(AN290="",AO290=""),"",IF(AND(AN290="Bull",AO290="Bull"),"YES","NO"))</f>
        <v/>
      </c>
      <c r="AQ290">
        <f>IF(OR(AN290="",AO290=""),"",IF(AND(AN290="Bear",AO290="Bear"),"YES","NO"))</f>
        <v/>
      </c>
      <c r="AR290">
        <f>IF(AP290="YES",IF(SUM(N(X290),N(Y290),N(Z290))&gt;0,"SOXL","TQQQ"),IF(AQ290="YES",IF(SUM(N(AA290),N(AB290),N(AC290))&gt;0,"SOXS","SQQQ"),"WAIT"))</f>
        <v/>
      </c>
      <c r="AS290">
        <f>IF(AP290="YES",IF(SUM(N(X290),N(Y290),N(Z290))&gt;0,"TQQQ","SOXL"),IF(AQ290="YES",IF(SUM(N(AA290),N(AB290),N(AC290))&gt;0,"SQQQ","SOXS"),""))</f>
        <v/>
      </c>
      <c r="AT290" s="23">
        <f>IF(AR290="WAIT","",IF(AS290="",1,0.6))</f>
        <v/>
      </c>
      <c r="AU290" s="23">
        <f>IF(AS290="",0,0.4)</f>
        <v/>
      </c>
      <c r="AV290">
        <f>IF(AR290="WAIT","WAIT",IF(AP290="YES","BULL",IF(AQ290="YES","BEAR","WAIT")))</f>
        <v/>
      </c>
      <c r="AW290">
        <f>IF(AR290="WAIT","Low",IF(OR(AND(AV290="BULL",ABS(SUM(N(X290),N(Y290),N(Z290)))&gt;=0.15),AND(AV290="BEAR",ABS(SUM(N(AA290),N(AB290),N(AC290)))&gt;=0.15)),"Strong",IF(OR(AND(AV290="BULL",ABS(SUM(N(X290),N(Y290),N(Z290)))&gt;=0.05),AND(AV290="BEAR",ABS(SUM(N(AA290),N(AB290),N(AC290)))&gt;=0.05)),"Moderate","Low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13" t="n"/>
      <c r="AF291" s="23">
        <f>IF(OR(AD291="",AD290=""),"",IF(AD290=0,"",(AD291/AD290)-1))</f>
        <v/>
      </c>
      <c r="AG291" s="23">
        <f>IF(ROW()&lt;7,"",IF(OR(AD291="",AD288=""),"",IF(AD288=0,"",(AD291/AD288)-1)))</f>
        <v/>
      </c>
      <c r="AH291" s="23">
        <f>IF(ROW()&lt;9,"",IF(OR(AD291="",AD286=""),"",IF(AD286=0,"",(AD291/AD286)-1)))</f>
        <v/>
      </c>
      <c r="AJ291" s="23">
        <f>IF(OR(AE291="",AE290=""),"",IF(AE290=0,"",(AE291/AE290)-1))</f>
        <v/>
      </c>
      <c r="AK291" s="23">
        <f>IF(ROW()&lt;7,"",IF(OR(AE291="",AE288=""),"",IF(AE288=0,"",(AE291/AE288)-1)))</f>
        <v/>
      </c>
      <c r="AL291" s="23">
        <f>IF(ROW()&lt;9,"",IF(OR(AE291="",AE286=""),"",IF(AE286=0,"",(AE291/AE286)-1)))</f>
        <v/>
      </c>
      <c r="AN291">
        <f>IF(OR(AG291="",AH291=""),"",IF(AND(AG291&gt;0,AH291&gt;0),"Bull",IF(AND(AG291&lt;0,AH291&lt;0),"Bear","Mixed")))</f>
        <v/>
      </c>
      <c r="AO291">
        <f>IF(OR(AK291="",AL291=""),"",IF(AND(AK291&gt;0,AL291&gt;0),"Bull",IF(AND(AK291&lt;0,AL291&lt;0),"Bear","Mixed")))</f>
        <v/>
      </c>
      <c r="AP291">
        <f>IF(OR(AN291="",AO291=""),"",IF(AND(AN291="Bull",AO291="Bull"),"YES","NO"))</f>
        <v/>
      </c>
      <c r="AQ291">
        <f>IF(OR(AN291="",AO291=""),"",IF(AND(AN291="Bear",AO291="Bear"),"YES","NO"))</f>
        <v/>
      </c>
      <c r="AR291">
        <f>IF(AP291="YES",IF(SUM(N(X291),N(Y291),N(Z291))&gt;0,"SOXL","TQQQ"),IF(AQ291="YES",IF(SUM(N(AA291),N(AB291),N(AC291))&gt;0,"SOXS","SQQQ"),"WAIT"))</f>
        <v/>
      </c>
      <c r="AS291">
        <f>IF(AP291="YES",IF(SUM(N(X291),N(Y291),N(Z291))&gt;0,"TQQQ","SOXL"),IF(AQ291="YES",IF(SUM(N(AA291),N(AB291),N(AC291))&gt;0,"SQQQ","SOXS"),""))</f>
        <v/>
      </c>
      <c r="AT291" s="23">
        <f>IF(AR291="WAIT","",IF(AS291="",1,0.6))</f>
        <v/>
      </c>
      <c r="AU291" s="23">
        <f>IF(AS291="",0,0.4)</f>
        <v/>
      </c>
      <c r="AV291">
        <f>IF(AR291="WAIT","WAIT",IF(AP291="YES","BULL",IF(AQ291="YES","BEAR","WAIT")))</f>
        <v/>
      </c>
      <c r="AW291">
        <f>IF(AR291="WAIT","Low",IF(OR(AND(AV291="BULL",ABS(SUM(N(X291),N(Y291),N(Z291)))&gt;=0.15),AND(AV291="BEAR",ABS(SUM(N(AA291),N(AB291),N(AC291)))&gt;=0.15)),"Strong",IF(OR(AND(AV291="BULL",ABS(SUM(N(X291),N(Y291),N(Z291)))&gt;=0.05),AND(AV291="BEAR",ABS(SUM(N(AA291),N(AB291),N(AC291)))&gt;=0.05)),"Moderate","Low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13" t="n"/>
      <c r="AF292" s="23">
        <f>IF(OR(AD292="",AD291=""),"",IF(AD291=0,"",(AD292/AD291)-1))</f>
        <v/>
      </c>
      <c r="AG292" s="23">
        <f>IF(ROW()&lt;7,"",IF(OR(AD292="",AD289=""),"",IF(AD289=0,"",(AD292/AD289)-1)))</f>
        <v/>
      </c>
      <c r="AH292" s="23">
        <f>IF(ROW()&lt;9,"",IF(OR(AD292="",AD287=""),"",IF(AD287=0,"",(AD292/AD287)-1)))</f>
        <v/>
      </c>
      <c r="AJ292" s="23">
        <f>IF(OR(AE292="",AE291=""),"",IF(AE291=0,"",(AE292/AE291)-1))</f>
        <v/>
      </c>
      <c r="AK292" s="23">
        <f>IF(ROW()&lt;7,"",IF(OR(AE292="",AE289=""),"",IF(AE289=0,"",(AE292/AE289)-1)))</f>
        <v/>
      </c>
      <c r="AL292" s="23">
        <f>IF(ROW()&lt;9,"",IF(OR(AE292="",AE287=""),"",IF(AE287=0,"",(AE292/AE287)-1)))</f>
        <v/>
      </c>
      <c r="AN292">
        <f>IF(OR(AG292="",AH292=""),"",IF(AND(AG292&gt;0,AH292&gt;0),"Bull",IF(AND(AG292&lt;0,AH292&lt;0),"Bear","Mixed")))</f>
        <v/>
      </c>
      <c r="AO292">
        <f>IF(OR(AK292="",AL292=""),"",IF(AND(AK292&gt;0,AL292&gt;0),"Bull",IF(AND(AK292&lt;0,AL292&lt;0),"Bear","Mixed")))</f>
        <v/>
      </c>
      <c r="AP292">
        <f>IF(OR(AN292="",AO292=""),"",IF(AND(AN292="Bull",AO292="Bull"),"YES","NO"))</f>
        <v/>
      </c>
      <c r="AQ292">
        <f>IF(OR(AN292="",AO292=""),"",IF(AND(AN292="Bear",AO292="Bear"),"YES","NO"))</f>
        <v/>
      </c>
      <c r="AR292">
        <f>IF(AP292="YES",IF(SUM(N(X292),N(Y292),N(Z292))&gt;0,"SOXL","TQQQ"),IF(AQ292="YES",IF(SUM(N(AA292),N(AB292),N(AC292))&gt;0,"SOXS","SQQQ"),"WAIT"))</f>
        <v/>
      </c>
      <c r="AS292">
        <f>IF(AP292="YES",IF(SUM(N(X292),N(Y292),N(Z292))&gt;0,"TQQQ","SOXL"),IF(AQ292="YES",IF(SUM(N(AA292),N(AB292),N(AC292))&gt;0,"SQQQ","SOXS"),""))</f>
        <v/>
      </c>
      <c r="AT292" s="23">
        <f>IF(AR292="WAIT","",IF(AS292="",1,0.6))</f>
        <v/>
      </c>
      <c r="AU292" s="23">
        <f>IF(AS292="",0,0.4)</f>
        <v/>
      </c>
      <c r="AV292">
        <f>IF(AR292="WAIT","WAIT",IF(AP292="YES","BULL",IF(AQ292="YES","BEAR","WAIT")))</f>
        <v/>
      </c>
      <c r="AW292">
        <f>IF(AR292="WAIT","Low",IF(OR(AND(AV292="BULL",ABS(SUM(N(X292),N(Y292),N(Z292)))&gt;=0.15),AND(AV292="BEAR",ABS(SUM(N(AA292),N(AB292),N(AC292)))&gt;=0.15)),"Strong",IF(OR(AND(AV292="BULL",ABS(SUM(N(X292),N(Y292),N(Z292)))&gt;=0.05),AND(AV292="BEAR",ABS(SUM(N(AA292),N(AB292),N(AC292)))&gt;=0.05)),"Moderate","Low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13" t="n"/>
      <c r="AF293" s="23">
        <f>IF(OR(AD293="",AD292=""),"",IF(AD292=0,"",(AD293/AD292)-1))</f>
        <v/>
      </c>
      <c r="AG293" s="23">
        <f>IF(ROW()&lt;7,"",IF(OR(AD293="",AD290=""),"",IF(AD290=0,"",(AD293/AD290)-1)))</f>
        <v/>
      </c>
      <c r="AH293" s="23">
        <f>IF(ROW()&lt;9,"",IF(OR(AD293="",AD288=""),"",IF(AD288=0,"",(AD293/AD288)-1)))</f>
        <v/>
      </c>
      <c r="AJ293" s="23">
        <f>IF(OR(AE293="",AE292=""),"",IF(AE292=0,"",(AE293/AE292)-1))</f>
        <v/>
      </c>
      <c r="AK293" s="23">
        <f>IF(ROW()&lt;7,"",IF(OR(AE293="",AE290=""),"",IF(AE290=0,"",(AE293/AE290)-1)))</f>
        <v/>
      </c>
      <c r="AL293" s="23">
        <f>IF(ROW()&lt;9,"",IF(OR(AE293="",AE288=""),"",IF(AE288=0,"",(AE293/AE288)-1)))</f>
        <v/>
      </c>
      <c r="AN293">
        <f>IF(OR(AG293="",AH293=""),"",IF(AND(AG293&gt;0,AH293&gt;0),"Bull",IF(AND(AG293&lt;0,AH293&lt;0),"Bear","Mixed")))</f>
        <v/>
      </c>
      <c r="AO293">
        <f>IF(OR(AK293="",AL293=""),"",IF(AND(AK293&gt;0,AL293&gt;0),"Bull",IF(AND(AK293&lt;0,AL293&lt;0),"Bear","Mixed")))</f>
        <v/>
      </c>
      <c r="AP293">
        <f>IF(OR(AN293="",AO293=""),"",IF(AND(AN293="Bull",AO293="Bull"),"YES","NO"))</f>
        <v/>
      </c>
      <c r="AQ293">
        <f>IF(OR(AN293="",AO293=""),"",IF(AND(AN293="Bear",AO293="Bear"),"YES","NO"))</f>
        <v/>
      </c>
      <c r="AR293">
        <f>IF(AP293="YES",IF(SUM(N(X293),N(Y293),N(Z293))&gt;0,"SOXL","TQQQ"),IF(AQ293="YES",IF(SUM(N(AA293),N(AB293),N(AC293))&gt;0,"SOXS","SQQQ"),"WAIT"))</f>
        <v/>
      </c>
      <c r="AS293">
        <f>IF(AP293="YES",IF(SUM(N(X293),N(Y293),N(Z293))&gt;0,"TQQQ","SOXL"),IF(AQ293="YES",IF(SUM(N(AA293),N(AB293),N(AC293))&gt;0,"SQQQ","SOXS"),""))</f>
        <v/>
      </c>
      <c r="AT293" s="23">
        <f>IF(AR293="WAIT","",IF(AS293="",1,0.6))</f>
        <v/>
      </c>
      <c r="AU293" s="23">
        <f>IF(AS293="",0,0.4)</f>
        <v/>
      </c>
      <c r="AV293">
        <f>IF(AR293="WAIT","WAIT",IF(AP293="YES","BULL",IF(AQ293="YES","BEAR","WAIT")))</f>
        <v/>
      </c>
      <c r="AW293">
        <f>IF(AR293="WAIT","Low",IF(OR(AND(AV293="BULL",ABS(SUM(N(X293),N(Y293),N(Z293)))&gt;=0.15),AND(AV293="BEAR",ABS(SUM(N(AA293),N(AB293),N(AC293)))&gt;=0.15)),"Strong",IF(OR(AND(AV293="BULL",ABS(SUM(N(X293),N(Y293),N(Z293)))&gt;=0.05),AND(AV293="BEAR",ABS(SUM(N(AA293),N(AB293),N(AC293)))&gt;=0.05)),"Moderate","Low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13" t="n"/>
      <c r="AF294" s="23">
        <f>IF(OR(AD294="",AD293=""),"",IF(AD293=0,"",(AD294/AD293)-1))</f>
        <v/>
      </c>
      <c r="AG294" s="23">
        <f>IF(ROW()&lt;7,"",IF(OR(AD294="",AD291=""),"",IF(AD291=0,"",(AD294/AD291)-1)))</f>
        <v/>
      </c>
      <c r="AH294" s="23">
        <f>IF(ROW()&lt;9,"",IF(OR(AD294="",AD289=""),"",IF(AD289=0,"",(AD294/AD289)-1)))</f>
        <v/>
      </c>
      <c r="AJ294" s="23">
        <f>IF(OR(AE294="",AE293=""),"",IF(AE293=0,"",(AE294/AE293)-1))</f>
        <v/>
      </c>
      <c r="AK294" s="23">
        <f>IF(ROW()&lt;7,"",IF(OR(AE294="",AE291=""),"",IF(AE291=0,"",(AE294/AE291)-1)))</f>
        <v/>
      </c>
      <c r="AL294" s="23">
        <f>IF(ROW()&lt;9,"",IF(OR(AE294="",AE289=""),"",IF(AE289=0,"",(AE294/AE289)-1)))</f>
        <v/>
      </c>
      <c r="AN294">
        <f>IF(OR(AG294="",AH294=""),"",IF(AND(AG294&gt;0,AH294&gt;0),"Bull",IF(AND(AG294&lt;0,AH294&lt;0),"Bear","Mixed")))</f>
        <v/>
      </c>
      <c r="AO294">
        <f>IF(OR(AK294="",AL294=""),"",IF(AND(AK294&gt;0,AL294&gt;0),"Bull",IF(AND(AK294&lt;0,AL294&lt;0),"Bear","Mixed")))</f>
        <v/>
      </c>
      <c r="AP294">
        <f>IF(OR(AN294="",AO294=""),"",IF(AND(AN294="Bull",AO294="Bull"),"YES","NO"))</f>
        <v/>
      </c>
      <c r="AQ294">
        <f>IF(OR(AN294="",AO294=""),"",IF(AND(AN294="Bear",AO294="Bear"),"YES","NO"))</f>
        <v/>
      </c>
      <c r="AR294">
        <f>IF(AP294="YES",IF(SUM(N(X294),N(Y294),N(Z294))&gt;0,"SOXL","TQQQ"),IF(AQ294="YES",IF(SUM(N(AA294),N(AB294),N(AC294))&gt;0,"SOXS","SQQQ"),"WAIT"))</f>
        <v/>
      </c>
      <c r="AS294">
        <f>IF(AP294="YES",IF(SUM(N(X294),N(Y294),N(Z294))&gt;0,"TQQQ","SOXL"),IF(AQ294="YES",IF(SUM(N(AA294),N(AB294),N(AC294))&gt;0,"SQQQ","SOXS"),""))</f>
        <v/>
      </c>
      <c r="AT294" s="23">
        <f>IF(AR294="WAIT","",IF(AS294="",1,0.6))</f>
        <v/>
      </c>
      <c r="AU294" s="23">
        <f>IF(AS294="",0,0.4)</f>
        <v/>
      </c>
      <c r="AV294">
        <f>IF(AR294="WAIT","WAIT",IF(AP294="YES","BULL",IF(AQ294="YES","BEAR","WAIT")))</f>
        <v/>
      </c>
      <c r="AW294">
        <f>IF(AR294="WAIT","Low",IF(OR(AND(AV294="BULL",ABS(SUM(N(X294),N(Y294),N(Z294)))&gt;=0.15),AND(AV294="BEAR",ABS(SUM(N(AA294),N(AB294),N(AC294)))&gt;=0.15)),"Strong",IF(OR(AND(AV294="BULL",ABS(SUM(N(X294),N(Y294),N(Z294)))&gt;=0.05),AND(AV294="BEAR",ABS(SUM(N(AA294),N(AB294),N(AC294)))&gt;=0.05)),"Moderate","Low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13" t="n"/>
      <c r="AF295" s="23">
        <f>IF(OR(AD295="",AD294=""),"",IF(AD294=0,"",(AD295/AD294)-1))</f>
        <v/>
      </c>
      <c r="AG295" s="23">
        <f>IF(ROW()&lt;7,"",IF(OR(AD295="",AD292=""),"",IF(AD292=0,"",(AD295/AD292)-1)))</f>
        <v/>
      </c>
      <c r="AH295" s="23">
        <f>IF(ROW()&lt;9,"",IF(OR(AD295="",AD290=""),"",IF(AD290=0,"",(AD295/AD290)-1)))</f>
        <v/>
      </c>
      <c r="AJ295" s="23">
        <f>IF(OR(AE295="",AE294=""),"",IF(AE294=0,"",(AE295/AE294)-1))</f>
        <v/>
      </c>
      <c r="AK295" s="23">
        <f>IF(ROW()&lt;7,"",IF(OR(AE295="",AE292=""),"",IF(AE292=0,"",(AE295/AE292)-1)))</f>
        <v/>
      </c>
      <c r="AL295" s="23">
        <f>IF(ROW()&lt;9,"",IF(OR(AE295="",AE290=""),"",IF(AE290=0,"",(AE295/AE290)-1)))</f>
        <v/>
      </c>
      <c r="AN295">
        <f>IF(OR(AG295="",AH295=""),"",IF(AND(AG295&gt;0,AH295&gt;0),"Bull",IF(AND(AG295&lt;0,AH295&lt;0),"Bear","Mixed")))</f>
        <v/>
      </c>
      <c r="AO295">
        <f>IF(OR(AK295="",AL295=""),"",IF(AND(AK295&gt;0,AL295&gt;0),"Bull",IF(AND(AK295&lt;0,AL295&lt;0),"Bear","Mixed")))</f>
        <v/>
      </c>
      <c r="AP295">
        <f>IF(OR(AN295="",AO295=""),"",IF(AND(AN295="Bull",AO295="Bull"),"YES","NO"))</f>
        <v/>
      </c>
      <c r="AQ295">
        <f>IF(OR(AN295="",AO295=""),"",IF(AND(AN295="Bear",AO295="Bear"),"YES","NO"))</f>
        <v/>
      </c>
      <c r="AR295">
        <f>IF(AP295="YES",IF(SUM(N(X295),N(Y295),N(Z295))&gt;0,"SOXL","TQQQ"),IF(AQ295="YES",IF(SUM(N(AA295),N(AB295),N(AC295))&gt;0,"SOXS","SQQQ"),"WAIT"))</f>
        <v/>
      </c>
      <c r="AS295">
        <f>IF(AP295="YES",IF(SUM(N(X295),N(Y295),N(Z295))&gt;0,"TQQQ","SOXL"),IF(AQ295="YES",IF(SUM(N(AA295),N(AB295),N(AC295))&gt;0,"SQQQ","SOXS"),""))</f>
        <v/>
      </c>
      <c r="AT295" s="23">
        <f>IF(AR295="WAIT","",IF(AS295="",1,0.6))</f>
        <v/>
      </c>
      <c r="AU295" s="23">
        <f>IF(AS295="",0,0.4)</f>
        <v/>
      </c>
      <c r="AV295">
        <f>IF(AR295="WAIT","WAIT",IF(AP295="YES","BULL",IF(AQ295="YES","BEAR","WAIT")))</f>
        <v/>
      </c>
      <c r="AW295">
        <f>IF(AR295="WAIT","Low",IF(OR(AND(AV295="BULL",ABS(SUM(N(X295),N(Y295),N(Z295)))&gt;=0.15),AND(AV295="BEAR",ABS(SUM(N(AA295),N(AB295),N(AC295)))&gt;=0.15)),"Strong",IF(OR(AND(AV295="BULL",ABS(SUM(N(X295),N(Y295),N(Z295)))&gt;=0.05),AND(AV295="BEAR",ABS(SUM(N(AA295),N(AB295),N(AC295)))&gt;=0.05)),"Moderate","Low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13" t="n"/>
      <c r="AF296" s="23">
        <f>IF(OR(AD296="",AD295=""),"",IF(AD295=0,"",(AD296/AD295)-1))</f>
        <v/>
      </c>
      <c r="AG296" s="23">
        <f>IF(ROW()&lt;7,"",IF(OR(AD296="",AD293=""),"",IF(AD293=0,"",(AD296/AD293)-1)))</f>
        <v/>
      </c>
      <c r="AH296" s="23">
        <f>IF(ROW()&lt;9,"",IF(OR(AD296="",AD291=""),"",IF(AD291=0,"",(AD296/AD291)-1)))</f>
        <v/>
      </c>
      <c r="AJ296" s="23">
        <f>IF(OR(AE296="",AE295=""),"",IF(AE295=0,"",(AE296/AE295)-1))</f>
        <v/>
      </c>
      <c r="AK296" s="23">
        <f>IF(ROW()&lt;7,"",IF(OR(AE296="",AE293=""),"",IF(AE293=0,"",(AE296/AE293)-1)))</f>
        <v/>
      </c>
      <c r="AL296" s="23">
        <f>IF(ROW()&lt;9,"",IF(OR(AE296="",AE291=""),"",IF(AE291=0,"",(AE296/AE291)-1)))</f>
        <v/>
      </c>
      <c r="AN296">
        <f>IF(OR(AG296="",AH296=""),"",IF(AND(AG296&gt;0,AH296&gt;0),"Bull",IF(AND(AG296&lt;0,AH296&lt;0),"Bear","Mixed")))</f>
        <v/>
      </c>
      <c r="AO296">
        <f>IF(OR(AK296="",AL296=""),"",IF(AND(AK296&gt;0,AL296&gt;0),"Bull",IF(AND(AK296&lt;0,AL296&lt;0),"Bear","Mixed")))</f>
        <v/>
      </c>
      <c r="AP296">
        <f>IF(OR(AN296="",AO296=""),"",IF(AND(AN296="Bull",AO296="Bull"),"YES","NO"))</f>
        <v/>
      </c>
      <c r="AQ296">
        <f>IF(OR(AN296="",AO296=""),"",IF(AND(AN296="Bear",AO296="Bear"),"YES","NO"))</f>
        <v/>
      </c>
      <c r="AR296">
        <f>IF(AP296="YES",IF(SUM(N(X296),N(Y296),N(Z296))&gt;0,"SOXL","TQQQ"),IF(AQ296="YES",IF(SUM(N(AA296),N(AB296),N(AC296))&gt;0,"SOXS","SQQQ"),"WAIT"))</f>
        <v/>
      </c>
      <c r="AS296">
        <f>IF(AP296="YES",IF(SUM(N(X296),N(Y296),N(Z296))&gt;0,"TQQQ","SOXL"),IF(AQ296="YES",IF(SUM(N(AA296),N(AB296),N(AC296))&gt;0,"SQQQ","SOXS"),""))</f>
        <v/>
      </c>
      <c r="AT296" s="23">
        <f>IF(AR296="WAIT","",IF(AS296="",1,0.6))</f>
        <v/>
      </c>
      <c r="AU296" s="23">
        <f>IF(AS296="",0,0.4)</f>
        <v/>
      </c>
      <c r="AV296">
        <f>IF(AR296="WAIT","WAIT",IF(AP296="YES","BULL",IF(AQ296="YES","BEAR","WAIT")))</f>
        <v/>
      </c>
      <c r="AW296">
        <f>IF(AR296="WAIT","Low",IF(OR(AND(AV296="BULL",ABS(SUM(N(X296),N(Y296),N(Z296)))&gt;=0.15),AND(AV296="BEAR",ABS(SUM(N(AA296),N(AB296),N(AC296)))&gt;=0.15)),"Strong",IF(OR(AND(AV296="BULL",ABS(SUM(N(X296),N(Y296),N(Z296)))&gt;=0.05),AND(AV296="BEAR",ABS(SUM(N(AA296),N(AB296),N(AC296)))&gt;=0.05)),"Moderate","Low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13" t="n"/>
      <c r="AF297" s="23">
        <f>IF(OR(AD297="",AD296=""),"",IF(AD296=0,"",(AD297/AD296)-1))</f>
        <v/>
      </c>
      <c r="AG297" s="23">
        <f>IF(ROW()&lt;7,"",IF(OR(AD297="",AD294=""),"",IF(AD294=0,"",(AD297/AD294)-1)))</f>
        <v/>
      </c>
      <c r="AH297" s="23">
        <f>IF(ROW()&lt;9,"",IF(OR(AD297="",AD292=""),"",IF(AD292=0,"",(AD297/AD292)-1)))</f>
        <v/>
      </c>
      <c r="AJ297" s="23">
        <f>IF(OR(AE297="",AE296=""),"",IF(AE296=0,"",(AE297/AE296)-1))</f>
        <v/>
      </c>
      <c r="AK297" s="23">
        <f>IF(ROW()&lt;7,"",IF(OR(AE297="",AE294=""),"",IF(AE294=0,"",(AE297/AE294)-1)))</f>
        <v/>
      </c>
      <c r="AL297" s="23">
        <f>IF(ROW()&lt;9,"",IF(OR(AE297="",AE292=""),"",IF(AE292=0,"",(AE297/AE292)-1)))</f>
        <v/>
      </c>
      <c r="AN297">
        <f>IF(OR(AG297="",AH297=""),"",IF(AND(AG297&gt;0,AH297&gt;0),"Bull",IF(AND(AG297&lt;0,AH297&lt;0),"Bear","Mixed")))</f>
        <v/>
      </c>
      <c r="AO297">
        <f>IF(OR(AK297="",AL297=""),"",IF(AND(AK297&gt;0,AL297&gt;0),"Bull",IF(AND(AK297&lt;0,AL297&lt;0),"Bear","Mixed")))</f>
        <v/>
      </c>
      <c r="AP297">
        <f>IF(OR(AN297="",AO297=""),"",IF(AND(AN297="Bull",AO297="Bull"),"YES","NO"))</f>
        <v/>
      </c>
      <c r="AQ297">
        <f>IF(OR(AN297="",AO297=""),"",IF(AND(AN297="Bear",AO297="Bear"),"YES","NO"))</f>
        <v/>
      </c>
      <c r="AR297">
        <f>IF(AP297="YES",IF(SUM(N(X297),N(Y297),N(Z297))&gt;0,"SOXL","TQQQ"),IF(AQ297="YES",IF(SUM(N(AA297),N(AB297),N(AC297))&gt;0,"SOXS","SQQQ"),"WAIT"))</f>
        <v/>
      </c>
      <c r="AS297">
        <f>IF(AP297="YES",IF(SUM(N(X297),N(Y297),N(Z297))&gt;0,"TQQQ","SOXL"),IF(AQ297="YES",IF(SUM(N(AA297),N(AB297),N(AC297))&gt;0,"SQQQ","SOXS"),""))</f>
        <v/>
      </c>
      <c r="AT297" s="23">
        <f>IF(AR297="WAIT","",IF(AS297="",1,0.6))</f>
        <v/>
      </c>
      <c r="AU297" s="23">
        <f>IF(AS297="",0,0.4)</f>
        <v/>
      </c>
      <c r="AV297">
        <f>IF(AR297="WAIT","WAIT",IF(AP297="YES","BULL",IF(AQ297="YES","BEAR","WAIT")))</f>
        <v/>
      </c>
      <c r="AW297">
        <f>IF(AR297="WAIT","Low",IF(OR(AND(AV297="BULL",ABS(SUM(N(X297),N(Y297),N(Z297)))&gt;=0.15),AND(AV297="BEAR",ABS(SUM(N(AA297),N(AB297),N(AC297)))&gt;=0.15)),"Strong",IF(OR(AND(AV297="BULL",ABS(SUM(N(X297),N(Y297),N(Z297)))&gt;=0.05),AND(AV297="BEAR",ABS(SUM(N(AA297),N(AB297),N(AC297)))&gt;=0.05)),"Moderate","Low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13" t="n"/>
      <c r="AF298" s="23">
        <f>IF(OR(AD298="",AD297=""),"",IF(AD297=0,"",(AD298/AD297)-1))</f>
        <v/>
      </c>
      <c r="AG298" s="23">
        <f>IF(ROW()&lt;7,"",IF(OR(AD298="",AD295=""),"",IF(AD295=0,"",(AD298/AD295)-1)))</f>
        <v/>
      </c>
      <c r="AH298" s="23">
        <f>IF(ROW()&lt;9,"",IF(OR(AD298="",AD293=""),"",IF(AD293=0,"",(AD298/AD293)-1)))</f>
        <v/>
      </c>
      <c r="AJ298" s="23">
        <f>IF(OR(AE298="",AE297=""),"",IF(AE297=0,"",(AE298/AE297)-1))</f>
        <v/>
      </c>
      <c r="AK298" s="23">
        <f>IF(ROW()&lt;7,"",IF(OR(AE298="",AE295=""),"",IF(AE295=0,"",(AE298/AE295)-1)))</f>
        <v/>
      </c>
      <c r="AL298" s="23">
        <f>IF(ROW()&lt;9,"",IF(OR(AE298="",AE293=""),"",IF(AE293=0,"",(AE298/AE293)-1)))</f>
        <v/>
      </c>
      <c r="AN298">
        <f>IF(OR(AG298="",AH298=""),"",IF(AND(AG298&gt;0,AH298&gt;0),"Bull",IF(AND(AG298&lt;0,AH298&lt;0),"Bear","Mixed")))</f>
        <v/>
      </c>
      <c r="AO298">
        <f>IF(OR(AK298="",AL298=""),"",IF(AND(AK298&gt;0,AL298&gt;0),"Bull",IF(AND(AK298&lt;0,AL298&lt;0),"Bear","Mixed")))</f>
        <v/>
      </c>
      <c r="AP298">
        <f>IF(OR(AN298="",AO298=""),"",IF(AND(AN298="Bull",AO298="Bull"),"YES","NO"))</f>
        <v/>
      </c>
      <c r="AQ298">
        <f>IF(OR(AN298="",AO298=""),"",IF(AND(AN298="Bear",AO298="Bear"),"YES","NO"))</f>
        <v/>
      </c>
      <c r="AR298">
        <f>IF(AP298="YES",IF(SUM(N(X298),N(Y298),N(Z298))&gt;0,"SOXL","TQQQ"),IF(AQ298="YES",IF(SUM(N(AA298),N(AB298),N(AC298))&gt;0,"SOXS","SQQQ"),"WAIT"))</f>
        <v/>
      </c>
      <c r="AS298">
        <f>IF(AP298="YES",IF(SUM(N(X298),N(Y298),N(Z298))&gt;0,"TQQQ","SOXL"),IF(AQ298="YES",IF(SUM(N(AA298),N(AB298),N(AC298))&gt;0,"SQQQ","SOXS"),""))</f>
        <v/>
      </c>
      <c r="AT298" s="23">
        <f>IF(AR298="WAIT","",IF(AS298="",1,0.6))</f>
        <v/>
      </c>
      <c r="AU298" s="23">
        <f>IF(AS298="",0,0.4)</f>
        <v/>
      </c>
      <c r="AV298">
        <f>IF(AR298="WAIT","WAIT",IF(AP298="YES","BULL",IF(AQ298="YES","BEAR","WAIT")))</f>
        <v/>
      </c>
      <c r="AW298">
        <f>IF(AR298="WAIT","Low",IF(OR(AND(AV298="BULL",ABS(SUM(N(X298),N(Y298),N(Z298)))&gt;=0.15),AND(AV298="BEAR",ABS(SUM(N(AA298),N(AB298),N(AC298)))&gt;=0.15)),"Strong",IF(OR(AND(AV298="BULL",ABS(SUM(N(X298),N(Y298),N(Z298)))&gt;=0.05),AND(AV298="BEAR",ABS(SUM(N(AA298),N(AB298),N(AC298)))&gt;=0.05)),"Moderate","Low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13" t="n"/>
      <c r="AF299" s="23">
        <f>IF(OR(AD299="",AD298=""),"",IF(AD298=0,"",(AD299/AD298)-1))</f>
        <v/>
      </c>
      <c r="AG299" s="23">
        <f>IF(ROW()&lt;7,"",IF(OR(AD299="",AD296=""),"",IF(AD296=0,"",(AD299/AD296)-1)))</f>
        <v/>
      </c>
      <c r="AH299" s="23">
        <f>IF(ROW()&lt;9,"",IF(OR(AD299="",AD294=""),"",IF(AD294=0,"",(AD299/AD294)-1)))</f>
        <v/>
      </c>
      <c r="AJ299" s="23">
        <f>IF(OR(AE299="",AE298=""),"",IF(AE298=0,"",(AE299/AE298)-1))</f>
        <v/>
      </c>
      <c r="AK299" s="23">
        <f>IF(ROW()&lt;7,"",IF(OR(AE299="",AE296=""),"",IF(AE296=0,"",(AE299/AE296)-1)))</f>
        <v/>
      </c>
      <c r="AL299" s="23">
        <f>IF(ROW()&lt;9,"",IF(OR(AE299="",AE294=""),"",IF(AE294=0,"",(AE299/AE294)-1)))</f>
        <v/>
      </c>
      <c r="AN299">
        <f>IF(OR(AG299="",AH299=""),"",IF(AND(AG299&gt;0,AH299&gt;0),"Bull",IF(AND(AG299&lt;0,AH299&lt;0),"Bear","Mixed")))</f>
        <v/>
      </c>
      <c r="AO299">
        <f>IF(OR(AK299="",AL299=""),"",IF(AND(AK299&gt;0,AL299&gt;0),"Bull",IF(AND(AK299&lt;0,AL299&lt;0),"Bear","Mixed")))</f>
        <v/>
      </c>
      <c r="AP299">
        <f>IF(OR(AN299="",AO299=""),"",IF(AND(AN299="Bull",AO299="Bull"),"YES","NO"))</f>
        <v/>
      </c>
      <c r="AQ299">
        <f>IF(OR(AN299="",AO299=""),"",IF(AND(AN299="Bear",AO299="Bear"),"YES","NO"))</f>
        <v/>
      </c>
      <c r="AR299">
        <f>IF(AP299="YES",IF(SUM(N(X299),N(Y299),N(Z299))&gt;0,"SOXL","TQQQ"),IF(AQ299="YES",IF(SUM(N(AA299),N(AB299),N(AC299))&gt;0,"SOXS","SQQQ"),"WAIT"))</f>
        <v/>
      </c>
      <c r="AS299">
        <f>IF(AP299="YES",IF(SUM(N(X299),N(Y299),N(Z299))&gt;0,"TQQQ","SOXL"),IF(AQ299="YES",IF(SUM(N(AA299),N(AB299),N(AC299))&gt;0,"SQQQ","SOXS"),""))</f>
        <v/>
      </c>
      <c r="AT299" s="23">
        <f>IF(AR299="WAIT","",IF(AS299="",1,0.6))</f>
        <v/>
      </c>
      <c r="AU299" s="23">
        <f>IF(AS299="",0,0.4)</f>
        <v/>
      </c>
      <c r="AV299">
        <f>IF(AR299="WAIT","WAIT",IF(AP299="YES","BULL",IF(AQ299="YES","BEAR","WAIT")))</f>
        <v/>
      </c>
      <c r="AW299">
        <f>IF(AR299="WAIT","Low",IF(OR(AND(AV299="BULL",ABS(SUM(N(X299),N(Y299),N(Z299)))&gt;=0.15),AND(AV299="BEAR",ABS(SUM(N(AA299),N(AB299),N(AC299)))&gt;=0.15)),"Strong",IF(OR(AND(AV299="BULL",ABS(SUM(N(X299),N(Y299),N(Z299)))&gt;=0.05),AND(AV299="BEAR",ABS(SUM(N(AA299),N(AB299),N(AC299)))&gt;=0.05)),"Moderate","Low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13" t="n"/>
      <c r="AF300" s="23">
        <f>IF(OR(AD300="",AD299=""),"",IF(AD299=0,"",(AD300/AD299)-1))</f>
        <v/>
      </c>
      <c r="AG300" s="23">
        <f>IF(ROW()&lt;7,"",IF(OR(AD300="",AD297=""),"",IF(AD297=0,"",(AD300/AD297)-1)))</f>
        <v/>
      </c>
      <c r="AH300" s="23">
        <f>IF(ROW()&lt;9,"",IF(OR(AD300="",AD295=""),"",IF(AD295=0,"",(AD300/AD295)-1)))</f>
        <v/>
      </c>
      <c r="AJ300" s="23">
        <f>IF(OR(AE300="",AE299=""),"",IF(AE299=0,"",(AE300/AE299)-1))</f>
        <v/>
      </c>
      <c r="AK300" s="23">
        <f>IF(ROW()&lt;7,"",IF(OR(AE300="",AE297=""),"",IF(AE297=0,"",(AE300/AE297)-1)))</f>
        <v/>
      </c>
      <c r="AL300" s="23">
        <f>IF(ROW()&lt;9,"",IF(OR(AE300="",AE295=""),"",IF(AE295=0,"",(AE300/AE295)-1)))</f>
        <v/>
      </c>
      <c r="AN300">
        <f>IF(OR(AG300="",AH300=""),"",IF(AND(AG300&gt;0,AH300&gt;0),"Bull",IF(AND(AG300&lt;0,AH300&lt;0),"Bear","Mixed")))</f>
        <v/>
      </c>
      <c r="AO300">
        <f>IF(OR(AK300="",AL300=""),"",IF(AND(AK300&gt;0,AL300&gt;0),"Bull",IF(AND(AK300&lt;0,AL300&lt;0),"Bear","Mixed")))</f>
        <v/>
      </c>
      <c r="AP300">
        <f>IF(OR(AN300="",AO300=""),"",IF(AND(AN300="Bull",AO300="Bull"),"YES","NO"))</f>
        <v/>
      </c>
      <c r="AQ300">
        <f>IF(OR(AN300="",AO300=""),"",IF(AND(AN300="Bear",AO300="Bear"),"YES","NO"))</f>
        <v/>
      </c>
      <c r="AR300">
        <f>IF(AP300="YES",IF(SUM(N(X300),N(Y300),N(Z300))&gt;0,"SOXL","TQQQ"),IF(AQ300="YES",IF(SUM(N(AA300),N(AB300),N(AC300))&gt;0,"SOXS","SQQQ"),"WAIT"))</f>
        <v/>
      </c>
      <c r="AS300">
        <f>IF(AP300="YES",IF(SUM(N(X300),N(Y300),N(Z300))&gt;0,"TQQQ","SOXL"),IF(AQ300="YES",IF(SUM(N(AA300),N(AB300),N(AC300))&gt;0,"SQQQ","SOXS"),""))</f>
        <v/>
      </c>
      <c r="AT300" s="23">
        <f>IF(AR300="WAIT","",IF(AS300="",1,0.6))</f>
        <v/>
      </c>
      <c r="AU300" s="23">
        <f>IF(AS300="",0,0.4)</f>
        <v/>
      </c>
      <c r="AV300">
        <f>IF(AR300="WAIT","WAIT",IF(AP300="YES","BULL",IF(AQ300="YES","BEAR","WAIT")))</f>
        <v/>
      </c>
      <c r="AW300">
        <f>IF(AR300="WAIT","Low",IF(OR(AND(AV300="BULL",ABS(SUM(N(X300),N(Y300),N(Z300)))&gt;=0.15),AND(AV300="BEAR",ABS(SUM(N(AA300),N(AB300),N(AC300)))&gt;=0.15)),"Strong",IF(OR(AND(AV300="BULL",ABS(SUM(N(X300),N(Y300),N(Z300)))&gt;=0.05),AND(AV300="BEAR",ABS(SUM(N(AA300),N(AB300),N(AC300)))&gt;=0.05)),"Moderate","Low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13" t="n"/>
      <c r="AF301" s="23">
        <f>IF(OR(AD301="",AD300=""),"",IF(AD300=0,"",(AD301/AD300)-1))</f>
        <v/>
      </c>
      <c r="AG301" s="23">
        <f>IF(ROW()&lt;7,"",IF(OR(AD301="",AD298=""),"",IF(AD298=0,"",(AD301/AD298)-1)))</f>
        <v/>
      </c>
      <c r="AH301" s="23">
        <f>IF(ROW()&lt;9,"",IF(OR(AD301="",AD296=""),"",IF(AD296=0,"",(AD301/AD296)-1)))</f>
        <v/>
      </c>
      <c r="AJ301" s="23">
        <f>IF(OR(AE301="",AE300=""),"",IF(AE300=0,"",(AE301/AE300)-1))</f>
        <v/>
      </c>
      <c r="AK301" s="23">
        <f>IF(ROW()&lt;7,"",IF(OR(AE301="",AE298=""),"",IF(AE298=0,"",(AE301/AE298)-1)))</f>
        <v/>
      </c>
      <c r="AL301" s="23">
        <f>IF(ROW()&lt;9,"",IF(OR(AE301="",AE296=""),"",IF(AE296=0,"",(AE301/AE296)-1)))</f>
        <v/>
      </c>
      <c r="AN301">
        <f>IF(OR(AG301="",AH301=""),"",IF(AND(AG301&gt;0,AH301&gt;0),"Bull",IF(AND(AG301&lt;0,AH301&lt;0),"Bear","Mixed")))</f>
        <v/>
      </c>
      <c r="AO301">
        <f>IF(OR(AK301="",AL301=""),"",IF(AND(AK301&gt;0,AL301&gt;0),"Bull",IF(AND(AK301&lt;0,AL301&lt;0),"Bear","Mixed")))</f>
        <v/>
      </c>
      <c r="AP301">
        <f>IF(OR(AN301="",AO301=""),"",IF(AND(AN301="Bull",AO301="Bull"),"YES","NO"))</f>
        <v/>
      </c>
      <c r="AQ301">
        <f>IF(OR(AN301="",AO301=""),"",IF(AND(AN301="Bear",AO301="Bear"),"YES","NO"))</f>
        <v/>
      </c>
      <c r="AR301">
        <f>IF(AP301="YES",IF(SUM(N(X301),N(Y301),N(Z301))&gt;0,"SOXL","TQQQ"),IF(AQ301="YES",IF(SUM(N(AA301),N(AB301),N(AC301))&gt;0,"SOXS","SQQQ"),"WAIT"))</f>
        <v/>
      </c>
      <c r="AS301">
        <f>IF(AP301="YES",IF(SUM(N(X301),N(Y301),N(Z301))&gt;0,"TQQQ","SOXL"),IF(AQ301="YES",IF(SUM(N(AA301),N(AB301),N(AC301))&gt;0,"SQQQ","SOXS"),""))</f>
        <v/>
      </c>
      <c r="AT301" s="23">
        <f>IF(AR301="WAIT","",IF(AS301="",1,0.6))</f>
        <v/>
      </c>
      <c r="AU301" s="23">
        <f>IF(AS301="",0,0.4)</f>
        <v/>
      </c>
      <c r="AV301">
        <f>IF(AR301="WAIT","WAIT",IF(AP301="YES","BULL",IF(AQ301="YES","BEAR","WAIT")))</f>
        <v/>
      </c>
      <c r="AW301">
        <f>IF(AR301="WAIT","Low",IF(OR(AND(AV301="BULL",ABS(SUM(N(X301),N(Y301),N(Z301)))&gt;=0.15),AND(AV301="BEAR",ABS(SUM(N(AA301),N(AB301),N(AC301)))&gt;=0.15)),"Strong",IF(OR(AND(AV301="BULL",ABS(SUM(N(X301),N(Y301),N(Z301)))&gt;=0.05),AND(AV301="BEAR",ABS(SUM(N(AA301),N(AB301),N(AC301)))&gt;=0.05)),"Moderate","Low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13" t="n"/>
      <c r="AF302" s="23">
        <f>IF(OR(AD302="",AD301=""),"",IF(AD301=0,"",(AD302/AD301)-1))</f>
        <v/>
      </c>
      <c r="AG302" s="23">
        <f>IF(ROW()&lt;7,"",IF(OR(AD302="",AD299=""),"",IF(AD299=0,"",(AD302/AD299)-1)))</f>
        <v/>
      </c>
      <c r="AH302" s="23">
        <f>IF(ROW()&lt;9,"",IF(OR(AD302="",AD297=""),"",IF(AD297=0,"",(AD302/AD297)-1)))</f>
        <v/>
      </c>
      <c r="AJ302" s="23">
        <f>IF(OR(AE302="",AE301=""),"",IF(AE301=0,"",(AE302/AE301)-1))</f>
        <v/>
      </c>
      <c r="AK302" s="23">
        <f>IF(ROW()&lt;7,"",IF(OR(AE302="",AE299=""),"",IF(AE299=0,"",(AE302/AE299)-1)))</f>
        <v/>
      </c>
      <c r="AL302" s="23">
        <f>IF(ROW()&lt;9,"",IF(OR(AE302="",AE297=""),"",IF(AE297=0,"",(AE302/AE297)-1)))</f>
        <v/>
      </c>
      <c r="AN302">
        <f>IF(OR(AG302="",AH302=""),"",IF(AND(AG302&gt;0,AH302&gt;0),"Bull",IF(AND(AG302&lt;0,AH302&lt;0),"Bear","Mixed")))</f>
        <v/>
      </c>
      <c r="AO302">
        <f>IF(OR(AK302="",AL302=""),"",IF(AND(AK302&gt;0,AL302&gt;0),"Bull",IF(AND(AK302&lt;0,AL302&lt;0),"Bear","Mixed")))</f>
        <v/>
      </c>
      <c r="AP302">
        <f>IF(OR(AN302="",AO302=""),"",IF(AND(AN302="Bull",AO302="Bull"),"YES","NO"))</f>
        <v/>
      </c>
      <c r="AQ302">
        <f>IF(OR(AN302="",AO302=""),"",IF(AND(AN302="Bear",AO302="Bear"),"YES","NO"))</f>
        <v/>
      </c>
      <c r="AR302">
        <f>IF(AP302="YES",IF(SUM(N(X302),N(Y302),N(Z302))&gt;0,"SOXL","TQQQ"),IF(AQ302="YES",IF(SUM(N(AA302),N(AB302),N(AC302))&gt;0,"SOXS","SQQQ"),"WAIT"))</f>
        <v/>
      </c>
      <c r="AS302">
        <f>IF(AP302="YES",IF(SUM(N(X302),N(Y302),N(Z302))&gt;0,"TQQQ","SOXL"),IF(AQ302="YES",IF(SUM(N(AA302),N(AB302),N(AC302))&gt;0,"SQQQ","SOXS"),""))</f>
        <v/>
      </c>
      <c r="AT302" s="23">
        <f>IF(AR302="WAIT","",IF(AS302="",1,0.6))</f>
        <v/>
      </c>
      <c r="AU302" s="23">
        <f>IF(AS302="",0,0.4)</f>
        <v/>
      </c>
      <c r="AV302">
        <f>IF(AR302="WAIT","WAIT",IF(AP302="YES","BULL",IF(AQ302="YES","BEAR","WAIT")))</f>
        <v/>
      </c>
      <c r="AW302">
        <f>IF(AR302="WAIT","Low",IF(OR(AND(AV302="BULL",ABS(SUM(N(X302),N(Y302),N(Z302)))&gt;=0.15),AND(AV302="BEAR",ABS(SUM(N(AA302),N(AB302),N(AC302)))&gt;=0.15)),"Strong",IF(OR(AND(AV302="BULL",ABS(SUM(N(X302),N(Y302),N(Z302)))&gt;=0.05),AND(AV302="BEAR",ABS(SUM(N(AA302),N(AB302),N(AC302)))&gt;=0.05)),"Moderate","Low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13" t="n"/>
      <c r="AF303" s="23">
        <f>IF(OR(AD303="",AD302=""),"",IF(AD302=0,"",(AD303/AD302)-1))</f>
        <v/>
      </c>
      <c r="AG303" s="23">
        <f>IF(ROW()&lt;7,"",IF(OR(AD303="",AD300=""),"",IF(AD300=0,"",(AD303/AD300)-1)))</f>
        <v/>
      </c>
      <c r="AH303" s="23">
        <f>IF(ROW()&lt;9,"",IF(OR(AD303="",AD298=""),"",IF(AD298=0,"",(AD303/AD298)-1)))</f>
        <v/>
      </c>
      <c r="AJ303" s="23">
        <f>IF(OR(AE303="",AE302=""),"",IF(AE302=0,"",(AE303/AE302)-1))</f>
        <v/>
      </c>
      <c r="AK303" s="23">
        <f>IF(ROW()&lt;7,"",IF(OR(AE303="",AE300=""),"",IF(AE300=0,"",(AE303/AE300)-1)))</f>
        <v/>
      </c>
      <c r="AL303" s="23">
        <f>IF(ROW()&lt;9,"",IF(OR(AE303="",AE298=""),"",IF(AE298=0,"",(AE303/AE298)-1)))</f>
        <v/>
      </c>
      <c r="AN303">
        <f>IF(OR(AG303="",AH303=""),"",IF(AND(AG303&gt;0,AH303&gt;0),"Bull",IF(AND(AG303&lt;0,AH303&lt;0),"Bear","Mixed")))</f>
        <v/>
      </c>
      <c r="AO303">
        <f>IF(OR(AK303="",AL303=""),"",IF(AND(AK303&gt;0,AL303&gt;0),"Bull",IF(AND(AK303&lt;0,AL303&lt;0),"Bear","Mixed")))</f>
        <v/>
      </c>
      <c r="AP303">
        <f>IF(OR(AN303="",AO303=""),"",IF(AND(AN303="Bull",AO303="Bull"),"YES","NO"))</f>
        <v/>
      </c>
      <c r="AQ303">
        <f>IF(OR(AN303="",AO303=""),"",IF(AND(AN303="Bear",AO303="Bear"),"YES","NO"))</f>
        <v/>
      </c>
      <c r="AR303">
        <f>IF(AP303="YES",IF(SUM(N(X303),N(Y303),N(Z303))&gt;0,"SOXL","TQQQ"),IF(AQ303="YES",IF(SUM(N(AA303),N(AB303),N(AC303))&gt;0,"SOXS","SQQQ"),"WAIT"))</f>
        <v/>
      </c>
      <c r="AS303">
        <f>IF(AP303="YES",IF(SUM(N(X303),N(Y303),N(Z303))&gt;0,"TQQQ","SOXL"),IF(AQ303="YES",IF(SUM(N(AA303),N(AB303),N(AC303))&gt;0,"SQQQ","SOXS"),""))</f>
        <v/>
      </c>
      <c r="AT303" s="23">
        <f>IF(AR303="WAIT","",IF(AS303="",1,0.6))</f>
        <v/>
      </c>
      <c r="AU303" s="23">
        <f>IF(AS303="",0,0.4)</f>
        <v/>
      </c>
      <c r="AV303">
        <f>IF(AR303="WAIT","WAIT",IF(AP303="YES","BULL",IF(AQ303="YES","BEAR","WAIT")))</f>
        <v/>
      </c>
      <c r="AW303">
        <f>IF(AR303="WAIT","Low",IF(OR(AND(AV303="BULL",ABS(SUM(N(X303),N(Y303),N(Z303)))&gt;=0.15),AND(AV303="BEAR",ABS(SUM(N(AA303),N(AB303),N(AC303)))&gt;=0.15)),"Strong",IF(OR(AND(AV303="BULL",ABS(SUM(N(X303),N(Y303),N(Z303)))&gt;=0.05),AND(AV303="BEAR",ABS(SUM(N(AA303),N(AB303),N(AC303)))&gt;=0.05)),"Moderate","Low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13" t="n"/>
      <c r="AF304" s="23">
        <f>IF(OR(AD304="",AD303=""),"",IF(AD303=0,"",(AD304/AD303)-1))</f>
        <v/>
      </c>
      <c r="AG304" s="23">
        <f>IF(ROW()&lt;7,"",IF(OR(AD304="",AD301=""),"",IF(AD301=0,"",(AD304/AD301)-1)))</f>
        <v/>
      </c>
      <c r="AH304" s="23">
        <f>IF(ROW()&lt;9,"",IF(OR(AD304="",AD299=""),"",IF(AD299=0,"",(AD304/AD299)-1)))</f>
        <v/>
      </c>
      <c r="AJ304" s="23">
        <f>IF(OR(AE304="",AE303=""),"",IF(AE303=0,"",(AE304/AE303)-1))</f>
        <v/>
      </c>
      <c r="AK304" s="23">
        <f>IF(ROW()&lt;7,"",IF(OR(AE304="",AE301=""),"",IF(AE301=0,"",(AE304/AE301)-1)))</f>
        <v/>
      </c>
      <c r="AL304" s="23">
        <f>IF(ROW()&lt;9,"",IF(OR(AE304="",AE299=""),"",IF(AE299=0,"",(AE304/AE299)-1)))</f>
        <v/>
      </c>
      <c r="AN304">
        <f>IF(OR(AG304="",AH304=""),"",IF(AND(AG304&gt;0,AH304&gt;0),"Bull",IF(AND(AG304&lt;0,AH304&lt;0),"Bear","Mixed")))</f>
        <v/>
      </c>
      <c r="AO304">
        <f>IF(OR(AK304="",AL304=""),"",IF(AND(AK304&gt;0,AL304&gt;0),"Bull",IF(AND(AK304&lt;0,AL304&lt;0),"Bear","Mixed")))</f>
        <v/>
      </c>
      <c r="AP304">
        <f>IF(OR(AN304="",AO304=""),"",IF(AND(AN304="Bull",AO304="Bull"),"YES","NO"))</f>
        <v/>
      </c>
      <c r="AQ304">
        <f>IF(OR(AN304="",AO304=""),"",IF(AND(AN304="Bear",AO304="Bear"),"YES","NO"))</f>
        <v/>
      </c>
      <c r="AR304">
        <f>IF(AP304="YES",IF(SUM(N(X304),N(Y304),N(Z304))&gt;0,"SOXL","TQQQ"),IF(AQ304="YES",IF(SUM(N(AA304),N(AB304),N(AC304))&gt;0,"SOXS","SQQQ"),"WAIT"))</f>
        <v/>
      </c>
      <c r="AS304">
        <f>IF(AP304="YES",IF(SUM(N(X304),N(Y304),N(Z304))&gt;0,"TQQQ","SOXL"),IF(AQ304="YES",IF(SUM(N(AA304),N(AB304),N(AC304))&gt;0,"SQQQ","SOXS"),""))</f>
        <v/>
      </c>
      <c r="AT304" s="23">
        <f>IF(AR304="WAIT","",IF(AS304="",1,0.6))</f>
        <v/>
      </c>
      <c r="AU304" s="23">
        <f>IF(AS304="",0,0.4)</f>
        <v/>
      </c>
      <c r="AV304">
        <f>IF(AR304="WAIT","WAIT",IF(AP304="YES","BULL",IF(AQ304="YES","BEAR","WAIT")))</f>
        <v/>
      </c>
      <c r="AW304">
        <f>IF(AR304="WAIT","Low",IF(OR(AND(AV304="BULL",ABS(SUM(N(X304),N(Y304),N(Z304)))&gt;=0.15),AND(AV304="BEAR",ABS(SUM(N(AA304),N(AB304),N(AC304)))&gt;=0.15)),"Strong",IF(OR(AND(AV304="BULL",ABS(SUM(N(X304),N(Y304),N(Z304)))&gt;=0.05),AND(AV304="BEAR",ABS(SUM(N(AA304),N(AB304),N(AC304)))&gt;=0.05)),"Moderate","Low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13" t="n"/>
      <c r="AF305" s="23">
        <f>IF(OR(AD305="",AD304=""),"",IF(AD304=0,"",(AD305/AD304)-1))</f>
        <v/>
      </c>
      <c r="AG305" s="23">
        <f>IF(ROW()&lt;7,"",IF(OR(AD305="",AD302=""),"",IF(AD302=0,"",(AD305/AD302)-1)))</f>
        <v/>
      </c>
      <c r="AH305" s="23">
        <f>IF(ROW()&lt;9,"",IF(OR(AD305="",AD300=""),"",IF(AD300=0,"",(AD305/AD300)-1)))</f>
        <v/>
      </c>
      <c r="AJ305" s="23">
        <f>IF(OR(AE305="",AE304=""),"",IF(AE304=0,"",(AE305/AE304)-1))</f>
        <v/>
      </c>
      <c r="AK305" s="23">
        <f>IF(ROW()&lt;7,"",IF(OR(AE305="",AE302=""),"",IF(AE302=0,"",(AE305/AE302)-1)))</f>
        <v/>
      </c>
      <c r="AL305" s="23">
        <f>IF(ROW()&lt;9,"",IF(OR(AE305="",AE300=""),"",IF(AE300=0,"",(AE305/AE300)-1)))</f>
        <v/>
      </c>
      <c r="AN305">
        <f>IF(OR(AG305="",AH305=""),"",IF(AND(AG305&gt;0,AH305&gt;0),"Bull",IF(AND(AG305&lt;0,AH305&lt;0),"Bear","Mixed")))</f>
        <v/>
      </c>
      <c r="AO305">
        <f>IF(OR(AK305="",AL305=""),"",IF(AND(AK305&gt;0,AL305&gt;0),"Bull",IF(AND(AK305&lt;0,AL305&lt;0),"Bear","Mixed")))</f>
        <v/>
      </c>
      <c r="AP305">
        <f>IF(OR(AN305="",AO305=""),"",IF(AND(AN305="Bull",AO305="Bull"),"YES","NO"))</f>
        <v/>
      </c>
      <c r="AQ305">
        <f>IF(OR(AN305="",AO305=""),"",IF(AND(AN305="Bear",AO305="Bear"),"YES","NO"))</f>
        <v/>
      </c>
      <c r="AR305">
        <f>IF(AP305="YES",IF(SUM(N(X305),N(Y305),N(Z305))&gt;0,"SOXL","TQQQ"),IF(AQ305="YES",IF(SUM(N(AA305),N(AB305),N(AC305))&gt;0,"SOXS","SQQQ"),"WAIT"))</f>
        <v/>
      </c>
      <c r="AS305">
        <f>IF(AP305="YES",IF(SUM(N(X305),N(Y305),N(Z305))&gt;0,"TQQQ","SOXL"),IF(AQ305="YES",IF(SUM(N(AA305),N(AB305),N(AC305))&gt;0,"SQQQ","SOXS"),""))</f>
        <v/>
      </c>
      <c r="AT305" s="23">
        <f>IF(AR305="WAIT","",IF(AS305="",1,0.6))</f>
        <v/>
      </c>
      <c r="AU305" s="23">
        <f>IF(AS305="",0,0.4)</f>
        <v/>
      </c>
      <c r="AV305">
        <f>IF(AR305="WAIT","WAIT",IF(AP305="YES","BULL",IF(AQ305="YES","BEAR","WAIT")))</f>
        <v/>
      </c>
      <c r="AW305">
        <f>IF(AR305="WAIT","Low",IF(OR(AND(AV305="BULL",ABS(SUM(N(X305),N(Y305),N(Z305)))&gt;=0.15),AND(AV305="BEAR",ABS(SUM(N(AA305),N(AB305),N(AC305)))&gt;=0.15)),"Strong",IF(OR(AND(AV305="BULL",ABS(SUM(N(X305),N(Y305),N(Z305)))&gt;=0.05),AND(AV305="BEAR",ABS(SUM(N(AA305),N(AB305),N(AC305)))&gt;=0.05)),"Moderate","Low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13" t="n"/>
      <c r="AF306" s="23">
        <f>IF(OR(AD306="",AD305=""),"",IF(AD305=0,"",(AD306/AD305)-1))</f>
        <v/>
      </c>
      <c r="AG306" s="23">
        <f>IF(ROW()&lt;7,"",IF(OR(AD306="",AD303=""),"",IF(AD303=0,"",(AD306/AD303)-1)))</f>
        <v/>
      </c>
      <c r="AH306" s="23">
        <f>IF(ROW()&lt;9,"",IF(OR(AD306="",AD301=""),"",IF(AD301=0,"",(AD306/AD301)-1)))</f>
        <v/>
      </c>
      <c r="AJ306" s="23">
        <f>IF(OR(AE306="",AE305=""),"",IF(AE305=0,"",(AE306/AE305)-1))</f>
        <v/>
      </c>
      <c r="AK306" s="23">
        <f>IF(ROW()&lt;7,"",IF(OR(AE306="",AE303=""),"",IF(AE303=0,"",(AE306/AE303)-1)))</f>
        <v/>
      </c>
      <c r="AL306" s="23">
        <f>IF(ROW()&lt;9,"",IF(OR(AE306="",AE301=""),"",IF(AE301=0,"",(AE306/AE301)-1)))</f>
        <v/>
      </c>
      <c r="AN306">
        <f>IF(OR(AG306="",AH306=""),"",IF(AND(AG306&gt;0,AH306&gt;0),"Bull",IF(AND(AG306&lt;0,AH306&lt;0),"Bear","Mixed")))</f>
        <v/>
      </c>
      <c r="AO306">
        <f>IF(OR(AK306="",AL306=""),"",IF(AND(AK306&gt;0,AL306&gt;0),"Bull",IF(AND(AK306&lt;0,AL306&lt;0),"Bear","Mixed")))</f>
        <v/>
      </c>
      <c r="AP306">
        <f>IF(OR(AN306="",AO306=""),"",IF(AND(AN306="Bull",AO306="Bull"),"YES","NO"))</f>
        <v/>
      </c>
      <c r="AQ306">
        <f>IF(OR(AN306="",AO306=""),"",IF(AND(AN306="Bear",AO306="Bear"),"YES","NO"))</f>
        <v/>
      </c>
      <c r="AR306">
        <f>IF(AP306="YES",IF(SUM(N(X306),N(Y306),N(Z306))&gt;0,"SOXL","TQQQ"),IF(AQ306="YES",IF(SUM(N(AA306),N(AB306),N(AC306))&gt;0,"SOXS","SQQQ"),"WAIT"))</f>
        <v/>
      </c>
      <c r="AS306">
        <f>IF(AP306="YES",IF(SUM(N(X306),N(Y306),N(Z306))&gt;0,"TQQQ","SOXL"),IF(AQ306="YES",IF(SUM(N(AA306),N(AB306),N(AC306))&gt;0,"SQQQ","SOXS"),""))</f>
        <v/>
      </c>
      <c r="AT306" s="23">
        <f>IF(AR306="WAIT","",IF(AS306="",1,0.6))</f>
        <v/>
      </c>
      <c r="AU306" s="23">
        <f>IF(AS306="",0,0.4)</f>
        <v/>
      </c>
      <c r="AV306">
        <f>IF(AR306="WAIT","WAIT",IF(AP306="YES","BULL",IF(AQ306="YES","BEAR","WAIT")))</f>
        <v/>
      </c>
      <c r="AW306">
        <f>IF(AR306="WAIT","Low",IF(OR(AND(AV306="BULL",ABS(SUM(N(X306),N(Y306),N(Z306)))&gt;=0.15),AND(AV306="BEAR",ABS(SUM(N(AA306),N(AB306),N(AC306)))&gt;=0.15)),"Strong",IF(OR(AND(AV306="BULL",ABS(SUM(N(X306),N(Y306),N(Z306)))&gt;=0.05),AND(AV306="BEAR",ABS(SUM(N(AA306),N(AB306),N(AC306)))&gt;=0.05)),"Moderate","Low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13" t="n"/>
      <c r="AF307" s="23">
        <f>IF(OR(AD307="",AD306=""),"",IF(AD306=0,"",(AD307/AD306)-1))</f>
        <v/>
      </c>
      <c r="AG307" s="23">
        <f>IF(ROW()&lt;7,"",IF(OR(AD307="",AD304=""),"",IF(AD304=0,"",(AD307/AD304)-1)))</f>
        <v/>
      </c>
      <c r="AH307" s="23">
        <f>IF(ROW()&lt;9,"",IF(OR(AD307="",AD302=""),"",IF(AD302=0,"",(AD307/AD302)-1)))</f>
        <v/>
      </c>
      <c r="AJ307" s="23">
        <f>IF(OR(AE307="",AE306=""),"",IF(AE306=0,"",(AE307/AE306)-1))</f>
        <v/>
      </c>
      <c r="AK307" s="23">
        <f>IF(ROW()&lt;7,"",IF(OR(AE307="",AE304=""),"",IF(AE304=0,"",(AE307/AE304)-1)))</f>
        <v/>
      </c>
      <c r="AL307" s="23">
        <f>IF(ROW()&lt;9,"",IF(OR(AE307="",AE302=""),"",IF(AE302=0,"",(AE307/AE302)-1)))</f>
        <v/>
      </c>
      <c r="AN307">
        <f>IF(OR(AG307="",AH307=""),"",IF(AND(AG307&gt;0,AH307&gt;0),"Bull",IF(AND(AG307&lt;0,AH307&lt;0),"Bear","Mixed")))</f>
        <v/>
      </c>
      <c r="AO307">
        <f>IF(OR(AK307="",AL307=""),"",IF(AND(AK307&gt;0,AL307&gt;0),"Bull",IF(AND(AK307&lt;0,AL307&lt;0),"Bear","Mixed")))</f>
        <v/>
      </c>
      <c r="AP307">
        <f>IF(OR(AN307="",AO307=""),"",IF(AND(AN307="Bull",AO307="Bull"),"YES","NO"))</f>
        <v/>
      </c>
      <c r="AQ307">
        <f>IF(OR(AN307="",AO307=""),"",IF(AND(AN307="Bear",AO307="Bear"),"YES","NO"))</f>
        <v/>
      </c>
      <c r="AR307">
        <f>IF(AP307="YES",IF(SUM(N(X307),N(Y307),N(Z307))&gt;0,"SOXL","TQQQ"),IF(AQ307="YES",IF(SUM(N(AA307),N(AB307),N(AC307))&gt;0,"SOXS","SQQQ"),"WAIT"))</f>
        <v/>
      </c>
      <c r="AS307">
        <f>IF(AP307="YES",IF(SUM(N(X307),N(Y307),N(Z307))&gt;0,"TQQQ","SOXL"),IF(AQ307="YES",IF(SUM(N(AA307),N(AB307),N(AC307))&gt;0,"SQQQ","SOXS"),""))</f>
        <v/>
      </c>
      <c r="AT307" s="23">
        <f>IF(AR307="WAIT","",IF(AS307="",1,0.6))</f>
        <v/>
      </c>
      <c r="AU307" s="23">
        <f>IF(AS307="",0,0.4)</f>
        <v/>
      </c>
      <c r="AV307">
        <f>IF(AR307="WAIT","WAIT",IF(AP307="YES","BULL",IF(AQ307="YES","BEAR","WAIT")))</f>
        <v/>
      </c>
      <c r="AW307">
        <f>IF(AR307="WAIT","Low",IF(OR(AND(AV307="BULL",ABS(SUM(N(X307),N(Y307),N(Z307)))&gt;=0.15),AND(AV307="BEAR",ABS(SUM(N(AA307),N(AB307),N(AC307)))&gt;=0.15)),"Strong",IF(OR(AND(AV307="BULL",ABS(SUM(N(X307),N(Y307),N(Z307)))&gt;=0.05),AND(AV307="BEAR",ABS(SUM(N(AA307),N(AB307),N(AC307)))&gt;=0.05)),"Moderate","Low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13" t="n"/>
      <c r="AF308" s="23">
        <f>IF(OR(AD308="",AD307=""),"",IF(AD307=0,"",(AD308/AD307)-1))</f>
        <v/>
      </c>
      <c r="AG308" s="23">
        <f>IF(ROW()&lt;7,"",IF(OR(AD308="",AD305=""),"",IF(AD305=0,"",(AD308/AD305)-1)))</f>
        <v/>
      </c>
      <c r="AH308" s="23">
        <f>IF(ROW()&lt;9,"",IF(OR(AD308="",AD303=""),"",IF(AD303=0,"",(AD308/AD303)-1)))</f>
        <v/>
      </c>
      <c r="AJ308" s="23">
        <f>IF(OR(AE308="",AE307=""),"",IF(AE307=0,"",(AE308/AE307)-1))</f>
        <v/>
      </c>
      <c r="AK308" s="23">
        <f>IF(ROW()&lt;7,"",IF(OR(AE308="",AE305=""),"",IF(AE305=0,"",(AE308/AE305)-1)))</f>
        <v/>
      </c>
      <c r="AL308" s="23">
        <f>IF(ROW()&lt;9,"",IF(OR(AE308="",AE303=""),"",IF(AE303=0,"",(AE308/AE303)-1)))</f>
        <v/>
      </c>
      <c r="AN308">
        <f>IF(OR(AG308="",AH308=""),"",IF(AND(AG308&gt;0,AH308&gt;0),"Bull",IF(AND(AG308&lt;0,AH308&lt;0),"Bear","Mixed")))</f>
        <v/>
      </c>
      <c r="AO308">
        <f>IF(OR(AK308="",AL308=""),"",IF(AND(AK308&gt;0,AL308&gt;0),"Bull",IF(AND(AK308&lt;0,AL308&lt;0),"Bear","Mixed")))</f>
        <v/>
      </c>
      <c r="AP308">
        <f>IF(OR(AN308="",AO308=""),"",IF(AND(AN308="Bull",AO308="Bull"),"YES","NO"))</f>
        <v/>
      </c>
      <c r="AQ308">
        <f>IF(OR(AN308="",AO308=""),"",IF(AND(AN308="Bear",AO308="Bear"),"YES","NO"))</f>
        <v/>
      </c>
      <c r="AR308">
        <f>IF(AP308="YES",IF(SUM(N(X308),N(Y308),N(Z308))&gt;0,"SOXL","TQQQ"),IF(AQ308="YES",IF(SUM(N(AA308),N(AB308),N(AC308))&gt;0,"SOXS","SQQQ"),"WAIT"))</f>
        <v/>
      </c>
      <c r="AS308">
        <f>IF(AP308="YES",IF(SUM(N(X308),N(Y308),N(Z308))&gt;0,"TQQQ","SOXL"),IF(AQ308="YES",IF(SUM(N(AA308),N(AB308),N(AC308))&gt;0,"SQQQ","SOXS"),""))</f>
        <v/>
      </c>
      <c r="AT308" s="23">
        <f>IF(AR308="WAIT","",IF(AS308="",1,0.6))</f>
        <v/>
      </c>
      <c r="AU308" s="23">
        <f>IF(AS308="",0,0.4)</f>
        <v/>
      </c>
      <c r="AV308">
        <f>IF(AR308="WAIT","WAIT",IF(AP308="YES","BULL",IF(AQ308="YES","BEAR","WAIT")))</f>
        <v/>
      </c>
      <c r="AW308">
        <f>IF(AR308="WAIT","Low",IF(OR(AND(AV308="BULL",ABS(SUM(N(X308),N(Y308),N(Z308)))&gt;=0.15),AND(AV308="BEAR",ABS(SUM(N(AA308),N(AB308),N(AC308)))&gt;=0.15)),"Strong",IF(OR(AND(AV308="BULL",ABS(SUM(N(X308),N(Y308),N(Z308)))&gt;=0.05),AND(AV308="BEAR",ABS(SUM(N(AA308),N(AB308),N(AC308)))&gt;=0.05)),"Moderate","Low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13" t="n"/>
      <c r="AF309" s="23">
        <f>IF(OR(AD309="",AD308=""),"",IF(AD308=0,"",(AD309/AD308)-1))</f>
        <v/>
      </c>
      <c r="AG309" s="23">
        <f>IF(ROW()&lt;7,"",IF(OR(AD309="",AD306=""),"",IF(AD306=0,"",(AD309/AD306)-1)))</f>
        <v/>
      </c>
      <c r="AH309" s="23">
        <f>IF(ROW()&lt;9,"",IF(OR(AD309="",AD304=""),"",IF(AD304=0,"",(AD309/AD304)-1)))</f>
        <v/>
      </c>
      <c r="AJ309" s="23">
        <f>IF(OR(AE309="",AE308=""),"",IF(AE308=0,"",(AE309/AE308)-1))</f>
        <v/>
      </c>
      <c r="AK309" s="23">
        <f>IF(ROW()&lt;7,"",IF(OR(AE309="",AE306=""),"",IF(AE306=0,"",(AE309/AE306)-1)))</f>
        <v/>
      </c>
      <c r="AL309" s="23">
        <f>IF(ROW()&lt;9,"",IF(OR(AE309="",AE304=""),"",IF(AE304=0,"",(AE309/AE304)-1)))</f>
        <v/>
      </c>
      <c r="AN309">
        <f>IF(OR(AG309="",AH309=""),"",IF(AND(AG309&gt;0,AH309&gt;0),"Bull",IF(AND(AG309&lt;0,AH309&lt;0),"Bear","Mixed")))</f>
        <v/>
      </c>
      <c r="AO309">
        <f>IF(OR(AK309="",AL309=""),"",IF(AND(AK309&gt;0,AL309&gt;0),"Bull",IF(AND(AK309&lt;0,AL309&lt;0),"Bear","Mixed")))</f>
        <v/>
      </c>
      <c r="AP309">
        <f>IF(OR(AN309="",AO309=""),"",IF(AND(AN309="Bull",AO309="Bull"),"YES","NO"))</f>
        <v/>
      </c>
      <c r="AQ309">
        <f>IF(OR(AN309="",AO309=""),"",IF(AND(AN309="Bear",AO309="Bear"),"YES","NO"))</f>
        <v/>
      </c>
      <c r="AR309">
        <f>IF(AP309="YES",IF(SUM(N(X309),N(Y309),N(Z309))&gt;0,"SOXL","TQQQ"),IF(AQ309="YES",IF(SUM(N(AA309),N(AB309),N(AC309))&gt;0,"SOXS","SQQQ"),"WAIT"))</f>
        <v/>
      </c>
      <c r="AS309">
        <f>IF(AP309="YES",IF(SUM(N(X309),N(Y309),N(Z309))&gt;0,"TQQQ","SOXL"),IF(AQ309="YES",IF(SUM(N(AA309),N(AB309),N(AC309))&gt;0,"SQQQ","SOXS"),""))</f>
        <v/>
      </c>
      <c r="AT309" s="23">
        <f>IF(AR309="WAIT","",IF(AS309="",1,0.6))</f>
        <v/>
      </c>
      <c r="AU309" s="23">
        <f>IF(AS309="",0,0.4)</f>
        <v/>
      </c>
      <c r="AV309">
        <f>IF(AR309="WAIT","WAIT",IF(AP309="YES","BULL",IF(AQ309="YES","BEAR","WAIT")))</f>
        <v/>
      </c>
      <c r="AW309">
        <f>IF(AR309="WAIT","Low",IF(OR(AND(AV309="BULL",ABS(SUM(N(X309),N(Y309),N(Z309)))&gt;=0.15),AND(AV309="BEAR",ABS(SUM(N(AA309),N(AB309),N(AC309)))&gt;=0.15)),"Strong",IF(OR(AND(AV309="BULL",ABS(SUM(N(X309),N(Y309),N(Z309)))&gt;=0.05),AND(AV309="BEAR",ABS(SUM(N(AA309),N(AB309),N(AC309)))&gt;=0.05)),"Moderate","Low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13" t="n"/>
      <c r="AF310" s="23">
        <f>IF(OR(AD310="",AD309=""),"",IF(AD309=0,"",(AD310/AD309)-1))</f>
        <v/>
      </c>
      <c r="AG310" s="23">
        <f>IF(ROW()&lt;7,"",IF(OR(AD310="",AD307=""),"",IF(AD307=0,"",(AD310/AD307)-1)))</f>
        <v/>
      </c>
      <c r="AH310" s="23">
        <f>IF(ROW()&lt;9,"",IF(OR(AD310="",AD305=""),"",IF(AD305=0,"",(AD310/AD305)-1)))</f>
        <v/>
      </c>
      <c r="AJ310" s="23">
        <f>IF(OR(AE310="",AE309=""),"",IF(AE309=0,"",(AE310/AE309)-1))</f>
        <v/>
      </c>
      <c r="AK310" s="23">
        <f>IF(ROW()&lt;7,"",IF(OR(AE310="",AE307=""),"",IF(AE307=0,"",(AE310/AE307)-1)))</f>
        <v/>
      </c>
      <c r="AL310" s="23">
        <f>IF(ROW()&lt;9,"",IF(OR(AE310="",AE305=""),"",IF(AE305=0,"",(AE310/AE305)-1)))</f>
        <v/>
      </c>
      <c r="AN310">
        <f>IF(OR(AG310="",AH310=""),"",IF(AND(AG310&gt;0,AH310&gt;0),"Bull",IF(AND(AG310&lt;0,AH310&lt;0),"Bear","Mixed")))</f>
        <v/>
      </c>
      <c r="AO310">
        <f>IF(OR(AK310="",AL310=""),"",IF(AND(AK310&gt;0,AL310&gt;0),"Bull",IF(AND(AK310&lt;0,AL310&lt;0),"Bear","Mixed")))</f>
        <v/>
      </c>
      <c r="AP310">
        <f>IF(OR(AN310="",AO310=""),"",IF(AND(AN310="Bull",AO310="Bull"),"YES","NO"))</f>
        <v/>
      </c>
      <c r="AQ310">
        <f>IF(OR(AN310="",AO310=""),"",IF(AND(AN310="Bear",AO310="Bear"),"YES","NO"))</f>
        <v/>
      </c>
      <c r="AR310">
        <f>IF(AP310="YES",IF(SUM(N(X310),N(Y310),N(Z310))&gt;0,"SOXL","TQQQ"),IF(AQ310="YES",IF(SUM(N(AA310),N(AB310),N(AC310))&gt;0,"SOXS","SQQQ"),"WAIT"))</f>
        <v/>
      </c>
      <c r="AS310">
        <f>IF(AP310="YES",IF(SUM(N(X310),N(Y310),N(Z310))&gt;0,"TQQQ","SOXL"),IF(AQ310="YES",IF(SUM(N(AA310),N(AB310),N(AC310))&gt;0,"SQQQ","SOXS"),""))</f>
        <v/>
      </c>
      <c r="AT310" s="23">
        <f>IF(AR310="WAIT","",IF(AS310="",1,0.6))</f>
        <v/>
      </c>
      <c r="AU310" s="23">
        <f>IF(AS310="",0,0.4)</f>
        <v/>
      </c>
      <c r="AV310">
        <f>IF(AR310="WAIT","WAIT",IF(AP310="YES","BULL",IF(AQ310="YES","BEAR","WAIT")))</f>
        <v/>
      </c>
      <c r="AW310">
        <f>IF(AR310="WAIT","Low",IF(OR(AND(AV310="BULL",ABS(SUM(N(X310),N(Y310),N(Z310)))&gt;=0.15),AND(AV310="BEAR",ABS(SUM(N(AA310),N(AB310),N(AC310)))&gt;=0.15)),"Strong",IF(OR(AND(AV310="BULL",ABS(SUM(N(X310),N(Y310),N(Z310)))&gt;=0.05),AND(AV310="BEAR",ABS(SUM(N(AA310),N(AB310),N(AC310)))&gt;=0.05)),"Moderate","Low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13" t="n"/>
      <c r="AF311" s="23">
        <f>IF(OR(AD311="",AD310=""),"",IF(AD310=0,"",(AD311/AD310)-1))</f>
        <v/>
      </c>
      <c r="AG311" s="23">
        <f>IF(ROW()&lt;7,"",IF(OR(AD311="",AD308=""),"",IF(AD308=0,"",(AD311/AD308)-1)))</f>
        <v/>
      </c>
      <c r="AH311" s="23">
        <f>IF(ROW()&lt;9,"",IF(OR(AD311="",AD306=""),"",IF(AD306=0,"",(AD311/AD306)-1)))</f>
        <v/>
      </c>
      <c r="AJ311" s="23">
        <f>IF(OR(AE311="",AE310=""),"",IF(AE310=0,"",(AE311/AE310)-1))</f>
        <v/>
      </c>
      <c r="AK311" s="23">
        <f>IF(ROW()&lt;7,"",IF(OR(AE311="",AE308=""),"",IF(AE308=0,"",(AE311/AE308)-1)))</f>
        <v/>
      </c>
      <c r="AL311" s="23">
        <f>IF(ROW()&lt;9,"",IF(OR(AE311="",AE306=""),"",IF(AE306=0,"",(AE311/AE306)-1)))</f>
        <v/>
      </c>
      <c r="AN311">
        <f>IF(OR(AG311="",AH311=""),"",IF(AND(AG311&gt;0,AH311&gt;0),"Bull",IF(AND(AG311&lt;0,AH311&lt;0),"Bear","Mixed")))</f>
        <v/>
      </c>
      <c r="AO311">
        <f>IF(OR(AK311="",AL311=""),"",IF(AND(AK311&gt;0,AL311&gt;0),"Bull",IF(AND(AK311&lt;0,AL311&lt;0),"Bear","Mixed")))</f>
        <v/>
      </c>
      <c r="AP311">
        <f>IF(OR(AN311="",AO311=""),"",IF(AND(AN311="Bull",AO311="Bull"),"YES","NO"))</f>
        <v/>
      </c>
      <c r="AQ311">
        <f>IF(OR(AN311="",AO311=""),"",IF(AND(AN311="Bear",AO311="Bear"),"YES","NO"))</f>
        <v/>
      </c>
      <c r="AR311">
        <f>IF(AP311="YES",IF(SUM(N(X311),N(Y311),N(Z311))&gt;0,"SOXL","TQQQ"),IF(AQ311="YES",IF(SUM(N(AA311),N(AB311),N(AC311))&gt;0,"SOXS","SQQQ"),"WAIT"))</f>
        <v/>
      </c>
      <c r="AS311">
        <f>IF(AP311="YES",IF(SUM(N(X311),N(Y311),N(Z311))&gt;0,"TQQQ","SOXL"),IF(AQ311="YES",IF(SUM(N(AA311),N(AB311),N(AC311))&gt;0,"SQQQ","SOXS"),""))</f>
        <v/>
      </c>
      <c r="AT311" s="23">
        <f>IF(AR311="WAIT","",IF(AS311="",1,0.6))</f>
        <v/>
      </c>
      <c r="AU311" s="23">
        <f>IF(AS311="",0,0.4)</f>
        <v/>
      </c>
      <c r="AV311">
        <f>IF(AR311="WAIT","WAIT",IF(AP311="YES","BULL",IF(AQ311="YES","BEAR","WAIT")))</f>
        <v/>
      </c>
      <c r="AW311">
        <f>IF(AR311="WAIT","Low",IF(OR(AND(AV311="BULL",ABS(SUM(N(X311),N(Y311),N(Z311)))&gt;=0.15),AND(AV311="BEAR",ABS(SUM(N(AA311),N(AB311),N(AC311)))&gt;=0.15)),"Strong",IF(OR(AND(AV311="BULL",ABS(SUM(N(X311),N(Y311),N(Z311)))&gt;=0.05),AND(AV311="BEAR",ABS(SUM(N(AA311),N(AB311),N(AC311)))&gt;=0.05)),"Moderate","Low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13" t="n"/>
      <c r="AF312" s="23">
        <f>IF(OR(AD312="",AD311=""),"",IF(AD311=0,"",(AD312/AD311)-1))</f>
        <v/>
      </c>
      <c r="AG312" s="23">
        <f>IF(ROW()&lt;7,"",IF(OR(AD312="",AD309=""),"",IF(AD309=0,"",(AD312/AD309)-1)))</f>
        <v/>
      </c>
      <c r="AH312" s="23">
        <f>IF(ROW()&lt;9,"",IF(OR(AD312="",AD307=""),"",IF(AD307=0,"",(AD312/AD307)-1)))</f>
        <v/>
      </c>
      <c r="AJ312" s="23">
        <f>IF(OR(AE312="",AE311=""),"",IF(AE311=0,"",(AE312/AE311)-1))</f>
        <v/>
      </c>
      <c r="AK312" s="23">
        <f>IF(ROW()&lt;7,"",IF(OR(AE312="",AE309=""),"",IF(AE309=0,"",(AE312/AE309)-1)))</f>
        <v/>
      </c>
      <c r="AL312" s="23">
        <f>IF(ROW()&lt;9,"",IF(OR(AE312="",AE307=""),"",IF(AE307=0,"",(AE312/AE307)-1)))</f>
        <v/>
      </c>
      <c r="AN312">
        <f>IF(OR(AG312="",AH312=""),"",IF(AND(AG312&gt;0,AH312&gt;0),"Bull",IF(AND(AG312&lt;0,AH312&lt;0),"Bear","Mixed")))</f>
        <v/>
      </c>
      <c r="AO312">
        <f>IF(OR(AK312="",AL312=""),"",IF(AND(AK312&gt;0,AL312&gt;0),"Bull",IF(AND(AK312&lt;0,AL312&lt;0),"Bear","Mixed")))</f>
        <v/>
      </c>
      <c r="AP312">
        <f>IF(OR(AN312="",AO312=""),"",IF(AND(AN312="Bull",AO312="Bull"),"YES","NO"))</f>
        <v/>
      </c>
      <c r="AQ312">
        <f>IF(OR(AN312="",AO312=""),"",IF(AND(AN312="Bear",AO312="Bear"),"YES","NO"))</f>
        <v/>
      </c>
      <c r="AR312">
        <f>IF(AP312="YES",IF(SUM(N(X312),N(Y312),N(Z312))&gt;0,"SOXL","TQQQ"),IF(AQ312="YES",IF(SUM(N(AA312),N(AB312),N(AC312))&gt;0,"SOXS","SQQQ"),"WAIT"))</f>
        <v/>
      </c>
      <c r="AS312">
        <f>IF(AP312="YES",IF(SUM(N(X312),N(Y312),N(Z312))&gt;0,"TQQQ","SOXL"),IF(AQ312="YES",IF(SUM(N(AA312),N(AB312),N(AC312))&gt;0,"SQQQ","SOXS"),""))</f>
        <v/>
      </c>
      <c r="AT312" s="23">
        <f>IF(AR312="WAIT","",IF(AS312="",1,0.6))</f>
        <v/>
      </c>
      <c r="AU312" s="23">
        <f>IF(AS312="",0,0.4)</f>
        <v/>
      </c>
      <c r="AV312">
        <f>IF(AR312="WAIT","WAIT",IF(AP312="YES","BULL",IF(AQ312="YES","BEAR","WAIT")))</f>
        <v/>
      </c>
      <c r="AW312">
        <f>IF(AR312="WAIT","Low",IF(OR(AND(AV312="BULL",ABS(SUM(N(X312),N(Y312),N(Z312)))&gt;=0.15),AND(AV312="BEAR",ABS(SUM(N(AA312),N(AB312),N(AC312)))&gt;=0.15)),"Strong",IF(OR(AND(AV312="BULL",ABS(SUM(N(X312),N(Y312),N(Z312)))&gt;=0.05),AND(AV312="BEAR",ABS(SUM(N(AA312),N(AB312),N(AC312)))&gt;=0.05)),"Moderate","Low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13" t="n"/>
      <c r="AF313" s="23">
        <f>IF(OR(AD313="",AD312=""),"",IF(AD312=0,"",(AD313/AD312)-1))</f>
        <v/>
      </c>
      <c r="AG313" s="23">
        <f>IF(ROW()&lt;7,"",IF(OR(AD313="",AD310=""),"",IF(AD310=0,"",(AD313/AD310)-1)))</f>
        <v/>
      </c>
      <c r="AH313" s="23">
        <f>IF(ROW()&lt;9,"",IF(OR(AD313="",AD308=""),"",IF(AD308=0,"",(AD313/AD308)-1)))</f>
        <v/>
      </c>
      <c r="AJ313" s="23">
        <f>IF(OR(AE313="",AE312=""),"",IF(AE312=0,"",(AE313/AE312)-1))</f>
        <v/>
      </c>
      <c r="AK313" s="23">
        <f>IF(ROW()&lt;7,"",IF(OR(AE313="",AE310=""),"",IF(AE310=0,"",(AE313/AE310)-1)))</f>
        <v/>
      </c>
      <c r="AL313" s="23">
        <f>IF(ROW()&lt;9,"",IF(OR(AE313="",AE308=""),"",IF(AE308=0,"",(AE313/AE308)-1)))</f>
        <v/>
      </c>
      <c r="AN313">
        <f>IF(OR(AG313="",AH313=""),"",IF(AND(AG313&gt;0,AH313&gt;0),"Bull",IF(AND(AG313&lt;0,AH313&lt;0),"Bear","Mixed")))</f>
        <v/>
      </c>
      <c r="AO313">
        <f>IF(OR(AK313="",AL313=""),"",IF(AND(AK313&gt;0,AL313&gt;0),"Bull",IF(AND(AK313&lt;0,AL313&lt;0),"Bear","Mixed")))</f>
        <v/>
      </c>
      <c r="AP313">
        <f>IF(OR(AN313="",AO313=""),"",IF(AND(AN313="Bull",AO313="Bull"),"YES","NO"))</f>
        <v/>
      </c>
      <c r="AQ313">
        <f>IF(OR(AN313="",AO313=""),"",IF(AND(AN313="Bear",AO313="Bear"),"YES","NO"))</f>
        <v/>
      </c>
      <c r="AR313">
        <f>IF(AP313="YES",IF(SUM(N(X313),N(Y313),N(Z313))&gt;0,"SOXL","TQQQ"),IF(AQ313="YES",IF(SUM(N(AA313),N(AB313),N(AC313))&gt;0,"SOXS","SQQQ"),"WAIT"))</f>
        <v/>
      </c>
      <c r="AS313">
        <f>IF(AP313="YES",IF(SUM(N(X313),N(Y313),N(Z313))&gt;0,"TQQQ","SOXL"),IF(AQ313="YES",IF(SUM(N(AA313),N(AB313),N(AC313))&gt;0,"SQQQ","SOXS"),""))</f>
        <v/>
      </c>
      <c r="AT313" s="23">
        <f>IF(AR313="WAIT","",IF(AS313="",1,0.6))</f>
        <v/>
      </c>
      <c r="AU313" s="23">
        <f>IF(AS313="",0,0.4)</f>
        <v/>
      </c>
      <c r="AV313">
        <f>IF(AR313="WAIT","WAIT",IF(AP313="YES","BULL",IF(AQ313="YES","BEAR","WAIT")))</f>
        <v/>
      </c>
      <c r="AW313">
        <f>IF(AR313="WAIT","Low",IF(OR(AND(AV313="BULL",ABS(SUM(N(X313),N(Y313),N(Z313)))&gt;=0.15),AND(AV313="BEAR",ABS(SUM(N(AA313),N(AB313),N(AC313)))&gt;=0.15)),"Strong",IF(OR(AND(AV313="BULL",ABS(SUM(N(X313),N(Y313),N(Z313)))&gt;=0.05),AND(AV313="BEAR",ABS(SUM(N(AA313),N(AB313),N(AC313)))&gt;=0.05)),"Moderate","Low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13" t="n"/>
      <c r="AF314" s="23">
        <f>IF(OR(AD314="",AD313=""),"",IF(AD313=0,"",(AD314/AD313)-1))</f>
        <v/>
      </c>
      <c r="AG314" s="23">
        <f>IF(ROW()&lt;7,"",IF(OR(AD314="",AD311=""),"",IF(AD311=0,"",(AD314/AD311)-1)))</f>
        <v/>
      </c>
      <c r="AH314" s="23">
        <f>IF(ROW()&lt;9,"",IF(OR(AD314="",AD309=""),"",IF(AD309=0,"",(AD314/AD309)-1)))</f>
        <v/>
      </c>
      <c r="AJ314" s="23">
        <f>IF(OR(AE314="",AE313=""),"",IF(AE313=0,"",(AE314/AE313)-1))</f>
        <v/>
      </c>
      <c r="AK314" s="23">
        <f>IF(ROW()&lt;7,"",IF(OR(AE314="",AE311=""),"",IF(AE311=0,"",(AE314/AE311)-1)))</f>
        <v/>
      </c>
      <c r="AL314" s="23">
        <f>IF(ROW()&lt;9,"",IF(OR(AE314="",AE309=""),"",IF(AE309=0,"",(AE314/AE309)-1)))</f>
        <v/>
      </c>
      <c r="AN314">
        <f>IF(OR(AG314="",AH314=""),"",IF(AND(AG314&gt;0,AH314&gt;0),"Bull",IF(AND(AG314&lt;0,AH314&lt;0),"Bear","Mixed")))</f>
        <v/>
      </c>
      <c r="AO314">
        <f>IF(OR(AK314="",AL314=""),"",IF(AND(AK314&gt;0,AL314&gt;0),"Bull",IF(AND(AK314&lt;0,AL314&lt;0),"Bear","Mixed")))</f>
        <v/>
      </c>
      <c r="AP314">
        <f>IF(OR(AN314="",AO314=""),"",IF(AND(AN314="Bull",AO314="Bull"),"YES","NO"))</f>
        <v/>
      </c>
      <c r="AQ314">
        <f>IF(OR(AN314="",AO314=""),"",IF(AND(AN314="Bear",AO314="Bear"),"YES","NO"))</f>
        <v/>
      </c>
      <c r="AR314">
        <f>IF(AP314="YES",IF(SUM(N(X314),N(Y314),N(Z314))&gt;0,"SOXL","TQQQ"),IF(AQ314="YES",IF(SUM(N(AA314),N(AB314),N(AC314))&gt;0,"SOXS","SQQQ"),"WAIT"))</f>
        <v/>
      </c>
      <c r="AS314">
        <f>IF(AP314="YES",IF(SUM(N(X314),N(Y314),N(Z314))&gt;0,"TQQQ","SOXL"),IF(AQ314="YES",IF(SUM(N(AA314),N(AB314),N(AC314))&gt;0,"SQQQ","SOXS"),""))</f>
        <v/>
      </c>
      <c r="AT314" s="23">
        <f>IF(AR314="WAIT","",IF(AS314="",1,0.6))</f>
        <v/>
      </c>
      <c r="AU314" s="23">
        <f>IF(AS314="",0,0.4)</f>
        <v/>
      </c>
      <c r="AV314">
        <f>IF(AR314="WAIT","WAIT",IF(AP314="YES","BULL",IF(AQ314="YES","BEAR","WAIT")))</f>
        <v/>
      </c>
      <c r="AW314">
        <f>IF(AR314="WAIT","Low",IF(OR(AND(AV314="BULL",ABS(SUM(N(X314),N(Y314),N(Z314)))&gt;=0.15),AND(AV314="BEAR",ABS(SUM(N(AA314),N(AB314),N(AC314)))&gt;=0.15)),"Strong",IF(OR(AND(AV314="BULL",ABS(SUM(N(X314),N(Y314),N(Z314)))&gt;=0.05),AND(AV314="BEAR",ABS(SUM(N(AA314),N(AB314),N(AC314)))&gt;=0.05)),"Moderate","Low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13" t="n"/>
      <c r="AF315" s="23">
        <f>IF(OR(AD315="",AD314=""),"",IF(AD314=0,"",(AD315/AD314)-1))</f>
        <v/>
      </c>
      <c r="AG315" s="23">
        <f>IF(ROW()&lt;7,"",IF(OR(AD315="",AD312=""),"",IF(AD312=0,"",(AD315/AD312)-1)))</f>
        <v/>
      </c>
      <c r="AH315" s="23">
        <f>IF(ROW()&lt;9,"",IF(OR(AD315="",AD310=""),"",IF(AD310=0,"",(AD315/AD310)-1)))</f>
        <v/>
      </c>
      <c r="AJ315" s="23">
        <f>IF(OR(AE315="",AE314=""),"",IF(AE314=0,"",(AE315/AE314)-1))</f>
        <v/>
      </c>
      <c r="AK315" s="23">
        <f>IF(ROW()&lt;7,"",IF(OR(AE315="",AE312=""),"",IF(AE312=0,"",(AE315/AE312)-1)))</f>
        <v/>
      </c>
      <c r="AL315" s="23">
        <f>IF(ROW()&lt;9,"",IF(OR(AE315="",AE310=""),"",IF(AE310=0,"",(AE315/AE310)-1)))</f>
        <v/>
      </c>
      <c r="AN315">
        <f>IF(OR(AG315="",AH315=""),"",IF(AND(AG315&gt;0,AH315&gt;0),"Bull",IF(AND(AG315&lt;0,AH315&lt;0),"Bear","Mixed")))</f>
        <v/>
      </c>
      <c r="AO315">
        <f>IF(OR(AK315="",AL315=""),"",IF(AND(AK315&gt;0,AL315&gt;0),"Bull",IF(AND(AK315&lt;0,AL315&lt;0),"Bear","Mixed")))</f>
        <v/>
      </c>
      <c r="AP315">
        <f>IF(OR(AN315="",AO315=""),"",IF(AND(AN315="Bull",AO315="Bull"),"YES","NO"))</f>
        <v/>
      </c>
      <c r="AQ315">
        <f>IF(OR(AN315="",AO315=""),"",IF(AND(AN315="Bear",AO315="Bear"),"YES","NO"))</f>
        <v/>
      </c>
      <c r="AR315">
        <f>IF(AP315="YES",IF(SUM(N(X315),N(Y315),N(Z315))&gt;0,"SOXL","TQQQ"),IF(AQ315="YES",IF(SUM(N(AA315),N(AB315),N(AC315))&gt;0,"SOXS","SQQQ"),"WAIT"))</f>
        <v/>
      </c>
      <c r="AS315">
        <f>IF(AP315="YES",IF(SUM(N(X315),N(Y315),N(Z315))&gt;0,"TQQQ","SOXL"),IF(AQ315="YES",IF(SUM(N(AA315),N(AB315),N(AC315))&gt;0,"SQQQ","SOXS"),""))</f>
        <v/>
      </c>
      <c r="AT315" s="23">
        <f>IF(AR315="WAIT","",IF(AS315="",1,0.6))</f>
        <v/>
      </c>
      <c r="AU315" s="23">
        <f>IF(AS315="",0,0.4)</f>
        <v/>
      </c>
      <c r="AV315">
        <f>IF(AR315="WAIT","WAIT",IF(AP315="YES","BULL",IF(AQ315="YES","BEAR","WAIT")))</f>
        <v/>
      </c>
      <c r="AW315">
        <f>IF(AR315="WAIT","Low",IF(OR(AND(AV315="BULL",ABS(SUM(N(X315),N(Y315),N(Z315)))&gt;=0.15),AND(AV315="BEAR",ABS(SUM(N(AA315),N(AB315),N(AC315)))&gt;=0.15)),"Strong",IF(OR(AND(AV315="BULL",ABS(SUM(N(X315),N(Y315),N(Z315)))&gt;=0.05),AND(AV315="BEAR",ABS(SUM(N(AA315),N(AB315),N(AC315)))&gt;=0.05)),"Moderate","Low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13" t="n"/>
      <c r="AF316" s="23">
        <f>IF(OR(AD316="",AD315=""),"",IF(AD315=0,"",(AD316/AD315)-1))</f>
        <v/>
      </c>
      <c r="AG316" s="23">
        <f>IF(ROW()&lt;7,"",IF(OR(AD316="",AD313=""),"",IF(AD313=0,"",(AD316/AD313)-1)))</f>
        <v/>
      </c>
      <c r="AH316" s="23">
        <f>IF(ROW()&lt;9,"",IF(OR(AD316="",AD311=""),"",IF(AD311=0,"",(AD316/AD311)-1)))</f>
        <v/>
      </c>
      <c r="AJ316" s="23">
        <f>IF(OR(AE316="",AE315=""),"",IF(AE315=0,"",(AE316/AE315)-1))</f>
        <v/>
      </c>
      <c r="AK316" s="23">
        <f>IF(ROW()&lt;7,"",IF(OR(AE316="",AE313=""),"",IF(AE313=0,"",(AE316/AE313)-1)))</f>
        <v/>
      </c>
      <c r="AL316" s="23">
        <f>IF(ROW()&lt;9,"",IF(OR(AE316="",AE311=""),"",IF(AE311=0,"",(AE316/AE311)-1)))</f>
        <v/>
      </c>
      <c r="AN316">
        <f>IF(OR(AG316="",AH316=""),"",IF(AND(AG316&gt;0,AH316&gt;0),"Bull",IF(AND(AG316&lt;0,AH316&lt;0),"Bear","Mixed")))</f>
        <v/>
      </c>
      <c r="AO316">
        <f>IF(OR(AK316="",AL316=""),"",IF(AND(AK316&gt;0,AL316&gt;0),"Bull",IF(AND(AK316&lt;0,AL316&lt;0),"Bear","Mixed")))</f>
        <v/>
      </c>
      <c r="AP316">
        <f>IF(OR(AN316="",AO316=""),"",IF(AND(AN316="Bull",AO316="Bull"),"YES","NO"))</f>
        <v/>
      </c>
      <c r="AQ316">
        <f>IF(OR(AN316="",AO316=""),"",IF(AND(AN316="Bear",AO316="Bear"),"YES","NO"))</f>
        <v/>
      </c>
      <c r="AR316">
        <f>IF(AP316="YES",IF(SUM(N(X316),N(Y316),N(Z316))&gt;0,"SOXL","TQQQ"),IF(AQ316="YES",IF(SUM(N(AA316),N(AB316),N(AC316))&gt;0,"SOXS","SQQQ"),"WAIT"))</f>
        <v/>
      </c>
      <c r="AS316">
        <f>IF(AP316="YES",IF(SUM(N(X316),N(Y316),N(Z316))&gt;0,"TQQQ","SOXL"),IF(AQ316="YES",IF(SUM(N(AA316),N(AB316),N(AC316))&gt;0,"SQQQ","SOXS"),""))</f>
        <v/>
      </c>
      <c r="AT316" s="23">
        <f>IF(AR316="WAIT","",IF(AS316="",1,0.6))</f>
        <v/>
      </c>
      <c r="AU316" s="23">
        <f>IF(AS316="",0,0.4)</f>
        <v/>
      </c>
      <c r="AV316">
        <f>IF(AR316="WAIT","WAIT",IF(AP316="YES","BULL",IF(AQ316="YES","BEAR","WAIT")))</f>
        <v/>
      </c>
      <c r="AW316">
        <f>IF(AR316="WAIT","Low",IF(OR(AND(AV316="BULL",ABS(SUM(N(X316),N(Y316),N(Z316)))&gt;=0.15),AND(AV316="BEAR",ABS(SUM(N(AA316),N(AB316),N(AC316)))&gt;=0.15)),"Strong",IF(OR(AND(AV316="BULL",ABS(SUM(N(X316),N(Y316),N(Z316)))&gt;=0.05),AND(AV316="BEAR",ABS(SUM(N(AA316),N(AB316),N(AC316)))&gt;=0.05)),"Moderate","Low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13" t="n"/>
      <c r="AF317" s="23">
        <f>IF(OR(AD317="",AD316=""),"",IF(AD316=0,"",(AD317/AD316)-1))</f>
        <v/>
      </c>
      <c r="AG317" s="23">
        <f>IF(ROW()&lt;7,"",IF(OR(AD317="",AD314=""),"",IF(AD314=0,"",(AD317/AD314)-1)))</f>
        <v/>
      </c>
      <c r="AH317" s="23">
        <f>IF(ROW()&lt;9,"",IF(OR(AD317="",AD312=""),"",IF(AD312=0,"",(AD317/AD312)-1)))</f>
        <v/>
      </c>
      <c r="AJ317" s="23">
        <f>IF(OR(AE317="",AE316=""),"",IF(AE316=0,"",(AE317/AE316)-1))</f>
        <v/>
      </c>
      <c r="AK317" s="23">
        <f>IF(ROW()&lt;7,"",IF(OR(AE317="",AE314=""),"",IF(AE314=0,"",(AE317/AE314)-1)))</f>
        <v/>
      </c>
      <c r="AL317" s="23">
        <f>IF(ROW()&lt;9,"",IF(OR(AE317="",AE312=""),"",IF(AE312=0,"",(AE317/AE312)-1)))</f>
        <v/>
      </c>
      <c r="AN317">
        <f>IF(OR(AG317="",AH317=""),"",IF(AND(AG317&gt;0,AH317&gt;0),"Bull",IF(AND(AG317&lt;0,AH317&lt;0),"Bear","Mixed")))</f>
        <v/>
      </c>
      <c r="AO317">
        <f>IF(OR(AK317="",AL317=""),"",IF(AND(AK317&gt;0,AL317&gt;0),"Bull",IF(AND(AK317&lt;0,AL317&lt;0),"Bear","Mixed")))</f>
        <v/>
      </c>
      <c r="AP317">
        <f>IF(OR(AN317="",AO317=""),"",IF(AND(AN317="Bull",AO317="Bull"),"YES","NO"))</f>
        <v/>
      </c>
      <c r="AQ317">
        <f>IF(OR(AN317="",AO317=""),"",IF(AND(AN317="Bear",AO317="Bear"),"YES","NO"))</f>
        <v/>
      </c>
      <c r="AR317">
        <f>IF(AP317="YES",IF(SUM(N(X317),N(Y317),N(Z317))&gt;0,"SOXL","TQQQ"),IF(AQ317="YES",IF(SUM(N(AA317),N(AB317),N(AC317))&gt;0,"SOXS","SQQQ"),"WAIT"))</f>
        <v/>
      </c>
      <c r="AS317">
        <f>IF(AP317="YES",IF(SUM(N(X317),N(Y317),N(Z317))&gt;0,"TQQQ","SOXL"),IF(AQ317="YES",IF(SUM(N(AA317),N(AB317),N(AC317))&gt;0,"SQQQ","SOXS"),""))</f>
        <v/>
      </c>
      <c r="AT317" s="23">
        <f>IF(AR317="WAIT","",IF(AS317="",1,0.6))</f>
        <v/>
      </c>
      <c r="AU317" s="23">
        <f>IF(AS317="",0,0.4)</f>
        <v/>
      </c>
      <c r="AV317">
        <f>IF(AR317="WAIT","WAIT",IF(AP317="YES","BULL",IF(AQ317="YES","BEAR","WAIT")))</f>
        <v/>
      </c>
      <c r="AW317">
        <f>IF(AR317="WAIT","Low",IF(OR(AND(AV317="BULL",ABS(SUM(N(X317),N(Y317),N(Z317)))&gt;=0.15),AND(AV317="BEAR",ABS(SUM(N(AA317),N(AB317),N(AC317)))&gt;=0.15)),"Strong",IF(OR(AND(AV317="BULL",ABS(SUM(N(X317),N(Y317),N(Z317)))&gt;=0.05),AND(AV317="BEAR",ABS(SUM(N(AA317),N(AB317),N(AC317)))&gt;=0.05)),"Moderate","Low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13" t="n"/>
      <c r="AF318" s="23">
        <f>IF(OR(AD318="",AD317=""),"",IF(AD317=0,"",(AD318/AD317)-1))</f>
        <v/>
      </c>
      <c r="AG318" s="23">
        <f>IF(ROW()&lt;7,"",IF(OR(AD318="",AD315=""),"",IF(AD315=0,"",(AD318/AD315)-1)))</f>
        <v/>
      </c>
      <c r="AH318" s="23">
        <f>IF(ROW()&lt;9,"",IF(OR(AD318="",AD313=""),"",IF(AD313=0,"",(AD318/AD313)-1)))</f>
        <v/>
      </c>
      <c r="AJ318" s="23">
        <f>IF(OR(AE318="",AE317=""),"",IF(AE317=0,"",(AE318/AE317)-1))</f>
        <v/>
      </c>
      <c r="AK318" s="23">
        <f>IF(ROW()&lt;7,"",IF(OR(AE318="",AE315=""),"",IF(AE315=0,"",(AE318/AE315)-1)))</f>
        <v/>
      </c>
      <c r="AL318" s="23">
        <f>IF(ROW()&lt;9,"",IF(OR(AE318="",AE313=""),"",IF(AE313=0,"",(AE318/AE313)-1)))</f>
        <v/>
      </c>
      <c r="AN318">
        <f>IF(OR(AG318="",AH318=""),"",IF(AND(AG318&gt;0,AH318&gt;0),"Bull",IF(AND(AG318&lt;0,AH318&lt;0),"Bear","Mixed")))</f>
        <v/>
      </c>
      <c r="AO318">
        <f>IF(OR(AK318="",AL318=""),"",IF(AND(AK318&gt;0,AL318&gt;0),"Bull",IF(AND(AK318&lt;0,AL318&lt;0),"Bear","Mixed")))</f>
        <v/>
      </c>
      <c r="AP318">
        <f>IF(OR(AN318="",AO318=""),"",IF(AND(AN318="Bull",AO318="Bull"),"YES","NO"))</f>
        <v/>
      </c>
      <c r="AQ318">
        <f>IF(OR(AN318="",AO318=""),"",IF(AND(AN318="Bear",AO318="Bear"),"YES","NO"))</f>
        <v/>
      </c>
      <c r="AR318">
        <f>IF(AP318="YES",IF(SUM(N(X318),N(Y318),N(Z318))&gt;0,"SOXL","TQQQ"),IF(AQ318="YES",IF(SUM(N(AA318),N(AB318),N(AC318))&gt;0,"SOXS","SQQQ"),"WAIT"))</f>
        <v/>
      </c>
      <c r="AS318">
        <f>IF(AP318="YES",IF(SUM(N(X318),N(Y318),N(Z318))&gt;0,"TQQQ","SOXL"),IF(AQ318="YES",IF(SUM(N(AA318),N(AB318),N(AC318))&gt;0,"SQQQ","SOXS"),""))</f>
        <v/>
      </c>
      <c r="AT318" s="23">
        <f>IF(AR318="WAIT","",IF(AS318="",1,0.6))</f>
        <v/>
      </c>
      <c r="AU318" s="23">
        <f>IF(AS318="",0,0.4)</f>
        <v/>
      </c>
      <c r="AV318">
        <f>IF(AR318="WAIT","WAIT",IF(AP318="YES","BULL",IF(AQ318="YES","BEAR","WAIT")))</f>
        <v/>
      </c>
      <c r="AW318">
        <f>IF(AR318="WAIT","Low",IF(OR(AND(AV318="BULL",ABS(SUM(N(X318),N(Y318),N(Z318)))&gt;=0.15),AND(AV318="BEAR",ABS(SUM(N(AA318),N(AB318),N(AC318)))&gt;=0.15)),"Strong",IF(OR(AND(AV318="BULL",ABS(SUM(N(X318),N(Y318),N(Z318)))&gt;=0.05),AND(AV318="BEAR",ABS(SUM(N(AA318),N(AB318),N(AC318)))&gt;=0.05)),"Moderate","Low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13" t="n"/>
      <c r="AF319" s="23">
        <f>IF(OR(AD319="",AD318=""),"",IF(AD318=0,"",(AD319/AD318)-1))</f>
        <v/>
      </c>
      <c r="AG319" s="23">
        <f>IF(ROW()&lt;7,"",IF(OR(AD319="",AD316=""),"",IF(AD316=0,"",(AD319/AD316)-1)))</f>
        <v/>
      </c>
      <c r="AH319" s="23">
        <f>IF(ROW()&lt;9,"",IF(OR(AD319="",AD314=""),"",IF(AD314=0,"",(AD319/AD314)-1)))</f>
        <v/>
      </c>
      <c r="AJ319" s="23">
        <f>IF(OR(AE319="",AE318=""),"",IF(AE318=0,"",(AE319/AE318)-1))</f>
        <v/>
      </c>
      <c r="AK319" s="23">
        <f>IF(ROW()&lt;7,"",IF(OR(AE319="",AE316=""),"",IF(AE316=0,"",(AE319/AE316)-1)))</f>
        <v/>
      </c>
      <c r="AL319" s="23">
        <f>IF(ROW()&lt;9,"",IF(OR(AE319="",AE314=""),"",IF(AE314=0,"",(AE319/AE314)-1)))</f>
        <v/>
      </c>
      <c r="AN319">
        <f>IF(OR(AG319="",AH319=""),"",IF(AND(AG319&gt;0,AH319&gt;0),"Bull",IF(AND(AG319&lt;0,AH319&lt;0),"Bear","Mixed")))</f>
        <v/>
      </c>
      <c r="AO319">
        <f>IF(OR(AK319="",AL319=""),"",IF(AND(AK319&gt;0,AL319&gt;0),"Bull",IF(AND(AK319&lt;0,AL319&lt;0),"Bear","Mixed")))</f>
        <v/>
      </c>
      <c r="AP319">
        <f>IF(OR(AN319="",AO319=""),"",IF(AND(AN319="Bull",AO319="Bull"),"YES","NO"))</f>
        <v/>
      </c>
      <c r="AQ319">
        <f>IF(OR(AN319="",AO319=""),"",IF(AND(AN319="Bear",AO319="Bear"),"YES","NO"))</f>
        <v/>
      </c>
      <c r="AR319">
        <f>IF(AP319="YES",IF(SUM(N(X319),N(Y319),N(Z319))&gt;0,"SOXL","TQQQ"),IF(AQ319="YES",IF(SUM(N(AA319),N(AB319),N(AC319))&gt;0,"SOXS","SQQQ"),"WAIT"))</f>
        <v/>
      </c>
      <c r="AS319">
        <f>IF(AP319="YES",IF(SUM(N(X319),N(Y319),N(Z319))&gt;0,"TQQQ","SOXL"),IF(AQ319="YES",IF(SUM(N(AA319),N(AB319),N(AC319))&gt;0,"SQQQ","SOXS"),""))</f>
        <v/>
      </c>
      <c r="AT319" s="23">
        <f>IF(AR319="WAIT","",IF(AS319="",1,0.6))</f>
        <v/>
      </c>
      <c r="AU319" s="23">
        <f>IF(AS319="",0,0.4)</f>
        <v/>
      </c>
      <c r="AV319">
        <f>IF(AR319="WAIT","WAIT",IF(AP319="YES","BULL",IF(AQ319="YES","BEAR","WAIT")))</f>
        <v/>
      </c>
      <c r="AW319">
        <f>IF(AR319="WAIT","Low",IF(OR(AND(AV319="BULL",ABS(SUM(N(X319),N(Y319),N(Z319)))&gt;=0.15),AND(AV319="BEAR",ABS(SUM(N(AA319),N(AB319),N(AC319)))&gt;=0.15)),"Strong",IF(OR(AND(AV319="BULL",ABS(SUM(N(X319),N(Y319),N(Z319)))&gt;=0.05),AND(AV319="BEAR",ABS(SUM(N(AA319),N(AB319),N(AC319)))&gt;=0.05)),"Moderate","Low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13" t="n"/>
      <c r="AF320" s="23">
        <f>IF(OR(AD320="",AD319=""),"",IF(AD319=0,"",(AD320/AD319)-1))</f>
        <v/>
      </c>
      <c r="AG320" s="23">
        <f>IF(ROW()&lt;7,"",IF(OR(AD320="",AD317=""),"",IF(AD317=0,"",(AD320/AD317)-1)))</f>
        <v/>
      </c>
      <c r="AH320" s="23">
        <f>IF(ROW()&lt;9,"",IF(OR(AD320="",AD315=""),"",IF(AD315=0,"",(AD320/AD315)-1)))</f>
        <v/>
      </c>
      <c r="AJ320" s="23">
        <f>IF(OR(AE320="",AE319=""),"",IF(AE319=0,"",(AE320/AE319)-1))</f>
        <v/>
      </c>
      <c r="AK320" s="23">
        <f>IF(ROW()&lt;7,"",IF(OR(AE320="",AE317=""),"",IF(AE317=0,"",(AE320/AE317)-1)))</f>
        <v/>
      </c>
      <c r="AL320" s="23">
        <f>IF(ROW()&lt;9,"",IF(OR(AE320="",AE315=""),"",IF(AE315=0,"",(AE320/AE315)-1)))</f>
        <v/>
      </c>
      <c r="AN320">
        <f>IF(OR(AG320="",AH320=""),"",IF(AND(AG320&gt;0,AH320&gt;0),"Bull",IF(AND(AG320&lt;0,AH320&lt;0),"Bear","Mixed")))</f>
        <v/>
      </c>
      <c r="AO320">
        <f>IF(OR(AK320="",AL320=""),"",IF(AND(AK320&gt;0,AL320&gt;0),"Bull",IF(AND(AK320&lt;0,AL320&lt;0),"Bear","Mixed")))</f>
        <v/>
      </c>
      <c r="AP320">
        <f>IF(OR(AN320="",AO320=""),"",IF(AND(AN320="Bull",AO320="Bull"),"YES","NO"))</f>
        <v/>
      </c>
      <c r="AQ320">
        <f>IF(OR(AN320="",AO320=""),"",IF(AND(AN320="Bear",AO320="Bear"),"YES","NO"))</f>
        <v/>
      </c>
      <c r="AR320">
        <f>IF(AP320="YES",IF(SUM(N(X320),N(Y320),N(Z320))&gt;0,"SOXL","TQQQ"),IF(AQ320="YES",IF(SUM(N(AA320),N(AB320),N(AC320))&gt;0,"SOXS","SQQQ"),"WAIT"))</f>
        <v/>
      </c>
      <c r="AS320">
        <f>IF(AP320="YES",IF(SUM(N(X320),N(Y320),N(Z320))&gt;0,"TQQQ","SOXL"),IF(AQ320="YES",IF(SUM(N(AA320),N(AB320),N(AC320))&gt;0,"SQQQ","SOXS"),""))</f>
        <v/>
      </c>
      <c r="AT320" s="23">
        <f>IF(AR320="WAIT","",IF(AS320="",1,0.6))</f>
        <v/>
      </c>
      <c r="AU320" s="23">
        <f>IF(AS320="",0,0.4)</f>
        <v/>
      </c>
      <c r="AV320">
        <f>IF(AR320="WAIT","WAIT",IF(AP320="YES","BULL",IF(AQ320="YES","BEAR","WAIT")))</f>
        <v/>
      </c>
      <c r="AW320">
        <f>IF(AR320="WAIT","Low",IF(OR(AND(AV320="BULL",ABS(SUM(N(X320),N(Y320),N(Z320)))&gt;=0.15),AND(AV320="BEAR",ABS(SUM(N(AA320),N(AB320),N(AC320)))&gt;=0.15)),"Strong",IF(OR(AND(AV320="BULL",ABS(SUM(N(X320),N(Y320),N(Z320)))&gt;=0.05),AND(AV320="BEAR",ABS(SUM(N(AA320),N(AB320),N(AC320)))&gt;=0.05)),"Moderate","Low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13" t="n"/>
      <c r="AF321" s="23">
        <f>IF(OR(AD321="",AD320=""),"",IF(AD320=0,"",(AD321/AD320)-1))</f>
        <v/>
      </c>
      <c r="AG321" s="23">
        <f>IF(ROW()&lt;7,"",IF(OR(AD321="",AD318=""),"",IF(AD318=0,"",(AD321/AD318)-1)))</f>
        <v/>
      </c>
      <c r="AH321" s="23">
        <f>IF(ROW()&lt;9,"",IF(OR(AD321="",AD316=""),"",IF(AD316=0,"",(AD321/AD316)-1)))</f>
        <v/>
      </c>
      <c r="AJ321" s="23">
        <f>IF(OR(AE321="",AE320=""),"",IF(AE320=0,"",(AE321/AE320)-1))</f>
        <v/>
      </c>
      <c r="AK321" s="23">
        <f>IF(ROW()&lt;7,"",IF(OR(AE321="",AE318=""),"",IF(AE318=0,"",(AE321/AE318)-1)))</f>
        <v/>
      </c>
      <c r="AL321" s="23">
        <f>IF(ROW()&lt;9,"",IF(OR(AE321="",AE316=""),"",IF(AE316=0,"",(AE321/AE316)-1)))</f>
        <v/>
      </c>
      <c r="AN321">
        <f>IF(OR(AG321="",AH321=""),"",IF(AND(AG321&gt;0,AH321&gt;0),"Bull",IF(AND(AG321&lt;0,AH321&lt;0),"Bear","Mixed")))</f>
        <v/>
      </c>
      <c r="AO321">
        <f>IF(OR(AK321="",AL321=""),"",IF(AND(AK321&gt;0,AL321&gt;0),"Bull",IF(AND(AK321&lt;0,AL321&lt;0),"Bear","Mixed")))</f>
        <v/>
      </c>
      <c r="AP321">
        <f>IF(OR(AN321="",AO321=""),"",IF(AND(AN321="Bull",AO321="Bull"),"YES","NO"))</f>
        <v/>
      </c>
      <c r="AQ321">
        <f>IF(OR(AN321="",AO321=""),"",IF(AND(AN321="Bear",AO321="Bear"),"YES","NO"))</f>
        <v/>
      </c>
      <c r="AR321">
        <f>IF(AP321="YES",IF(SUM(N(X321),N(Y321),N(Z321))&gt;0,"SOXL","TQQQ"),IF(AQ321="YES",IF(SUM(N(AA321),N(AB321),N(AC321))&gt;0,"SOXS","SQQQ"),"WAIT"))</f>
        <v/>
      </c>
      <c r="AS321">
        <f>IF(AP321="YES",IF(SUM(N(X321),N(Y321),N(Z321))&gt;0,"TQQQ","SOXL"),IF(AQ321="YES",IF(SUM(N(AA321),N(AB321),N(AC321))&gt;0,"SQQQ","SOXS"),""))</f>
        <v/>
      </c>
      <c r="AT321" s="23">
        <f>IF(AR321="WAIT","",IF(AS321="",1,0.6))</f>
        <v/>
      </c>
      <c r="AU321" s="23">
        <f>IF(AS321="",0,0.4)</f>
        <v/>
      </c>
      <c r="AV321">
        <f>IF(AR321="WAIT","WAIT",IF(AP321="YES","BULL",IF(AQ321="YES","BEAR","WAIT")))</f>
        <v/>
      </c>
      <c r="AW321">
        <f>IF(AR321="WAIT","Low",IF(OR(AND(AV321="BULL",ABS(SUM(N(X321),N(Y321),N(Z321)))&gt;=0.15),AND(AV321="BEAR",ABS(SUM(N(AA321),N(AB321),N(AC321)))&gt;=0.15)),"Strong",IF(OR(AND(AV321="BULL",ABS(SUM(N(X321),N(Y321),N(Z321)))&gt;=0.05),AND(AV321="BEAR",ABS(SUM(N(AA321),N(AB321),N(AC321)))&gt;=0.05)),"Moderate","Low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13" t="n"/>
      <c r="AF322" s="23">
        <f>IF(OR(AD322="",AD321=""),"",IF(AD321=0,"",(AD322/AD321)-1))</f>
        <v/>
      </c>
      <c r="AG322" s="23">
        <f>IF(ROW()&lt;7,"",IF(OR(AD322="",AD319=""),"",IF(AD319=0,"",(AD322/AD319)-1)))</f>
        <v/>
      </c>
      <c r="AH322" s="23">
        <f>IF(ROW()&lt;9,"",IF(OR(AD322="",AD317=""),"",IF(AD317=0,"",(AD322/AD317)-1)))</f>
        <v/>
      </c>
      <c r="AJ322" s="23">
        <f>IF(OR(AE322="",AE321=""),"",IF(AE321=0,"",(AE322/AE321)-1))</f>
        <v/>
      </c>
      <c r="AK322" s="23">
        <f>IF(ROW()&lt;7,"",IF(OR(AE322="",AE319=""),"",IF(AE319=0,"",(AE322/AE319)-1)))</f>
        <v/>
      </c>
      <c r="AL322" s="23">
        <f>IF(ROW()&lt;9,"",IF(OR(AE322="",AE317=""),"",IF(AE317=0,"",(AE322/AE317)-1)))</f>
        <v/>
      </c>
      <c r="AN322">
        <f>IF(OR(AG322="",AH322=""),"",IF(AND(AG322&gt;0,AH322&gt;0),"Bull",IF(AND(AG322&lt;0,AH322&lt;0),"Bear","Mixed")))</f>
        <v/>
      </c>
      <c r="AO322">
        <f>IF(OR(AK322="",AL322=""),"",IF(AND(AK322&gt;0,AL322&gt;0),"Bull",IF(AND(AK322&lt;0,AL322&lt;0),"Bear","Mixed")))</f>
        <v/>
      </c>
      <c r="AP322">
        <f>IF(OR(AN322="",AO322=""),"",IF(AND(AN322="Bull",AO322="Bull"),"YES","NO"))</f>
        <v/>
      </c>
      <c r="AQ322">
        <f>IF(OR(AN322="",AO322=""),"",IF(AND(AN322="Bear",AO322="Bear"),"YES","NO"))</f>
        <v/>
      </c>
      <c r="AR322">
        <f>IF(AP322="YES",IF(SUM(N(X322),N(Y322),N(Z322))&gt;0,"SOXL","TQQQ"),IF(AQ322="YES",IF(SUM(N(AA322),N(AB322),N(AC322))&gt;0,"SOXS","SQQQ"),"WAIT"))</f>
        <v/>
      </c>
      <c r="AS322">
        <f>IF(AP322="YES",IF(SUM(N(X322),N(Y322),N(Z322))&gt;0,"TQQQ","SOXL"),IF(AQ322="YES",IF(SUM(N(AA322),N(AB322),N(AC322))&gt;0,"SQQQ","SOXS"),""))</f>
        <v/>
      </c>
      <c r="AT322" s="23">
        <f>IF(AR322="WAIT","",IF(AS322="",1,0.6))</f>
        <v/>
      </c>
      <c r="AU322" s="23">
        <f>IF(AS322="",0,0.4)</f>
        <v/>
      </c>
      <c r="AV322">
        <f>IF(AR322="WAIT","WAIT",IF(AP322="YES","BULL",IF(AQ322="YES","BEAR","WAIT")))</f>
        <v/>
      </c>
      <c r="AW322">
        <f>IF(AR322="WAIT","Low",IF(OR(AND(AV322="BULL",ABS(SUM(N(X322),N(Y322),N(Z322)))&gt;=0.15),AND(AV322="BEAR",ABS(SUM(N(AA322),N(AB322),N(AC322)))&gt;=0.15)),"Strong",IF(OR(AND(AV322="BULL",ABS(SUM(N(X322),N(Y322),N(Z322)))&gt;=0.05),AND(AV322="BEAR",ABS(SUM(N(AA322),N(AB322),N(AC322)))&gt;=0.05)),"Moderate","Low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13" t="n"/>
      <c r="AF323" s="23">
        <f>IF(OR(AD323="",AD322=""),"",IF(AD322=0,"",(AD323/AD322)-1))</f>
        <v/>
      </c>
      <c r="AG323" s="23">
        <f>IF(ROW()&lt;7,"",IF(OR(AD323="",AD320=""),"",IF(AD320=0,"",(AD323/AD320)-1)))</f>
        <v/>
      </c>
      <c r="AH323" s="23">
        <f>IF(ROW()&lt;9,"",IF(OR(AD323="",AD318=""),"",IF(AD318=0,"",(AD323/AD318)-1)))</f>
        <v/>
      </c>
      <c r="AJ323" s="23">
        <f>IF(OR(AE323="",AE322=""),"",IF(AE322=0,"",(AE323/AE322)-1))</f>
        <v/>
      </c>
      <c r="AK323" s="23">
        <f>IF(ROW()&lt;7,"",IF(OR(AE323="",AE320=""),"",IF(AE320=0,"",(AE323/AE320)-1)))</f>
        <v/>
      </c>
      <c r="AL323" s="23">
        <f>IF(ROW()&lt;9,"",IF(OR(AE323="",AE318=""),"",IF(AE318=0,"",(AE323/AE318)-1)))</f>
        <v/>
      </c>
      <c r="AN323">
        <f>IF(OR(AG323="",AH323=""),"",IF(AND(AG323&gt;0,AH323&gt;0),"Bull",IF(AND(AG323&lt;0,AH323&lt;0),"Bear","Mixed")))</f>
        <v/>
      </c>
      <c r="AO323">
        <f>IF(OR(AK323="",AL323=""),"",IF(AND(AK323&gt;0,AL323&gt;0),"Bull",IF(AND(AK323&lt;0,AL323&lt;0),"Bear","Mixed")))</f>
        <v/>
      </c>
      <c r="AP323">
        <f>IF(OR(AN323="",AO323=""),"",IF(AND(AN323="Bull",AO323="Bull"),"YES","NO"))</f>
        <v/>
      </c>
      <c r="AQ323">
        <f>IF(OR(AN323="",AO323=""),"",IF(AND(AN323="Bear",AO323="Bear"),"YES","NO"))</f>
        <v/>
      </c>
      <c r="AR323">
        <f>IF(AP323="YES",IF(SUM(N(X323),N(Y323),N(Z323))&gt;0,"SOXL","TQQQ"),IF(AQ323="YES",IF(SUM(N(AA323),N(AB323),N(AC323))&gt;0,"SOXS","SQQQ"),"WAIT"))</f>
        <v/>
      </c>
      <c r="AS323">
        <f>IF(AP323="YES",IF(SUM(N(X323),N(Y323),N(Z323))&gt;0,"TQQQ","SOXL"),IF(AQ323="YES",IF(SUM(N(AA323),N(AB323),N(AC323))&gt;0,"SQQQ","SOXS"),""))</f>
        <v/>
      </c>
      <c r="AT323" s="23">
        <f>IF(AR323="WAIT","",IF(AS323="",1,0.6))</f>
        <v/>
      </c>
      <c r="AU323" s="23">
        <f>IF(AS323="",0,0.4)</f>
        <v/>
      </c>
      <c r="AV323">
        <f>IF(AR323="WAIT","WAIT",IF(AP323="YES","BULL",IF(AQ323="YES","BEAR","WAIT")))</f>
        <v/>
      </c>
      <c r="AW323">
        <f>IF(AR323="WAIT","Low",IF(OR(AND(AV323="BULL",ABS(SUM(N(X323),N(Y323),N(Z323)))&gt;=0.15),AND(AV323="BEAR",ABS(SUM(N(AA323),N(AB323),N(AC323)))&gt;=0.15)),"Strong",IF(OR(AND(AV323="BULL",ABS(SUM(N(X323),N(Y323),N(Z323)))&gt;=0.05),AND(AV323="BEAR",ABS(SUM(N(AA323),N(AB323),N(AC323)))&gt;=0.05)),"Moderate","Low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13" t="n"/>
      <c r="AF324" s="23">
        <f>IF(OR(AD324="",AD323=""),"",IF(AD323=0,"",(AD324/AD323)-1))</f>
        <v/>
      </c>
      <c r="AG324" s="23">
        <f>IF(ROW()&lt;7,"",IF(OR(AD324="",AD321=""),"",IF(AD321=0,"",(AD324/AD321)-1)))</f>
        <v/>
      </c>
      <c r="AH324" s="23">
        <f>IF(ROW()&lt;9,"",IF(OR(AD324="",AD319=""),"",IF(AD319=0,"",(AD324/AD319)-1)))</f>
        <v/>
      </c>
      <c r="AJ324" s="23">
        <f>IF(OR(AE324="",AE323=""),"",IF(AE323=0,"",(AE324/AE323)-1))</f>
        <v/>
      </c>
      <c r="AK324" s="23">
        <f>IF(ROW()&lt;7,"",IF(OR(AE324="",AE321=""),"",IF(AE321=0,"",(AE324/AE321)-1)))</f>
        <v/>
      </c>
      <c r="AL324" s="23">
        <f>IF(ROW()&lt;9,"",IF(OR(AE324="",AE319=""),"",IF(AE319=0,"",(AE324/AE319)-1)))</f>
        <v/>
      </c>
      <c r="AN324">
        <f>IF(OR(AG324="",AH324=""),"",IF(AND(AG324&gt;0,AH324&gt;0),"Bull",IF(AND(AG324&lt;0,AH324&lt;0),"Bear","Mixed")))</f>
        <v/>
      </c>
      <c r="AO324">
        <f>IF(OR(AK324="",AL324=""),"",IF(AND(AK324&gt;0,AL324&gt;0),"Bull",IF(AND(AK324&lt;0,AL324&lt;0),"Bear","Mixed")))</f>
        <v/>
      </c>
      <c r="AP324">
        <f>IF(OR(AN324="",AO324=""),"",IF(AND(AN324="Bull",AO324="Bull"),"YES","NO"))</f>
        <v/>
      </c>
      <c r="AQ324">
        <f>IF(OR(AN324="",AO324=""),"",IF(AND(AN324="Bear",AO324="Bear"),"YES","NO"))</f>
        <v/>
      </c>
      <c r="AR324">
        <f>IF(AP324="YES",IF(SUM(N(X324),N(Y324),N(Z324))&gt;0,"SOXL","TQQQ"),IF(AQ324="YES",IF(SUM(N(AA324),N(AB324),N(AC324))&gt;0,"SOXS","SQQQ"),"WAIT"))</f>
        <v/>
      </c>
      <c r="AS324">
        <f>IF(AP324="YES",IF(SUM(N(X324),N(Y324),N(Z324))&gt;0,"TQQQ","SOXL"),IF(AQ324="YES",IF(SUM(N(AA324),N(AB324),N(AC324))&gt;0,"SQQQ","SOXS"),""))</f>
        <v/>
      </c>
      <c r="AT324" s="23">
        <f>IF(AR324="WAIT","",IF(AS324="",1,0.6))</f>
        <v/>
      </c>
      <c r="AU324" s="23">
        <f>IF(AS324="",0,0.4)</f>
        <v/>
      </c>
      <c r="AV324">
        <f>IF(AR324="WAIT","WAIT",IF(AP324="YES","BULL",IF(AQ324="YES","BEAR","WAIT")))</f>
        <v/>
      </c>
      <c r="AW324">
        <f>IF(AR324="WAIT","Low",IF(OR(AND(AV324="BULL",ABS(SUM(N(X324),N(Y324),N(Z324)))&gt;=0.15),AND(AV324="BEAR",ABS(SUM(N(AA324),N(AB324),N(AC324)))&gt;=0.15)),"Strong",IF(OR(AND(AV324="BULL",ABS(SUM(N(X324),N(Y324),N(Z324)))&gt;=0.05),AND(AV324="BEAR",ABS(SUM(N(AA324),N(AB324),N(AC324)))&gt;=0.05)),"Moderate","Low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13" t="n"/>
      <c r="AF325" s="23">
        <f>IF(OR(AD325="",AD324=""),"",IF(AD324=0,"",(AD325/AD324)-1))</f>
        <v/>
      </c>
      <c r="AG325" s="23">
        <f>IF(ROW()&lt;7,"",IF(OR(AD325="",AD322=""),"",IF(AD322=0,"",(AD325/AD322)-1)))</f>
        <v/>
      </c>
      <c r="AH325" s="23">
        <f>IF(ROW()&lt;9,"",IF(OR(AD325="",AD320=""),"",IF(AD320=0,"",(AD325/AD320)-1)))</f>
        <v/>
      </c>
      <c r="AJ325" s="23">
        <f>IF(OR(AE325="",AE324=""),"",IF(AE324=0,"",(AE325/AE324)-1))</f>
        <v/>
      </c>
      <c r="AK325" s="23">
        <f>IF(ROW()&lt;7,"",IF(OR(AE325="",AE322=""),"",IF(AE322=0,"",(AE325/AE322)-1)))</f>
        <v/>
      </c>
      <c r="AL325" s="23">
        <f>IF(ROW()&lt;9,"",IF(OR(AE325="",AE320=""),"",IF(AE320=0,"",(AE325/AE320)-1)))</f>
        <v/>
      </c>
      <c r="AN325">
        <f>IF(OR(AG325="",AH325=""),"",IF(AND(AG325&gt;0,AH325&gt;0),"Bull",IF(AND(AG325&lt;0,AH325&lt;0),"Bear","Mixed")))</f>
        <v/>
      </c>
      <c r="AO325">
        <f>IF(OR(AK325="",AL325=""),"",IF(AND(AK325&gt;0,AL325&gt;0),"Bull",IF(AND(AK325&lt;0,AL325&lt;0),"Bear","Mixed")))</f>
        <v/>
      </c>
      <c r="AP325">
        <f>IF(OR(AN325="",AO325=""),"",IF(AND(AN325="Bull",AO325="Bull"),"YES","NO"))</f>
        <v/>
      </c>
      <c r="AQ325">
        <f>IF(OR(AN325="",AO325=""),"",IF(AND(AN325="Bear",AO325="Bear"),"YES","NO"))</f>
        <v/>
      </c>
      <c r="AR325">
        <f>IF(AP325="YES",IF(SUM(N(X325),N(Y325),N(Z325))&gt;0,"SOXL","TQQQ"),IF(AQ325="YES",IF(SUM(N(AA325),N(AB325),N(AC325))&gt;0,"SOXS","SQQQ"),"WAIT"))</f>
        <v/>
      </c>
      <c r="AS325">
        <f>IF(AP325="YES",IF(SUM(N(X325),N(Y325),N(Z325))&gt;0,"TQQQ","SOXL"),IF(AQ325="YES",IF(SUM(N(AA325),N(AB325),N(AC325))&gt;0,"SQQQ","SOXS"),""))</f>
        <v/>
      </c>
      <c r="AT325" s="23">
        <f>IF(AR325="WAIT","",IF(AS325="",1,0.6))</f>
        <v/>
      </c>
      <c r="AU325" s="23">
        <f>IF(AS325="",0,0.4)</f>
        <v/>
      </c>
      <c r="AV325">
        <f>IF(AR325="WAIT","WAIT",IF(AP325="YES","BULL",IF(AQ325="YES","BEAR","WAIT")))</f>
        <v/>
      </c>
      <c r="AW325">
        <f>IF(AR325="WAIT","Low",IF(OR(AND(AV325="BULL",ABS(SUM(N(X325),N(Y325),N(Z325)))&gt;=0.15),AND(AV325="BEAR",ABS(SUM(N(AA325),N(AB325),N(AC325)))&gt;=0.15)),"Strong",IF(OR(AND(AV325="BULL",ABS(SUM(N(X325),N(Y325),N(Z325)))&gt;=0.05),AND(AV325="BEAR",ABS(SUM(N(AA325),N(AB325),N(AC325)))&gt;=0.05)),"Moderate","Low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13" t="n"/>
      <c r="AF326" s="23">
        <f>IF(OR(AD326="",AD325=""),"",IF(AD325=0,"",(AD326/AD325)-1))</f>
        <v/>
      </c>
      <c r="AG326" s="23">
        <f>IF(ROW()&lt;7,"",IF(OR(AD326="",AD323=""),"",IF(AD323=0,"",(AD326/AD323)-1)))</f>
        <v/>
      </c>
      <c r="AH326" s="23">
        <f>IF(ROW()&lt;9,"",IF(OR(AD326="",AD321=""),"",IF(AD321=0,"",(AD326/AD321)-1)))</f>
        <v/>
      </c>
      <c r="AJ326" s="23">
        <f>IF(OR(AE326="",AE325=""),"",IF(AE325=0,"",(AE326/AE325)-1))</f>
        <v/>
      </c>
      <c r="AK326" s="23">
        <f>IF(ROW()&lt;7,"",IF(OR(AE326="",AE323=""),"",IF(AE323=0,"",(AE326/AE323)-1)))</f>
        <v/>
      </c>
      <c r="AL326" s="23">
        <f>IF(ROW()&lt;9,"",IF(OR(AE326="",AE321=""),"",IF(AE321=0,"",(AE326/AE321)-1)))</f>
        <v/>
      </c>
      <c r="AN326">
        <f>IF(OR(AG326="",AH326=""),"",IF(AND(AG326&gt;0,AH326&gt;0),"Bull",IF(AND(AG326&lt;0,AH326&lt;0),"Bear","Mixed")))</f>
        <v/>
      </c>
      <c r="AO326">
        <f>IF(OR(AK326="",AL326=""),"",IF(AND(AK326&gt;0,AL326&gt;0),"Bull",IF(AND(AK326&lt;0,AL326&lt;0),"Bear","Mixed")))</f>
        <v/>
      </c>
      <c r="AP326">
        <f>IF(OR(AN326="",AO326=""),"",IF(AND(AN326="Bull",AO326="Bull"),"YES","NO"))</f>
        <v/>
      </c>
      <c r="AQ326">
        <f>IF(OR(AN326="",AO326=""),"",IF(AND(AN326="Bear",AO326="Bear"),"YES","NO"))</f>
        <v/>
      </c>
      <c r="AR326">
        <f>IF(AP326="YES",IF(SUM(N(X326),N(Y326),N(Z326))&gt;0,"SOXL","TQQQ"),IF(AQ326="YES",IF(SUM(N(AA326),N(AB326),N(AC326))&gt;0,"SOXS","SQQQ"),"WAIT"))</f>
        <v/>
      </c>
      <c r="AS326">
        <f>IF(AP326="YES",IF(SUM(N(X326),N(Y326),N(Z326))&gt;0,"TQQQ","SOXL"),IF(AQ326="YES",IF(SUM(N(AA326),N(AB326),N(AC326))&gt;0,"SQQQ","SOXS"),""))</f>
        <v/>
      </c>
      <c r="AT326" s="23">
        <f>IF(AR326="WAIT","",IF(AS326="",1,0.6))</f>
        <v/>
      </c>
      <c r="AU326" s="23">
        <f>IF(AS326="",0,0.4)</f>
        <v/>
      </c>
      <c r="AV326">
        <f>IF(AR326="WAIT","WAIT",IF(AP326="YES","BULL",IF(AQ326="YES","BEAR","WAIT")))</f>
        <v/>
      </c>
      <c r="AW326">
        <f>IF(AR326="WAIT","Low",IF(OR(AND(AV326="BULL",ABS(SUM(N(X326),N(Y326),N(Z326)))&gt;=0.15),AND(AV326="BEAR",ABS(SUM(N(AA326),N(AB326),N(AC326)))&gt;=0.15)),"Strong",IF(OR(AND(AV326="BULL",ABS(SUM(N(X326),N(Y326),N(Z326)))&gt;=0.05),AND(AV326="BEAR",ABS(SUM(N(AA326),N(AB326),N(AC326)))&gt;=0.05)),"Moderate","Low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13" t="n"/>
      <c r="AF327" s="23">
        <f>IF(OR(AD327="",AD326=""),"",IF(AD326=0,"",(AD327/AD326)-1))</f>
        <v/>
      </c>
      <c r="AG327" s="23">
        <f>IF(ROW()&lt;7,"",IF(OR(AD327="",AD324=""),"",IF(AD324=0,"",(AD327/AD324)-1)))</f>
        <v/>
      </c>
      <c r="AH327" s="23">
        <f>IF(ROW()&lt;9,"",IF(OR(AD327="",AD322=""),"",IF(AD322=0,"",(AD327/AD322)-1)))</f>
        <v/>
      </c>
      <c r="AJ327" s="23">
        <f>IF(OR(AE327="",AE326=""),"",IF(AE326=0,"",(AE327/AE326)-1))</f>
        <v/>
      </c>
      <c r="AK327" s="23">
        <f>IF(ROW()&lt;7,"",IF(OR(AE327="",AE324=""),"",IF(AE324=0,"",(AE327/AE324)-1)))</f>
        <v/>
      </c>
      <c r="AL327" s="23">
        <f>IF(ROW()&lt;9,"",IF(OR(AE327="",AE322=""),"",IF(AE322=0,"",(AE327/AE322)-1)))</f>
        <v/>
      </c>
      <c r="AN327">
        <f>IF(OR(AG327="",AH327=""),"",IF(AND(AG327&gt;0,AH327&gt;0),"Bull",IF(AND(AG327&lt;0,AH327&lt;0),"Bear","Mixed")))</f>
        <v/>
      </c>
      <c r="AO327">
        <f>IF(OR(AK327="",AL327=""),"",IF(AND(AK327&gt;0,AL327&gt;0),"Bull",IF(AND(AK327&lt;0,AL327&lt;0),"Bear","Mixed")))</f>
        <v/>
      </c>
      <c r="AP327">
        <f>IF(OR(AN327="",AO327=""),"",IF(AND(AN327="Bull",AO327="Bull"),"YES","NO"))</f>
        <v/>
      </c>
      <c r="AQ327">
        <f>IF(OR(AN327="",AO327=""),"",IF(AND(AN327="Bear",AO327="Bear"),"YES","NO"))</f>
        <v/>
      </c>
      <c r="AR327">
        <f>IF(AP327="YES",IF(SUM(N(X327),N(Y327),N(Z327))&gt;0,"SOXL","TQQQ"),IF(AQ327="YES",IF(SUM(N(AA327),N(AB327),N(AC327))&gt;0,"SOXS","SQQQ"),"WAIT"))</f>
        <v/>
      </c>
      <c r="AS327">
        <f>IF(AP327="YES",IF(SUM(N(X327),N(Y327),N(Z327))&gt;0,"TQQQ","SOXL"),IF(AQ327="YES",IF(SUM(N(AA327),N(AB327),N(AC327))&gt;0,"SQQQ","SOXS"),""))</f>
        <v/>
      </c>
      <c r="AT327" s="23">
        <f>IF(AR327="WAIT","",IF(AS327="",1,0.6))</f>
        <v/>
      </c>
      <c r="AU327" s="23">
        <f>IF(AS327="",0,0.4)</f>
        <v/>
      </c>
      <c r="AV327">
        <f>IF(AR327="WAIT","WAIT",IF(AP327="YES","BULL",IF(AQ327="YES","BEAR","WAIT")))</f>
        <v/>
      </c>
      <c r="AW327">
        <f>IF(AR327="WAIT","Low",IF(OR(AND(AV327="BULL",ABS(SUM(N(X327),N(Y327),N(Z327)))&gt;=0.15),AND(AV327="BEAR",ABS(SUM(N(AA327),N(AB327),N(AC327)))&gt;=0.15)),"Strong",IF(OR(AND(AV327="BULL",ABS(SUM(N(X327),N(Y327),N(Z327)))&gt;=0.05),AND(AV327="BEAR",ABS(SUM(N(AA327),N(AB327),N(AC327)))&gt;=0.05)),"Moderate","Low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13" t="n"/>
      <c r="AF328" s="23">
        <f>IF(OR(AD328="",AD327=""),"",IF(AD327=0,"",(AD328/AD327)-1))</f>
        <v/>
      </c>
      <c r="AG328" s="23">
        <f>IF(ROW()&lt;7,"",IF(OR(AD328="",AD325=""),"",IF(AD325=0,"",(AD328/AD325)-1)))</f>
        <v/>
      </c>
      <c r="AH328" s="23">
        <f>IF(ROW()&lt;9,"",IF(OR(AD328="",AD323=""),"",IF(AD323=0,"",(AD328/AD323)-1)))</f>
        <v/>
      </c>
      <c r="AJ328" s="23">
        <f>IF(OR(AE328="",AE327=""),"",IF(AE327=0,"",(AE328/AE327)-1))</f>
        <v/>
      </c>
      <c r="AK328" s="23">
        <f>IF(ROW()&lt;7,"",IF(OR(AE328="",AE325=""),"",IF(AE325=0,"",(AE328/AE325)-1)))</f>
        <v/>
      </c>
      <c r="AL328" s="23">
        <f>IF(ROW()&lt;9,"",IF(OR(AE328="",AE323=""),"",IF(AE323=0,"",(AE328/AE323)-1)))</f>
        <v/>
      </c>
      <c r="AN328">
        <f>IF(OR(AG328="",AH328=""),"",IF(AND(AG328&gt;0,AH328&gt;0),"Bull",IF(AND(AG328&lt;0,AH328&lt;0),"Bear","Mixed")))</f>
        <v/>
      </c>
      <c r="AO328">
        <f>IF(OR(AK328="",AL328=""),"",IF(AND(AK328&gt;0,AL328&gt;0),"Bull",IF(AND(AK328&lt;0,AL328&lt;0),"Bear","Mixed")))</f>
        <v/>
      </c>
      <c r="AP328">
        <f>IF(OR(AN328="",AO328=""),"",IF(AND(AN328="Bull",AO328="Bull"),"YES","NO"))</f>
        <v/>
      </c>
      <c r="AQ328">
        <f>IF(OR(AN328="",AO328=""),"",IF(AND(AN328="Bear",AO328="Bear"),"YES","NO"))</f>
        <v/>
      </c>
      <c r="AR328">
        <f>IF(AP328="YES",IF(SUM(N(X328),N(Y328),N(Z328))&gt;0,"SOXL","TQQQ"),IF(AQ328="YES",IF(SUM(N(AA328),N(AB328),N(AC328))&gt;0,"SOXS","SQQQ"),"WAIT"))</f>
        <v/>
      </c>
      <c r="AS328">
        <f>IF(AP328="YES",IF(SUM(N(X328),N(Y328),N(Z328))&gt;0,"TQQQ","SOXL"),IF(AQ328="YES",IF(SUM(N(AA328),N(AB328),N(AC328))&gt;0,"SQQQ","SOXS"),""))</f>
        <v/>
      </c>
      <c r="AT328" s="23">
        <f>IF(AR328="WAIT","",IF(AS328="",1,0.6))</f>
        <v/>
      </c>
      <c r="AU328" s="23">
        <f>IF(AS328="",0,0.4)</f>
        <v/>
      </c>
      <c r="AV328">
        <f>IF(AR328="WAIT","WAIT",IF(AP328="YES","BULL",IF(AQ328="YES","BEAR","WAIT")))</f>
        <v/>
      </c>
      <c r="AW328">
        <f>IF(AR328="WAIT","Low",IF(OR(AND(AV328="BULL",ABS(SUM(N(X328),N(Y328),N(Z328)))&gt;=0.15),AND(AV328="BEAR",ABS(SUM(N(AA328),N(AB328),N(AC328)))&gt;=0.15)),"Strong",IF(OR(AND(AV328="BULL",ABS(SUM(N(X328),N(Y328),N(Z328)))&gt;=0.05),AND(AV328="BEAR",ABS(SUM(N(AA328),N(AB328),N(AC328)))&gt;=0.05)),"Moderate","Low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13" t="n"/>
      <c r="AF329" s="23">
        <f>IF(OR(AD329="",AD328=""),"",IF(AD328=0,"",(AD329/AD328)-1))</f>
        <v/>
      </c>
      <c r="AG329" s="23">
        <f>IF(ROW()&lt;7,"",IF(OR(AD329="",AD326=""),"",IF(AD326=0,"",(AD329/AD326)-1)))</f>
        <v/>
      </c>
      <c r="AH329" s="23">
        <f>IF(ROW()&lt;9,"",IF(OR(AD329="",AD324=""),"",IF(AD324=0,"",(AD329/AD324)-1)))</f>
        <v/>
      </c>
      <c r="AJ329" s="23">
        <f>IF(OR(AE329="",AE328=""),"",IF(AE328=0,"",(AE329/AE328)-1))</f>
        <v/>
      </c>
      <c r="AK329" s="23">
        <f>IF(ROW()&lt;7,"",IF(OR(AE329="",AE326=""),"",IF(AE326=0,"",(AE329/AE326)-1)))</f>
        <v/>
      </c>
      <c r="AL329" s="23">
        <f>IF(ROW()&lt;9,"",IF(OR(AE329="",AE324=""),"",IF(AE324=0,"",(AE329/AE324)-1)))</f>
        <v/>
      </c>
      <c r="AN329">
        <f>IF(OR(AG329="",AH329=""),"",IF(AND(AG329&gt;0,AH329&gt;0),"Bull",IF(AND(AG329&lt;0,AH329&lt;0),"Bear","Mixed")))</f>
        <v/>
      </c>
      <c r="AO329">
        <f>IF(OR(AK329="",AL329=""),"",IF(AND(AK329&gt;0,AL329&gt;0),"Bull",IF(AND(AK329&lt;0,AL329&lt;0),"Bear","Mixed")))</f>
        <v/>
      </c>
      <c r="AP329">
        <f>IF(OR(AN329="",AO329=""),"",IF(AND(AN329="Bull",AO329="Bull"),"YES","NO"))</f>
        <v/>
      </c>
      <c r="AQ329">
        <f>IF(OR(AN329="",AO329=""),"",IF(AND(AN329="Bear",AO329="Bear"),"YES","NO"))</f>
        <v/>
      </c>
      <c r="AR329">
        <f>IF(AP329="YES",IF(SUM(N(X329),N(Y329),N(Z329))&gt;0,"SOXL","TQQQ"),IF(AQ329="YES",IF(SUM(N(AA329),N(AB329),N(AC329))&gt;0,"SOXS","SQQQ"),"WAIT"))</f>
        <v/>
      </c>
      <c r="AS329">
        <f>IF(AP329="YES",IF(SUM(N(X329),N(Y329),N(Z329))&gt;0,"TQQQ","SOXL"),IF(AQ329="YES",IF(SUM(N(AA329),N(AB329),N(AC329))&gt;0,"SQQQ","SOXS"),""))</f>
        <v/>
      </c>
      <c r="AT329" s="23">
        <f>IF(AR329="WAIT","",IF(AS329="",1,0.6))</f>
        <v/>
      </c>
      <c r="AU329" s="23">
        <f>IF(AS329="",0,0.4)</f>
        <v/>
      </c>
      <c r="AV329">
        <f>IF(AR329="WAIT","WAIT",IF(AP329="YES","BULL",IF(AQ329="YES","BEAR","WAIT")))</f>
        <v/>
      </c>
      <c r="AW329">
        <f>IF(AR329="WAIT","Low",IF(OR(AND(AV329="BULL",ABS(SUM(N(X329),N(Y329),N(Z329)))&gt;=0.15),AND(AV329="BEAR",ABS(SUM(N(AA329),N(AB329),N(AC329)))&gt;=0.15)),"Strong",IF(OR(AND(AV329="BULL",ABS(SUM(N(X329),N(Y329),N(Z329)))&gt;=0.05),AND(AV329="BEAR",ABS(SUM(N(AA329),N(AB329),N(AC329)))&gt;=0.05)),"Moderate","Low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13" t="n"/>
      <c r="AF330" s="23">
        <f>IF(OR(AD330="",AD329=""),"",IF(AD329=0,"",(AD330/AD329)-1))</f>
        <v/>
      </c>
      <c r="AG330" s="23">
        <f>IF(ROW()&lt;7,"",IF(OR(AD330="",AD327=""),"",IF(AD327=0,"",(AD330/AD327)-1)))</f>
        <v/>
      </c>
      <c r="AH330" s="23">
        <f>IF(ROW()&lt;9,"",IF(OR(AD330="",AD325=""),"",IF(AD325=0,"",(AD330/AD325)-1)))</f>
        <v/>
      </c>
      <c r="AJ330" s="23">
        <f>IF(OR(AE330="",AE329=""),"",IF(AE329=0,"",(AE330/AE329)-1))</f>
        <v/>
      </c>
      <c r="AK330" s="23">
        <f>IF(ROW()&lt;7,"",IF(OR(AE330="",AE327=""),"",IF(AE327=0,"",(AE330/AE327)-1)))</f>
        <v/>
      </c>
      <c r="AL330" s="23">
        <f>IF(ROW()&lt;9,"",IF(OR(AE330="",AE325=""),"",IF(AE325=0,"",(AE330/AE325)-1)))</f>
        <v/>
      </c>
      <c r="AN330">
        <f>IF(OR(AG330="",AH330=""),"",IF(AND(AG330&gt;0,AH330&gt;0),"Bull",IF(AND(AG330&lt;0,AH330&lt;0),"Bear","Mixed")))</f>
        <v/>
      </c>
      <c r="AO330">
        <f>IF(OR(AK330="",AL330=""),"",IF(AND(AK330&gt;0,AL330&gt;0),"Bull",IF(AND(AK330&lt;0,AL330&lt;0),"Bear","Mixed")))</f>
        <v/>
      </c>
      <c r="AP330">
        <f>IF(OR(AN330="",AO330=""),"",IF(AND(AN330="Bull",AO330="Bull"),"YES","NO"))</f>
        <v/>
      </c>
      <c r="AQ330">
        <f>IF(OR(AN330="",AO330=""),"",IF(AND(AN330="Bear",AO330="Bear"),"YES","NO"))</f>
        <v/>
      </c>
      <c r="AR330">
        <f>IF(AP330="YES",IF(SUM(N(X330),N(Y330),N(Z330))&gt;0,"SOXL","TQQQ"),IF(AQ330="YES",IF(SUM(N(AA330),N(AB330),N(AC330))&gt;0,"SOXS","SQQQ"),"WAIT"))</f>
        <v/>
      </c>
      <c r="AS330">
        <f>IF(AP330="YES",IF(SUM(N(X330),N(Y330),N(Z330))&gt;0,"TQQQ","SOXL"),IF(AQ330="YES",IF(SUM(N(AA330),N(AB330),N(AC330))&gt;0,"SQQQ","SOXS"),""))</f>
        <v/>
      </c>
      <c r="AT330" s="23">
        <f>IF(AR330="WAIT","",IF(AS330="",1,0.6))</f>
        <v/>
      </c>
      <c r="AU330" s="23">
        <f>IF(AS330="",0,0.4)</f>
        <v/>
      </c>
      <c r="AV330">
        <f>IF(AR330="WAIT","WAIT",IF(AP330="YES","BULL",IF(AQ330="YES","BEAR","WAIT")))</f>
        <v/>
      </c>
      <c r="AW330">
        <f>IF(AR330="WAIT","Low",IF(OR(AND(AV330="BULL",ABS(SUM(N(X330),N(Y330),N(Z330)))&gt;=0.15),AND(AV330="BEAR",ABS(SUM(N(AA330),N(AB330),N(AC330)))&gt;=0.15)),"Strong",IF(OR(AND(AV330="BULL",ABS(SUM(N(X330),N(Y330),N(Z330)))&gt;=0.05),AND(AV330="BEAR",ABS(SUM(N(AA330),N(AB330),N(AC330)))&gt;=0.05)),"Moderate","Low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13" t="n"/>
      <c r="AF331" s="23">
        <f>IF(OR(AD331="",AD330=""),"",IF(AD330=0,"",(AD331/AD330)-1))</f>
        <v/>
      </c>
      <c r="AG331" s="23">
        <f>IF(ROW()&lt;7,"",IF(OR(AD331="",AD328=""),"",IF(AD328=0,"",(AD331/AD328)-1)))</f>
        <v/>
      </c>
      <c r="AH331" s="23">
        <f>IF(ROW()&lt;9,"",IF(OR(AD331="",AD326=""),"",IF(AD326=0,"",(AD331/AD326)-1)))</f>
        <v/>
      </c>
      <c r="AJ331" s="23">
        <f>IF(OR(AE331="",AE330=""),"",IF(AE330=0,"",(AE331/AE330)-1))</f>
        <v/>
      </c>
      <c r="AK331" s="23">
        <f>IF(ROW()&lt;7,"",IF(OR(AE331="",AE328=""),"",IF(AE328=0,"",(AE331/AE328)-1)))</f>
        <v/>
      </c>
      <c r="AL331" s="23">
        <f>IF(ROW()&lt;9,"",IF(OR(AE331="",AE326=""),"",IF(AE326=0,"",(AE331/AE326)-1)))</f>
        <v/>
      </c>
      <c r="AN331">
        <f>IF(OR(AG331="",AH331=""),"",IF(AND(AG331&gt;0,AH331&gt;0),"Bull",IF(AND(AG331&lt;0,AH331&lt;0),"Bear","Mixed")))</f>
        <v/>
      </c>
      <c r="AO331">
        <f>IF(OR(AK331="",AL331=""),"",IF(AND(AK331&gt;0,AL331&gt;0),"Bull",IF(AND(AK331&lt;0,AL331&lt;0),"Bear","Mixed")))</f>
        <v/>
      </c>
      <c r="AP331">
        <f>IF(OR(AN331="",AO331=""),"",IF(AND(AN331="Bull",AO331="Bull"),"YES","NO"))</f>
        <v/>
      </c>
      <c r="AQ331">
        <f>IF(OR(AN331="",AO331=""),"",IF(AND(AN331="Bear",AO331="Bear"),"YES","NO"))</f>
        <v/>
      </c>
      <c r="AR331">
        <f>IF(AP331="YES",IF(SUM(N(X331),N(Y331),N(Z331))&gt;0,"SOXL","TQQQ"),IF(AQ331="YES",IF(SUM(N(AA331),N(AB331),N(AC331))&gt;0,"SOXS","SQQQ"),"WAIT"))</f>
        <v/>
      </c>
      <c r="AS331">
        <f>IF(AP331="YES",IF(SUM(N(X331),N(Y331),N(Z331))&gt;0,"TQQQ","SOXL"),IF(AQ331="YES",IF(SUM(N(AA331),N(AB331),N(AC331))&gt;0,"SQQQ","SOXS"),""))</f>
        <v/>
      </c>
      <c r="AT331" s="23">
        <f>IF(AR331="WAIT","",IF(AS331="",1,0.6))</f>
        <v/>
      </c>
      <c r="AU331" s="23">
        <f>IF(AS331="",0,0.4)</f>
        <v/>
      </c>
      <c r="AV331">
        <f>IF(AR331="WAIT","WAIT",IF(AP331="YES","BULL",IF(AQ331="YES","BEAR","WAIT")))</f>
        <v/>
      </c>
      <c r="AW331">
        <f>IF(AR331="WAIT","Low",IF(OR(AND(AV331="BULL",ABS(SUM(N(X331),N(Y331),N(Z331)))&gt;=0.15),AND(AV331="BEAR",ABS(SUM(N(AA331),N(AB331),N(AC331)))&gt;=0.15)),"Strong",IF(OR(AND(AV331="BULL",ABS(SUM(N(X331),N(Y331),N(Z331)))&gt;=0.05),AND(AV331="BEAR",ABS(SUM(N(AA331),N(AB331),N(AC331)))&gt;=0.05)),"Moderate","Low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13" t="n"/>
      <c r="AF332" s="23">
        <f>IF(OR(AD332="",AD331=""),"",IF(AD331=0,"",(AD332/AD331)-1))</f>
        <v/>
      </c>
      <c r="AG332" s="23">
        <f>IF(ROW()&lt;7,"",IF(OR(AD332="",AD329=""),"",IF(AD329=0,"",(AD332/AD329)-1)))</f>
        <v/>
      </c>
      <c r="AH332" s="23">
        <f>IF(ROW()&lt;9,"",IF(OR(AD332="",AD327=""),"",IF(AD327=0,"",(AD332/AD327)-1)))</f>
        <v/>
      </c>
      <c r="AJ332" s="23">
        <f>IF(OR(AE332="",AE331=""),"",IF(AE331=0,"",(AE332/AE331)-1))</f>
        <v/>
      </c>
      <c r="AK332" s="23">
        <f>IF(ROW()&lt;7,"",IF(OR(AE332="",AE329=""),"",IF(AE329=0,"",(AE332/AE329)-1)))</f>
        <v/>
      </c>
      <c r="AL332" s="23">
        <f>IF(ROW()&lt;9,"",IF(OR(AE332="",AE327=""),"",IF(AE327=0,"",(AE332/AE327)-1)))</f>
        <v/>
      </c>
      <c r="AN332">
        <f>IF(OR(AG332="",AH332=""),"",IF(AND(AG332&gt;0,AH332&gt;0),"Bull",IF(AND(AG332&lt;0,AH332&lt;0),"Bear","Mixed")))</f>
        <v/>
      </c>
      <c r="AO332">
        <f>IF(OR(AK332="",AL332=""),"",IF(AND(AK332&gt;0,AL332&gt;0),"Bull",IF(AND(AK332&lt;0,AL332&lt;0),"Bear","Mixed")))</f>
        <v/>
      </c>
      <c r="AP332">
        <f>IF(OR(AN332="",AO332=""),"",IF(AND(AN332="Bull",AO332="Bull"),"YES","NO"))</f>
        <v/>
      </c>
      <c r="AQ332">
        <f>IF(OR(AN332="",AO332=""),"",IF(AND(AN332="Bear",AO332="Bear"),"YES","NO"))</f>
        <v/>
      </c>
      <c r="AR332">
        <f>IF(AP332="YES",IF(SUM(N(X332),N(Y332),N(Z332))&gt;0,"SOXL","TQQQ"),IF(AQ332="YES",IF(SUM(N(AA332),N(AB332),N(AC332))&gt;0,"SOXS","SQQQ"),"WAIT"))</f>
        <v/>
      </c>
      <c r="AS332">
        <f>IF(AP332="YES",IF(SUM(N(X332),N(Y332),N(Z332))&gt;0,"TQQQ","SOXL"),IF(AQ332="YES",IF(SUM(N(AA332),N(AB332),N(AC332))&gt;0,"SQQQ","SOXS"),""))</f>
        <v/>
      </c>
      <c r="AT332" s="23">
        <f>IF(AR332="WAIT","",IF(AS332="",1,0.6))</f>
        <v/>
      </c>
      <c r="AU332" s="23">
        <f>IF(AS332="",0,0.4)</f>
        <v/>
      </c>
      <c r="AV332">
        <f>IF(AR332="WAIT","WAIT",IF(AP332="YES","BULL",IF(AQ332="YES","BEAR","WAIT")))</f>
        <v/>
      </c>
      <c r="AW332">
        <f>IF(AR332="WAIT","Low",IF(OR(AND(AV332="BULL",ABS(SUM(N(X332),N(Y332),N(Z332)))&gt;=0.15),AND(AV332="BEAR",ABS(SUM(N(AA332),N(AB332),N(AC332)))&gt;=0.15)),"Strong",IF(OR(AND(AV332="BULL",ABS(SUM(N(X332),N(Y332),N(Z332)))&gt;=0.05),AND(AV332="BEAR",ABS(SUM(N(AA332),N(AB332),N(AC332)))&gt;=0.05)),"Moderate","Low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13" t="n"/>
      <c r="AF333" s="23">
        <f>IF(OR(AD333="",AD332=""),"",IF(AD332=0,"",(AD333/AD332)-1))</f>
        <v/>
      </c>
      <c r="AG333" s="23">
        <f>IF(ROW()&lt;7,"",IF(OR(AD333="",AD330=""),"",IF(AD330=0,"",(AD333/AD330)-1)))</f>
        <v/>
      </c>
      <c r="AH333" s="23">
        <f>IF(ROW()&lt;9,"",IF(OR(AD333="",AD328=""),"",IF(AD328=0,"",(AD333/AD328)-1)))</f>
        <v/>
      </c>
      <c r="AJ333" s="23">
        <f>IF(OR(AE333="",AE332=""),"",IF(AE332=0,"",(AE333/AE332)-1))</f>
        <v/>
      </c>
      <c r="AK333" s="23">
        <f>IF(ROW()&lt;7,"",IF(OR(AE333="",AE330=""),"",IF(AE330=0,"",(AE333/AE330)-1)))</f>
        <v/>
      </c>
      <c r="AL333" s="23">
        <f>IF(ROW()&lt;9,"",IF(OR(AE333="",AE328=""),"",IF(AE328=0,"",(AE333/AE328)-1)))</f>
        <v/>
      </c>
      <c r="AN333">
        <f>IF(OR(AG333="",AH333=""),"",IF(AND(AG333&gt;0,AH333&gt;0),"Bull",IF(AND(AG333&lt;0,AH333&lt;0),"Bear","Mixed")))</f>
        <v/>
      </c>
      <c r="AO333">
        <f>IF(OR(AK333="",AL333=""),"",IF(AND(AK333&gt;0,AL333&gt;0),"Bull",IF(AND(AK333&lt;0,AL333&lt;0),"Bear","Mixed")))</f>
        <v/>
      </c>
      <c r="AP333">
        <f>IF(OR(AN333="",AO333=""),"",IF(AND(AN333="Bull",AO333="Bull"),"YES","NO"))</f>
        <v/>
      </c>
      <c r="AQ333">
        <f>IF(OR(AN333="",AO333=""),"",IF(AND(AN333="Bear",AO333="Bear"),"YES","NO"))</f>
        <v/>
      </c>
      <c r="AR333">
        <f>IF(AP333="YES",IF(SUM(N(X333),N(Y333),N(Z333))&gt;0,"SOXL","TQQQ"),IF(AQ333="YES",IF(SUM(N(AA333),N(AB333),N(AC333))&gt;0,"SOXS","SQQQ"),"WAIT"))</f>
        <v/>
      </c>
      <c r="AS333">
        <f>IF(AP333="YES",IF(SUM(N(X333),N(Y333),N(Z333))&gt;0,"TQQQ","SOXL"),IF(AQ333="YES",IF(SUM(N(AA333),N(AB333),N(AC333))&gt;0,"SQQQ","SOXS"),""))</f>
        <v/>
      </c>
      <c r="AT333" s="23">
        <f>IF(AR333="WAIT","",IF(AS333="",1,0.6))</f>
        <v/>
      </c>
      <c r="AU333" s="23">
        <f>IF(AS333="",0,0.4)</f>
        <v/>
      </c>
      <c r="AV333">
        <f>IF(AR333="WAIT","WAIT",IF(AP333="YES","BULL",IF(AQ333="YES","BEAR","WAIT")))</f>
        <v/>
      </c>
      <c r="AW333">
        <f>IF(AR333="WAIT","Low",IF(OR(AND(AV333="BULL",ABS(SUM(N(X333),N(Y333),N(Z333)))&gt;=0.15),AND(AV333="BEAR",ABS(SUM(N(AA333),N(AB333),N(AC333)))&gt;=0.15)),"Strong",IF(OR(AND(AV333="BULL",ABS(SUM(N(X333),N(Y333),N(Z333)))&gt;=0.05),AND(AV333="BEAR",ABS(SUM(N(AA333),N(AB333),N(AC333)))&gt;=0.05)),"Moderate","Low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13" t="n"/>
      <c r="AF334" s="23">
        <f>IF(OR(AD334="",AD333=""),"",IF(AD333=0,"",(AD334/AD333)-1))</f>
        <v/>
      </c>
      <c r="AG334" s="23">
        <f>IF(ROW()&lt;7,"",IF(OR(AD334="",AD331=""),"",IF(AD331=0,"",(AD334/AD331)-1)))</f>
        <v/>
      </c>
      <c r="AH334" s="23">
        <f>IF(ROW()&lt;9,"",IF(OR(AD334="",AD329=""),"",IF(AD329=0,"",(AD334/AD329)-1)))</f>
        <v/>
      </c>
      <c r="AJ334" s="23">
        <f>IF(OR(AE334="",AE333=""),"",IF(AE333=0,"",(AE334/AE333)-1))</f>
        <v/>
      </c>
      <c r="AK334" s="23">
        <f>IF(ROW()&lt;7,"",IF(OR(AE334="",AE331=""),"",IF(AE331=0,"",(AE334/AE331)-1)))</f>
        <v/>
      </c>
      <c r="AL334" s="23">
        <f>IF(ROW()&lt;9,"",IF(OR(AE334="",AE329=""),"",IF(AE329=0,"",(AE334/AE329)-1)))</f>
        <v/>
      </c>
      <c r="AN334">
        <f>IF(OR(AG334="",AH334=""),"",IF(AND(AG334&gt;0,AH334&gt;0),"Bull",IF(AND(AG334&lt;0,AH334&lt;0),"Bear","Mixed")))</f>
        <v/>
      </c>
      <c r="AO334">
        <f>IF(OR(AK334="",AL334=""),"",IF(AND(AK334&gt;0,AL334&gt;0),"Bull",IF(AND(AK334&lt;0,AL334&lt;0),"Bear","Mixed")))</f>
        <v/>
      </c>
      <c r="AP334">
        <f>IF(OR(AN334="",AO334=""),"",IF(AND(AN334="Bull",AO334="Bull"),"YES","NO"))</f>
        <v/>
      </c>
      <c r="AQ334">
        <f>IF(OR(AN334="",AO334=""),"",IF(AND(AN334="Bear",AO334="Bear"),"YES","NO"))</f>
        <v/>
      </c>
      <c r="AR334">
        <f>IF(AP334="YES",IF(SUM(N(X334),N(Y334),N(Z334))&gt;0,"SOXL","TQQQ"),IF(AQ334="YES",IF(SUM(N(AA334),N(AB334),N(AC334))&gt;0,"SOXS","SQQQ"),"WAIT"))</f>
        <v/>
      </c>
      <c r="AS334">
        <f>IF(AP334="YES",IF(SUM(N(X334),N(Y334),N(Z334))&gt;0,"TQQQ","SOXL"),IF(AQ334="YES",IF(SUM(N(AA334),N(AB334),N(AC334))&gt;0,"SQQQ","SOXS"),""))</f>
        <v/>
      </c>
      <c r="AT334" s="23">
        <f>IF(AR334="WAIT","",IF(AS334="",1,0.6))</f>
        <v/>
      </c>
      <c r="AU334" s="23">
        <f>IF(AS334="",0,0.4)</f>
        <v/>
      </c>
      <c r="AV334">
        <f>IF(AR334="WAIT","WAIT",IF(AP334="YES","BULL",IF(AQ334="YES","BEAR","WAIT")))</f>
        <v/>
      </c>
      <c r="AW334">
        <f>IF(AR334="WAIT","Low",IF(OR(AND(AV334="BULL",ABS(SUM(N(X334),N(Y334),N(Z334)))&gt;=0.15),AND(AV334="BEAR",ABS(SUM(N(AA334),N(AB334),N(AC334)))&gt;=0.15)),"Strong",IF(OR(AND(AV334="BULL",ABS(SUM(N(X334),N(Y334),N(Z334)))&gt;=0.05),AND(AV334="BEAR",ABS(SUM(N(AA334),N(AB334),N(AC334)))&gt;=0.05)),"Moderate","Low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13" t="n"/>
      <c r="AF335" s="23">
        <f>IF(OR(AD335="",AD334=""),"",IF(AD334=0,"",(AD335/AD334)-1))</f>
        <v/>
      </c>
      <c r="AG335" s="23">
        <f>IF(ROW()&lt;7,"",IF(OR(AD335="",AD332=""),"",IF(AD332=0,"",(AD335/AD332)-1)))</f>
        <v/>
      </c>
      <c r="AH335" s="23">
        <f>IF(ROW()&lt;9,"",IF(OR(AD335="",AD330=""),"",IF(AD330=0,"",(AD335/AD330)-1)))</f>
        <v/>
      </c>
      <c r="AJ335" s="23">
        <f>IF(OR(AE335="",AE334=""),"",IF(AE334=0,"",(AE335/AE334)-1))</f>
        <v/>
      </c>
      <c r="AK335" s="23">
        <f>IF(ROW()&lt;7,"",IF(OR(AE335="",AE332=""),"",IF(AE332=0,"",(AE335/AE332)-1)))</f>
        <v/>
      </c>
      <c r="AL335" s="23">
        <f>IF(ROW()&lt;9,"",IF(OR(AE335="",AE330=""),"",IF(AE330=0,"",(AE335/AE330)-1)))</f>
        <v/>
      </c>
      <c r="AN335">
        <f>IF(OR(AG335="",AH335=""),"",IF(AND(AG335&gt;0,AH335&gt;0),"Bull",IF(AND(AG335&lt;0,AH335&lt;0),"Bear","Mixed")))</f>
        <v/>
      </c>
      <c r="AO335">
        <f>IF(OR(AK335="",AL335=""),"",IF(AND(AK335&gt;0,AL335&gt;0),"Bull",IF(AND(AK335&lt;0,AL335&lt;0),"Bear","Mixed")))</f>
        <v/>
      </c>
      <c r="AP335">
        <f>IF(OR(AN335="",AO335=""),"",IF(AND(AN335="Bull",AO335="Bull"),"YES","NO"))</f>
        <v/>
      </c>
      <c r="AQ335">
        <f>IF(OR(AN335="",AO335=""),"",IF(AND(AN335="Bear",AO335="Bear"),"YES","NO"))</f>
        <v/>
      </c>
      <c r="AR335">
        <f>IF(AP335="YES",IF(SUM(N(X335),N(Y335),N(Z335))&gt;0,"SOXL","TQQQ"),IF(AQ335="YES",IF(SUM(N(AA335),N(AB335),N(AC335))&gt;0,"SOXS","SQQQ"),"WAIT"))</f>
        <v/>
      </c>
      <c r="AS335">
        <f>IF(AP335="YES",IF(SUM(N(X335),N(Y335),N(Z335))&gt;0,"TQQQ","SOXL"),IF(AQ335="YES",IF(SUM(N(AA335),N(AB335),N(AC335))&gt;0,"SQQQ","SOXS"),""))</f>
        <v/>
      </c>
      <c r="AT335" s="23">
        <f>IF(AR335="WAIT","",IF(AS335="",1,0.6))</f>
        <v/>
      </c>
      <c r="AU335" s="23">
        <f>IF(AS335="",0,0.4)</f>
        <v/>
      </c>
      <c r="AV335">
        <f>IF(AR335="WAIT","WAIT",IF(AP335="YES","BULL",IF(AQ335="YES","BEAR","WAIT")))</f>
        <v/>
      </c>
      <c r="AW335">
        <f>IF(AR335="WAIT","Low",IF(OR(AND(AV335="BULL",ABS(SUM(N(X335),N(Y335),N(Z335)))&gt;=0.15),AND(AV335="BEAR",ABS(SUM(N(AA335),N(AB335),N(AC335)))&gt;=0.15)),"Strong",IF(OR(AND(AV335="BULL",ABS(SUM(N(X335),N(Y335),N(Z335)))&gt;=0.05),AND(AV335="BEAR",ABS(SUM(N(AA335),N(AB335),N(AC335)))&gt;=0.05)),"Moderate","Low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13" t="n"/>
      <c r="AF336" s="23">
        <f>IF(OR(AD336="",AD335=""),"",IF(AD335=0,"",(AD336/AD335)-1))</f>
        <v/>
      </c>
      <c r="AG336" s="23">
        <f>IF(ROW()&lt;7,"",IF(OR(AD336="",AD333=""),"",IF(AD333=0,"",(AD336/AD333)-1)))</f>
        <v/>
      </c>
      <c r="AH336" s="23">
        <f>IF(ROW()&lt;9,"",IF(OR(AD336="",AD331=""),"",IF(AD331=0,"",(AD336/AD331)-1)))</f>
        <v/>
      </c>
      <c r="AJ336" s="23">
        <f>IF(OR(AE336="",AE335=""),"",IF(AE335=0,"",(AE336/AE335)-1))</f>
        <v/>
      </c>
      <c r="AK336" s="23">
        <f>IF(ROW()&lt;7,"",IF(OR(AE336="",AE333=""),"",IF(AE333=0,"",(AE336/AE333)-1)))</f>
        <v/>
      </c>
      <c r="AL336" s="23">
        <f>IF(ROW()&lt;9,"",IF(OR(AE336="",AE331=""),"",IF(AE331=0,"",(AE336/AE331)-1)))</f>
        <v/>
      </c>
      <c r="AN336">
        <f>IF(OR(AG336="",AH336=""),"",IF(AND(AG336&gt;0,AH336&gt;0),"Bull",IF(AND(AG336&lt;0,AH336&lt;0),"Bear","Mixed")))</f>
        <v/>
      </c>
      <c r="AO336">
        <f>IF(OR(AK336="",AL336=""),"",IF(AND(AK336&gt;0,AL336&gt;0),"Bull",IF(AND(AK336&lt;0,AL336&lt;0),"Bear","Mixed")))</f>
        <v/>
      </c>
      <c r="AP336">
        <f>IF(OR(AN336="",AO336=""),"",IF(AND(AN336="Bull",AO336="Bull"),"YES","NO"))</f>
        <v/>
      </c>
      <c r="AQ336">
        <f>IF(OR(AN336="",AO336=""),"",IF(AND(AN336="Bear",AO336="Bear"),"YES","NO"))</f>
        <v/>
      </c>
      <c r="AR336">
        <f>IF(AP336="YES",IF(SUM(N(X336),N(Y336),N(Z336))&gt;0,"SOXL","TQQQ"),IF(AQ336="YES",IF(SUM(N(AA336),N(AB336),N(AC336))&gt;0,"SOXS","SQQQ"),"WAIT"))</f>
        <v/>
      </c>
      <c r="AS336">
        <f>IF(AP336="YES",IF(SUM(N(X336),N(Y336),N(Z336))&gt;0,"TQQQ","SOXL"),IF(AQ336="YES",IF(SUM(N(AA336),N(AB336),N(AC336))&gt;0,"SQQQ","SOXS"),""))</f>
        <v/>
      </c>
      <c r="AT336" s="23">
        <f>IF(AR336="WAIT","",IF(AS336="",1,0.6))</f>
        <v/>
      </c>
      <c r="AU336" s="23">
        <f>IF(AS336="",0,0.4)</f>
        <v/>
      </c>
      <c r="AV336">
        <f>IF(AR336="WAIT","WAIT",IF(AP336="YES","BULL",IF(AQ336="YES","BEAR","WAIT")))</f>
        <v/>
      </c>
      <c r="AW336">
        <f>IF(AR336="WAIT","Low",IF(OR(AND(AV336="BULL",ABS(SUM(N(X336),N(Y336),N(Z336)))&gt;=0.15),AND(AV336="BEAR",ABS(SUM(N(AA336),N(AB336),N(AC336)))&gt;=0.15)),"Strong",IF(OR(AND(AV336="BULL",ABS(SUM(N(X336),N(Y336),N(Z336)))&gt;=0.05),AND(AV336="BEAR",ABS(SUM(N(AA336),N(AB336),N(AC336)))&gt;=0.05)),"Moderate","Low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13" t="n"/>
      <c r="AF337" s="23">
        <f>IF(OR(AD337="",AD336=""),"",IF(AD336=0,"",(AD337/AD336)-1))</f>
        <v/>
      </c>
      <c r="AG337" s="23">
        <f>IF(ROW()&lt;7,"",IF(OR(AD337="",AD334=""),"",IF(AD334=0,"",(AD337/AD334)-1)))</f>
        <v/>
      </c>
      <c r="AH337" s="23">
        <f>IF(ROW()&lt;9,"",IF(OR(AD337="",AD332=""),"",IF(AD332=0,"",(AD337/AD332)-1)))</f>
        <v/>
      </c>
      <c r="AJ337" s="23">
        <f>IF(OR(AE337="",AE336=""),"",IF(AE336=0,"",(AE337/AE336)-1))</f>
        <v/>
      </c>
      <c r="AK337" s="23">
        <f>IF(ROW()&lt;7,"",IF(OR(AE337="",AE334=""),"",IF(AE334=0,"",(AE337/AE334)-1)))</f>
        <v/>
      </c>
      <c r="AL337" s="23">
        <f>IF(ROW()&lt;9,"",IF(OR(AE337="",AE332=""),"",IF(AE332=0,"",(AE337/AE332)-1)))</f>
        <v/>
      </c>
      <c r="AN337">
        <f>IF(OR(AG337="",AH337=""),"",IF(AND(AG337&gt;0,AH337&gt;0),"Bull",IF(AND(AG337&lt;0,AH337&lt;0),"Bear","Mixed")))</f>
        <v/>
      </c>
      <c r="AO337">
        <f>IF(OR(AK337="",AL337=""),"",IF(AND(AK337&gt;0,AL337&gt;0),"Bull",IF(AND(AK337&lt;0,AL337&lt;0),"Bear","Mixed")))</f>
        <v/>
      </c>
      <c r="AP337">
        <f>IF(OR(AN337="",AO337=""),"",IF(AND(AN337="Bull",AO337="Bull"),"YES","NO"))</f>
        <v/>
      </c>
      <c r="AQ337">
        <f>IF(OR(AN337="",AO337=""),"",IF(AND(AN337="Bear",AO337="Bear"),"YES","NO"))</f>
        <v/>
      </c>
      <c r="AR337">
        <f>IF(AP337="YES",IF(SUM(N(X337),N(Y337),N(Z337))&gt;0,"SOXL","TQQQ"),IF(AQ337="YES",IF(SUM(N(AA337),N(AB337),N(AC337))&gt;0,"SOXS","SQQQ"),"WAIT"))</f>
        <v/>
      </c>
      <c r="AS337">
        <f>IF(AP337="YES",IF(SUM(N(X337),N(Y337),N(Z337))&gt;0,"TQQQ","SOXL"),IF(AQ337="YES",IF(SUM(N(AA337),N(AB337),N(AC337))&gt;0,"SQQQ","SOXS"),""))</f>
        <v/>
      </c>
      <c r="AT337" s="23">
        <f>IF(AR337="WAIT","",IF(AS337="",1,0.6))</f>
        <v/>
      </c>
      <c r="AU337" s="23">
        <f>IF(AS337="",0,0.4)</f>
        <v/>
      </c>
      <c r="AV337">
        <f>IF(AR337="WAIT","WAIT",IF(AP337="YES","BULL",IF(AQ337="YES","BEAR","WAIT")))</f>
        <v/>
      </c>
      <c r="AW337">
        <f>IF(AR337="WAIT","Low",IF(OR(AND(AV337="BULL",ABS(SUM(N(X337),N(Y337),N(Z337)))&gt;=0.15),AND(AV337="BEAR",ABS(SUM(N(AA337),N(AB337),N(AC337)))&gt;=0.15)),"Strong",IF(OR(AND(AV337="BULL",ABS(SUM(N(X337),N(Y337),N(Z337)))&gt;=0.05),AND(AV337="BEAR",ABS(SUM(N(AA337),N(AB337),N(AC337)))&gt;=0.05)),"Moderate","Low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13" t="n"/>
      <c r="AF338" s="23">
        <f>IF(OR(AD338="",AD337=""),"",IF(AD337=0,"",(AD338/AD337)-1))</f>
        <v/>
      </c>
      <c r="AG338" s="23">
        <f>IF(ROW()&lt;7,"",IF(OR(AD338="",AD335=""),"",IF(AD335=0,"",(AD338/AD335)-1)))</f>
        <v/>
      </c>
      <c r="AH338" s="23">
        <f>IF(ROW()&lt;9,"",IF(OR(AD338="",AD333=""),"",IF(AD333=0,"",(AD338/AD333)-1)))</f>
        <v/>
      </c>
      <c r="AJ338" s="23">
        <f>IF(OR(AE338="",AE337=""),"",IF(AE337=0,"",(AE338/AE337)-1))</f>
        <v/>
      </c>
      <c r="AK338" s="23">
        <f>IF(ROW()&lt;7,"",IF(OR(AE338="",AE335=""),"",IF(AE335=0,"",(AE338/AE335)-1)))</f>
        <v/>
      </c>
      <c r="AL338" s="23">
        <f>IF(ROW()&lt;9,"",IF(OR(AE338="",AE333=""),"",IF(AE333=0,"",(AE338/AE333)-1)))</f>
        <v/>
      </c>
      <c r="AN338">
        <f>IF(OR(AG338="",AH338=""),"",IF(AND(AG338&gt;0,AH338&gt;0),"Bull",IF(AND(AG338&lt;0,AH338&lt;0),"Bear","Mixed")))</f>
        <v/>
      </c>
      <c r="AO338">
        <f>IF(OR(AK338="",AL338=""),"",IF(AND(AK338&gt;0,AL338&gt;0),"Bull",IF(AND(AK338&lt;0,AL338&lt;0),"Bear","Mixed")))</f>
        <v/>
      </c>
      <c r="AP338">
        <f>IF(OR(AN338="",AO338=""),"",IF(AND(AN338="Bull",AO338="Bull"),"YES","NO"))</f>
        <v/>
      </c>
      <c r="AQ338">
        <f>IF(OR(AN338="",AO338=""),"",IF(AND(AN338="Bear",AO338="Bear"),"YES","NO"))</f>
        <v/>
      </c>
      <c r="AR338">
        <f>IF(AP338="YES",IF(SUM(N(X338),N(Y338),N(Z338))&gt;0,"SOXL","TQQQ"),IF(AQ338="YES",IF(SUM(N(AA338),N(AB338),N(AC338))&gt;0,"SOXS","SQQQ"),"WAIT"))</f>
        <v/>
      </c>
      <c r="AS338">
        <f>IF(AP338="YES",IF(SUM(N(X338),N(Y338),N(Z338))&gt;0,"TQQQ","SOXL"),IF(AQ338="YES",IF(SUM(N(AA338),N(AB338),N(AC338))&gt;0,"SQQQ","SOXS"),""))</f>
        <v/>
      </c>
      <c r="AT338" s="23">
        <f>IF(AR338="WAIT","",IF(AS338="",1,0.6))</f>
        <v/>
      </c>
      <c r="AU338" s="23">
        <f>IF(AS338="",0,0.4)</f>
        <v/>
      </c>
      <c r="AV338">
        <f>IF(AR338="WAIT","WAIT",IF(AP338="YES","BULL",IF(AQ338="YES","BEAR","WAIT")))</f>
        <v/>
      </c>
      <c r="AW338">
        <f>IF(AR338="WAIT","Low",IF(OR(AND(AV338="BULL",ABS(SUM(N(X338),N(Y338),N(Z338)))&gt;=0.15),AND(AV338="BEAR",ABS(SUM(N(AA338),N(AB338),N(AC338)))&gt;=0.15)),"Strong",IF(OR(AND(AV338="BULL",ABS(SUM(N(X338),N(Y338),N(Z338)))&gt;=0.05),AND(AV338="BEAR",ABS(SUM(N(AA338),N(AB338),N(AC338)))&gt;=0.05)),"Moderate","Low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13" t="n"/>
      <c r="AF339" s="23">
        <f>IF(OR(AD339="",AD338=""),"",IF(AD338=0,"",(AD339/AD338)-1))</f>
        <v/>
      </c>
      <c r="AG339" s="23">
        <f>IF(ROW()&lt;7,"",IF(OR(AD339="",AD336=""),"",IF(AD336=0,"",(AD339/AD336)-1)))</f>
        <v/>
      </c>
      <c r="AH339" s="23">
        <f>IF(ROW()&lt;9,"",IF(OR(AD339="",AD334=""),"",IF(AD334=0,"",(AD339/AD334)-1)))</f>
        <v/>
      </c>
      <c r="AJ339" s="23">
        <f>IF(OR(AE339="",AE338=""),"",IF(AE338=0,"",(AE339/AE338)-1))</f>
        <v/>
      </c>
      <c r="AK339" s="23">
        <f>IF(ROW()&lt;7,"",IF(OR(AE339="",AE336=""),"",IF(AE336=0,"",(AE339/AE336)-1)))</f>
        <v/>
      </c>
      <c r="AL339" s="23">
        <f>IF(ROW()&lt;9,"",IF(OR(AE339="",AE334=""),"",IF(AE334=0,"",(AE339/AE334)-1)))</f>
        <v/>
      </c>
      <c r="AN339">
        <f>IF(OR(AG339="",AH339=""),"",IF(AND(AG339&gt;0,AH339&gt;0),"Bull",IF(AND(AG339&lt;0,AH339&lt;0),"Bear","Mixed")))</f>
        <v/>
      </c>
      <c r="AO339">
        <f>IF(OR(AK339="",AL339=""),"",IF(AND(AK339&gt;0,AL339&gt;0),"Bull",IF(AND(AK339&lt;0,AL339&lt;0),"Bear","Mixed")))</f>
        <v/>
      </c>
      <c r="AP339">
        <f>IF(OR(AN339="",AO339=""),"",IF(AND(AN339="Bull",AO339="Bull"),"YES","NO"))</f>
        <v/>
      </c>
      <c r="AQ339">
        <f>IF(OR(AN339="",AO339=""),"",IF(AND(AN339="Bear",AO339="Bear"),"YES","NO"))</f>
        <v/>
      </c>
      <c r="AR339">
        <f>IF(AP339="YES",IF(SUM(N(X339),N(Y339),N(Z339))&gt;0,"SOXL","TQQQ"),IF(AQ339="YES",IF(SUM(N(AA339),N(AB339),N(AC339))&gt;0,"SOXS","SQQQ"),"WAIT"))</f>
        <v/>
      </c>
      <c r="AS339">
        <f>IF(AP339="YES",IF(SUM(N(X339),N(Y339),N(Z339))&gt;0,"TQQQ","SOXL"),IF(AQ339="YES",IF(SUM(N(AA339),N(AB339),N(AC339))&gt;0,"SQQQ","SOXS"),""))</f>
        <v/>
      </c>
      <c r="AT339" s="23">
        <f>IF(AR339="WAIT","",IF(AS339="",1,0.6))</f>
        <v/>
      </c>
      <c r="AU339" s="23">
        <f>IF(AS339="",0,0.4)</f>
        <v/>
      </c>
      <c r="AV339">
        <f>IF(AR339="WAIT","WAIT",IF(AP339="YES","BULL",IF(AQ339="YES","BEAR","WAIT")))</f>
        <v/>
      </c>
      <c r="AW339">
        <f>IF(AR339="WAIT","Low",IF(OR(AND(AV339="BULL",ABS(SUM(N(X339),N(Y339),N(Z339)))&gt;=0.15),AND(AV339="BEAR",ABS(SUM(N(AA339),N(AB339),N(AC339)))&gt;=0.15)),"Strong",IF(OR(AND(AV339="BULL",ABS(SUM(N(X339),N(Y339),N(Z339)))&gt;=0.05),AND(AV339="BEAR",ABS(SUM(N(AA339),N(AB339),N(AC339)))&gt;=0.05)),"Moderate","Low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13" t="n"/>
      <c r="AF340" s="23">
        <f>IF(OR(AD340="",AD339=""),"",IF(AD339=0,"",(AD340/AD339)-1))</f>
        <v/>
      </c>
      <c r="AG340" s="23">
        <f>IF(ROW()&lt;7,"",IF(OR(AD340="",AD337=""),"",IF(AD337=0,"",(AD340/AD337)-1)))</f>
        <v/>
      </c>
      <c r="AH340" s="23">
        <f>IF(ROW()&lt;9,"",IF(OR(AD340="",AD335=""),"",IF(AD335=0,"",(AD340/AD335)-1)))</f>
        <v/>
      </c>
      <c r="AJ340" s="23">
        <f>IF(OR(AE340="",AE339=""),"",IF(AE339=0,"",(AE340/AE339)-1))</f>
        <v/>
      </c>
      <c r="AK340" s="23">
        <f>IF(ROW()&lt;7,"",IF(OR(AE340="",AE337=""),"",IF(AE337=0,"",(AE340/AE337)-1)))</f>
        <v/>
      </c>
      <c r="AL340" s="23">
        <f>IF(ROW()&lt;9,"",IF(OR(AE340="",AE335=""),"",IF(AE335=0,"",(AE340/AE335)-1)))</f>
        <v/>
      </c>
      <c r="AN340">
        <f>IF(OR(AG340="",AH340=""),"",IF(AND(AG340&gt;0,AH340&gt;0),"Bull",IF(AND(AG340&lt;0,AH340&lt;0),"Bear","Mixed")))</f>
        <v/>
      </c>
      <c r="AO340">
        <f>IF(OR(AK340="",AL340=""),"",IF(AND(AK340&gt;0,AL340&gt;0),"Bull",IF(AND(AK340&lt;0,AL340&lt;0),"Bear","Mixed")))</f>
        <v/>
      </c>
      <c r="AP340">
        <f>IF(OR(AN340="",AO340=""),"",IF(AND(AN340="Bull",AO340="Bull"),"YES","NO"))</f>
        <v/>
      </c>
      <c r="AQ340">
        <f>IF(OR(AN340="",AO340=""),"",IF(AND(AN340="Bear",AO340="Bear"),"YES","NO"))</f>
        <v/>
      </c>
      <c r="AR340">
        <f>IF(AP340="YES",IF(SUM(N(X340),N(Y340),N(Z340))&gt;0,"SOXL","TQQQ"),IF(AQ340="YES",IF(SUM(N(AA340),N(AB340),N(AC340))&gt;0,"SOXS","SQQQ"),"WAIT"))</f>
        <v/>
      </c>
      <c r="AS340">
        <f>IF(AP340="YES",IF(SUM(N(X340),N(Y340),N(Z340))&gt;0,"TQQQ","SOXL"),IF(AQ340="YES",IF(SUM(N(AA340),N(AB340),N(AC340))&gt;0,"SQQQ","SOXS"),""))</f>
        <v/>
      </c>
      <c r="AT340" s="23">
        <f>IF(AR340="WAIT","",IF(AS340="",1,0.6))</f>
        <v/>
      </c>
      <c r="AU340" s="23">
        <f>IF(AS340="",0,0.4)</f>
        <v/>
      </c>
      <c r="AV340">
        <f>IF(AR340="WAIT","WAIT",IF(AP340="YES","BULL",IF(AQ340="YES","BEAR","WAIT")))</f>
        <v/>
      </c>
      <c r="AW340">
        <f>IF(AR340="WAIT","Low",IF(OR(AND(AV340="BULL",ABS(SUM(N(X340),N(Y340),N(Z340)))&gt;=0.15),AND(AV340="BEAR",ABS(SUM(N(AA340),N(AB340),N(AC340)))&gt;=0.15)),"Strong",IF(OR(AND(AV340="BULL",ABS(SUM(N(X340),N(Y340),N(Z340)))&gt;=0.05),AND(AV340="BEAR",ABS(SUM(N(AA340),N(AB340),N(AC340)))&gt;=0.05)),"Moderate","Low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13" t="n"/>
      <c r="AF341" s="23">
        <f>IF(OR(AD341="",AD340=""),"",IF(AD340=0,"",(AD341/AD340)-1))</f>
        <v/>
      </c>
      <c r="AG341" s="23">
        <f>IF(ROW()&lt;7,"",IF(OR(AD341="",AD338=""),"",IF(AD338=0,"",(AD341/AD338)-1)))</f>
        <v/>
      </c>
      <c r="AH341" s="23">
        <f>IF(ROW()&lt;9,"",IF(OR(AD341="",AD336=""),"",IF(AD336=0,"",(AD341/AD336)-1)))</f>
        <v/>
      </c>
      <c r="AJ341" s="23">
        <f>IF(OR(AE341="",AE340=""),"",IF(AE340=0,"",(AE341/AE340)-1))</f>
        <v/>
      </c>
      <c r="AK341" s="23">
        <f>IF(ROW()&lt;7,"",IF(OR(AE341="",AE338=""),"",IF(AE338=0,"",(AE341/AE338)-1)))</f>
        <v/>
      </c>
      <c r="AL341" s="23">
        <f>IF(ROW()&lt;9,"",IF(OR(AE341="",AE336=""),"",IF(AE336=0,"",(AE341/AE336)-1)))</f>
        <v/>
      </c>
      <c r="AN341">
        <f>IF(OR(AG341="",AH341=""),"",IF(AND(AG341&gt;0,AH341&gt;0),"Bull",IF(AND(AG341&lt;0,AH341&lt;0),"Bear","Mixed")))</f>
        <v/>
      </c>
      <c r="AO341">
        <f>IF(OR(AK341="",AL341=""),"",IF(AND(AK341&gt;0,AL341&gt;0),"Bull",IF(AND(AK341&lt;0,AL341&lt;0),"Bear","Mixed")))</f>
        <v/>
      </c>
      <c r="AP341">
        <f>IF(OR(AN341="",AO341=""),"",IF(AND(AN341="Bull",AO341="Bull"),"YES","NO"))</f>
        <v/>
      </c>
      <c r="AQ341">
        <f>IF(OR(AN341="",AO341=""),"",IF(AND(AN341="Bear",AO341="Bear"),"YES","NO"))</f>
        <v/>
      </c>
      <c r="AR341">
        <f>IF(AP341="YES",IF(SUM(N(X341),N(Y341),N(Z341))&gt;0,"SOXL","TQQQ"),IF(AQ341="YES",IF(SUM(N(AA341),N(AB341),N(AC341))&gt;0,"SOXS","SQQQ"),"WAIT"))</f>
        <v/>
      </c>
      <c r="AS341">
        <f>IF(AP341="YES",IF(SUM(N(X341),N(Y341),N(Z341))&gt;0,"TQQQ","SOXL"),IF(AQ341="YES",IF(SUM(N(AA341),N(AB341),N(AC341))&gt;0,"SQQQ","SOXS"),""))</f>
        <v/>
      </c>
      <c r="AT341" s="23">
        <f>IF(AR341="WAIT","",IF(AS341="",1,0.6))</f>
        <v/>
      </c>
      <c r="AU341" s="23">
        <f>IF(AS341="",0,0.4)</f>
        <v/>
      </c>
      <c r="AV341">
        <f>IF(AR341="WAIT","WAIT",IF(AP341="YES","BULL",IF(AQ341="YES","BEAR","WAIT")))</f>
        <v/>
      </c>
      <c r="AW341">
        <f>IF(AR341="WAIT","Low",IF(OR(AND(AV341="BULL",ABS(SUM(N(X341),N(Y341),N(Z341)))&gt;=0.15),AND(AV341="BEAR",ABS(SUM(N(AA341),N(AB341),N(AC341)))&gt;=0.15)),"Strong",IF(OR(AND(AV341="BULL",ABS(SUM(N(X341),N(Y341),N(Z341)))&gt;=0.05),AND(AV341="BEAR",ABS(SUM(N(AA341),N(AB341),N(AC341)))&gt;=0.05)),"Moderate","Low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13" t="n"/>
      <c r="AF342" s="23">
        <f>IF(OR(AD342="",AD341=""),"",IF(AD341=0,"",(AD342/AD341)-1))</f>
        <v/>
      </c>
      <c r="AG342" s="23">
        <f>IF(ROW()&lt;7,"",IF(OR(AD342="",AD339=""),"",IF(AD339=0,"",(AD342/AD339)-1)))</f>
        <v/>
      </c>
      <c r="AH342" s="23">
        <f>IF(ROW()&lt;9,"",IF(OR(AD342="",AD337=""),"",IF(AD337=0,"",(AD342/AD337)-1)))</f>
        <v/>
      </c>
      <c r="AJ342" s="23">
        <f>IF(OR(AE342="",AE341=""),"",IF(AE341=0,"",(AE342/AE341)-1))</f>
        <v/>
      </c>
      <c r="AK342" s="23">
        <f>IF(ROW()&lt;7,"",IF(OR(AE342="",AE339=""),"",IF(AE339=0,"",(AE342/AE339)-1)))</f>
        <v/>
      </c>
      <c r="AL342" s="23">
        <f>IF(ROW()&lt;9,"",IF(OR(AE342="",AE337=""),"",IF(AE337=0,"",(AE342/AE337)-1)))</f>
        <v/>
      </c>
      <c r="AN342">
        <f>IF(OR(AG342="",AH342=""),"",IF(AND(AG342&gt;0,AH342&gt;0),"Bull",IF(AND(AG342&lt;0,AH342&lt;0),"Bear","Mixed")))</f>
        <v/>
      </c>
      <c r="AO342">
        <f>IF(OR(AK342="",AL342=""),"",IF(AND(AK342&gt;0,AL342&gt;0),"Bull",IF(AND(AK342&lt;0,AL342&lt;0),"Bear","Mixed")))</f>
        <v/>
      </c>
      <c r="AP342">
        <f>IF(OR(AN342="",AO342=""),"",IF(AND(AN342="Bull",AO342="Bull"),"YES","NO"))</f>
        <v/>
      </c>
      <c r="AQ342">
        <f>IF(OR(AN342="",AO342=""),"",IF(AND(AN342="Bear",AO342="Bear"),"YES","NO"))</f>
        <v/>
      </c>
      <c r="AR342">
        <f>IF(AP342="YES",IF(SUM(N(X342),N(Y342),N(Z342))&gt;0,"SOXL","TQQQ"),IF(AQ342="YES",IF(SUM(N(AA342),N(AB342),N(AC342))&gt;0,"SOXS","SQQQ"),"WAIT"))</f>
        <v/>
      </c>
      <c r="AS342">
        <f>IF(AP342="YES",IF(SUM(N(X342),N(Y342),N(Z342))&gt;0,"TQQQ","SOXL"),IF(AQ342="YES",IF(SUM(N(AA342),N(AB342),N(AC342))&gt;0,"SQQQ","SOXS"),""))</f>
        <v/>
      </c>
      <c r="AT342" s="23">
        <f>IF(AR342="WAIT","",IF(AS342="",1,0.6))</f>
        <v/>
      </c>
      <c r="AU342" s="23">
        <f>IF(AS342="",0,0.4)</f>
        <v/>
      </c>
      <c r="AV342">
        <f>IF(AR342="WAIT","WAIT",IF(AP342="YES","BULL",IF(AQ342="YES","BEAR","WAIT")))</f>
        <v/>
      </c>
      <c r="AW342">
        <f>IF(AR342="WAIT","Low",IF(OR(AND(AV342="BULL",ABS(SUM(N(X342),N(Y342),N(Z342)))&gt;=0.15),AND(AV342="BEAR",ABS(SUM(N(AA342),N(AB342),N(AC342)))&gt;=0.15)),"Strong",IF(OR(AND(AV342="BULL",ABS(SUM(N(X342),N(Y342),N(Z342)))&gt;=0.05),AND(AV342="BEAR",ABS(SUM(N(AA342),N(AB342),N(AC342)))&gt;=0.05)),"Moderate","Low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13" t="n"/>
      <c r="AF343" s="23">
        <f>IF(OR(AD343="",AD342=""),"",IF(AD342=0,"",(AD343/AD342)-1))</f>
        <v/>
      </c>
      <c r="AG343" s="23">
        <f>IF(ROW()&lt;7,"",IF(OR(AD343="",AD340=""),"",IF(AD340=0,"",(AD343/AD340)-1)))</f>
        <v/>
      </c>
      <c r="AH343" s="23">
        <f>IF(ROW()&lt;9,"",IF(OR(AD343="",AD338=""),"",IF(AD338=0,"",(AD343/AD338)-1)))</f>
        <v/>
      </c>
      <c r="AJ343" s="23">
        <f>IF(OR(AE343="",AE342=""),"",IF(AE342=0,"",(AE343/AE342)-1))</f>
        <v/>
      </c>
      <c r="AK343" s="23">
        <f>IF(ROW()&lt;7,"",IF(OR(AE343="",AE340=""),"",IF(AE340=0,"",(AE343/AE340)-1)))</f>
        <v/>
      </c>
      <c r="AL343" s="23">
        <f>IF(ROW()&lt;9,"",IF(OR(AE343="",AE338=""),"",IF(AE338=0,"",(AE343/AE338)-1)))</f>
        <v/>
      </c>
      <c r="AN343">
        <f>IF(OR(AG343="",AH343=""),"",IF(AND(AG343&gt;0,AH343&gt;0),"Bull",IF(AND(AG343&lt;0,AH343&lt;0),"Bear","Mixed")))</f>
        <v/>
      </c>
      <c r="AO343">
        <f>IF(OR(AK343="",AL343=""),"",IF(AND(AK343&gt;0,AL343&gt;0),"Bull",IF(AND(AK343&lt;0,AL343&lt;0),"Bear","Mixed")))</f>
        <v/>
      </c>
      <c r="AP343">
        <f>IF(OR(AN343="",AO343=""),"",IF(AND(AN343="Bull",AO343="Bull"),"YES","NO"))</f>
        <v/>
      </c>
      <c r="AQ343">
        <f>IF(OR(AN343="",AO343=""),"",IF(AND(AN343="Bear",AO343="Bear"),"YES","NO"))</f>
        <v/>
      </c>
      <c r="AR343">
        <f>IF(AP343="YES",IF(SUM(N(X343),N(Y343),N(Z343))&gt;0,"SOXL","TQQQ"),IF(AQ343="YES",IF(SUM(N(AA343),N(AB343),N(AC343))&gt;0,"SOXS","SQQQ"),"WAIT"))</f>
        <v/>
      </c>
      <c r="AS343">
        <f>IF(AP343="YES",IF(SUM(N(X343),N(Y343),N(Z343))&gt;0,"TQQQ","SOXL"),IF(AQ343="YES",IF(SUM(N(AA343),N(AB343),N(AC343))&gt;0,"SQQQ","SOXS"),""))</f>
        <v/>
      </c>
      <c r="AT343" s="23">
        <f>IF(AR343="WAIT","",IF(AS343="",1,0.6))</f>
        <v/>
      </c>
      <c r="AU343" s="23">
        <f>IF(AS343="",0,0.4)</f>
        <v/>
      </c>
      <c r="AV343">
        <f>IF(AR343="WAIT","WAIT",IF(AP343="YES","BULL",IF(AQ343="YES","BEAR","WAIT")))</f>
        <v/>
      </c>
      <c r="AW343">
        <f>IF(AR343="WAIT","Low",IF(OR(AND(AV343="BULL",ABS(SUM(N(X343),N(Y343),N(Z343)))&gt;=0.15),AND(AV343="BEAR",ABS(SUM(N(AA343),N(AB343),N(AC343)))&gt;=0.15)),"Strong",IF(OR(AND(AV343="BULL",ABS(SUM(N(X343),N(Y343),N(Z343)))&gt;=0.05),AND(AV343="BEAR",ABS(SUM(N(AA343),N(AB343),N(AC343)))&gt;=0.05)),"Moderate","Low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13" t="n"/>
      <c r="AF344" s="23">
        <f>IF(OR(AD344="",AD343=""),"",IF(AD343=0,"",(AD344/AD343)-1))</f>
        <v/>
      </c>
      <c r="AG344" s="23">
        <f>IF(ROW()&lt;7,"",IF(OR(AD344="",AD341=""),"",IF(AD341=0,"",(AD344/AD341)-1)))</f>
        <v/>
      </c>
      <c r="AH344" s="23">
        <f>IF(ROW()&lt;9,"",IF(OR(AD344="",AD339=""),"",IF(AD339=0,"",(AD344/AD339)-1)))</f>
        <v/>
      </c>
      <c r="AJ344" s="23">
        <f>IF(OR(AE344="",AE343=""),"",IF(AE343=0,"",(AE344/AE343)-1))</f>
        <v/>
      </c>
      <c r="AK344" s="23">
        <f>IF(ROW()&lt;7,"",IF(OR(AE344="",AE341=""),"",IF(AE341=0,"",(AE344/AE341)-1)))</f>
        <v/>
      </c>
      <c r="AL344" s="23">
        <f>IF(ROW()&lt;9,"",IF(OR(AE344="",AE339=""),"",IF(AE339=0,"",(AE344/AE339)-1)))</f>
        <v/>
      </c>
      <c r="AN344">
        <f>IF(OR(AG344="",AH344=""),"",IF(AND(AG344&gt;0,AH344&gt;0),"Bull",IF(AND(AG344&lt;0,AH344&lt;0),"Bear","Mixed")))</f>
        <v/>
      </c>
      <c r="AO344">
        <f>IF(OR(AK344="",AL344=""),"",IF(AND(AK344&gt;0,AL344&gt;0),"Bull",IF(AND(AK344&lt;0,AL344&lt;0),"Bear","Mixed")))</f>
        <v/>
      </c>
      <c r="AP344">
        <f>IF(OR(AN344="",AO344=""),"",IF(AND(AN344="Bull",AO344="Bull"),"YES","NO"))</f>
        <v/>
      </c>
      <c r="AQ344">
        <f>IF(OR(AN344="",AO344=""),"",IF(AND(AN344="Bear",AO344="Bear"),"YES","NO"))</f>
        <v/>
      </c>
      <c r="AR344">
        <f>IF(AP344="YES",IF(SUM(N(X344),N(Y344),N(Z344))&gt;0,"SOXL","TQQQ"),IF(AQ344="YES",IF(SUM(N(AA344),N(AB344),N(AC344))&gt;0,"SOXS","SQQQ"),"WAIT"))</f>
        <v/>
      </c>
      <c r="AS344">
        <f>IF(AP344="YES",IF(SUM(N(X344),N(Y344),N(Z344))&gt;0,"TQQQ","SOXL"),IF(AQ344="YES",IF(SUM(N(AA344),N(AB344),N(AC344))&gt;0,"SQQQ","SOXS"),""))</f>
        <v/>
      </c>
      <c r="AT344" s="23">
        <f>IF(AR344="WAIT","",IF(AS344="",1,0.6))</f>
        <v/>
      </c>
      <c r="AU344" s="23">
        <f>IF(AS344="",0,0.4)</f>
        <v/>
      </c>
      <c r="AV344">
        <f>IF(AR344="WAIT","WAIT",IF(AP344="YES","BULL",IF(AQ344="YES","BEAR","WAIT")))</f>
        <v/>
      </c>
      <c r="AW344">
        <f>IF(AR344="WAIT","Low",IF(OR(AND(AV344="BULL",ABS(SUM(N(X344),N(Y344),N(Z344)))&gt;=0.15),AND(AV344="BEAR",ABS(SUM(N(AA344),N(AB344),N(AC344)))&gt;=0.15)),"Strong",IF(OR(AND(AV344="BULL",ABS(SUM(N(X344),N(Y344),N(Z344)))&gt;=0.05),AND(AV344="BEAR",ABS(SUM(N(AA344),N(AB344),N(AC344)))&gt;=0.05)),"Moderate","Low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13" t="n"/>
      <c r="AF345" s="23">
        <f>IF(OR(AD345="",AD344=""),"",IF(AD344=0,"",(AD345/AD344)-1))</f>
        <v/>
      </c>
      <c r="AG345" s="23">
        <f>IF(ROW()&lt;7,"",IF(OR(AD345="",AD342=""),"",IF(AD342=0,"",(AD345/AD342)-1)))</f>
        <v/>
      </c>
      <c r="AH345" s="23">
        <f>IF(ROW()&lt;9,"",IF(OR(AD345="",AD340=""),"",IF(AD340=0,"",(AD345/AD340)-1)))</f>
        <v/>
      </c>
      <c r="AJ345" s="23">
        <f>IF(OR(AE345="",AE344=""),"",IF(AE344=0,"",(AE345/AE344)-1))</f>
        <v/>
      </c>
      <c r="AK345" s="23">
        <f>IF(ROW()&lt;7,"",IF(OR(AE345="",AE342=""),"",IF(AE342=0,"",(AE345/AE342)-1)))</f>
        <v/>
      </c>
      <c r="AL345" s="23">
        <f>IF(ROW()&lt;9,"",IF(OR(AE345="",AE340=""),"",IF(AE340=0,"",(AE345/AE340)-1)))</f>
        <v/>
      </c>
      <c r="AN345">
        <f>IF(OR(AG345="",AH345=""),"",IF(AND(AG345&gt;0,AH345&gt;0),"Bull",IF(AND(AG345&lt;0,AH345&lt;0),"Bear","Mixed")))</f>
        <v/>
      </c>
      <c r="AO345">
        <f>IF(OR(AK345="",AL345=""),"",IF(AND(AK345&gt;0,AL345&gt;0),"Bull",IF(AND(AK345&lt;0,AL345&lt;0),"Bear","Mixed")))</f>
        <v/>
      </c>
      <c r="AP345">
        <f>IF(OR(AN345="",AO345=""),"",IF(AND(AN345="Bull",AO345="Bull"),"YES","NO"))</f>
        <v/>
      </c>
      <c r="AQ345">
        <f>IF(OR(AN345="",AO345=""),"",IF(AND(AN345="Bear",AO345="Bear"),"YES","NO"))</f>
        <v/>
      </c>
      <c r="AR345">
        <f>IF(AP345="YES",IF(SUM(N(X345),N(Y345),N(Z345))&gt;0,"SOXL","TQQQ"),IF(AQ345="YES",IF(SUM(N(AA345),N(AB345),N(AC345))&gt;0,"SOXS","SQQQ"),"WAIT"))</f>
        <v/>
      </c>
      <c r="AS345">
        <f>IF(AP345="YES",IF(SUM(N(X345),N(Y345),N(Z345))&gt;0,"TQQQ","SOXL"),IF(AQ345="YES",IF(SUM(N(AA345),N(AB345),N(AC345))&gt;0,"SQQQ","SOXS"),""))</f>
        <v/>
      </c>
      <c r="AT345" s="23">
        <f>IF(AR345="WAIT","",IF(AS345="",1,0.6))</f>
        <v/>
      </c>
      <c r="AU345" s="23">
        <f>IF(AS345="",0,0.4)</f>
        <v/>
      </c>
      <c r="AV345">
        <f>IF(AR345="WAIT","WAIT",IF(AP345="YES","BULL",IF(AQ345="YES","BEAR","WAIT")))</f>
        <v/>
      </c>
      <c r="AW345">
        <f>IF(AR345="WAIT","Low",IF(OR(AND(AV345="BULL",ABS(SUM(N(X345),N(Y345),N(Z345)))&gt;=0.15),AND(AV345="BEAR",ABS(SUM(N(AA345),N(AB345),N(AC345)))&gt;=0.15)),"Strong",IF(OR(AND(AV345="BULL",ABS(SUM(N(X345),N(Y345),N(Z345)))&gt;=0.05),AND(AV345="BEAR",ABS(SUM(N(AA345),N(AB345),N(AC345)))&gt;=0.05)),"Moderate","Low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13" t="n"/>
      <c r="AF346" s="23">
        <f>IF(OR(AD346="",AD345=""),"",IF(AD345=0,"",(AD346/AD345)-1))</f>
        <v/>
      </c>
      <c r="AG346" s="23">
        <f>IF(ROW()&lt;7,"",IF(OR(AD346="",AD343=""),"",IF(AD343=0,"",(AD346/AD343)-1)))</f>
        <v/>
      </c>
      <c r="AH346" s="23">
        <f>IF(ROW()&lt;9,"",IF(OR(AD346="",AD341=""),"",IF(AD341=0,"",(AD346/AD341)-1)))</f>
        <v/>
      </c>
      <c r="AJ346" s="23">
        <f>IF(OR(AE346="",AE345=""),"",IF(AE345=0,"",(AE346/AE345)-1))</f>
        <v/>
      </c>
      <c r="AK346" s="23">
        <f>IF(ROW()&lt;7,"",IF(OR(AE346="",AE343=""),"",IF(AE343=0,"",(AE346/AE343)-1)))</f>
        <v/>
      </c>
      <c r="AL346" s="23">
        <f>IF(ROW()&lt;9,"",IF(OR(AE346="",AE341=""),"",IF(AE341=0,"",(AE346/AE341)-1)))</f>
        <v/>
      </c>
      <c r="AN346">
        <f>IF(OR(AG346="",AH346=""),"",IF(AND(AG346&gt;0,AH346&gt;0),"Bull",IF(AND(AG346&lt;0,AH346&lt;0),"Bear","Mixed")))</f>
        <v/>
      </c>
      <c r="AO346">
        <f>IF(OR(AK346="",AL346=""),"",IF(AND(AK346&gt;0,AL346&gt;0),"Bull",IF(AND(AK346&lt;0,AL346&lt;0),"Bear","Mixed")))</f>
        <v/>
      </c>
      <c r="AP346">
        <f>IF(OR(AN346="",AO346=""),"",IF(AND(AN346="Bull",AO346="Bull"),"YES","NO"))</f>
        <v/>
      </c>
      <c r="AQ346">
        <f>IF(OR(AN346="",AO346=""),"",IF(AND(AN346="Bear",AO346="Bear"),"YES","NO"))</f>
        <v/>
      </c>
      <c r="AR346">
        <f>IF(AP346="YES",IF(SUM(N(X346),N(Y346),N(Z346))&gt;0,"SOXL","TQQQ"),IF(AQ346="YES",IF(SUM(N(AA346),N(AB346),N(AC346))&gt;0,"SOXS","SQQQ"),"WAIT"))</f>
        <v/>
      </c>
      <c r="AS346">
        <f>IF(AP346="YES",IF(SUM(N(X346),N(Y346),N(Z346))&gt;0,"TQQQ","SOXL"),IF(AQ346="YES",IF(SUM(N(AA346),N(AB346),N(AC346))&gt;0,"SQQQ","SOXS"),""))</f>
        <v/>
      </c>
      <c r="AT346" s="23">
        <f>IF(AR346="WAIT","",IF(AS346="",1,0.6))</f>
        <v/>
      </c>
      <c r="AU346" s="23">
        <f>IF(AS346="",0,0.4)</f>
        <v/>
      </c>
      <c r="AV346">
        <f>IF(AR346="WAIT","WAIT",IF(AP346="YES","BULL",IF(AQ346="YES","BEAR","WAIT")))</f>
        <v/>
      </c>
      <c r="AW346">
        <f>IF(AR346="WAIT","Low",IF(OR(AND(AV346="BULL",ABS(SUM(N(X346),N(Y346),N(Z346)))&gt;=0.15),AND(AV346="BEAR",ABS(SUM(N(AA346),N(AB346),N(AC346)))&gt;=0.15)),"Strong",IF(OR(AND(AV346="BULL",ABS(SUM(N(X346),N(Y346),N(Z346)))&gt;=0.05),AND(AV346="BEAR",ABS(SUM(N(AA346),N(AB346),N(AC346)))&gt;=0.05)),"Moderate","Low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13" t="n"/>
      <c r="AF347" s="23">
        <f>IF(OR(AD347="",AD346=""),"",IF(AD346=0,"",(AD347/AD346)-1))</f>
        <v/>
      </c>
      <c r="AG347" s="23">
        <f>IF(ROW()&lt;7,"",IF(OR(AD347="",AD344=""),"",IF(AD344=0,"",(AD347/AD344)-1)))</f>
        <v/>
      </c>
      <c r="AH347" s="23">
        <f>IF(ROW()&lt;9,"",IF(OR(AD347="",AD342=""),"",IF(AD342=0,"",(AD347/AD342)-1)))</f>
        <v/>
      </c>
      <c r="AJ347" s="23">
        <f>IF(OR(AE347="",AE346=""),"",IF(AE346=0,"",(AE347/AE346)-1))</f>
        <v/>
      </c>
      <c r="AK347" s="23">
        <f>IF(ROW()&lt;7,"",IF(OR(AE347="",AE344=""),"",IF(AE344=0,"",(AE347/AE344)-1)))</f>
        <v/>
      </c>
      <c r="AL347" s="23">
        <f>IF(ROW()&lt;9,"",IF(OR(AE347="",AE342=""),"",IF(AE342=0,"",(AE347/AE342)-1)))</f>
        <v/>
      </c>
      <c r="AN347">
        <f>IF(OR(AG347="",AH347=""),"",IF(AND(AG347&gt;0,AH347&gt;0),"Bull",IF(AND(AG347&lt;0,AH347&lt;0),"Bear","Mixed")))</f>
        <v/>
      </c>
      <c r="AO347">
        <f>IF(OR(AK347="",AL347=""),"",IF(AND(AK347&gt;0,AL347&gt;0),"Bull",IF(AND(AK347&lt;0,AL347&lt;0),"Bear","Mixed")))</f>
        <v/>
      </c>
      <c r="AP347">
        <f>IF(OR(AN347="",AO347=""),"",IF(AND(AN347="Bull",AO347="Bull"),"YES","NO"))</f>
        <v/>
      </c>
      <c r="AQ347">
        <f>IF(OR(AN347="",AO347=""),"",IF(AND(AN347="Bear",AO347="Bear"),"YES","NO"))</f>
        <v/>
      </c>
      <c r="AR347">
        <f>IF(AP347="YES",IF(SUM(N(X347),N(Y347),N(Z347))&gt;0,"SOXL","TQQQ"),IF(AQ347="YES",IF(SUM(N(AA347),N(AB347),N(AC347))&gt;0,"SOXS","SQQQ"),"WAIT"))</f>
        <v/>
      </c>
      <c r="AS347">
        <f>IF(AP347="YES",IF(SUM(N(X347),N(Y347),N(Z347))&gt;0,"TQQQ","SOXL"),IF(AQ347="YES",IF(SUM(N(AA347),N(AB347),N(AC347))&gt;0,"SQQQ","SOXS"),""))</f>
        <v/>
      </c>
      <c r="AT347" s="23">
        <f>IF(AR347="WAIT","",IF(AS347="",1,0.6))</f>
        <v/>
      </c>
      <c r="AU347" s="23">
        <f>IF(AS347="",0,0.4)</f>
        <v/>
      </c>
      <c r="AV347">
        <f>IF(AR347="WAIT","WAIT",IF(AP347="YES","BULL",IF(AQ347="YES","BEAR","WAIT")))</f>
        <v/>
      </c>
      <c r="AW347">
        <f>IF(AR347="WAIT","Low",IF(OR(AND(AV347="BULL",ABS(SUM(N(X347),N(Y347),N(Z347)))&gt;=0.15),AND(AV347="BEAR",ABS(SUM(N(AA347),N(AB347),N(AC347)))&gt;=0.15)),"Strong",IF(OR(AND(AV347="BULL",ABS(SUM(N(X347),N(Y347),N(Z347)))&gt;=0.05),AND(AV347="BEAR",ABS(SUM(N(AA347),N(AB347),N(AC347)))&gt;=0.05)),"Moderate","Low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13" t="n"/>
      <c r="AF348" s="23">
        <f>IF(OR(AD348="",AD347=""),"",IF(AD347=0,"",(AD348/AD347)-1))</f>
        <v/>
      </c>
      <c r="AG348" s="23">
        <f>IF(ROW()&lt;7,"",IF(OR(AD348="",AD345=""),"",IF(AD345=0,"",(AD348/AD345)-1)))</f>
        <v/>
      </c>
      <c r="AH348" s="23">
        <f>IF(ROW()&lt;9,"",IF(OR(AD348="",AD343=""),"",IF(AD343=0,"",(AD348/AD343)-1)))</f>
        <v/>
      </c>
      <c r="AJ348" s="23">
        <f>IF(OR(AE348="",AE347=""),"",IF(AE347=0,"",(AE348/AE347)-1))</f>
        <v/>
      </c>
      <c r="AK348" s="23">
        <f>IF(ROW()&lt;7,"",IF(OR(AE348="",AE345=""),"",IF(AE345=0,"",(AE348/AE345)-1)))</f>
        <v/>
      </c>
      <c r="AL348" s="23">
        <f>IF(ROW()&lt;9,"",IF(OR(AE348="",AE343=""),"",IF(AE343=0,"",(AE348/AE343)-1)))</f>
        <v/>
      </c>
      <c r="AN348">
        <f>IF(OR(AG348="",AH348=""),"",IF(AND(AG348&gt;0,AH348&gt;0),"Bull",IF(AND(AG348&lt;0,AH348&lt;0),"Bear","Mixed")))</f>
        <v/>
      </c>
      <c r="AO348">
        <f>IF(OR(AK348="",AL348=""),"",IF(AND(AK348&gt;0,AL348&gt;0),"Bull",IF(AND(AK348&lt;0,AL348&lt;0),"Bear","Mixed")))</f>
        <v/>
      </c>
      <c r="AP348">
        <f>IF(OR(AN348="",AO348=""),"",IF(AND(AN348="Bull",AO348="Bull"),"YES","NO"))</f>
        <v/>
      </c>
      <c r="AQ348">
        <f>IF(OR(AN348="",AO348=""),"",IF(AND(AN348="Bear",AO348="Bear"),"YES","NO"))</f>
        <v/>
      </c>
      <c r="AR348">
        <f>IF(AP348="YES",IF(SUM(N(X348),N(Y348),N(Z348))&gt;0,"SOXL","TQQQ"),IF(AQ348="YES",IF(SUM(N(AA348),N(AB348),N(AC348))&gt;0,"SOXS","SQQQ"),"WAIT"))</f>
        <v/>
      </c>
      <c r="AS348">
        <f>IF(AP348="YES",IF(SUM(N(X348),N(Y348),N(Z348))&gt;0,"TQQQ","SOXL"),IF(AQ348="YES",IF(SUM(N(AA348),N(AB348),N(AC348))&gt;0,"SQQQ","SOXS"),""))</f>
        <v/>
      </c>
      <c r="AT348" s="23">
        <f>IF(AR348="WAIT","",IF(AS348="",1,0.6))</f>
        <v/>
      </c>
      <c r="AU348" s="23">
        <f>IF(AS348="",0,0.4)</f>
        <v/>
      </c>
      <c r="AV348">
        <f>IF(AR348="WAIT","WAIT",IF(AP348="YES","BULL",IF(AQ348="YES","BEAR","WAIT")))</f>
        <v/>
      </c>
      <c r="AW348">
        <f>IF(AR348="WAIT","Low",IF(OR(AND(AV348="BULL",ABS(SUM(N(X348),N(Y348),N(Z348)))&gt;=0.15),AND(AV348="BEAR",ABS(SUM(N(AA348),N(AB348),N(AC348)))&gt;=0.15)),"Strong",IF(OR(AND(AV348="BULL",ABS(SUM(N(X348),N(Y348),N(Z348)))&gt;=0.05),AND(AV348="BEAR",ABS(SUM(N(AA348),N(AB348),N(AC348)))&gt;=0.05)),"Moderate","Low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13" t="n"/>
      <c r="AF349" s="23">
        <f>IF(OR(AD349="",AD348=""),"",IF(AD348=0,"",(AD349/AD348)-1))</f>
        <v/>
      </c>
      <c r="AG349" s="23">
        <f>IF(ROW()&lt;7,"",IF(OR(AD349="",AD346=""),"",IF(AD346=0,"",(AD349/AD346)-1)))</f>
        <v/>
      </c>
      <c r="AH349" s="23">
        <f>IF(ROW()&lt;9,"",IF(OR(AD349="",AD344=""),"",IF(AD344=0,"",(AD349/AD344)-1)))</f>
        <v/>
      </c>
      <c r="AJ349" s="23">
        <f>IF(OR(AE349="",AE348=""),"",IF(AE348=0,"",(AE349/AE348)-1))</f>
        <v/>
      </c>
      <c r="AK349" s="23">
        <f>IF(ROW()&lt;7,"",IF(OR(AE349="",AE346=""),"",IF(AE346=0,"",(AE349/AE346)-1)))</f>
        <v/>
      </c>
      <c r="AL349" s="23">
        <f>IF(ROW()&lt;9,"",IF(OR(AE349="",AE344=""),"",IF(AE344=0,"",(AE349/AE344)-1)))</f>
        <v/>
      </c>
      <c r="AN349">
        <f>IF(OR(AG349="",AH349=""),"",IF(AND(AG349&gt;0,AH349&gt;0),"Bull",IF(AND(AG349&lt;0,AH349&lt;0),"Bear","Mixed")))</f>
        <v/>
      </c>
      <c r="AO349">
        <f>IF(OR(AK349="",AL349=""),"",IF(AND(AK349&gt;0,AL349&gt;0),"Bull",IF(AND(AK349&lt;0,AL349&lt;0),"Bear","Mixed")))</f>
        <v/>
      </c>
      <c r="AP349">
        <f>IF(OR(AN349="",AO349=""),"",IF(AND(AN349="Bull",AO349="Bull"),"YES","NO"))</f>
        <v/>
      </c>
      <c r="AQ349">
        <f>IF(OR(AN349="",AO349=""),"",IF(AND(AN349="Bear",AO349="Bear"),"YES","NO"))</f>
        <v/>
      </c>
      <c r="AR349">
        <f>IF(AP349="YES",IF(SUM(N(X349),N(Y349),N(Z349))&gt;0,"SOXL","TQQQ"),IF(AQ349="YES",IF(SUM(N(AA349),N(AB349),N(AC349))&gt;0,"SOXS","SQQQ"),"WAIT"))</f>
        <v/>
      </c>
      <c r="AS349">
        <f>IF(AP349="YES",IF(SUM(N(X349),N(Y349),N(Z349))&gt;0,"TQQQ","SOXL"),IF(AQ349="YES",IF(SUM(N(AA349),N(AB349),N(AC349))&gt;0,"SQQQ","SOXS"),""))</f>
        <v/>
      </c>
      <c r="AT349" s="23">
        <f>IF(AR349="WAIT","",IF(AS349="",1,0.6))</f>
        <v/>
      </c>
      <c r="AU349" s="23">
        <f>IF(AS349="",0,0.4)</f>
        <v/>
      </c>
      <c r="AV349">
        <f>IF(AR349="WAIT","WAIT",IF(AP349="YES","BULL",IF(AQ349="YES","BEAR","WAIT")))</f>
        <v/>
      </c>
      <c r="AW349">
        <f>IF(AR349="WAIT","Low",IF(OR(AND(AV349="BULL",ABS(SUM(N(X349),N(Y349),N(Z349)))&gt;=0.15),AND(AV349="BEAR",ABS(SUM(N(AA349),N(AB349),N(AC349)))&gt;=0.15)),"Strong",IF(OR(AND(AV349="BULL",ABS(SUM(N(X349),N(Y349),N(Z349)))&gt;=0.05),AND(AV349="BEAR",ABS(SUM(N(AA349),N(AB349),N(AC349)))&gt;=0.05)),"Moderate","Low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13" t="n"/>
      <c r="AF350" s="23">
        <f>IF(OR(AD350="",AD349=""),"",IF(AD349=0,"",(AD350/AD349)-1))</f>
        <v/>
      </c>
      <c r="AG350" s="23">
        <f>IF(ROW()&lt;7,"",IF(OR(AD350="",AD347=""),"",IF(AD347=0,"",(AD350/AD347)-1)))</f>
        <v/>
      </c>
      <c r="AH350" s="23">
        <f>IF(ROW()&lt;9,"",IF(OR(AD350="",AD345=""),"",IF(AD345=0,"",(AD350/AD345)-1)))</f>
        <v/>
      </c>
      <c r="AJ350" s="23">
        <f>IF(OR(AE350="",AE349=""),"",IF(AE349=0,"",(AE350/AE349)-1))</f>
        <v/>
      </c>
      <c r="AK350" s="23">
        <f>IF(ROW()&lt;7,"",IF(OR(AE350="",AE347=""),"",IF(AE347=0,"",(AE350/AE347)-1)))</f>
        <v/>
      </c>
      <c r="AL350" s="23">
        <f>IF(ROW()&lt;9,"",IF(OR(AE350="",AE345=""),"",IF(AE345=0,"",(AE350/AE345)-1)))</f>
        <v/>
      </c>
      <c r="AN350">
        <f>IF(OR(AG350="",AH350=""),"",IF(AND(AG350&gt;0,AH350&gt;0),"Bull",IF(AND(AG350&lt;0,AH350&lt;0),"Bear","Mixed")))</f>
        <v/>
      </c>
      <c r="AO350">
        <f>IF(OR(AK350="",AL350=""),"",IF(AND(AK350&gt;0,AL350&gt;0),"Bull",IF(AND(AK350&lt;0,AL350&lt;0),"Bear","Mixed")))</f>
        <v/>
      </c>
      <c r="AP350">
        <f>IF(OR(AN350="",AO350=""),"",IF(AND(AN350="Bull",AO350="Bull"),"YES","NO"))</f>
        <v/>
      </c>
      <c r="AQ350">
        <f>IF(OR(AN350="",AO350=""),"",IF(AND(AN350="Bear",AO350="Bear"),"YES","NO"))</f>
        <v/>
      </c>
      <c r="AR350">
        <f>IF(AP350="YES",IF(SUM(N(X350),N(Y350),N(Z350))&gt;0,"SOXL","TQQQ"),IF(AQ350="YES",IF(SUM(N(AA350),N(AB350),N(AC350))&gt;0,"SOXS","SQQQ"),"WAIT"))</f>
        <v/>
      </c>
      <c r="AS350">
        <f>IF(AP350="YES",IF(SUM(N(X350),N(Y350),N(Z350))&gt;0,"TQQQ","SOXL"),IF(AQ350="YES",IF(SUM(N(AA350),N(AB350),N(AC350))&gt;0,"SQQQ","SOXS"),""))</f>
        <v/>
      </c>
      <c r="AT350" s="23">
        <f>IF(AR350="WAIT","",IF(AS350="",1,0.6))</f>
        <v/>
      </c>
      <c r="AU350" s="23">
        <f>IF(AS350="",0,0.4)</f>
        <v/>
      </c>
      <c r="AV350">
        <f>IF(AR350="WAIT","WAIT",IF(AP350="YES","BULL",IF(AQ350="YES","BEAR","WAIT")))</f>
        <v/>
      </c>
      <c r="AW350">
        <f>IF(AR350="WAIT","Low",IF(OR(AND(AV350="BULL",ABS(SUM(N(X350),N(Y350),N(Z350)))&gt;=0.15),AND(AV350="BEAR",ABS(SUM(N(AA350),N(AB350),N(AC350)))&gt;=0.15)),"Strong",IF(OR(AND(AV350="BULL",ABS(SUM(N(X350),N(Y350),N(Z350)))&gt;=0.05),AND(AV350="BEAR",ABS(SUM(N(AA350),N(AB350),N(AC350)))&gt;=0.05)),"Moderate","Low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13" t="n"/>
      <c r="AF351" s="23">
        <f>IF(OR(AD351="",AD350=""),"",IF(AD350=0,"",(AD351/AD350)-1))</f>
        <v/>
      </c>
      <c r="AG351" s="23">
        <f>IF(ROW()&lt;7,"",IF(OR(AD351="",AD348=""),"",IF(AD348=0,"",(AD351/AD348)-1)))</f>
        <v/>
      </c>
      <c r="AH351" s="23">
        <f>IF(ROW()&lt;9,"",IF(OR(AD351="",AD346=""),"",IF(AD346=0,"",(AD351/AD346)-1)))</f>
        <v/>
      </c>
      <c r="AJ351" s="23">
        <f>IF(OR(AE351="",AE350=""),"",IF(AE350=0,"",(AE351/AE350)-1))</f>
        <v/>
      </c>
      <c r="AK351" s="23">
        <f>IF(ROW()&lt;7,"",IF(OR(AE351="",AE348=""),"",IF(AE348=0,"",(AE351/AE348)-1)))</f>
        <v/>
      </c>
      <c r="AL351" s="23">
        <f>IF(ROW()&lt;9,"",IF(OR(AE351="",AE346=""),"",IF(AE346=0,"",(AE351/AE346)-1)))</f>
        <v/>
      </c>
      <c r="AN351">
        <f>IF(OR(AG351="",AH351=""),"",IF(AND(AG351&gt;0,AH351&gt;0),"Bull",IF(AND(AG351&lt;0,AH351&lt;0),"Bear","Mixed")))</f>
        <v/>
      </c>
      <c r="AO351">
        <f>IF(OR(AK351="",AL351=""),"",IF(AND(AK351&gt;0,AL351&gt;0),"Bull",IF(AND(AK351&lt;0,AL351&lt;0),"Bear","Mixed")))</f>
        <v/>
      </c>
      <c r="AP351">
        <f>IF(OR(AN351="",AO351=""),"",IF(AND(AN351="Bull",AO351="Bull"),"YES","NO"))</f>
        <v/>
      </c>
      <c r="AQ351">
        <f>IF(OR(AN351="",AO351=""),"",IF(AND(AN351="Bear",AO351="Bear"),"YES","NO"))</f>
        <v/>
      </c>
      <c r="AR351">
        <f>IF(AP351="YES",IF(SUM(N(X351),N(Y351),N(Z351))&gt;0,"SOXL","TQQQ"),IF(AQ351="YES",IF(SUM(N(AA351),N(AB351),N(AC351))&gt;0,"SOXS","SQQQ"),"WAIT"))</f>
        <v/>
      </c>
      <c r="AS351">
        <f>IF(AP351="YES",IF(SUM(N(X351),N(Y351),N(Z351))&gt;0,"TQQQ","SOXL"),IF(AQ351="YES",IF(SUM(N(AA351),N(AB351),N(AC351))&gt;0,"SQQQ","SOXS"),""))</f>
        <v/>
      </c>
      <c r="AT351" s="23">
        <f>IF(AR351="WAIT","",IF(AS351="",1,0.6))</f>
        <v/>
      </c>
      <c r="AU351" s="23">
        <f>IF(AS351="",0,0.4)</f>
        <v/>
      </c>
      <c r="AV351">
        <f>IF(AR351="WAIT","WAIT",IF(AP351="YES","BULL",IF(AQ351="YES","BEAR","WAIT")))</f>
        <v/>
      </c>
      <c r="AW351">
        <f>IF(AR351="WAIT","Low",IF(OR(AND(AV351="BULL",ABS(SUM(N(X351),N(Y351),N(Z351)))&gt;=0.15),AND(AV351="BEAR",ABS(SUM(N(AA351),N(AB351),N(AC351)))&gt;=0.15)),"Strong",IF(OR(AND(AV351="BULL",ABS(SUM(N(X351),N(Y351),N(Z351)))&gt;=0.05),AND(AV351="BEAR",ABS(SUM(N(AA351),N(AB351),N(AC351)))&gt;=0.05)),"Moderate","Low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13" t="n"/>
      <c r="AF352" s="23">
        <f>IF(OR(AD352="",AD351=""),"",IF(AD351=0,"",(AD352/AD351)-1))</f>
        <v/>
      </c>
      <c r="AG352" s="23">
        <f>IF(ROW()&lt;7,"",IF(OR(AD352="",AD349=""),"",IF(AD349=0,"",(AD352/AD349)-1)))</f>
        <v/>
      </c>
      <c r="AH352" s="23">
        <f>IF(ROW()&lt;9,"",IF(OR(AD352="",AD347=""),"",IF(AD347=0,"",(AD352/AD347)-1)))</f>
        <v/>
      </c>
      <c r="AJ352" s="23">
        <f>IF(OR(AE352="",AE351=""),"",IF(AE351=0,"",(AE352/AE351)-1))</f>
        <v/>
      </c>
      <c r="AK352" s="23">
        <f>IF(ROW()&lt;7,"",IF(OR(AE352="",AE349=""),"",IF(AE349=0,"",(AE352/AE349)-1)))</f>
        <v/>
      </c>
      <c r="AL352" s="23">
        <f>IF(ROW()&lt;9,"",IF(OR(AE352="",AE347=""),"",IF(AE347=0,"",(AE352/AE347)-1)))</f>
        <v/>
      </c>
      <c r="AN352">
        <f>IF(OR(AG352="",AH352=""),"",IF(AND(AG352&gt;0,AH352&gt;0),"Bull",IF(AND(AG352&lt;0,AH352&lt;0),"Bear","Mixed")))</f>
        <v/>
      </c>
      <c r="AO352">
        <f>IF(OR(AK352="",AL352=""),"",IF(AND(AK352&gt;0,AL352&gt;0),"Bull",IF(AND(AK352&lt;0,AL352&lt;0),"Bear","Mixed")))</f>
        <v/>
      </c>
      <c r="AP352">
        <f>IF(OR(AN352="",AO352=""),"",IF(AND(AN352="Bull",AO352="Bull"),"YES","NO"))</f>
        <v/>
      </c>
      <c r="AQ352">
        <f>IF(OR(AN352="",AO352=""),"",IF(AND(AN352="Bear",AO352="Bear"),"YES","NO"))</f>
        <v/>
      </c>
      <c r="AR352">
        <f>IF(AP352="YES",IF(SUM(N(X352),N(Y352),N(Z352))&gt;0,"SOXL","TQQQ"),IF(AQ352="YES",IF(SUM(N(AA352),N(AB352),N(AC352))&gt;0,"SOXS","SQQQ"),"WAIT"))</f>
        <v/>
      </c>
      <c r="AS352">
        <f>IF(AP352="YES",IF(SUM(N(X352),N(Y352),N(Z352))&gt;0,"TQQQ","SOXL"),IF(AQ352="YES",IF(SUM(N(AA352),N(AB352),N(AC352))&gt;0,"SQQQ","SOXS"),""))</f>
        <v/>
      </c>
      <c r="AT352" s="23">
        <f>IF(AR352="WAIT","",IF(AS352="",1,0.6))</f>
        <v/>
      </c>
      <c r="AU352" s="23">
        <f>IF(AS352="",0,0.4)</f>
        <v/>
      </c>
      <c r="AV352">
        <f>IF(AR352="WAIT","WAIT",IF(AP352="YES","BULL",IF(AQ352="YES","BEAR","WAIT")))</f>
        <v/>
      </c>
      <c r="AW352">
        <f>IF(AR352="WAIT","Low",IF(OR(AND(AV352="BULL",ABS(SUM(N(X352),N(Y352),N(Z352)))&gt;=0.15),AND(AV352="BEAR",ABS(SUM(N(AA352),N(AB352),N(AC352)))&gt;=0.15)),"Strong",IF(OR(AND(AV352="BULL",ABS(SUM(N(X352),N(Y352),N(Z352)))&gt;=0.05),AND(AV352="BEAR",ABS(SUM(N(AA352),N(AB352),N(AC352)))&gt;=0.05)),"Moderate","Low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13" t="n"/>
      <c r="AF353" s="23">
        <f>IF(OR(AD353="",AD352=""),"",IF(AD352=0,"",(AD353/AD352)-1))</f>
        <v/>
      </c>
      <c r="AG353" s="23">
        <f>IF(ROW()&lt;7,"",IF(OR(AD353="",AD350=""),"",IF(AD350=0,"",(AD353/AD350)-1)))</f>
        <v/>
      </c>
      <c r="AH353" s="23">
        <f>IF(ROW()&lt;9,"",IF(OR(AD353="",AD348=""),"",IF(AD348=0,"",(AD353/AD348)-1)))</f>
        <v/>
      </c>
      <c r="AJ353" s="23">
        <f>IF(OR(AE353="",AE352=""),"",IF(AE352=0,"",(AE353/AE352)-1))</f>
        <v/>
      </c>
      <c r="AK353" s="23">
        <f>IF(ROW()&lt;7,"",IF(OR(AE353="",AE350=""),"",IF(AE350=0,"",(AE353/AE350)-1)))</f>
        <v/>
      </c>
      <c r="AL353" s="23">
        <f>IF(ROW()&lt;9,"",IF(OR(AE353="",AE348=""),"",IF(AE348=0,"",(AE353/AE348)-1)))</f>
        <v/>
      </c>
      <c r="AN353">
        <f>IF(OR(AG353="",AH353=""),"",IF(AND(AG353&gt;0,AH353&gt;0),"Bull",IF(AND(AG353&lt;0,AH353&lt;0),"Bear","Mixed")))</f>
        <v/>
      </c>
      <c r="AO353">
        <f>IF(OR(AK353="",AL353=""),"",IF(AND(AK353&gt;0,AL353&gt;0),"Bull",IF(AND(AK353&lt;0,AL353&lt;0),"Bear","Mixed")))</f>
        <v/>
      </c>
      <c r="AP353">
        <f>IF(OR(AN353="",AO353=""),"",IF(AND(AN353="Bull",AO353="Bull"),"YES","NO"))</f>
        <v/>
      </c>
      <c r="AQ353">
        <f>IF(OR(AN353="",AO353=""),"",IF(AND(AN353="Bear",AO353="Bear"),"YES","NO"))</f>
        <v/>
      </c>
      <c r="AR353">
        <f>IF(AP353="YES",IF(SUM(N(X353),N(Y353),N(Z353))&gt;0,"SOXL","TQQQ"),IF(AQ353="YES",IF(SUM(N(AA353),N(AB353),N(AC353))&gt;0,"SOXS","SQQQ"),"WAIT"))</f>
        <v/>
      </c>
      <c r="AS353">
        <f>IF(AP353="YES",IF(SUM(N(X353),N(Y353),N(Z353))&gt;0,"TQQQ","SOXL"),IF(AQ353="YES",IF(SUM(N(AA353),N(AB353),N(AC353))&gt;0,"SQQQ","SOXS"),""))</f>
        <v/>
      </c>
      <c r="AT353" s="23">
        <f>IF(AR353="WAIT","",IF(AS353="",1,0.6))</f>
        <v/>
      </c>
      <c r="AU353" s="23">
        <f>IF(AS353="",0,0.4)</f>
        <v/>
      </c>
      <c r="AV353">
        <f>IF(AR353="WAIT","WAIT",IF(AP353="YES","BULL",IF(AQ353="YES","BEAR","WAIT")))</f>
        <v/>
      </c>
      <c r="AW353">
        <f>IF(AR353="WAIT","Low",IF(OR(AND(AV353="BULL",ABS(SUM(N(X353),N(Y353),N(Z353)))&gt;=0.15),AND(AV353="BEAR",ABS(SUM(N(AA353),N(AB353),N(AC353)))&gt;=0.15)),"Strong",IF(OR(AND(AV353="BULL",ABS(SUM(N(X353),N(Y353),N(Z353)))&gt;=0.05),AND(AV353="BEAR",ABS(SUM(N(AA353),N(AB353),N(AC353)))&gt;=0.05)),"Moderate","Low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13" t="n"/>
      <c r="AF354" s="23">
        <f>IF(OR(AD354="",AD353=""),"",IF(AD353=0,"",(AD354/AD353)-1))</f>
        <v/>
      </c>
      <c r="AG354" s="23">
        <f>IF(ROW()&lt;7,"",IF(OR(AD354="",AD351=""),"",IF(AD351=0,"",(AD354/AD351)-1)))</f>
        <v/>
      </c>
      <c r="AH354" s="23">
        <f>IF(ROW()&lt;9,"",IF(OR(AD354="",AD349=""),"",IF(AD349=0,"",(AD354/AD349)-1)))</f>
        <v/>
      </c>
      <c r="AJ354" s="23">
        <f>IF(OR(AE354="",AE353=""),"",IF(AE353=0,"",(AE354/AE353)-1))</f>
        <v/>
      </c>
      <c r="AK354" s="23">
        <f>IF(ROW()&lt;7,"",IF(OR(AE354="",AE351=""),"",IF(AE351=0,"",(AE354/AE351)-1)))</f>
        <v/>
      </c>
      <c r="AL354" s="23">
        <f>IF(ROW()&lt;9,"",IF(OR(AE354="",AE349=""),"",IF(AE349=0,"",(AE354/AE349)-1)))</f>
        <v/>
      </c>
      <c r="AN354">
        <f>IF(OR(AG354="",AH354=""),"",IF(AND(AG354&gt;0,AH354&gt;0),"Bull",IF(AND(AG354&lt;0,AH354&lt;0),"Bear","Mixed")))</f>
        <v/>
      </c>
      <c r="AO354">
        <f>IF(OR(AK354="",AL354=""),"",IF(AND(AK354&gt;0,AL354&gt;0),"Bull",IF(AND(AK354&lt;0,AL354&lt;0),"Bear","Mixed")))</f>
        <v/>
      </c>
      <c r="AP354">
        <f>IF(OR(AN354="",AO354=""),"",IF(AND(AN354="Bull",AO354="Bull"),"YES","NO"))</f>
        <v/>
      </c>
      <c r="AQ354">
        <f>IF(OR(AN354="",AO354=""),"",IF(AND(AN354="Bear",AO354="Bear"),"YES","NO"))</f>
        <v/>
      </c>
      <c r="AR354">
        <f>IF(AP354="YES",IF(SUM(N(X354),N(Y354),N(Z354))&gt;0,"SOXL","TQQQ"),IF(AQ354="YES",IF(SUM(N(AA354),N(AB354),N(AC354))&gt;0,"SOXS","SQQQ"),"WAIT"))</f>
        <v/>
      </c>
      <c r="AS354">
        <f>IF(AP354="YES",IF(SUM(N(X354),N(Y354),N(Z354))&gt;0,"TQQQ","SOXL"),IF(AQ354="YES",IF(SUM(N(AA354),N(AB354),N(AC354))&gt;0,"SQQQ","SOXS"),""))</f>
        <v/>
      </c>
      <c r="AT354" s="23">
        <f>IF(AR354="WAIT","",IF(AS354="",1,0.6))</f>
        <v/>
      </c>
      <c r="AU354" s="23">
        <f>IF(AS354="",0,0.4)</f>
        <v/>
      </c>
      <c r="AV354">
        <f>IF(AR354="WAIT","WAIT",IF(AP354="YES","BULL",IF(AQ354="YES","BEAR","WAIT")))</f>
        <v/>
      </c>
      <c r="AW354">
        <f>IF(AR354="WAIT","Low",IF(OR(AND(AV354="BULL",ABS(SUM(N(X354),N(Y354),N(Z354)))&gt;=0.15),AND(AV354="BEAR",ABS(SUM(N(AA354),N(AB354),N(AC354)))&gt;=0.15)),"Strong",IF(OR(AND(AV354="BULL",ABS(SUM(N(X354),N(Y354),N(Z354)))&gt;=0.05),AND(AV354="BEAR",ABS(SUM(N(AA354),N(AB354),N(AC354)))&gt;=0.05)),"Moderate","Low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13" t="n"/>
      <c r="AF355" s="23">
        <f>IF(OR(AD355="",AD354=""),"",IF(AD354=0,"",(AD355/AD354)-1))</f>
        <v/>
      </c>
      <c r="AG355" s="23">
        <f>IF(ROW()&lt;7,"",IF(OR(AD355="",AD352=""),"",IF(AD352=0,"",(AD355/AD352)-1)))</f>
        <v/>
      </c>
      <c r="AH355" s="23">
        <f>IF(ROW()&lt;9,"",IF(OR(AD355="",AD350=""),"",IF(AD350=0,"",(AD355/AD350)-1)))</f>
        <v/>
      </c>
      <c r="AJ355" s="23">
        <f>IF(OR(AE355="",AE354=""),"",IF(AE354=0,"",(AE355/AE354)-1))</f>
        <v/>
      </c>
      <c r="AK355" s="23">
        <f>IF(ROW()&lt;7,"",IF(OR(AE355="",AE352=""),"",IF(AE352=0,"",(AE355/AE352)-1)))</f>
        <v/>
      </c>
      <c r="AL355" s="23">
        <f>IF(ROW()&lt;9,"",IF(OR(AE355="",AE350=""),"",IF(AE350=0,"",(AE355/AE350)-1)))</f>
        <v/>
      </c>
      <c r="AN355">
        <f>IF(OR(AG355="",AH355=""),"",IF(AND(AG355&gt;0,AH355&gt;0),"Bull",IF(AND(AG355&lt;0,AH355&lt;0),"Bear","Mixed")))</f>
        <v/>
      </c>
      <c r="AO355">
        <f>IF(OR(AK355="",AL355=""),"",IF(AND(AK355&gt;0,AL355&gt;0),"Bull",IF(AND(AK355&lt;0,AL355&lt;0),"Bear","Mixed")))</f>
        <v/>
      </c>
      <c r="AP355">
        <f>IF(OR(AN355="",AO355=""),"",IF(AND(AN355="Bull",AO355="Bull"),"YES","NO"))</f>
        <v/>
      </c>
      <c r="AQ355">
        <f>IF(OR(AN355="",AO355=""),"",IF(AND(AN355="Bear",AO355="Bear"),"YES","NO"))</f>
        <v/>
      </c>
      <c r="AR355">
        <f>IF(AP355="YES",IF(SUM(N(X355),N(Y355),N(Z355))&gt;0,"SOXL","TQQQ"),IF(AQ355="YES",IF(SUM(N(AA355),N(AB355),N(AC355))&gt;0,"SOXS","SQQQ"),"WAIT"))</f>
        <v/>
      </c>
      <c r="AS355">
        <f>IF(AP355="YES",IF(SUM(N(X355),N(Y355),N(Z355))&gt;0,"TQQQ","SOXL"),IF(AQ355="YES",IF(SUM(N(AA355),N(AB355),N(AC355))&gt;0,"SQQQ","SOXS"),""))</f>
        <v/>
      </c>
      <c r="AT355" s="23">
        <f>IF(AR355="WAIT","",IF(AS355="",1,0.6))</f>
        <v/>
      </c>
      <c r="AU355" s="23">
        <f>IF(AS355="",0,0.4)</f>
        <v/>
      </c>
      <c r="AV355">
        <f>IF(AR355="WAIT","WAIT",IF(AP355="YES","BULL",IF(AQ355="YES","BEAR","WAIT")))</f>
        <v/>
      </c>
      <c r="AW355">
        <f>IF(AR355="WAIT","Low",IF(OR(AND(AV355="BULL",ABS(SUM(N(X355),N(Y355),N(Z355)))&gt;=0.15),AND(AV355="BEAR",ABS(SUM(N(AA355),N(AB355),N(AC355)))&gt;=0.15)),"Strong",IF(OR(AND(AV355="BULL",ABS(SUM(N(X355),N(Y355),N(Z355)))&gt;=0.05),AND(AV355="BEAR",ABS(SUM(N(AA355),N(AB355),N(AC355)))&gt;=0.05)),"Moderate","Low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13" t="n"/>
      <c r="AF356" s="23">
        <f>IF(OR(AD356="",AD355=""),"",IF(AD355=0,"",(AD356/AD355)-1))</f>
        <v/>
      </c>
      <c r="AG356" s="23">
        <f>IF(ROW()&lt;7,"",IF(OR(AD356="",AD353=""),"",IF(AD353=0,"",(AD356/AD353)-1)))</f>
        <v/>
      </c>
      <c r="AH356" s="23">
        <f>IF(ROW()&lt;9,"",IF(OR(AD356="",AD351=""),"",IF(AD351=0,"",(AD356/AD351)-1)))</f>
        <v/>
      </c>
      <c r="AJ356" s="23">
        <f>IF(OR(AE356="",AE355=""),"",IF(AE355=0,"",(AE356/AE355)-1))</f>
        <v/>
      </c>
      <c r="AK356" s="23">
        <f>IF(ROW()&lt;7,"",IF(OR(AE356="",AE353=""),"",IF(AE353=0,"",(AE356/AE353)-1)))</f>
        <v/>
      </c>
      <c r="AL356" s="23">
        <f>IF(ROW()&lt;9,"",IF(OR(AE356="",AE351=""),"",IF(AE351=0,"",(AE356/AE351)-1)))</f>
        <v/>
      </c>
      <c r="AN356">
        <f>IF(OR(AG356="",AH356=""),"",IF(AND(AG356&gt;0,AH356&gt;0),"Bull",IF(AND(AG356&lt;0,AH356&lt;0),"Bear","Mixed")))</f>
        <v/>
      </c>
      <c r="AO356">
        <f>IF(OR(AK356="",AL356=""),"",IF(AND(AK356&gt;0,AL356&gt;0),"Bull",IF(AND(AK356&lt;0,AL356&lt;0),"Bear","Mixed")))</f>
        <v/>
      </c>
      <c r="AP356">
        <f>IF(OR(AN356="",AO356=""),"",IF(AND(AN356="Bull",AO356="Bull"),"YES","NO"))</f>
        <v/>
      </c>
      <c r="AQ356">
        <f>IF(OR(AN356="",AO356=""),"",IF(AND(AN356="Bear",AO356="Bear"),"YES","NO"))</f>
        <v/>
      </c>
      <c r="AR356">
        <f>IF(AP356="YES",IF(SUM(N(X356),N(Y356),N(Z356))&gt;0,"SOXL","TQQQ"),IF(AQ356="YES",IF(SUM(N(AA356),N(AB356),N(AC356))&gt;0,"SOXS","SQQQ"),"WAIT"))</f>
        <v/>
      </c>
      <c r="AS356">
        <f>IF(AP356="YES",IF(SUM(N(X356),N(Y356),N(Z356))&gt;0,"TQQQ","SOXL"),IF(AQ356="YES",IF(SUM(N(AA356),N(AB356),N(AC356))&gt;0,"SQQQ","SOXS"),""))</f>
        <v/>
      </c>
      <c r="AT356" s="23">
        <f>IF(AR356="WAIT","",IF(AS356="",1,0.6))</f>
        <v/>
      </c>
      <c r="AU356" s="23">
        <f>IF(AS356="",0,0.4)</f>
        <v/>
      </c>
      <c r="AV356">
        <f>IF(AR356="WAIT","WAIT",IF(AP356="YES","BULL",IF(AQ356="YES","BEAR","WAIT")))</f>
        <v/>
      </c>
      <c r="AW356">
        <f>IF(AR356="WAIT","Low",IF(OR(AND(AV356="BULL",ABS(SUM(N(X356),N(Y356),N(Z356)))&gt;=0.15),AND(AV356="BEAR",ABS(SUM(N(AA356),N(AB356),N(AC356)))&gt;=0.15)),"Strong",IF(OR(AND(AV356="BULL",ABS(SUM(N(X356),N(Y356),N(Z356)))&gt;=0.05),AND(AV356="BEAR",ABS(SUM(N(AA356),N(AB356),N(AC356)))&gt;=0.05)),"Moderate","Low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13" t="n"/>
      <c r="AF357" s="23">
        <f>IF(OR(AD357="",AD356=""),"",IF(AD356=0,"",(AD357/AD356)-1))</f>
        <v/>
      </c>
      <c r="AG357" s="23">
        <f>IF(ROW()&lt;7,"",IF(OR(AD357="",AD354=""),"",IF(AD354=0,"",(AD357/AD354)-1)))</f>
        <v/>
      </c>
      <c r="AH357" s="23">
        <f>IF(ROW()&lt;9,"",IF(OR(AD357="",AD352=""),"",IF(AD352=0,"",(AD357/AD352)-1)))</f>
        <v/>
      </c>
      <c r="AJ357" s="23">
        <f>IF(OR(AE357="",AE356=""),"",IF(AE356=0,"",(AE357/AE356)-1))</f>
        <v/>
      </c>
      <c r="AK357" s="23">
        <f>IF(ROW()&lt;7,"",IF(OR(AE357="",AE354=""),"",IF(AE354=0,"",(AE357/AE354)-1)))</f>
        <v/>
      </c>
      <c r="AL357" s="23">
        <f>IF(ROW()&lt;9,"",IF(OR(AE357="",AE352=""),"",IF(AE352=0,"",(AE357/AE352)-1)))</f>
        <v/>
      </c>
      <c r="AN357">
        <f>IF(OR(AG357="",AH357=""),"",IF(AND(AG357&gt;0,AH357&gt;0),"Bull",IF(AND(AG357&lt;0,AH357&lt;0),"Bear","Mixed")))</f>
        <v/>
      </c>
      <c r="AO357">
        <f>IF(OR(AK357="",AL357=""),"",IF(AND(AK357&gt;0,AL357&gt;0),"Bull",IF(AND(AK357&lt;0,AL357&lt;0),"Bear","Mixed")))</f>
        <v/>
      </c>
      <c r="AP357">
        <f>IF(OR(AN357="",AO357=""),"",IF(AND(AN357="Bull",AO357="Bull"),"YES","NO"))</f>
        <v/>
      </c>
      <c r="AQ357">
        <f>IF(OR(AN357="",AO357=""),"",IF(AND(AN357="Bear",AO357="Bear"),"YES","NO"))</f>
        <v/>
      </c>
      <c r="AR357">
        <f>IF(AP357="YES",IF(SUM(N(X357),N(Y357),N(Z357))&gt;0,"SOXL","TQQQ"),IF(AQ357="YES",IF(SUM(N(AA357),N(AB357),N(AC357))&gt;0,"SOXS","SQQQ"),"WAIT"))</f>
        <v/>
      </c>
      <c r="AS357">
        <f>IF(AP357="YES",IF(SUM(N(X357),N(Y357),N(Z357))&gt;0,"TQQQ","SOXL"),IF(AQ357="YES",IF(SUM(N(AA357),N(AB357),N(AC357))&gt;0,"SQQQ","SOXS"),""))</f>
        <v/>
      </c>
      <c r="AT357" s="23">
        <f>IF(AR357="WAIT","",IF(AS357="",1,0.6))</f>
        <v/>
      </c>
      <c r="AU357" s="23">
        <f>IF(AS357="",0,0.4)</f>
        <v/>
      </c>
      <c r="AV357">
        <f>IF(AR357="WAIT","WAIT",IF(AP357="YES","BULL",IF(AQ357="YES","BEAR","WAIT")))</f>
        <v/>
      </c>
      <c r="AW357">
        <f>IF(AR357="WAIT","Low",IF(OR(AND(AV357="BULL",ABS(SUM(N(X357),N(Y357),N(Z357)))&gt;=0.15),AND(AV357="BEAR",ABS(SUM(N(AA357),N(AB357),N(AC357)))&gt;=0.15)),"Strong",IF(OR(AND(AV357="BULL",ABS(SUM(N(X357),N(Y357),N(Z357)))&gt;=0.05),AND(AV357="BEAR",ABS(SUM(N(AA357),N(AB357),N(AC357)))&gt;=0.05)),"Moderate","Low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13" t="n"/>
      <c r="AF358" s="23">
        <f>IF(OR(AD358="",AD357=""),"",IF(AD357=0,"",(AD358/AD357)-1))</f>
        <v/>
      </c>
      <c r="AG358" s="23">
        <f>IF(ROW()&lt;7,"",IF(OR(AD358="",AD355=""),"",IF(AD355=0,"",(AD358/AD355)-1)))</f>
        <v/>
      </c>
      <c r="AH358" s="23">
        <f>IF(ROW()&lt;9,"",IF(OR(AD358="",AD353=""),"",IF(AD353=0,"",(AD358/AD353)-1)))</f>
        <v/>
      </c>
      <c r="AJ358" s="23">
        <f>IF(OR(AE358="",AE357=""),"",IF(AE357=0,"",(AE358/AE357)-1))</f>
        <v/>
      </c>
      <c r="AK358" s="23">
        <f>IF(ROW()&lt;7,"",IF(OR(AE358="",AE355=""),"",IF(AE355=0,"",(AE358/AE355)-1)))</f>
        <v/>
      </c>
      <c r="AL358" s="23">
        <f>IF(ROW()&lt;9,"",IF(OR(AE358="",AE353=""),"",IF(AE353=0,"",(AE358/AE353)-1)))</f>
        <v/>
      </c>
      <c r="AN358">
        <f>IF(OR(AG358="",AH358=""),"",IF(AND(AG358&gt;0,AH358&gt;0),"Bull",IF(AND(AG358&lt;0,AH358&lt;0),"Bear","Mixed")))</f>
        <v/>
      </c>
      <c r="AO358">
        <f>IF(OR(AK358="",AL358=""),"",IF(AND(AK358&gt;0,AL358&gt;0),"Bull",IF(AND(AK358&lt;0,AL358&lt;0),"Bear","Mixed")))</f>
        <v/>
      </c>
      <c r="AP358">
        <f>IF(OR(AN358="",AO358=""),"",IF(AND(AN358="Bull",AO358="Bull"),"YES","NO"))</f>
        <v/>
      </c>
      <c r="AQ358">
        <f>IF(OR(AN358="",AO358=""),"",IF(AND(AN358="Bear",AO358="Bear"),"YES","NO"))</f>
        <v/>
      </c>
      <c r="AR358">
        <f>IF(AP358="YES",IF(SUM(N(X358),N(Y358),N(Z358))&gt;0,"SOXL","TQQQ"),IF(AQ358="YES",IF(SUM(N(AA358),N(AB358),N(AC358))&gt;0,"SOXS","SQQQ"),"WAIT"))</f>
        <v/>
      </c>
      <c r="AS358">
        <f>IF(AP358="YES",IF(SUM(N(X358),N(Y358),N(Z358))&gt;0,"TQQQ","SOXL"),IF(AQ358="YES",IF(SUM(N(AA358),N(AB358),N(AC358))&gt;0,"SQQQ","SOXS"),""))</f>
        <v/>
      </c>
      <c r="AT358" s="23">
        <f>IF(AR358="WAIT","",IF(AS358="",1,0.6))</f>
        <v/>
      </c>
      <c r="AU358" s="23">
        <f>IF(AS358="",0,0.4)</f>
        <v/>
      </c>
      <c r="AV358">
        <f>IF(AR358="WAIT","WAIT",IF(AP358="YES","BULL",IF(AQ358="YES","BEAR","WAIT")))</f>
        <v/>
      </c>
      <c r="AW358">
        <f>IF(AR358="WAIT","Low",IF(OR(AND(AV358="BULL",ABS(SUM(N(X358),N(Y358),N(Z358)))&gt;=0.15),AND(AV358="BEAR",ABS(SUM(N(AA358),N(AB358),N(AC358)))&gt;=0.15)),"Strong",IF(OR(AND(AV358="BULL",ABS(SUM(N(X358),N(Y358),N(Z358)))&gt;=0.05),AND(AV358="BEAR",ABS(SUM(N(AA358),N(AB358),N(AC358)))&gt;=0.05)),"Moderate","Low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13" t="n"/>
      <c r="AF359" s="23">
        <f>IF(OR(AD359="",AD358=""),"",IF(AD358=0,"",(AD359/AD358)-1))</f>
        <v/>
      </c>
      <c r="AG359" s="23">
        <f>IF(ROW()&lt;7,"",IF(OR(AD359="",AD356=""),"",IF(AD356=0,"",(AD359/AD356)-1)))</f>
        <v/>
      </c>
      <c r="AH359" s="23">
        <f>IF(ROW()&lt;9,"",IF(OR(AD359="",AD354=""),"",IF(AD354=0,"",(AD359/AD354)-1)))</f>
        <v/>
      </c>
      <c r="AJ359" s="23">
        <f>IF(OR(AE359="",AE358=""),"",IF(AE358=0,"",(AE359/AE358)-1))</f>
        <v/>
      </c>
      <c r="AK359" s="23">
        <f>IF(ROW()&lt;7,"",IF(OR(AE359="",AE356=""),"",IF(AE356=0,"",(AE359/AE356)-1)))</f>
        <v/>
      </c>
      <c r="AL359" s="23">
        <f>IF(ROW()&lt;9,"",IF(OR(AE359="",AE354=""),"",IF(AE354=0,"",(AE359/AE354)-1)))</f>
        <v/>
      </c>
      <c r="AN359">
        <f>IF(OR(AG359="",AH359=""),"",IF(AND(AG359&gt;0,AH359&gt;0),"Bull",IF(AND(AG359&lt;0,AH359&lt;0),"Bear","Mixed")))</f>
        <v/>
      </c>
      <c r="AO359">
        <f>IF(OR(AK359="",AL359=""),"",IF(AND(AK359&gt;0,AL359&gt;0),"Bull",IF(AND(AK359&lt;0,AL359&lt;0),"Bear","Mixed")))</f>
        <v/>
      </c>
      <c r="AP359">
        <f>IF(OR(AN359="",AO359=""),"",IF(AND(AN359="Bull",AO359="Bull"),"YES","NO"))</f>
        <v/>
      </c>
      <c r="AQ359">
        <f>IF(OR(AN359="",AO359=""),"",IF(AND(AN359="Bear",AO359="Bear"),"YES","NO"))</f>
        <v/>
      </c>
      <c r="AR359">
        <f>IF(AP359="YES",IF(SUM(N(X359),N(Y359),N(Z359))&gt;0,"SOXL","TQQQ"),IF(AQ359="YES",IF(SUM(N(AA359),N(AB359),N(AC359))&gt;0,"SOXS","SQQQ"),"WAIT"))</f>
        <v/>
      </c>
      <c r="AS359">
        <f>IF(AP359="YES",IF(SUM(N(X359),N(Y359),N(Z359))&gt;0,"TQQQ","SOXL"),IF(AQ359="YES",IF(SUM(N(AA359),N(AB359),N(AC359))&gt;0,"SQQQ","SOXS"),""))</f>
        <v/>
      </c>
      <c r="AT359" s="23">
        <f>IF(AR359="WAIT","",IF(AS359="",1,0.6))</f>
        <v/>
      </c>
      <c r="AU359" s="23">
        <f>IF(AS359="",0,0.4)</f>
        <v/>
      </c>
      <c r="AV359">
        <f>IF(AR359="WAIT","WAIT",IF(AP359="YES","BULL",IF(AQ359="YES","BEAR","WAIT")))</f>
        <v/>
      </c>
      <c r="AW359">
        <f>IF(AR359="WAIT","Low",IF(OR(AND(AV359="BULL",ABS(SUM(N(X359),N(Y359),N(Z359)))&gt;=0.15),AND(AV359="BEAR",ABS(SUM(N(AA359),N(AB359),N(AC359)))&gt;=0.15)),"Strong",IF(OR(AND(AV359="BULL",ABS(SUM(N(X359),N(Y359),N(Z359)))&gt;=0.05),AND(AV359="BEAR",ABS(SUM(N(AA359),N(AB359),N(AC359)))&gt;=0.05)),"Moderate","Low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13" t="n"/>
      <c r="AF360" s="23">
        <f>IF(OR(AD360="",AD359=""),"",IF(AD359=0,"",(AD360/AD359)-1))</f>
        <v/>
      </c>
      <c r="AG360" s="23">
        <f>IF(ROW()&lt;7,"",IF(OR(AD360="",AD357=""),"",IF(AD357=0,"",(AD360/AD357)-1)))</f>
        <v/>
      </c>
      <c r="AH360" s="23">
        <f>IF(ROW()&lt;9,"",IF(OR(AD360="",AD355=""),"",IF(AD355=0,"",(AD360/AD355)-1)))</f>
        <v/>
      </c>
      <c r="AJ360" s="23">
        <f>IF(OR(AE360="",AE359=""),"",IF(AE359=0,"",(AE360/AE359)-1))</f>
        <v/>
      </c>
      <c r="AK360" s="23">
        <f>IF(ROW()&lt;7,"",IF(OR(AE360="",AE357=""),"",IF(AE357=0,"",(AE360/AE357)-1)))</f>
        <v/>
      </c>
      <c r="AL360" s="23">
        <f>IF(ROW()&lt;9,"",IF(OR(AE360="",AE355=""),"",IF(AE355=0,"",(AE360/AE355)-1)))</f>
        <v/>
      </c>
      <c r="AN360">
        <f>IF(OR(AG360="",AH360=""),"",IF(AND(AG360&gt;0,AH360&gt;0),"Bull",IF(AND(AG360&lt;0,AH360&lt;0),"Bear","Mixed")))</f>
        <v/>
      </c>
      <c r="AO360">
        <f>IF(OR(AK360="",AL360=""),"",IF(AND(AK360&gt;0,AL360&gt;0),"Bull",IF(AND(AK360&lt;0,AL360&lt;0),"Bear","Mixed")))</f>
        <v/>
      </c>
      <c r="AP360">
        <f>IF(OR(AN360="",AO360=""),"",IF(AND(AN360="Bull",AO360="Bull"),"YES","NO"))</f>
        <v/>
      </c>
      <c r="AQ360">
        <f>IF(OR(AN360="",AO360=""),"",IF(AND(AN360="Bear",AO360="Bear"),"YES","NO"))</f>
        <v/>
      </c>
      <c r="AR360">
        <f>IF(AP360="YES",IF(SUM(N(X360),N(Y360),N(Z360))&gt;0,"SOXL","TQQQ"),IF(AQ360="YES",IF(SUM(N(AA360),N(AB360),N(AC360))&gt;0,"SOXS","SQQQ"),"WAIT"))</f>
        <v/>
      </c>
      <c r="AS360">
        <f>IF(AP360="YES",IF(SUM(N(X360),N(Y360),N(Z360))&gt;0,"TQQQ","SOXL"),IF(AQ360="YES",IF(SUM(N(AA360),N(AB360),N(AC360))&gt;0,"SQQQ","SOXS"),""))</f>
        <v/>
      </c>
      <c r="AT360" s="23">
        <f>IF(AR360="WAIT","",IF(AS360="",1,0.6))</f>
        <v/>
      </c>
      <c r="AU360" s="23">
        <f>IF(AS360="",0,0.4)</f>
        <v/>
      </c>
      <c r="AV360">
        <f>IF(AR360="WAIT","WAIT",IF(AP360="YES","BULL",IF(AQ360="YES","BEAR","WAIT")))</f>
        <v/>
      </c>
      <c r="AW360">
        <f>IF(AR360="WAIT","Low",IF(OR(AND(AV360="BULL",ABS(SUM(N(X360),N(Y360),N(Z360)))&gt;=0.15),AND(AV360="BEAR",ABS(SUM(N(AA360),N(AB360),N(AC360)))&gt;=0.15)),"Strong",IF(OR(AND(AV360="BULL",ABS(SUM(N(X360),N(Y360),N(Z360)))&gt;=0.05),AND(AV360="BEAR",ABS(SUM(N(AA360),N(AB360),N(AC360)))&gt;=0.05)),"Moderate","Low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13" t="n"/>
      <c r="AF361" s="23">
        <f>IF(OR(AD361="",AD360=""),"",IF(AD360=0,"",(AD361/AD360)-1))</f>
        <v/>
      </c>
      <c r="AG361" s="23">
        <f>IF(ROW()&lt;7,"",IF(OR(AD361="",AD358=""),"",IF(AD358=0,"",(AD361/AD358)-1)))</f>
        <v/>
      </c>
      <c r="AH361" s="23">
        <f>IF(ROW()&lt;9,"",IF(OR(AD361="",AD356=""),"",IF(AD356=0,"",(AD361/AD356)-1)))</f>
        <v/>
      </c>
      <c r="AJ361" s="23">
        <f>IF(OR(AE361="",AE360=""),"",IF(AE360=0,"",(AE361/AE360)-1))</f>
        <v/>
      </c>
      <c r="AK361" s="23">
        <f>IF(ROW()&lt;7,"",IF(OR(AE361="",AE358=""),"",IF(AE358=0,"",(AE361/AE358)-1)))</f>
        <v/>
      </c>
      <c r="AL361" s="23">
        <f>IF(ROW()&lt;9,"",IF(OR(AE361="",AE356=""),"",IF(AE356=0,"",(AE361/AE356)-1)))</f>
        <v/>
      </c>
      <c r="AN361">
        <f>IF(OR(AG361="",AH361=""),"",IF(AND(AG361&gt;0,AH361&gt;0),"Bull",IF(AND(AG361&lt;0,AH361&lt;0),"Bear","Mixed")))</f>
        <v/>
      </c>
      <c r="AO361">
        <f>IF(OR(AK361="",AL361=""),"",IF(AND(AK361&gt;0,AL361&gt;0),"Bull",IF(AND(AK361&lt;0,AL361&lt;0),"Bear","Mixed")))</f>
        <v/>
      </c>
      <c r="AP361">
        <f>IF(OR(AN361="",AO361=""),"",IF(AND(AN361="Bull",AO361="Bull"),"YES","NO"))</f>
        <v/>
      </c>
      <c r="AQ361">
        <f>IF(OR(AN361="",AO361=""),"",IF(AND(AN361="Bear",AO361="Bear"),"YES","NO"))</f>
        <v/>
      </c>
      <c r="AR361">
        <f>IF(AP361="YES",IF(SUM(N(X361),N(Y361),N(Z361))&gt;0,"SOXL","TQQQ"),IF(AQ361="YES",IF(SUM(N(AA361),N(AB361),N(AC361))&gt;0,"SOXS","SQQQ"),"WAIT"))</f>
        <v/>
      </c>
      <c r="AS361">
        <f>IF(AP361="YES",IF(SUM(N(X361),N(Y361),N(Z361))&gt;0,"TQQQ","SOXL"),IF(AQ361="YES",IF(SUM(N(AA361),N(AB361),N(AC361))&gt;0,"SQQQ","SOXS"),""))</f>
        <v/>
      </c>
      <c r="AT361" s="23">
        <f>IF(AR361="WAIT","",IF(AS361="",1,0.6))</f>
        <v/>
      </c>
      <c r="AU361" s="23">
        <f>IF(AS361="",0,0.4)</f>
        <v/>
      </c>
      <c r="AV361">
        <f>IF(AR361="WAIT","WAIT",IF(AP361="YES","BULL",IF(AQ361="YES","BEAR","WAIT")))</f>
        <v/>
      </c>
      <c r="AW361">
        <f>IF(AR361="WAIT","Low",IF(OR(AND(AV361="BULL",ABS(SUM(N(X361),N(Y361),N(Z361)))&gt;=0.15),AND(AV361="BEAR",ABS(SUM(N(AA361),N(AB361),N(AC361)))&gt;=0.15)),"Strong",IF(OR(AND(AV361="BULL",ABS(SUM(N(X361),N(Y361),N(Z361)))&gt;=0.05),AND(AV361="BEAR",ABS(SUM(N(AA361),N(AB361),N(AC361)))&gt;=0.05)),"Moderate","Low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13" t="n"/>
      <c r="AF362" s="23">
        <f>IF(OR(AD362="",AD361=""),"",IF(AD361=0,"",(AD362/AD361)-1))</f>
        <v/>
      </c>
      <c r="AG362" s="23">
        <f>IF(ROW()&lt;7,"",IF(OR(AD362="",AD359=""),"",IF(AD359=0,"",(AD362/AD359)-1)))</f>
        <v/>
      </c>
      <c r="AH362" s="23">
        <f>IF(ROW()&lt;9,"",IF(OR(AD362="",AD357=""),"",IF(AD357=0,"",(AD362/AD357)-1)))</f>
        <v/>
      </c>
      <c r="AJ362" s="23">
        <f>IF(OR(AE362="",AE361=""),"",IF(AE361=0,"",(AE362/AE361)-1))</f>
        <v/>
      </c>
      <c r="AK362" s="23">
        <f>IF(ROW()&lt;7,"",IF(OR(AE362="",AE359=""),"",IF(AE359=0,"",(AE362/AE359)-1)))</f>
        <v/>
      </c>
      <c r="AL362" s="23">
        <f>IF(ROW()&lt;9,"",IF(OR(AE362="",AE357=""),"",IF(AE357=0,"",(AE362/AE357)-1)))</f>
        <v/>
      </c>
      <c r="AN362">
        <f>IF(OR(AG362="",AH362=""),"",IF(AND(AG362&gt;0,AH362&gt;0),"Bull",IF(AND(AG362&lt;0,AH362&lt;0),"Bear","Mixed")))</f>
        <v/>
      </c>
      <c r="AO362">
        <f>IF(OR(AK362="",AL362=""),"",IF(AND(AK362&gt;0,AL362&gt;0),"Bull",IF(AND(AK362&lt;0,AL362&lt;0),"Bear","Mixed")))</f>
        <v/>
      </c>
      <c r="AP362">
        <f>IF(OR(AN362="",AO362=""),"",IF(AND(AN362="Bull",AO362="Bull"),"YES","NO"))</f>
        <v/>
      </c>
      <c r="AQ362">
        <f>IF(OR(AN362="",AO362=""),"",IF(AND(AN362="Bear",AO362="Bear"),"YES","NO"))</f>
        <v/>
      </c>
      <c r="AR362">
        <f>IF(AP362="YES",IF(SUM(N(X362),N(Y362),N(Z362))&gt;0,"SOXL","TQQQ"),IF(AQ362="YES",IF(SUM(N(AA362),N(AB362),N(AC362))&gt;0,"SOXS","SQQQ"),"WAIT"))</f>
        <v/>
      </c>
      <c r="AS362">
        <f>IF(AP362="YES",IF(SUM(N(X362),N(Y362),N(Z362))&gt;0,"TQQQ","SOXL"),IF(AQ362="YES",IF(SUM(N(AA362),N(AB362),N(AC362))&gt;0,"SQQQ","SOXS"),""))</f>
        <v/>
      </c>
      <c r="AT362" s="23">
        <f>IF(AR362="WAIT","",IF(AS362="",1,0.6))</f>
        <v/>
      </c>
      <c r="AU362" s="23">
        <f>IF(AS362="",0,0.4)</f>
        <v/>
      </c>
      <c r="AV362">
        <f>IF(AR362="WAIT","WAIT",IF(AP362="YES","BULL",IF(AQ362="YES","BEAR","WAIT")))</f>
        <v/>
      </c>
      <c r="AW362">
        <f>IF(AR362="WAIT","Low",IF(OR(AND(AV362="BULL",ABS(SUM(N(X362),N(Y362),N(Z362)))&gt;=0.15),AND(AV362="BEAR",ABS(SUM(N(AA362),N(AB362),N(AC362)))&gt;=0.15)),"Strong",IF(OR(AND(AV362="BULL",ABS(SUM(N(X362),N(Y362),N(Z362)))&gt;=0.05),AND(AV362="BEAR",ABS(SUM(N(AA362),N(AB362),N(AC362)))&gt;=0.05)),"Moderate","Low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13" t="n"/>
      <c r="AF363" s="23">
        <f>IF(OR(AD363="",AD362=""),"",IF(AD362=0,"",(AD363/AD362)-1))</f>
        <v/>
      </c>
      <c r="AG363" s="23">
        <f>IF(ROW()&lt;7,"",IF(OR(AD363="",AD360=""),"",IF(AD360=0,"",(AD363/AD360)-1)))</f>
        <v/>
      </c>
      <c r="AH363" s="23">
        <f>IF(ROW()&lt;9,"",IF(OR(AD363="",AD358=""),"",IF(AD358=0,"",(AD363/AD358)-1)))</f>
        <v/>
      </c>
      <c r="AJ363" s="23">
        <f>IF(OR(AE363="",AE362=""),"",IF(AE362=0,"",(AE363/AE362)-1))</f>
        <v/>
      </c>
      <c r="AK363" s="23">
        <f>IF(ROW()&lt;7,"",IF(OR(AE363="",AE360=""),"",IF(AE360=0,"",(AE363/AE360)-1)))</f>
        <v/>
      </c>
      <c r="AL363" s="23">
        <f>IF(ROW()&lt;9,"",IF(OR(AE363="",AE358=""),"",IF(AE358=0,"",(AE363/AE358)-1)))</f>
        <v/>
      </c>
      <c r="AN363">
        <f>IF(OR(AG363="",AH363=""),"",IF(AND(AG363&gt;0,AH363&gt;0),"Bull",IF(AND(AG363&lt;0,AH363&lt;0),"Bear","Mixed")))</f>
        <v/>
      </c>
      <c r="AO363">
        <f>IF(OR(AK363="",AL363=""),"",IF(AND(AK363&gt;0,AL363&gt;0),"Bull",IF(AND(AK363&lt;0,AL363&lt;0),"Bear","Mixed")))</f>
        <v/>
      </c>
      <c r="AP363">
        <f>IF(OR(AN363="",AO363=""),"",IF(AND(AN363="Bull",AO363="Bull"),"YES","NO"))</f>
        <v/>
      </c>
      <c r="AQ363">
        <f>IF(OR(AN363="",AO363=""),"",IF(AND(AN363="Bear",AO363="Bear"),"YES","NO"))</f>
        <v/>
      </c>
      <c r="AR363">
        <f>IF(AP363="YES",IF(SUM(N(X363),N(Y363),N(Z363))&gt;0,"SOXL","TQQQ"),IF(AQ363="YES",IF(SUM(N(AA363),N(AB363),N(AC363))&gt;0,"SOXS","SQQQ"),"WAIT"))</f>
        <v/>
      </c>
      <c r="AS363">
        <f>IF(AP363="YES",IF(SUM(N(X363),N(Y363),N(Z363))&gt;0,"TQQQ","SOXL"),IF(AQ363="YES",IF(SUM(N(AA363),N(AB363),N(AC363))&gt;0,"SQQQ","SOXS"),""))</f>
        <v/>
      </c>
      <c r="AT363" s="23">
        <f>IF(AR363="WAIT","",IF(AS363="",1,0.6))</f>
        <v/>
      </c>
      <c r="AU363" s="23">
        <f>IF(AS363="",0,0.4)</f>
        <v/>
      </c>
      <c r="AV363">
        <f>IF(AR363="WAIT","WAIT",IF(AP363="YES","BULL",IF(AQ363="YES","BEAR","WAIT")))</f>
        <v/>
      </c>
      <c r="AW363">
        <f>IF(AR363="WAIT","Low",IF(OR(AND(AV363="BULL",ABS(SUM(N(X363),N(Y363),N(Z363)))&gt;=0.15),AND(AV363="BEAR",ABS(SUM(N(AA363),N(AB363),N(AC363)))&gt;=0.15)),"Strong",IF(OR(AND(AV363="BULL",ABS(SUM(N(X363),N(Y363),N(Z363)))&gt;=0.05),AND(AV363="BEAR",ABS(SUM(N(AA363),N(AB363),N(AC363)))&gt;=0.05)),"Moderate","Low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13" t="n"/>
      <c r="AF364" s="23">
        <f>IF(OR(AD364="",AD363=""),"",IF(AD363=0,"",(AD364/AD363)-1))</f>
        <v/>
      </c>
      <c r="AG364" s="23">
        <f>IF(ROW()&lt;7,"",IF(OR(AD364="",AD361=""),"",IF(AD361=0,"",(AD364/AD361)-1)))</f>
        <v/>
      </c>
      <c r="AH364" s="23">
        <f>IF(ROW()&lt;9,"",IF(OR(AD364="",AD359=""),"",IF(AD359=0,"",(AD364/AD359)-1)))</f>
        <v/>
      </c>
      <c r="AJ364" s="23">
        <f>IF(OR(AE364="",AE363=""),"",IF(AE363=0,"",(AE364/AE363)-1))</f>
        <v/>
      </c>
      <c r="AK364" s="23">
        <f>IF(ROW()&lt;7,"",IF(OR(AE364="",AE361=""),"",IF(AE361=0,"",(AE364/AE361)-1)))</f>
        <v/>
      </c>
      <c r="AL364" s="23">
        <f>IF(ROW()&lt;9,"",IF(OR(AE364="",AE359=""),"",IF(AE359=0,"",(AE364/AE359)-1)))</f>
        <v/>
      </c>
      <c r="AN364">
        <f>IF(OR(AG364="",AH364=""),"",IF(AND(AG364&gt;0,AH364&gt;0),"Bull",IF(AND(AG364&lt;0,AH364&lt;0),"Bear","Mixed")))</f>
        <v/>
      </c>
      <c r="AO364">
        <f>IF(OR(AK364="",AL364=""),"",IF(AND(AK364&gt;0,AL364&gt;0),"Bull",IF(AND(AK364&lt;0,AL364&lt;0),"Bear","Mixed")))</f>
        <v/>
      </c>
      <c r="AP364">
        <f>IF(OR(AN364="",AO364=""),"",IF(AND(AN364="Bull",AO364="Bull"),"YES","NO"))</f>
        <v/>
      </c>
      <c r="AQ364">
        <f>IF(OR(AN364="",AO364=""),"",IF(AND(AN364="Bear",AO364="Bear"),"YES","NO"))</f>
        <v/>
      </c>
      <c r="AR364">
        <f>IF(AP364="YES",IF(SUM(N(X364),N(Y364),N(Z364))&gt;0,"SOXL","TQQQ"),IF(AQ364="YES",IF(SUM(N(AA364),N(AB364),N(AC364))&gt;0,"SOXS","SQQQ"),"WAIT"))</f>
        <v/>
      </c>
      <c r="AS364">
        <f>IF(AP364="YES",IF(SUM(N(X364),N(Y364),N(Z364))&gt;0,"TQQQ","SOXL"),IF(AQ364="YES",IF(SUM(N(AA364),N(AB364),N(AC364))&gt;0,"SQQQ","SOXS"),""))</f>
        <v/>
      </c>
      <c r="AT364" s="23">
        <f>IF(AR364="WAIT","",IF(AS364="",1,0.6))</f>
        <v/>
      </c>
      <c r="AU364" s="23">
        <f>IF(AS364="",0,0.4)</f>
        <v/>
      </c>
      <c r="AV364">
        <f>IF(AR364="WAIT","WAIT",IF(AP364="YES","BULL",IF(AQ364="YES","BEAR","WAIT")))</f>
        <v/>
      </c>
      <c r="AW364">
        <f>IF(AR364="WAIT","Low",IF(OR(AND(AV364="BULL",ABS(SUM(N(X364),N(Y364),N(Z364)))&gt;=0.15),AND(AV364="BEAR",ABS(SUM(N(AA364),N(AB364),N(AC364)))&gt;=0.15)),"Strong",IF(OR(AND(AV364="BULL",ABS(SUM(N(X364),N(Y364),N(Z364)))&gt;=0.05),AND(AV364="BEAR",ABS(SUM(N(AA364),N(AB364),N(AC364)))&gt;=0.05)),"Moderate","Low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13" t="n"/>
      <c r="AF365" s="23">
        <f>IF(OR(AD365="",AD364=""),"",IF(AD364=0,"",(AD365/AD364)-1))</f>
        <v/>
      </c>
      <c r="AG365" s="23">
        <f>IF(ROW()&lt;7,"",IF(OR(AD365="",AD362=""),"",IF(AD362=0,"",(AD365/AD362)-1)))</f>
        <v/>
      </c>
      <c r="AH365" s="23">
        <f>IF(ROW()&lt;9,"",IF(OR(AD365="",AD360=""),"",IF(AD360=0,"",(AD365/AD360)-1)))</f>
        <v/>
      </c>
      <c r="AJ365" s="23">
        <f>IF(OR(AE365="",AE364=""),"",IF(AE364=0,"",(AE365/AE364)-1))</f>
        <v/>
      </c>
      <c r="AK365" s="23">
        <f>IF(ROW()&lt;7,"",IF(OR(AE365="",AE362=""),"",IF(AE362=0,"",(AE365/AE362)-1)))</f>
        <v/>
      </c>
      <c r="AL365" s="23">
        <f>IF(ROW()&lt;9,"",IF(OR(AE365="",AE360=""),"",IF(AE360=0,"",(AE365/AE360)-1)))</f>
        <v/>
      </c>
      <c r="AN365">
        <f>IF(OR(AG365="",AH365=""),"",IF(AND(AG365&gt;0,AH365&gt;0),"Bull",IF(AND(AG365&lt;0,AH365&lt;0),"Bear","Mixed")))</f>
        <v/>
      </c>
      <c r="AO365">
        <f>IF(OR(AK365="",AL365=""),"",IF(AND(AK365&gt;0,AL365&gt;0),"Bull",IF(AND(AK365&lt;0,AL365&lt;0),"Bear","Mixed")))</f>
        <v/>
      </c>
      <c r="AP365">
        <f>IF(OR(AN365="",AO365=""),"",IF(AND(AN365="Bull",AO365="Bull"),"YES","NO"))</f>
        <v/>
      </c>
      <c r="AQ365">
        <f>IF(OR(AN365="",AO365=""),"",IF(AND(AN365="Bear",AO365="Bear"),"YES","NO"))</f>
        <v/>
      </c>
      <c r="AR365">
        <f>IF(AP365="YES",IF(SUM(N(X365),N(Y365),N(Z365))&gt;0,"SOXL","TQQQ"),IF(AQ365="YES",IF(SUM(N(AA365),N(AB365),N(AC365))&gt;0,"SOXS","SQQQ"),"WAIT"))</f>
        <v/>
      </c>
      <c r="AS365">
        <f>IF(AP365="YES",IF(SUM(N(X365),N(Y365),N(Z365))&gt;0,"TQQQ","SOXL"),IF(AQ365="YES",IF(SUM(N(AA365),N(AB365),N(AC365))&gt;0,"SQQQ","SOXS"),""))</f>
        <v/>
      </c>
      <c r="AT365" s="23">
        <f>IF(AR365="WAIT","",IF(AS365="",1,0.6))</f>
        <v/>
      </c>
      <c r="AU365" s="23">
        <f>IF(AS365="",0,0.4)</f>
        <v/>
      </c>
      <c r="AV365">
        <f>IF(AR365="WAIT","WAIT",IF(AP365="YES","BULL",IF(AQ365="YES","BEAR","WAIT")))</f>
        <v/>
      </c>
      <c r="AW365">
        <f>IF(AR365="WAIT","Low",IF(OR(AND(AV365="BULL",ABS(SUM(N(X365),N(Y365),N(Z365)))&gt;=0.15),AND(AV365="BEAR",ABS(SUM(N(AA365),N(AB365),N(AC365)))&gt;=0.15)),"Strong",IF(OR(AND(AV365="BULL",ABS(SUM(N(X365),N(Y365),N(Z365)))&gt;=0.05),AND(AV365="BEAR",ABS(SUM(N(AA365),N(AB365),N(AC365)))&gt;=0.05)),"Moderate","Low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13" t="n"/>
      <c r="AF366" s="23">
        <f>IF(OR(AD366="",AD365=""),"",IF(AD365=0,"",(AD366/AD365)-1))</f>
        <v/>
      </c>
      <c r="AG366" s="23">
        <f>IF(ROW()&lt;7,"",IF(OR(AD366="",AD363=""),"",IF(AD363=0,"",(AD366/AD363)-1)))</f>
        <v/>
      </c>
      <c r="AH366" s="23">
        <f>IF(ROW()&lt;9,"",IF(OR(AD366="",AD361=""),"",IF(AD361=0,"",(AD366/AD361)-1)))</f>
        <v/>
      </c>
      <c r="AJ366" s="23">
        <f>IF(OR(AE366="",AE365=""),"",IF(AE365=0,"",(AE366/AE365)-1))</f>
        <v/>
      </c>
      <c r="AK366" s="23">
        <f>IF(ROW()&lt;7,"",IF(OR(AE366="",AE363=""),"",IF(AE363=0,"",(AE366/AE363)-1)))</f>
        <v/>
      </c>
      <c r="AL366" s="23">
        <f>IF(ROW()&lt;9,"",IF(OR(AE366="",AE361=""),"",IF(AE361=0,"",(AE366/AE361)-1)))</f>
        <v/>
      </c>
      <c r="AN366">
        <f>IF(OR(AG366="",AH366=""),"",IF(AND(AG366&gt;0,AH366&gt;0),"Bull",IF(AND(AG366&lt;0,AH366&lt;0),"Bear","Mixed")))</f>
        <v/>
      </c>
      <c r="AO366">
        <f>IF(OR(AK366="",AL366=""),"",IF(AND(AK366&gt;0,AL366&gt;0),"Bull",IF(AND(AK366&lt;0,AL366&lt;0),"Bear","Mixed")))</f>
        <v/>
      </c>
      <c r="AP366">
        <f>IF(OR(AN366="",AO366=""),"",IF(AND(AN366="Bull",AO366="Bull"),"YES","NO"))</f>
        <v/>
      </c>
      <c r="AQ366">
        <f>IF(OR(AN366="",AO366=""),"",IF(AND(AN366="Bear",AO366="Bear"),"YES","NO"))</f>
        <v/>
      </c>
      <c r="AR366">
        <f>IF(AP366="YES",IF(SUM(N(X366),N(Y366),N(Z366))&gt;0,"SOXL","TQQQ"),IF(AQ366="YES",IF(SUM(N(AA366),N(AB366),N(AC366))&gt;0,"SOXS","SQQQ"),"WAIT"))</f>
        <v/>
      </c>
      <c r="AS366">
        <f>IF(AP366="YES",IF(SUM(N(X366),N(Y366),N(Z366))&gt;0,"TQQQ","SOXL"),IF(AQ366="YES",IF(SUM(N(AA366),N(AB366),N(AC366))&gt;0,"SQQQ","SOXS"),""))</f>
        <v/>
      </c>
      <c r="AT366" s="23">
        <f>IF(AR366="WAIT","",IF(AS366="",1,0.6))</f>
        <v/>
      </c>
      <c r="AU366" s="23">
        <f>IF(AS366="",0,0.4)</f>
        <v/>
      </c>
      <c r="AV366">
        <f>IF(AR366="WAIT","WAIT",IF(AP366="YES","BULL",IF(AQ366="YES","BEAR","WAIT")))</f>
        <v/>
      </c>
      <c r="AW366">
        <f>IF(AR366="WAIT","Low",IF(OR(AND(AV366="BULL",ABS(SUM(N(X366),N(Y366),N(Z366)))&gt;=0.15),AND(AV366="BEAR",ABS(SUM(N(AA366),N(AB366),N(AC366)))&gt;=0.15)),"Strong",IF(OR(AND(AV366="BULL",ABS(SUM(N(X366),N(Y366),N(Z366)))&gt;=0.05),AND(AV366="BEAR",ABS(SUM(N(AA366),N(AB366),N(AC366)))&gt;=0.05)),"Moderate","Low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13" t="n"/>
      <c r="AF367" s="23">
        <f>IF(OR(AD367="",AD366=""),"",IF(AD366=0,"",(AD367/AD366)-1))</f>
        <v/>
      </c>
      <c r="AG367" s="23">
        <f>IF(ROW()&lt;7,"",IF(OR(AD367="",AD364=""),"",IF(AD364=0,"",(AD367/AD364)-1)))</f>
        <v/>
      </c>
      <c r="AH367" s="23">
        <f>IF(ROW()&lt;9,"",IF(OR(AD367="",AD362=""),"",IF(AD362=0,"",(AD367/AD362)-1)))</f>
        <v/>
      </c>
      <c r="AJ367" s="23">
        <f>IF(OR(AE367="",AE366=""),"",IF(AE366=0,"",(AE367/AE366)-1))</f>
        <v/>
      </c>
      <c r="AK367" s="23">
        <f>IF(ROW()&lt;7,"",IF(OR(AE367="",AE364=""),"",IF(AE364=0,"",(AE367/AE364)-1)))</f>
        <v/>
      </c>
      <c r="AL367" s="23">
        <f>IF(ROW()&lt;9,"",IF(OR(AE367="",AE362=""),"",IF(AE362=0,"",(AE367/AE362)-1)))</f>
        <v/>
      </c>
      <c r="AN367">
        <f>IF(OR(AG367="",AH367=""),"",IF(AND(AG367&gt;0,AH367&gt;0),"Bull",IF(AND(AG367&lt;0,AH367&lt;0),"Bear","Mixed")))</f>
        <v/>
      </c>
      <c r="AO367">
        <f>IF(OR(AK367="",AL367=""),"",IF(AND(AK367&gt;0,AL367&gt;0),"Bull",IF(AND(AK367&lt;0,AL367&lt;0),"Bear","Mixed")))</f>
        <v/>
      </c>
      <c r="AP367">
        <f>IF(OR(AN367="",AO367=""),"",IF(AND(AN367="Bull",AO367="Bull"),"YES","NO"))</f>
        <v/>
      </c>
      <c r="AQ367">
        <f>IF(OR(AN367="",AO367=""),"",IF(AND(AN367="Bear",AO367="Bear"),"YES","NO"))</f>
        <v/>
      </c>
      <c r="AR367">
        <f>IF(AP367="YES",IF(SUM(N(X367),N(Y367),N(Z367))&gt;0,"SOXL","TQQQ"),IF(AQ367="YES",IF(SUM(N(AA367),N(AB367),N(AC367))&gt;0,"SOXS","SQQQ"),"WAIT"))</f>
        <v/>
      </c>
      <c r="AS367">
        <f>IF(AP367="YES",IF(SUM(N(X367),N(Y367),N(Z367))&gt;0,"TQQQ","SOXL"),IF(AQ367="YES",IF(SUM(N(AA367),N(AB367),N(AC367))&gt;0,"SQQQ","SOXS"),""))</f>
        <v/>
      </c>
      <c r="AT367" s="23">
        <f>IF(AR367="WAIT","",IF(AS367="",1,0.6))</f>
        <v/>
      </c>
      <c r="AU367" s="23">
        <f>IF(AS367="",0,0.4)</f>
        <v/>
      </c>
      <c r="AV367">
        <f>IF(AR367="WAIT","WAIT",IF(AP367="YES","BULL",IF(AQ367="YES","BEAR","WAIT")))</f>
        <v/>
      </c>
      <c r="AW367">
        <f>IF(AR367="WAIT","Low",IF(OR(AND(AV367="BULL",ABS(SUM(N(X367),N(Y367),N(Z367)))&gt;=0.15),AND(AV367="BEAR",ABS(SUM(N(AA367),N(AB367),N(AC367)))&gt;=0.15)),"Strong",IF(OR(AND(AV367="BULL",ABS(SUM(N(X367),N(Y367),N(Z367)))&gt;=0.05),AND(AV367="BEAR",ABS(SUM(N(AA367),N(AB367),N(AC367)))&gt;=0.05)),"Moderate","Low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13" t="n"/>
      <c r="AF368" s="23">
        <f>IF(OR(AD368="",AD367=""),"",IF(AD367=0,"",(AD368/AD367)-1))</f>
        <v/>
      </c>
      <c r="AG368" s="23">
        <f>IF(ROW()&lt;7,"",IF(OR(AD368="",AD365=""),"",IF(AD365=0,"",(AD368/AD365)-1)))</f>
        <v/>
      </c>
      <c r="AH368" s="23">
        <f>IF(ROW()&lt;9,"",IF(OR(AD368="",AD363=""),"",IF(AD363=0,"",(AD368/AD363)-1)))</f>
        <v/>
      </c>
      <c r="AJ368" s="23">
        <f>IF(OR(AE368="",AE367=""),"",IF(AE367=0,"",(AE368/AE367)-1))</f>
        <v/>
      </c>
      <c r="AK368" s="23">
        <f>IF(ROW()&lt;7,"",IF(OR(AE368="",AE365=""),"",IF(AE365=0,"",(AE368/AE365)-1)))</f>
        <v/>
      </c>
      <c r="AL368" s="23">
        <f>IF(ROW()&lt;9,"",IF(OR(AE368="",AE363=""),"",IF(AE363=0,"",(AE368/AE363)-1)))</f>
        <v/>
      </c>
      <c r="AN368">
        <f>IF(OR(AG368="",AH368=""),"",IF(AND(AG368&gt;0,AH368&gt;0),"Bull",IF(AND(AG368&lt;0,AH368&lt;0),"Bear","Mixed")))</f>
        <v/>
      </c>
      <c r="AO368">
        <f>IF(OR(AK368="",AL368=""),"",IF(AND(AK368&gt;0,AL368&gt;0),"Bull",IF(AND(AK368&lt;0,AL368&lt;0),"Bear","Mixed")))</f>
        <v/>
      </c>
      <c r="AP368">
        <f>IF(OR(AN368="",AO368=""),"",IF(AND(AN368="Bull",AO368="Bull"),"YES","NO"))</f>
        <v/>
      </c>
      <c r="AQ368">
        <f>IF(OR(AN368="",AO368=""),"",IF(AND(AN368="Bear",AO368="Bear"),"YES","NO"))</f>
        <v/>
      </c>
      <c r="AR368">
        <f>IF(AP368="YES",IF(SUM(N(X368),N(Y368),N(Z368))&gt;0,"SOXL","TQQQ"),IF(AQ368="YES",IF(SUM(N(AA368),N(AB368),N(AC368))&gt;0,"SOXS","SQQQ"),"WAIT"))</f>
        <v/>
      </c>
      <c r="AS368">
        <f>IF(AP368="YES",IF(SUM(N(X368),N(Y368),N(Z368))&gt;0,"TQQQ","SOXL"),IF(AQ368="YES",IF(SUM(N(AA368),N(AB368),N(AC368))&gt;0,"SQQQ","SOXS"),""))</f>
        <v/>
      </c>
      <c r="AT368" s="23">
        <f>IF(AR368="WAIT","",IF(AS368="",1,0.6))</f>
        <v/>
      </c>
      <c r="AU368" s="23">
        <f>IF(AS368="",0,0.4)</f>
        <v/>
      </c>
      <c r="AV368">
        <f>IF(AR368="WAIT","WAIT",IF(AP368="YES","BULL",IF(AQ368="YES","BEAR","WAIT")))</f>
        <v/>
      </c>
      <c r="AW368">
        <f>IF(AR368="WAIT","Low",IF(OR(AND(AV368="BULL",ABS(SUM(N(X368),N(Y368),N(Z368)))&gt;=0.15),AND(AV368="BEAR",ABS(SUM(N(AA368),N(AB368),N(AC368)))&gt;=0.15)),"Strong",IF(OR(AND(AV368="BULL",ABS(SUM(N(X368),N(Y368),N(Z368)))&gt;=0.05),AND(AV368="BEAR",ABS(SUM(N(AA368),N(AB368),N(AC368)))&gt;=0.05)),"Moderate","Low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13" t="n"/>
      <c r="AF369" s="23">
        <f>IF(OR(AD369="",AD368=""),"",IF(AD368=0,"",(AD369/AD368)-1))</f>
        <v/>
      </c>
      <c r="AG369" s="23">
        <f>IF(ROW()&lt;7,"",IF(OR(AD369="",AD366=""),"",IF(AD366=0,"",(AD369/AD366)-1)))</f>
        <v/>
      </c>
      <c r="AH369" s="23">
        <f>IF(ROW()&lt;9,"",IF(OR(AD369="",AD364=""),"",IF(AD364=0,"",(AD369/AD364)-1)))</f>
        <v/>
      </c>
      <c r="AJ369" s="23">
        <f>IF(OR(AE369="",AE368=""),"",IF(AE368=0,"",(AE369/AE368)-1))</f>
        <v/>
      </c>
      <c r="AK369" s="23">
        <f>IF(ROW()&lt;7,"",IF(OR(AE369="",AE366=""),"",IF(AE366=0,"",(AE369/AE366)-1)))</f>
        <v/>
      </c>
      <c r="AL369" s="23">
        <f>IF(ROW()&lt;9,"",IF(OR(AE369="",AE364=""),"",IF(AE364=0,"",(AE369/AE364)-1)))</f>
        <v/>
      </c>
      <c r="AN369">
        <f>IF(OR(AG369="",AH369=""),"",IF(AND(AG369&gt;0,AH369&gt;0),"Bull",IF(AND(AG369&lt;0,AH369&lt;0),"Bear","Mixed")))</f>
        <v/>
      </c>
      <c r="AO369">
        <f>IF(OR(AK369="",AL369=""),"",IF(AND(AK369&gt;0,AL369&gt;0),"Bull",IF(AND(AK369&lt;0,AL369&lt;0),"Bear","Mixed")))</f>
        <v/>
      </c>
      <c r="AP369">
        <f>IF(OR(AN369="",AO369=""),"",IF(AND(AN369="Bull",AO369="Bull"),"YES","NO"))</f>
        <v/>
      </c>
      <c r="AQ369">
        <f>IF(OR(AN369="",AO369=""),"",IF(AND(AN369="Bear",AO369="Bear"),"YES","NO"))</f>
        <v/>
      </c>
      <c r="AR369">
        <f>IF(AP369="YES",IF(SUM(N(X369),N(Y369),N(Z369))&gt;0,"SOXL","TQQQ"),IF(AQ369="YES",IF(SUM(N(AA369),N(AB369),N(AC369))&gt;0,"SOXS","SQQQ"),"WAIT"))</f>
        <v/>
      </c>
      <c r="AS369">
        <f>IF(AP369="YES",IF(SUM(N(X369),N(Y369),N(Z369))&gt;0,"TQQQ","SOXL"),IF(AQ369="YES",IF(SUM(N(AA369),N(AB369),N(AC369))&gt;0,"SQQQ","SOXS"),""))</f>
        <v/>
      </c>
      <c r="AT369" s="23">
        <f>IF(AR369="WAIT","",IF(AS369="",1,0.6))</f>
        <v/>
      </c>
      <c r="AU369" s="23">
        <f>IF(AS369="",0,0.4)</f>
        <v/>
      </c>
      <c r="AV369">
        <f>IF(AR369="WAIT","WAIT",IF(AP369="YES","BULL",IF(AQ369="YES","BEAR","WAIT")))</f>
        <v/>
      </c>
      <c r="AW369">
        <f>IF(AR369="WAIT","Low",IF(OR(AND(AV369="BULL",ABS(SUM(N(X369),N(Y369),N(Z369)))&gt;=0.15),AND(AV369="BEAR",ABS(SUM(N(AA369),N(AB369),N(AC369)))&gt;=0.15)),"Strong",IF(OR(AND(AV369="BULL",ABS(SUM(N(X369),N(Y369),N(Z369)))&gt;=0.05),AND(AV369="BEAR",ABS(SUM(N(AA369),N(AB369),N(AC369)))&gt;=0.05)),"Moderate","Low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13" t="n"/>
      <c r="AF370" s="23">
        <f>IF(OR(AD370="",AD369=""),"",IF(AD369=0,"",(AD370/AD369)-1))</f>
        <v/>
      </c>
      <c r="AG370" s="23">
        <f>IF(ROW()&lt;7,"",IF(OR(AD370="",AD367=""),"",IF(AD367=0,"",(AD370/AD367)-1)))</f>
        <v/>
      </c>
      <c r="AH370" s="23">
        <f>IF(ROW()&lt;9,"",IF(OR(AD370="",AD365=""),"",IF(AD365=0,"",(AD370/AD365)-1)))</f>
        <v/>
      </c>
      <c r="AJ370" s="23">
        <f>IF(OR(AE370="",AE369=""),"",IF(AE369=0,"",(AE370/AE369)-1))</f>
        <v/>
      </c>
      <c r="AK370" s="23">
        <f>IF(ROW()&lt;7,"",IF(OR(AE370="",AE367=""),"",IF(AE367=0,"",(AE370/AE367)-1)))</f>
        <v/>
      </c>
      <c r="AL370" s="23">
        <f>IF(ROW()&lt;9,"",IF(OR(AE370="",AE365=""),"",IF(AE365=0,"",(AE370/AE365)-1)))</f>
        <v/>
      </c>
      <c r="AN370">
        <f>IF(OR(AG370="",AH370=""),"",IF(AND(AG370&gt;0,AH370&gt;0),"Bull",IF(AND(AG370&lt;0,AH370&lt;0),"Bear","Mixed")))</f>
        <v/>
      </c>
      <c r="AO370">
        <f>IF(OR(AK370="",AL370=""),"",IF(AND(AK370&gt;0,AL370&gt;0),"Bull",IF(AND(AK370&lt;0,AL370&lt;0),"Bear","Mixed")))</f>
        <v/>
      </c>
      <c r="AP370">
        <f>IF(OR(AN370="",AO370=""),"",IF(AND(AN370="Bull",AO370="Bull"),"YES","NO"))</f>
        <v/>
      </c>
      <c r="AQ370">
        <f>IF(OR(AN370="",AO370=""),"",IF(AND(AN370="Bear",AO370="Bear"),"YES","NO"))</f>
        <v/>
      </c>
      <c r="AR370">
        <f>IF(AP370="YES",IF(SUM(N(X370),N(Y370),N(Z370))&gt;0,"SOXL","TQQQ"),IF(AQ370="YES",IF(SUM(N(AA370),N(AB370),N(AC370))&gt;0,"SOXS","SQQQ"),"WAIT"))</f>
        <v/>
      </c>
      <c r="AS370">
        <f>IF(AP370="YES",IF(SUM(N(X370),N(Y370),N(Z370))&gt;0,"TQQQ","SOXL"),IF(AQ370="YES",IF(SUM(N(AA370),N(AB370),N(AC370))&gt;0,"SQQQ","SOXS"),""))</f>
        <v/>
      </c>
      <c r="AT370" s="23">
        <f>IF(AR370="WAIT","",IF(AS370="",1,0.6))</f>
        <v/>
      </c>
      <c r="AU370" s="23">
        <f>IF(AS370="",0,0.4)</f>
        <v/>
      </c>
      <c r="AV370">
        <f>IF(AR370="WAIT","WAIT",IF(AP370="YES","BULL",IF(AQ370="YES","BEAR","WAIT")))</f>
        <v/>
      </c>
      <c r="AW370">
        <f>IF(AR370="WAIT","Low",IF(OR(AND(AV370="BULL",ABS(SUM(N(X370),N(Y370),N(Z370)))&gt;=0.15),AND(AV370="BEAR",ABS(SUM(N(AA370),N(AB370),N(AC370)))&gt;=0.15)),"Strong",IF(OR(AND(AV370="BULL",ABS(SUM(N(X370),N(Y370),N(Z370)))&gt;=0.05),AND(AV370="BEAR",ABS(SUM(N(AA370),N(AB370),N(AC370)))&gt;=0.05)),"Moderate","Low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13" t="n"/>
      <c r="AF371" s="23">
        <f>IF(OR(AD371="",AD370=""),"",IF(AD370=0,"",(AD371/AD370)-1))</f>
        <v/>
      </c>
      <c r="AG371" s="23">
        <f>IF(ROW()&lt;7,"",IF(OR(AD371="",AD368=""),"",IF(AD368=0,"",(AD371/AD368)-1)))</f>
        <v/>
      </c>
      <c r="AH371" s="23">
        <f>IF(ROW()&lt;9,"",IF(OR(AD371="",AD366=""),"",IF(AD366=0,"",(AD371/AD366)-1)))</f>
        <v/>
      </c>
      <c r="AJ371" s="23">
        <f>IF(OR(AE371="",AE370=""),"",IF(AE370=0,"",(AE371/AE370)-1))</f>
        <v/>
      </c>
      <c r="AK371" s="23">
        <f>IF(ROW()&lt;7,"",IF(OR(AE371="",AE368=""),"",IF(AE368=0,"",(AE371/AE368)-1)))</f>
        <v/>
      </c>
      <c r="AL371" s="23">
        <f>IF(ROW()&lt;9,"",IF(OR(AE371="",AE366=""),"",IF(AE366=0,"",(AE371/AE366)-1)))</f>
        <v/>
      </c>
      <c r="AN371">
        <f>IF(OR(AG371="",AH371=""),"",IF(AND(AG371&gt;0,AH371&gt;0),"Bull",IF(AND(AG371&lt;0,AH371&lt;0),"Bear","Mixed")))</f>
        <v/>
      </c>
      <c r="AO371">
        <f>IF(OR(AK371="",AL371=""),"",IF(AND(AK371&gt;0,AL371&gt;0),"Bull",IF(AND(AK371&lt;0,AL371&lt;0),"Bear","Mixed")))</f>
        <v/>
      </c>
      <c r="AP371">
        <f>IF(OR(AN371="",AO371=""),"",IF(AND(AN371="Bull",AO371="Bull"),"YES","NO"))</f>
        <v/>
      </c>
      <c r="AQ371">
        <f>IF(OR(AN371="",AO371=""),"",IF(AND(AN371="Bear",AO371="Bear"),"YES","NO"))</f>
        <v/>
      </c>
      <c r="AR371">
        <f>IF(AP371="YES",IF(SUM(N(X371),N(Y371),N(Z371))&gt;0,"SOXL","TQQQ"),IF(AQ371="YES",IF(SUM(N(AA371),N(AB371),N(AC371))&gt;0,"SOXS","SQQQ"),"WAIT"))</f>
        <v/>
      </c>
      <c r="AS371">
        <f>IF(AP371="YES",IF(SUM(N(X371),N(Y371),N(Z371))&gt;0,"TQQQ","SOXL"),IF(AQ371="YES",IF(SUM(N(AA371),N(AB371),N(AC371))&gt;0,"SQQQ","SOXS"),""))</f>
        <v/>
      </c>
      <c r="AT371" s="23">
        <f>IF(AR371="WAIT","",IF(AS371="",1,0.6))</f>
        <v/>
      </c>
      <c r="AU371" s="23">
        <f>IF(AS371="",0,0.4)</f>
        <v/>
      </c>
      <c r="AV371">
        <f>IF(AR371="WAIT","WAIT",IF(AP371="YES","BULL",IF(AQ371="YES","BEAR","WAIT")))</f>
        <v/>
      </c>
      <c r="AW371">
        <f>IF(AR371="WAIT","Low",IF(OR(AND(AV371="BULL",ABS(SUM(N(X371),N(Y371),N(Z371)))&gt;=0.15),AND(AV371="BEAR",ABS(SUM(N(AA371),N(AB371),N(AC371)))&gt;=0.15)),"Strong",IF(OR(AND(AV371="BULL",ABS(SUM(N(X371),N(Y371),N(Z371)))&gt;=0.05),AND(AV371="BEAR",ABS(SUM(N(AA371),N(AB371),N(AC371)))&gt;=0.05)),"Moderate","Low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13" t="n"/>
      <c r="AF372" s="23">
        <f>IF(OR(AD372="",AD371=""),"",IF(AD371=0,"",(AD372/AD371)-1))</f>
        <v/>
      </c>
      <c r="AG372" s="23">
        <f>IF(ROW()&lt;7,"",IF(OR(AD372="",AD369=""),"",IF(AD369=0,"",(AD372/AD369)-1)))</f>
        <v/>
      </c>
      <c r="AH372" s="23">
        <f>IF(ROW()&lt;9,"",IF(OR(AD372="",AD367=""),"",IF(AD367=0,"",(AD372/AD367)-1)))</f>
        <v/>
      </c>
      <c r="AJ372" s="23">
        <f>IF(OR(AE372="",AE371=""),"",IF(AE371=0,"",(AE372/AE371)-1))</f>
        <v/>
      </c>
      <c r="AK372" s="23">
        <f>IF(ROW()&lt;7,"",IF(OR(AE372="",AE369=""),"",IF(AE369=0,"",(AE372/AE369)-1)))</f>
        <v/>
      </c>
      <c r="AL372" s="23">
        <f>IF(ROW()&lt;9,"",IF(OR(AE372="",AE367=""),"",IF(AE367=0,"",(AE372/AE367)-1)))</f>
        <v/>
      </c>
      <c r="AN372">
        <f>IF(OR(AG372="",AH372=""),"",IF(AND(AG372&gt;0,AH372&gt;0),"Bull",IF(AND(AG372&lt;0,AH372&lt;0),"Bear","Mixed")))</f>
        <v/>
      </c>
      <c r="AO372">
        <f>IF(OR(AK372="",AL372=""),"",IF(AND(AK372&gt;0,AL372&gt;0),"Bull",IF(AND(AK372&lt;0,AL372&lt;0),"Bear","Mixed")))</f>
        <v/>
      </c>
      <c r="AP372">
        <f>IF(OR(AN372="",AO372=""),"",IF(AND(AN372="Bull",AO372="Bull"),"YES","NO"))</f>
        <v/>
      </c>
      <c r="AQ372">
        <f>IF(OR(AN372="",AO372=""),"",IF(AND(AN372="Bear",AO372="Bear"),"YES","NO"))</f>
        <v/>
      </c>
      <c r="AR372">
        <f>IF(AP372="YES",IF(SUM(N(X372),N(Y372),N(Z372))&gt;0,"SOXL","TQQQ"),IF(AQ372="YES",IF(SUM(N(AA372),N(AB372),N(AC372))&gt;0,"SOXS","SQQQ"),"WAIT"))</f>
        <v/>
      </c>
      <c r="AS372">
        <f>IF(AP372="YES",IF(SUM(N(X372),N(Y372),N(Z372))&gt;0,"TQQQ","SOXL"),IF(AQ372="YES",IF(SUM(N(AA372),N(AB372),N(AC372))&gt;0,"SQQQ","SOXS"),""))</f>
        <v/>
      </c>
      <c r="AT372" s="23">
        <f>IF(AR372="WAIT","",IF(AS372="",1,0.6))</f>
        <v/>
      </c>
      <c r="AU372" s="23">
        <f>IF(AS372="",0,0.4)</f>
        <v/>
      </c>
      <c r="AV372">
        <f>IF(AR372="WAIT","WAIT",IF(AP372="YES","BULL",IF(AQ372="YES","BEAR","WAIT")))</f>
        <v/>
      </c>
      <c r="AW372">
        <f>IF(AR372="WAIT","Low",IF(OR(AND(AV372="BULL",ABS(SUM(N(X372),N(Y372),N(Z372)))&gt;=0.15),AND(AV372="BEAR",ABS(SUM(N(AA372),N(AB372),N(AC372)))&gt;=0.15)),"Strong",IF(OR(AND(AV372="BULL",ABS(SUM(N(X372),N(Y372),N(Z372)))&gt;=0.05),AND(AV372="BEAR",ABS(SUM(N(AA372),N(AB372),N(AC372)))&gt;=0.05)),"Moderate","Low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13" t="n"/>
      <c r="AF373" s="23">
        <f>IF(OR(AD373="",AD372=""),"",IF(AD372=0,"",(AD373/AD372)-1))</f>
        <v/>
      </c>
      <c r="AG373" s="23">
        <f>IF(ROW()&lt;7,"",IF(OR(AD373="",AD370=""),"",IF(AD370=0,"",(AD373/AD370)-1)))</f>
        <v/>
      </c>
      <c r="AH373" s="23">
        <f>IF(ROW()&lt;9,"",IF(OR(AD373="",AD368=""),"",IF(AD368=0,"",(AD373/AD368)-1)))</f>
        <v/>
      </c>
      <c r="AJ373" s="23">
        <f>IF(OR(AE373="",AE372=""),"",IF(AE372=0,"",(AE373/AE372)-1))</f>
        <v/>
      </c>
      <c r="AK373" s="23">
        <f>IF(ROW()&lt;7,"",IF(OR(AE373="",AE370=""),"",IF(AE370=0,"",(AE373/AE370)-1)))</f>
        <v/>
      </c>
      <c r="AL373" s="23">
        <f>IF(ROW()&lt;9,"",IF(OR(AE373="",AE368=""),"",IF(AE368=0,"",(AE373/AE368)-1)))</f>
        <v/>
      </c>
      <c r="AN373">
        <f>IF(OR(AG373="",AH373=""),"",IF(AND(AG373&gt;0,AH373&gt;0),"Bull",IF(AND(AG373&lt;0,AH373&lt;0),"Bear","Mixed")))</f>
        <v/>
      </c>
      <c r="AO373">
        <f>IF(OR(AK373="",AL373=""),"",IF(AND(AK373&gt;0,AL373&gt;0),"Bull",IF(AND(AK373&lt;0,AL373&lt;0),"Bear","Mixed")))</f>
        <v/>
      </c>
      <c r="AP373">
        <f>IF(OR(AN373="",AO373=""),"",IF(AND(AN373="Bull",AO373="Bull"),"YES","NO"))</f>
        <v/>
      </c>
      <c r="AQ373">
        <f>IF(OR(AN373="",AO373=""),"",IF(AND(AN373="Bear",AO373="Bear"),"YES","NO"))</f>
        <v/>
      </c>
      <c r="AR373">
        <f>IF(AP373="YES",IF(SUM(N(X373),N(Y373),N(Z373))&gt;0,"SOXL","TQQQ"),IF(AQ373="YES",IF(SUM(N(AA373),N(AB373),N(AC373))&gt;0,"SOXS","SQQQ"),"WAIT"))</f>
        <v/>
      </c>
      <c r="AS373">
        <f>IF(AP373="YES",IF(SUM(N(X373),N(Y373),N(Z373))&gt;0,"TQQQ","SOXL"),IF(AQ373="YES",IF(SUM(N(AA373),N(AB373),N(AC373))&gt;0,"SQQQ","SOXS"),""))</f>
        <v/>
      </c>
      <c r="AT373" s="23">
        <f>IF(AR373="WAIT","",IF(AS373="",1,0.6))</f>
        <v/>
      </c>
      <c r="AU373" s="23">
        <f>IF(AS373="",0,0.4)</f>
        <v/>
      </c>
      <c r="AV373">
        <f>IF(AR373="WAIT","WAIT",IF(AP373="YES","BULL",IF(AQ373="YES","BEAR","WAIT")))</f>
        <v/>
      </c>
      <c r="AW373">
        <f>IF(AR373="WAIT","Low",IF(OR(AND(AV373="BULL",ABS(SUM(N(X373),N(Y373),N(Z373)))&gt;=0.15),AND(AV373="BEAR",ABS(SUM(N(AA373),N(AB373),N(AC373)))&gt;=0.15)),"Strong",IF(OR(AND(AV373="BULL",ABS(SUM(N(X373),N(Y373),N(Z373)))&gt;=0.05),AND(AV373="BEAR",ABS(SUM(N(AA373),N(AB373),N(AC373)))&gt;=0.05)),"Moderate","Low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13" t="n"/>
      <c r="AF374" s="23">
        <f>IF(OR(AD374="",AD373=""),"",IF(AD373=0,"",(AD374/AD373)-1))</f>
        <v/>
      </c>
      <c r="AG374" s="23">
        <f>IF(ROW()&lt;7,"",IF(OR(AD374="",AD371=""),"",IF(AD371=0,"",(AD374/AD371)-1)))</f>
        <v/>
      </c>
      <c r="AH374" s="23">
        <f>IF(ROW()&lt;9,"",IF(OR(AD374="",AD369=""),"",IF(AD369=0,"",(AD374/AD369)-1)))</f>
        <v/>
      </c>
      <c r="AJ374" s="23">
        <f>IF(OR(AE374="",AE373=""),"",IF(AE373=0,"",(AE374/AE373)-1))</f>
        <v/>
      </c>
      <c r="AK374" s="23">
        <f>IF(ROW()&lt;7,"",IF(OR(AE374="",AE371=""),"",IF(AE371=0,"",(AE374/AE371)-1)))</f>
        <v/>
      </c>
      <c r="AL374" s="23">
        <f>IF(ROW()&lt;9,"",IF(OR(AE374="",AE369=""),"",IF(AE369=0,"",(AE374/AE369)-1)))</f>
        <v/>
      </c>
      <c r="AN374">
        <f>IF(OR(AG374="",AH374=""),"",IF(AND(AG374&gt;0,AH374&gt;0),"Bull",IF(AND(AG374&lt;0,AH374&lt;0),"Bear","Mixed")))</f>
        <v/>
      </c>
      <c r="AO374">
        <f>IF(OR(AK374="",AL374=""),"",IF(AND(AK374&gt;0,AL374&gt;0),"Bull",IF(AND(AK374&lt;0,AL374&lt;0),"Bear","Mixed")))</f>
        <v/>
      </c>
      <c r="AP374">
        <f>IF(OR(AN374="",AO374=""),"",IF(AND(AN374="Bull",AO374="Bull"),"YES","NO"))</f>
        <v/>
      </c>
      <c r="AQ374">
        <f>IF(OR(AN374="",AO374=""),"",IF(AND(AN374="Bear",AO374="Bear"),"YES","NO"))</f>
        <v/>
      </c>
      <c r="AR374">
        <f>IF(AP374="YES",IF(SUM(N(X374),N(Y374),N(Z374))&gt;0,"SOXL","TQQQ"),IF(AQ374="YES",IF(SUM(N(AA374),N(AB374),N(AC374))&gt;0,"SOXS","SQQQ"),"WAIT"))</f>
        <v/>
      </c>
      <c r="AS374">
        <f>IF(AP374="YES",IF(SUM(N(X374),N(Y374),N(Z374))&gt;0,"TQQQ","SOXL"),IF(AQ374="YES",IF(SUM(N(AA374),N(AB374),N(AC374))&gt;0,"SQQQ","SOXS"),""))</f>
        <v/>
      </c>
      <c r="AT374" s="23">
        <f>IF(AR374="WAIT","",IF(AS374="",1,0.6))</f>
        <v/>
      </c>
      <c r="AU374" s="23">
        <f>IF(AS374="",0,0.4)</f>
        <v/>
      </c>
      <c r="AV374">
        <f>IF(AR374="WAIT","WAIT",IF(AP374="YES","BULL",IF(AQ374="YES","BEAR","WAIT")))</f>
        <v/>
      </c>
      <c r="AW374">
        <f>IF(AR374="WAIT","Low",IF(OR(AND(AV374="BULL",ABS(SUM(N(X374),N(Y374),N(Z374)))&gt;=0.15),AND(AV374="BEAR",ABS(SUM(N(AA374),N(AB374),N(AC374)))&gt;=0.15)),"Strong",IF(OR(AND(AV374="BULL",ABS(SUM(N(X374),N(Y374),N(Z374)))&gt;=0.05),AND(AV374="BEAR",ABS(SUM(N(AA374),N(AB374),N(AC374)))&gt;=0.05)),"Moderate","Low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13" t="n"/>
      <c r="AF375" s="23">
        <f>IF(OR(AD375="",AD374=""),"",IF(AD374=0,"",(AD375/AD374)-1))</f>
        <v/>
      </c>
      <c r="AG375" s="23">
        <f>IF(ROW()&lt;7,"",IF(OR(AD375="",AD372=""),"",IF(AD372=0,"",(AD375/AD372)-1)))</f>
        <v/>
      </c>
      <c r="AH375" s="23">
        <f>IF(ROW()&lt;9,"",IF(OR(AD375="",AD370=""),"",IF(AD370=0,"",(AD375/AD370)-1)))</f>
        <v/>
      </c>
      <c r="AJ375" s="23">
        <f>IF(OR(AE375="",AE374=""),"",IF(AE374=0,"",(AE375/AE374)-1))</f>
        <v/>
      </c>
      <c r="AK375" s="23">
        <f>IF(ROW()&lt;7,"",IF(OR(AE375="",AE372=""),"",IF(AE372=0,"",(AE375/AE372)-1)))</f>
        <v/>
      </c>
      <c r="AL375" s="23">
        <f>IF(ROW()&lt;9,"",IF(OR(AE375="",AE370=""),"",IF(AE370=0,"",(AE375/AE370)-1)))</f>
        <v/>
      </c>
      <c r="AN375">
        <f>IF(OR(AG375="",AH375=""),"",IF(AND(AG375&gt;0,AH375&gt;0),"Bull",IF(AND(AG375&lt;0,AH375&lt;0),"Bear","Mixed")))</f>
        <v/>
      </c>
      <c r="AO375">
        <f>IF(OR(AK375="",AL375=""),"",IF(AND(AK375&gt;0,AL375&gt;0),"Bull",IF(AND(AK375&lt;0,AL375&lt;0),"Bear","Mixed")))</f>
        <v/>
      </c>
      <c r="AP375">
        <f>IF(OR(AN375="",AO375=""),"",IF(AND(AN375="Bull",AO375="Bull"),"YES","NO"))</f>
        <v/>
      </c>
      <c r="AQ375">
        <f>IF(OR(AN375="",AO375=""),"",IF(AND(AN375="Bear",AO375="Bear"),"YES","NO"))</f>
        <v/>
      </c>
      <c r="AR375">
        <f>IF(AP375="YES",IF(SUM(N(X375),N(Y375),N(Z375))&gt;0,"SOXL","TQQQ"),IF(AQ375="YES",IF(SUM(N(AA375),N(AB375),N(AC375))&gt;0,"SOXS","SQQQ"),"WAIT"))</f>
        <v/>
      </c>
      <c r="AS375">
        <f>IF(AP375="YES",IF(SUM(N(X375),N(Y375),N(Z375))&gt;0,"TQQQ","SOXL"),IF(AQ375="YES",IF(SUM(N(AA375),N(AB375),N(AC375))&gt;0,"SQQQ","SOXS"),""))</f>
        <v/>
      </c>
      <c r="AT375" s="23">
        <f>IF(AR375="WAIT","",IF(AS375="",1,0.6))</f>
        <v/>
      </c>
      <c r="AU375" s="23">
        <f>IF(AS375="",0,0.4)</f>
        <v/>
      </c>
      <c r="AV375">
        <f>IF(AR375="WAIT","WAIT",IF(AP375="YES","BULL",IF(AQ375="YES","BEAR","WAIT")))</f>
        <v/>
      </c>
      <c r="AW375">
        <f>IF(AR375="WAIT","Low",IF(OR(AND(AV375="BULL",ABS(SUM(N(X375),N(Y375),N(Z375)))&gt;=0.15),AND(AV375="BEAR",ABS(SUM(N(AA375),N(AB375),N(AC375)))&gt;=0.15)),"Strong",IF(OR(AND(AV375="BULL",ABS(SUM(N(X375),N(Y375),N(Z375)))&gt;=0.05),AND(AV375="BEAR",ABS(SUM(N(AA375),N(AB375),N(AC375)))&gt;=0.05)),"Moderate","Low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13" t="n"/>
      <c r="AF376" s="23">
        <f>IF(OR(AD376="",AD375=""),"",IF(AD375=0,"",(AD376/AD375)-1))</f>
        <v/>
      </c>
      <c r="AG376" s="23">
        <f>IF(ROW()&lt;7,"",IF(OR(AD376="",AD373=""),"",IF(AD373=0,"",(AD376/AD373)-1)))</f>
        <v/>
      </c>
      <c r="AH376" s="23">
        <f>IF(ROW()&lt;9,"",IF(OR(AD376="",AD371=""),"",IF(AD371=0,"",(AD376/AD371)-1)))</f>
        <v/>
      </c>
      <c r="AJ376" s="23">
        <f>IF(OR(AE376="",AE375=""),"",IF(AE375=0,"",(AE376/AE375)-1))</f>
        <v/>
      </c>
      <c r="AK376" s="23">
        <f>IF(ROW()&lt;7,"",IF(OR(AE376="",AE373=""),"",IF(AE373=0,"",(AE376/AE373)-1)))</f>
        <v/>
      </c>
      <c r="AL376" s="23">
        <f>IF(ROW()&lt;9,"",IF(OR(AE376="",AE371=""),"",IF(AE371=0,"",(AE376/AE371)-1)))</f>
        <v/>
      </c>
      <c r="AN376">
        <f>IF(OR(AG376="",AH376=""),"",IF(AND(AG376&gt;0,AH376&gt;0),"Bull",IF(AND(AG376&lt;0,AH376&lt;0),"Bear","Mixed")))</f>
        <v/>
      </c>
      <c r="AO376">
        <f>IF(OR(AK376="",AL376=""),"",IF(AND(AK376&gt;0,AL376&gt;0),"Bull",IF(AND(AK376&lt;0,AL376&lt;0),"Bear","Mixed")))</f>
        <v/>
      </c>
      <c r="AP376">
        <f>IF(OR(AN376="",AO376=""),"",IF(AND(AN376="Bull",AO376="Bull"),"YES","NO"))</f>
        <v/>
      </c>
      <c r="AQ376">
        <f>IF(OR(AN376="",AO376=""),"",IF(AND(AN376="Bear",AO376="Bear"),"YES","NO"))</f>
        <v/>
      </c>
      <c r="AR376">
        <f>IF(AP376="YES",IF(SUM(N(X376),N(Y376),N(Z376))&gt;0,"SOXL","TQQQ"),IF(AQ376="YES",IF(SUM(N(AA376),N(AB376),N(AC376))&gt;0,"SOXS","SQQQ"),"WAIT"))</f>
        <v/>
      </c>
      <c r="AS376">
        <f>IF(AP376="YES",IF(SUM(N(X376),N(Y376),N(Z376))&gt;0,"TQQQ","SOXL"),IF(AQ376="YES",IF(SUM(N(AA376),N(AB376),N(AC376))&gt;0,"SQQQ","SOXS"),""))</f>
        <v/>
      </c>
      <c r="AT376" s="23">
        <f>IF(AR376="WAIT","",IF(AS376="",1,0.6))</f>
        <v/>
      </c>
      <c r="AU376" s="23">
        <f>IF(AS376="",0,0.4)</f>
        <v/>
      </c>
      <c r="AV376">
        <f>IF(AR376="WAIT","WAIT",IF(AP376="YES","BULL",IF(AQ376="YES","BEAR","WAIT")))</f>
        <v/>
      </c>
      <c r="AW376">
        <f>IF(AR376="WAIT","Low",IF(OR(AND(AV376="BULL",ABS(SUM(N(X376),N(Y376),N(Z376)))&gt;=0.15),AND(AV376="BEAR",ABS(SUM(N(AA376),N(AB376),N(AC376)))&gt;=0.15)),"Strong",IF(OR(AND(AV376="BULL",ABS(SUM(N(X376),N(Y376),N(Z376)))&gt;=0.05),AND(AV376="BEAR",ABS(SUM(N(AA376),N(AB376),N(AC376)))&gt;=0.05)),"Moderate","Low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13" t="n"/>
      <c r="AF377" s="23">
        <f>IF(OR(AD377="",AD376=""),"",IF(AD376=0,"",(AD377/AD376)-1))</f>
        <v/>
      </c>
      <c r="AG377" s="23">
        <f>IF(ROW()&lt;7,"",IF(OR(AD377="",AD374=""),"",IF(AD374=0,"",(AD377/AD374)-1)))</f>
        <v/>
      </c>
      <c r="AH377" s="23">
        <f>IF(ROW()&lt;9,"",IF(OR(AD377="",AD372=""),"",IF(AD372=0,"",(AD377/AD372)-1)))</f>
        <v/>
      </c>
      <c r="AJ377" s="23">
        <f>IF(OR(AE377="",AE376=""),"",IF(AE376=0,"",(AE377/AE376)-1))</f>
        <v/>
      </c>
      <c r="AK377" s="23">
        <f>IF(ROW()&lt;7,"",IF(OR(AE377="",AE374=""),"",IF(AE374=0,"",(AE377/AE374)-1)))</f>
        <v/>
      </c>
      <c r="AL377" s="23">
        <f>IF(ROW()&lt;9,"",IF(OR(AE377="",AE372=""),"",IF(AE372=0,"",(AE377/AE372)-1)))</f>
        <v/>
      </c>
      <c r="AN377">
        <f>IF(OR(AG377="",AH377=""),"",IF(AND(AG377&gt;0,AH377&gt;0),"Bull",IF(AND(AG377&lt;0,AH377&lt;0),"Bear","Mixed")))</f>
        <v/>
      </c>
      <c r="AO377">
        <f>IF(OR(AK377="",AL377=""),"",IF(AND(AK377&gt;0,AL377&gt;0),"Bull",IF(AND(AK377&lt;0,AL377&lt;0),"Bear","Mixed")))</f>
        <v/>
      </c>
      <c r="AP377">
        <f>IF(OR(AN377="",AO377=""),"",IF(AND(AN377="Bull",AO377="Bull"),"YES","NO"))</f>
        <v/>
      </c>
      <c r="AQ377">
        <f>IF(OR(AN377="",AO377=""),"",IF(AND(AN377="Bear",AO377="Bear"),"YES","NO"))</f>
        <v/>
      </c>
      <c r="AR377">
        <f>IF(AP377="YES",IF(SUM(N(X377),N(Y377),N(Z377))&gt;0,"SOXL","TQQQ"),IF(AQ377="YES",IF(SUM(N(AA377),N(AB377),N(AC377))&gt;0,"SOXS","SQQQ"),"WAIT"))</f>
        <v/>
      </c>
      <c r="AS377">
        <f>IF(AP377="YES",IF(SUM(N(X377),N(Y377),N(Z377))&gt;0,"TQQQ","SOXL"),IF(AQ377="YES",IF(SUM(N(AA377),N(AB377),N(AC377))&gt;0,"SQQQ","SOXS"),""))</f>
        <v/>
      </c>
      <c r="AT377" s="23">
        <f>IF(AR377="WAIT","",IF(AS377="",1,0.6))</f>
        <v/>
      </c>
      <c r="AU377" s="23">
        <f>IF(AS377="",0,0.4)</f>
        <v/>
      </c>
      <c r="AV377">
        <f>IF(AR377="WAIT","WAIT",IF(AP377="YES","BULL",IF(AQ377="YES","BEAR","WAIT")))</f>
        <v/>
      </c>
      <c r="AW377">
        <f>IF(AR377="WAIT","Low",IF(OR(AND(AV377="BULL",ABS(SUM(N(X377),N(Y377),N(Z377)))&gt;=0.15),AND(AV377="BEAR",ABS(SUM(N(AA377),N(AB377),N(AC377)))&gt;=0.15)),"Strong",IF(OR(AND(AV377="BULL",ABS(SUM(N(X377),N(Y377),N(Z377)))&gt;=0.05),AND(AV377="BEAR",ABS(SUM(N(AA377),N(AB377),N(AC377)))&gt;=0.05)),"Moderate","Low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13" t="n"/>
      <c r="AF378" s="23">
        <f>IF(OR(AD378="",AD377=""),"",IF(AD377=0,"",(AD378/AD377)-1))</f>
        <v/>
      </c>
      <c r="AG378" s="23">
        <f>IF(ROW()&lt;7,"",IF(OR(AD378="",AD375=""),"",IF(AD375=0,"",(AD378/AD375)-1)))</f>
        <v/>
      </c>
      <c r="AH378" s="23">
        <f>IF(ROW()&lt;9,"",IF(OR(AD378="",AD373=""),"",IF(AD373=0,"",(AD378/AD373)-1)))</f>
        <v/>
      </c>
      <c r="AJ378" s="23">
        <f>IF(OR(AE378="",AE377=""),"",IF(AE377=0,"",(AE378/AE377)-1))</f>
        <v/>
      </c>
      <c r="AK378" s="23">
        <f>IF(ROW()&lt;7,"",IF(OR(AE378="",AE375=""),"",IF(AE375=0,"",(AE378/AE375)-1)))</f>
        <v/>
      </c>
      <c r="AL378" s="23">
        <f>IF(ROW()&lt;9,"",IF(OR(AE378="",AE373=""),"",IF(AE373=0,"",(AE378/AE373)-1)))</f>
        <v/>
      </c>
      <c r="AN378">
        <f>IF(OR(AG378="",AH378=""),"",IF(AND(AG378&gt;0,AH378&gt;0),"Bull",IF(AND(AG378&lt;0,AH378&lt;0),"Bear","Mixed")))</f>
        <v/>
      </c>
      <c r="AO378">
        <f>IF(OR(AK378="",AL378=""),"",IF(AND(AK378&gt;0,AL378&gt;0),"Bull",IF(AND(AK378&lt;0,AL378&lt;0),"Bear","Mixed")))</f>
        <v/>
      </c>
      <c r="AP378">
        <f>IF(OR(AN378="",AO378=""),"",IF(AND(AN378="Bull",AO378="Bull"),"YES","NO"))</f>
        <v/>
      </c>
      <c r="AQ378">
        <f>IF(OR(AN378="",AO378=""),"",IF(AND(AN378="Bear",AO378="Bear"),"YES","NO"))</f>
        <v/>
      </c>
      <c r="AR378">
        <f>IF(AP378="YES",IF(SUM(N(X378),N(Y378),N(Z378))&gt;0,"SOXL","TQQQ"),IF(AQ378="YES",IF(SUM(N(AA378),N(AB378),N(AC378))&gt;0,"SOXS","SQQQ"),"WAIT"))</f>
        <v/>
      </c>
      <c r="AS378">
        <f>IF(AP378="YES",IF(SUM(N(X378),N(Y378),N(Z378))&gt;0,"TQQQ","SOXL"),IF(AQ378="YES",IF(SUM(N(AA378),N(AB378),N(AC378))&gt;0,"SQQQ","SOXS"),""))</f>
        <v/>
      </c>
      <c r="AT378" s="23">
        <f>IF(AR378="WAIT","",IF(AS378="",1,0.6))</f>
        <v/>
      </c>
      <c r="AU378" s="23">
        <f>IF(AS378="",0,0.4)</f>
        <v/>
      </c>
      <c r="AV378">
        <f>IF(AR378="WAIT","WAIT",IF(AP378="YES","BULL",IF(AQ378="YES","BEAR","WAIT")))</f>
        <v/>
      </c>
      <c r="AW378">
        <f>IF(AR378="WAIT","Low",IF(OR(AND(AV378="BULL",ABS(SUM(N(X378),N(Y378),N(Z378)))&gt;=0.15),AND(AV378="BEAR",ABS(SUM(N(AA378),N(AB378),N(AC378)))&gt;=0.15)),"Strong",IF(OR(AND(AV378="BULL",ABS(SUM(N(X378),N(Y378),N(Z378)))&gt;=0.05),AND(AV378="BEAR",ABS(SUM(N(AA378),N(AB378),N(AC378)))&gt;=0.05)),"Moderate","Low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13" t="n"/>
      <c r="AF379" s="23">
        <f>IF(OR(AD379="",AD378=""),"",IF(AD378=0,"",(AD379/AD378)-1))</f>
        <v/>
      </c>
      <c r="AG379" s="23">
        <f>IF(ROW()&lt;7,"",IF(OR(AD379="",AD376=""),"",IF(AD376=0,"",(AD379/AD376)-1)))</f>
        <v/>
      </c>
      <c r="AH379" s="23">
        <f>IF(ROW()&lt;9,"",IF(OR(AD379="",AD374=""),"",IF(AD374=0,"",(AD379/AD374)-1)))</f>
        <v/>
      </c>
      <c r="AJ379" s="23">
        <f>IF(OR(AE379="",AE378=""),"",IF(AE378=0,"",(AE379/AE378)-1))</f>
        <v/>
      </c>
      <c r="AK379" s="23">
        <f>IF(ROW()&lt;7,"",IF(OR(AE379="",AE376=""),"",IF(AE376=0,"",(AE379/AE376)-1)))</f>
        <v/>
      </c>
      <c r="AL379" s="23">
        <f>IF(ROW()&lt;9,"",IF(OR(AE379="",AE374=""),"",IF(AE374=0,"",(AE379/AE374)-1)))</f>
        <v/>
      </c>
      <c r="AN379">
        <f>IF(OR(AG379="",AH379=""),"",IF(AND(AG379&gt;0,AH379&gt;0),"Bull",IF(AND(AG379&lt;0,AH379&lt;0),"Bear","Mixed")))</f>
        <v/>
      </c>
      <c r="AO379">
        <f>IF(OR(AK379="",AL379=""),"",IF(AND(AK379&gt;0,AL379&gt;0),"Bull",IF(AND(AK379&lt;0,AL379&lt;0),"Bear","Mixed")))</f>
        <v/>
      </c>
      <c r="AP379">
        <f>IF(OR(AN379="",AO379=""),"",IF(AND(AN379="Bull",AO379="Bull"),"YES","NO"))</f>
        <v/>
      </c>
      <c r="AQ379">
        <f>IF(OR(AN379="",AO379=""),"",IF(AND(AN379="Bear",AO379="Bear"),"YES","NO"))</f>
        <v/>
      </c>
      <c r="AR379">
        <f>IF(AP379="YES",IF(SUM(N(X379),N(Y379),N(Z379))&gt;0,"SOXL","TQQQ"),IF(AQ379="YES",IF(SUM(N(AA379),N(AB379),N(AC379))&gt;0,"SOXS","SQQQ"),"WAIT"))</f>
        <v/>
      </c>
      <c r="AS379">
        <f>IF(AP379="YES",IF(SUM(N(X379),N(Y379),N(Z379))&gt;0,"TQQQ","SOXL"),IF(AQ379="YES",IF(SUM(N(AA379),N(AB379),N(AC379))&gt;0,"SQQQ","SOXS"),""))</f>
        <v/>
      </c>
      <c r="AT379" s="23">
        <f>IF(AR379="WAIT","",IF(AS379="",1,0.6))</f>
        <v/>
      </c>
      <c r="AU379" s="23">
        <f>IF(AS379="",0,0.4)</f>
        <v/>
      </c>
      <c r="AV379">
        <f>IF(AR379="WAIT","WAIT",IF(AP379="YES","BULL",IF(AQ379="YES","BEAR","WAIT")))</f>
        <v/>
      </c>
      <c r="AW379">
        <f>IF(AR379="WAIT","Low",IF(OR(AND(AV379="BULL",ABS(SUM(N(X379),N(Y379),N(Z379)))&gt;=0.15),AND(AV379="BEAR",ABS(SUM(N(AA379),N(AB379),N(AC379)))&gt;=0.15)),"Strong",IF(OR(AND(AV379="BULL",ABS(SUM(N(X379),N(Y379),N(Z379)))&gt;=0.05),AND(AV379="BEAR",ABS(SUM(N(AA379),N(AB379),N(AC379)))&gt;=0.05)),"Moderate","Low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13" t="n"/>
      <c r="AF380" s="23">
        <f>IF(OR(AD380="",AD379=""),"",IF(AD379=0,"",(AD380/AD379)-1))</f>
        <v/>
      </c>
      <c r="AG380" s="23">
        <f>IF(ROW()&lt;7,"",IF(OR(AD380="",AD377=""),"",IF(AD377=0,"",(AD380/AD377)-1)))</f>
        <v/>
      </c>
      <c r="AH380" s="23">
        <f>IF(ROW()&lt;9,"",IF(OR(AD380="",AD375=""),"",IF(AD375=0,"",(AD380/AD375)-1)))</f>
        <v/>
      </c>
      <c r="AJ380" s="23">
        <f>IF(OR(AE380="",AE379=""),"",IF(AE379=0,"",(AE380/AE379)-1))</f>
        <v/>
      </c>
      <c r="AK380" s="23">
        <f>IF(ROW()&lt;7,"",IF(OR(AE380="",AE377=""),"",IF(AE377=0,"",(AE380/AE377)-1)))</f>
        <v/>
      </c>
      <c r="AL380" s="23">
        <f>IF(ROW()&lt;9,"",IF(OR(AE380="",AE375=""),"",IF(AE375=0,"",(AE380/AE375)-1)))</f>
        <v/>
      </c>
      <c r="AN380">
        <f>IF(OR(AG380="",AH380=""),"",IF(AND(AG380&gt;0,AH380&gt;0),"Bull",IF(AND(AG380&lt;0,AH380&lt;0),"Bear","Mixed")))</f>
        <v/>
      </c>
      <c r="AO380">
        <f>IF(OR(AK380="",AL380=""),"",IF(AND(AK380&gt;0,AL380&gt;0),"Bull",IF(AND(AK380&lt;0,AL380&lt;0),"Bear","Mixed")))</f>
        <v/>
      </c>
      <c r="AP380">
        <f>IF(OR(AN380="",AO380=""),"",IF(AND(AN380="Bull",AO380="Bull"),"YES","NO"))</f>
        <v/>
      </c>
      <c r="AQ380">
        <f>IF(OR(AN380="",AO380=""),"",IF(AND(AN380="Bear",AO380="Bear"),"YES","NO"))</f>
        <v/>
      </c>
      <c r="AR380">
        <f>IF(AP380="YES",IF(SUM(N(X380),N(Y380),N(Z380))&gt;0,"SOXL","TQQQ"),IF(AQ380="YES",IF(SUM(N(AA380),N(AB380),N(AC380))&gt;0,"SOXS","SQQQ"),"WAIT"))</f>
        <v/>
      </c>
      <c r="AS380">
        <f>IF(AP380="YES",IF(SUM(N(X380),N(Y380),N(Z380))&gt;0,"TQQQ","SOXL"),IF(AQ380="YES",IF(SUM(N(AA380),N(AB380),N(AC380))&gt;0,"SQQQ","SOXS"),""))</f>
        <v/>
      </c>
      <c r="AT380" s="23">
        <f>IF(AR380="WAIT","",IF(AS380="",1,0.6))</f>
        <v/>
      </c>
      <c r="AU380" s="23">
        <f>IF(AS380="",0,0.4)</f>
        <v/>
      </c>
      <c r="AV380">
        <f>IF(AR380="WAIT","WAIT",IF(AP380="YES","BULL",IF(AQ380="YES","BEAR","WAIT")))</f>
        <v/>
      </c>
      <c r="AW380">
        <f>IF(AR380="WAIT","Low",IF(OR(AND(AV380="BULL",ABS(SUM(N(X380),N(Y380),N(Z380)))&gt;=0.15),AND(AV380="BEAR",ABS(SUM(N(AA380),N(AB380),N(AC380)))&gt;=0.15)),"Strong",IF(OR(AND(AV380="BULL",ABS(SUM(N(X380),N(Y380),N(Z380)))&gt;=0.05),AND(AV380="BEAR",ABS(SUM(N(AA380),N(AB380),N(AC380)))&gt;=0.05)),"Moderate","Low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13" t="n"/>
      <c r="AF381" s="23">
        <f>IF(OR(AD381="",AD380=""),"",IF(AD380=0,"",(AD381/AD380)-1))</f>
        <v/>
      </c>
      <c r="AG381" s="23">
        <f>IF(ROW()&lt;7,"",IF(OR(AD381="",AD378=""),"",IF(AD378=0,"",(AD381/AD378)-1)))</f>
        <v/>
      </c>
      <c r="AH381" s="23">
        <f>IF(ROW()&lt;9,"",IF(OR(AD381="",AD376=""),"",IF(AD376=0,"",(AD381/AD376)-1)))</f>
        <v/>
      </c>
      <c r="AJ381" s="23">
        <f>IF(OR(AE381="",AE380=""),"",IF(AE380=0,"",(AE381/AE380)-1))</f>
        <v/>
      </c>
      <c r="AK381" s="23">
        <f>IF(ROW()&lt;7,"",IF(OR(AE381="",AE378=""),"",IF(AE378=0,"",(AE381/AE378)-1)))</f>
        <v/>
      </c>
      <c r="AL381" s="23">
        <f>IF(ROW()&lt;9,"",IF(OR(AE381="",AE376=""),"",IF(AE376=0,"",(AE381/AE376)-1)))</f>
        <v/>
      </c>
      <c r="AN381">
        <f>IF(OR(AG381="",AH381=""),"",IF(AND(AG381&gt;0,AH381&gt;0),"Bull",IF(AND(AG381&lt;0,AH381&lt;0),"Bear","Mixed")))</f>
        <v/>
      </c>
      <c r="AO381">
        <f>IF(OR(AK381="",AL381=""),"",IF(AND(AK381&gt;0,AL381&gt;0),"Bull",IF(AND(AK381&lt;0,AL381&lt;0),"Bear","Mixed")))</f>
        <v/>
      </c>
      <c r="AP381">
        <f>IF(OR(AN381="",AO381=""),"",IF(AND(AN381="Bull",AO381="Bull"),"YES","NO"))</f>
        <v/>
      </c>
      <c r="AQ381">
        <f>IF(OR(AN381="",AO381=""),"",IF(AND(AN381="Bear",AO381="Bear"),"YES","NO"))</f>
        <v/>
      </c>
      <c r="AR381">
        <f>IF(AP381="YES",IF(SUM(N(X381),N(Y381),N(Z381))&gt;0,"SOXL","TQQQ"),IF(AQ381="YES",IF(SUM(N(AA381),N(AB381),N(AC381))&gt;0,"SOXS","SQQQ"),"WAIT"))</f>
        <v/>
      </c>
      <c r="AS381">
        <f>IF(AP381="YES",IF(SUM(N(X381),N(Y381),N(Z381))&gt;0,"TQQQ","SOXL"),IF(AQ381="YES",IF(SUM(N(AA381),N(AB381),N(AC381))&gt;0,"SQQQ","SOXS"),""))</f>
        <v/>
      </c>
      <c r="AT381" s="23">
        <f>IF(AR381="WAIT","",IF(AS381="",1,0.6))</f>
        <v/>
      </c>
      <c r="AU381" s="23">
        <f>IF(AS381="",0,0.4)</f>
        <v/>
      </c>
      <c r="AV381">
        <f>IF(AR381="WAIT","WAIT",IF(AP381="YES","BULL",IF(AQ381="YES","BEAR","WAIT")))</f>
        <v/>
      </c>
      <c r="AW381">
        <f>IF(AR381="WAIT","Low",IF(OR(AND(AV381="BULL",ABS(SUM(N(X381),N(Y381),N(Z381)))&gt;=0.15),AND(AV381="BEAR",ABS(SUM(N(AA381),N(AB381),N(AC381)))&gt;=0.15)),"Strong",IF(OR(AND(AV381="BULL",ABS(SUM(N(X381),N(Y381),N(Z381)))&gt;=0.05),AND(AV381="BEAR",ABS(SUM(N(AA381),N(AB381),N(AC381)))&gt;=0.05)),"Moderate","Low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13" t="n"/>
      <c r="AF382" s="23">
        <f>IF(OR(AD382="",AD381=""),"",IF(AD381=0,"",(AD382/AD381)-1))</f>
        <v/>
      </c>
      <c r="AG382" s="23">
        <f>IF(ROW()&lt;7,"",IF(OR(AD382="",AD379=""),"",IF(AD379=0,"",(AD382/AD379)-1)))</f>
        <v/>
      </c>
      <c r="AH382" s="23">
        <f>IF(ROW()&lt;9,"",IF(OR(AD382="",AD377=""),"",IF(AD377=0,"",(AD382/AD377)-1)))</f>
        <v/>
      </c>
      <c r="AJ382" s="23">
        <f>IF(OR(AE382="",AE381=""),"",IF(AE381=0,"",(AE382/AE381)-1))</f>
        <v/>
      </c>
      <c r="AK382" s="23">
        <f>IF(ROW()&lt;7,"",IF(OR(AE382="",AE379=""),"",IF(AE379=0,"",(AE382/AE379)-1)))</f>
        <v/>
      </c>
      <c r="AL382" s="23">
        <f>IF(ROW()&lt;9,"",IF(OR(AE382="",AE377=""),"",IF(AE377=0,"",(AE382/AE377)-1)))</f>
        <v/>
      </c>
      <c r="AN382">
        <f>IF(OR(AG382="",AH382=""),"",IF(AND(AG382&gt;0,AH382&gt;0),"Bull",IF(AND(AG382&lt;0,AH382&lt;0),"Bear","Mixed")))</f>
        <v/>
      </c>
      <c r="AO382">
        <f>IF(OR(AK382="",AL382=""),"",IF(AND(AK382&gt;0,AL382&gt;0),"Bull",IF(AND(AK382&lt;0,AL382&lt;0),"Bear","Mixed")))</f>
        <v/>
      </c>
      <c r="AP382">
        <f>IF(OR(AN382="",AO382=""),"",IF(AND(AN382="Bull",AO382="Bull"),"YES","NO"))</f>
        <v/>
      </c>
      <c r="AQ382">
        <f>IF(OR(AN382="",AO382=""),"",IF(AND(AN382="Bear",AO382="Bear"),"YES","NO"))</f>
        <v/>
      </c>
      <c r="AR382">
        <f>IF(AP382="YES",IF(SUM(N(X382),N(Y382),N(Z382))&gt;0,"SOXL","TQQQ"),IF(AQ382="YES",IF(SUM(N(AA382),N(AB382),N(AC382))&gt;0,"SOXS","SQQQ"),"WAIT"))</f>
        <v/>
      </c>
      <c r="AS382">
        <f>IF(AP382="YES",IF(SUM(N(X382),N(Y382),N(Z382))&gt;0,"TQQQ","SOXL"),IF(AQ382="YES",IF(SUM(N(AA382),N(AB382),N(AC382))&gt;0,"SQQQ","SOXS"),""))</f>
        <v/>
      </c>
      <c r="AT382" s="23">
        <f>IF(AR382="WAIT","",IF(AS382="",1,0.6))</f>
        <v/>
      </c>
      <c r="AU382" s="23">
        <f>IF(AS382="",0,0.4)</f>
        <v/>
      </c>
      <c r="AV382">
        <f>IF(AR382="WAIT","WAIT",IF(AP382="YES","BULL",IF(AQ382="YES","BEAR","WAIT")))</f>
        <v/>
      </c>
      <c r="AW382">
        <f>IF(AR382="WAIT","Low",IF(OR(AND(AV382="BULL",ABS(SUM(N(X382),N(Y382),N(Z382)))&gt;=0.15),AND(AV382="BEAR",ABS(SUM(N(AA382),N(AB382),N(AC382)))&gt;=0.15)),"Strong",IF(OR(AND(AV382="BULL",ABS(SUM(N(X382),N(Y382),N(Z382)))&gt;=0.05),AND(AV382="BEAR",ABS(SUM(N(AA382),N(AB382),N(AC382)))&gt;=0.05)),"Moderate","Low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13" t="n"/>
      <c r="AF383" s="23">
        <f>IF(OR(AD383="",AD382=""),"",IF(AD382=0,"",(AD383/AD382)-1))</f>
        <v/>
      </c>
      <c r="AG383" s="23">
        <f>IF(ROW()&lt;7,"",IF(OR(AD383="",AD380=""),"",IF(AD380=0,"",(AD383/AD380)-1)))</f>
        <v/>
      </c>
      <c r="AH383" s="23">
        <f>IF(ROW()&lt;9,"",IF(OR(AD383="",AD378=""),"",IF(AD378=0,"",(AD383/AD378)-1)))</f>
        <v/>
      </c>
      <c r="AJ383" s="23">
        <f>IF(OR(AE383="",AE382=""),"",IF(AE382=0,"",(AE383/AE382)-1))</f>
        <v/>
      </c>
      <c r="AK383" s="23">
        <f>IF(ROW()&lt;7,"",IF(OR(AE383="",AE380=""),"",IF(AE380=0,"",(AE383/AE380)-1)))</f>
        <v/>
      </c>
      <c r="AL383" s="23">
        <f>IF(ROW()&lt;9,"",IF(OR(AE383="",AE378=""),"",IF(AE378=0,"",(AE383/AE378)-1)))</f>
        <v/>
      </c>
      <c r="AN383">
        <f>IF(OR(AG383="",AH383=""),"",IF(AND(AG383&gt;0,AH383&gt;0),"Bull",IF(AND(AG383&lt;0,AH383&lt;0),"Bear","Mixed")))</f>
        <v/>
      </c>
      <c r="AO383">
        <f>IF(OR(AK383="",AL383=""),"",IF(AND(AK383&gt;0,AL383&gt;0),"Bull",IF(AND(AK383&lt;0,AL383&lt;0),"Bear","Mixed")))</f>
        <v/>
      </c>
      <c r="AP383">
        <f>IF(OR(AN383="",AO383=""),"",IF(AND(AN383="Bull",AO383="Bull"),"YES","NO"))</f>
        <v/>
      </c>
      <c r="AQ383">
        <f>IF(OR(AN383="",AO383=""),"",IF(AND(AN383="Bear",AO383="Bear"),"YES","NO"))</f>
        <v/>
      </c>
      <c r="AR383">
        <f>IF(AP383="YES",IF(SUM(N(X383),N(Y383),N(Z383))&gt;0,"SOXL","TQQQ"),IF(AQ383="YES",IF(SUM(N(AA383),N(AB383),N(AC383))&gt;0,"SOXS","SQQQ"),"WAIT"))</f>
        <v/>
      </c>
      <c r="AS383">
        <f>IF(AP383="YES",IF(SUM(N(X383),N(Y383),N(Z383))&gt;0,"TQQQ","SOXL"),IF(AQ383="YES",IF(SUM(N(AA383),N(AB383),N(AC383))&gt;0,"SQQQ","SOXS"),""))</f>
        <v/>
      </c>
      <c r="AT383" s="23">
        <f>IF(AR383="WAIT","",IF(AS383="",1,0.6))</f>
        <v/>
      </c>
      <c r="AU383" s="23">
        <f>IF(AS383="",0,0.4)</f>
        <v/>
      </c>
      <c r="AV383">
        <f>IF(AR383="WAIT","WAIT",IF(AP383="YES","BULL",IF(AQ383="YES","BEAR","WAIT")))</f>
        <v/>
      </c>
      <c r="AW383">
        <f>IF(AR383="WAIT","Low",IF(OR(AND(AV383="BULL",ABS(SUM(N(X383),N(Y383),N(Z383)))&gt;=0.15),AND(AV383="BEAR",ABS(SUM(N(AA383),N(AB383),N(AC383)))&gt;=0.15)),"Strong",IF(OR(AND(AV383="BULL",ABS(SUM(N(X383),N(Y383),N(Z383)))&gt;=0.05),AND(AV383="BEAR",ABS(SUM(N(AA383),N(AB383),N(AC383)))&gt;=0.05)),"Moderate","Low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13" t="n"/>
      <c r="AF384" s="23">
        <f>IF(OR(AD384="",AD383=""),"",IF(AD383=0,"",(AD384/AD383)-1))</f>
        <v/>
      </c>
      <c r="AG384" s="23">
        <f>IF(ROW()&lt;7,"",IF(OR(AD384="",AD381=""),"",IF(AD381=0,"",(AD384/AD381)-1)))</f>
        <v/>
      </c>
      <c r="AH384" s="23">
        <f>IF(ROW()&lt;9,"",IF(OR(AD384="",AD379=""),"",IF(AD379=0,"",(AD384/AD379)-1)))</f>
        <v/>
      </c>
      <c r="AJ384" s="23">
        <f>IF(OR(AE384="",AE383=""),"",IF(AE383=0,"",(AE384/AE383)-1))</f>
        <v/>
      </c>
      <c r="AK384" s="23">
        <f>IF(ROW()&lt;7,"",IF(OR(AE384="",AE381=""),"",IF(AE381=0,"",(AE384/AE381)-1)))</f>
        <v/>
      </c>
      <c r="AL384" s="23">
        <f>IF(ROW()&lt;9,"",IF(OR(AE384="",AE379=""),"",IF(AE379=0,"",(AE384/AE379)-1)))</f>
        <v/>
      </c>
      <c r="AN384">
        <f>IF(OR(AG384="",AH384=""),"",IF(AND(AG384&gt;0,AH384&gt;0),"Bull",IF(AND(AG384&lt;0,AH384&lt;0),"Bear","Mixed")))</f>
        <v/>
      </c>
      <c r="AO384">
        <f>IF(OR(AK384="",AL384=""),"",IF(AND(AK384&gt;0,AL384&gt;0),"Bull",IF(AND(AK384&lt;0,AL384&lt;0),"Bear","Mixed")))</f>
        <v/>
      </c>
      <c r="AP384">
        <f>IF(OR(AN384="",AO384=""),"",IF(AND(AN384="Bull",AO384="Bull"),"YES","NO"))</f>
        <v/>
      </c>
      <c r="AQ384">
        <f>IF(OR(AN384="",AO384=""),"",IF(AND(AN384="Bear",AO384="Bear"),"YES","NO"))</f>
        <v/>
      </c>
      <c r="AR384">
        <f>IF(AP384="YES",IF(SUM(N(X384),N(Y384),N(Z384))&gt;0,"SOXL","TQQQ"),IF(AQ384="YES",IF(SUM(N(AA384),N(AB384),N(AC384))&gt;0,"SOXS","SQQQ"),"WAIT"))</f>
        <v/>
      </c>
      <c r="AS384">
        <f>IF(AP384="YES",IF(SUM(N(X384),N(Y384),N(Z384))&gt;0,"TQQQ","SOXL"),IF(AQ384="YES",IF(SUM(N(AA384),N(AB384),N(AC384))&gt;0,"SQQQ","SOXS"),""))</f>
        <v/>
      </c>
      <c r="AT384" s="23">
        <f>IF(AR384="WAIT","",IF(AS384="",1,0.6))</f>
        <v/>
      </c>
      <c r="AU384" s="23">
        <f>IF(AS384="",0,0.4)</f>
        <v/>
      </c>
      <c r="AV384">
        <f>IF(AR384="WAIT","WAIT",IF(AP384="YES","BULL",IF(AQ384="YES","BEAR","WAIT")))</f>
        <v/>
      </c>
      <c r="AW384">
        <f>IF(AR384="WAIT","Low",IF(OR(AND(AV384="BULL",ABS(SUM(N(X384),N(Y384),N(Z384)))&gt;=0.15),AND(AV384="BEAR",ABS(SUM(N(AA384),N(AB384),N(AC384)))&gt;=0.15)),"Strong",IF(OR(AND(AV384="BULL",ABS(SUM(N(X384),N(Y384),N(Z384)))&gt;=0.05),AND(AV384="BEAR",ABS(SUM(N(AA384),N(AB384),N(AC384)))&gt;=0.05)),"Moderate","Low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13" t="n"/>
      <c r="AF385" s="23">
        <f>IF(OR(AD385="",AD384=""),"",IF(AD384=0,"",(AD385/AD384)-1))</f>
        <v/>
      </c>
      <c r="AG385" s="23">
        <f>IF(ROW()&lt;7,"",IF(OR(AD385="",AD382=""),"",IF(AD382=0,"",(AD385/AD382)-1)))</f>
        <v/>
      </c>
      <c r="AH385" s="23">
        <f>IF(ROW()&lt;9,"",IF(OR(AD385="",AD380=""),"",IF(AD380=0,"",(AD385/AD380)-1)))</f>
        <v/>
      </c>
      <c r="AJ385" s="23">
        <f>IF(OR(AE385="",AE384=""),"",IF(AE384=0,"",(AE385/AE384)-1))</f>
        <v/>
      </c>
      <c r="AK385" s="23">
        <f>IF(ROW()&lt;7,"",IF(OR(AE385="",AE382=""),"",IF(AE382=0,"",(AE385/AE382)-1)))</f>
        <v/>
      </c>
      <c r="AL385" s="23">
        <f>IF(ROW()&lt;9,"",IF(OR(AE385="",AE380=""),"",IF(AE380=0,"",(AE385/AE380)-1)))</f>
        <v/>
      </c>
      <c r="AN385">
        <f>IF(OR(AG385="",AH385=""),"",IF(AND(AG385&gt;0,AH385&gt;0),"Bull",IF(AND(AG385&lt;0,AH385&lt;0),"Bear","Mixed")))</f>
        <v/>
      </c>
      <c r="AO385">
        <f>IF(OR(AK385="",AL385=""),"",IF(AND(AK385&gt;0,AL385&gt;0),"Bull",IF(AND(AK385&lt;0,AL385&lt;0),"Bear","Mixed")))</f>
        <v/>
      </c>
      <c r="AP385">
        <f>IF(OR(AN385="",AO385=""),"",IF(AND(AN385="Bull",AO385="Bull"),"YES","NO"))</f>
        <v/>
      </c>
      <c r="AQ385">
        <f>IF(OR(AN385="",AO385=""),"",IF(AND(AN385="Bear",AO385="Bear"),"YES","NO"))</f>
        <v/>
      </c>
      <c r="AR385">
        <f>IF(AP385="YES",IF(SUM(N(X385),N(Y385),N(Z385))&gt;0,"SOXL","TQQQ"),IF(AQ385="YES",IF(SUM(N(AA385),N(AB385),N(AC385))&gt;0,"SOXS","SQQQ"),"WAIT"))</f>
        <v/>
      </c>
      <c r="AS385">
        <f>IF(AP385="YES",IF(SUM(N(X385),N(Y385),N(Z385))&gt;0,"TQQQ","SOXL"),IF(AQ385="YES",IF(SUM(N(AA385),N(AB385),N(AC385))&gt;0,"SQQQ","SOXS"),""))</f>
        <v/>
      </c>
      <c r="AT385" s="23">
        <f>IF(AR385="WAIT","",IF(AS385="",1,0.6))</f>
        <v/>
      </c>
      <c r="AU385" s="23">
        <f>IF(AS385="",0,0.4)</f>
        <v/>
      </c>
      <c r="AV385">
        <f>IF(AR385="WAIT","WAIT",IF(AP385="YES","BULL",IF(AQ385="YES","BEAR","WAIT")))</f>
        <v/>
      </c>
      <c r="AW385">
        <f>IF(AR385="WAIT","Low",IF(OR(AND(AV385="BULL",ABS(SUM(N(X385),N(Y385),N(Z385)))&gt;=0.15),AND(AV385="BEAR",ABS(SUM(N(AA385),N(AB385),N(AC385)))&gt;=0.15)),"Strong",IF(OR(AND(AV385="BULL",ABS(SUM(N(X385),N(Y385),N(Z385)))&gt;=0.05),AND(AV385="BEAR",ABS(SUM(N(AA385),N(AB385),N(AC385)))&gt;=0.05)),"Moderate","Low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13" t="n"/>
      <c r="AF386" s="23">
        <f>IF(OR(AD386="",AD385=""),"",IF(AD385=0,"",(AD386/AD385)-1))</f>
        <v/>
      </c>
      <c r="AG386" s="23">
        <f>IF(ROW()&lt;7,"",IF(OR(AD386="",AD383=""),"",IF(AD383=0,"",(AD386/AD383)-1)))</f>
        <v/>
      </c>
      <c r="AH386" s="23">
        <f>IF(ROW()&lt;9,"",IF(OR(AD386="",AD381=""),"",IF(AD381=0,"",(AD386/AD381)-1)))</f>
        <v/>
      </c>
      <c r="AJ386" s="23">
        <f>IF(OR(AE386="",AE385=""),"",IF(AE385=0,"",(AE386/AE385)-1))</f>
        <v/>
      </c>
      <c r="AK386" s="23">
        <f>IF(ROW()&lt;7,"",IF(OR(AE386="",AE383=""),"",IF(AE383=0,"",(AE386/AE383)-1)))</f>
        <v/>
      </c>
      <c r="AL386" s="23">
        <f>IF(ROW()&lt;9,"",IF(OR(AE386="",AE381=""),"",IF(AE381=0,"",(AE386/AE381)-1)))</f>
        <v/>
      </c>
      <c r="AN386">
        <f>IF(OR(AG386="",AH386=""),"",IF(AND(AG386&gt;0,AH386&gt;0),"Bull",IF(AND(AG386&lt;0,AH386&lt;0),"Bear","Mixed")))</f>
        <v/>
      </c>
      <c r="AO386">
        <f>IF(OR(AK386="",AL386=""),"",IF(AND(AK386&gt;0,AL386&gt;0),"Bull",IF(AND(AK386&lt;0,AL386&lt;0),"Bear","Mixed")))</f>
        <v/>
      </c>
      <c r="AP386">
        <f>IF(OR(AN386="",AO386=""),"",IF(AND(AN386="Bull",AO386="Bull"),"YES","NO"))</f>
        <v/>
      </c>
      <c r="AQ386">
        <f>IF(OR(AN386="",AO386=""),"",IF(AND(AN386="Bear",AO386="Bear"),"YES","NO"))</f>
        <v/>
      </c>
      <c r="AR386">
        <f>IF(AP386="YES",IF(SUM(N(X386),N(Y386),N(Z386))&gt;0,"SOXL","TQQQ"),IF(AQ386="YES",IF(SUM(N(AA386),N(AB386),N(AC386))&gt;0,"SOXS","SQQQ"),"WAIT"))</f>
        <v/>
      </c>
      <c r="AS386">
        <f>IF(AP386="YES",IF(SUM(N(X386),N(Y386),N(Z386))&gt;0,"TQQQ","SOXL"),IF(AQ386="YES",IF(SUM(N(AA386),N(AB386),N(AC386))&gt;0,"SQQQ","SOXS"),""))</f>
        <v/>
      </c>
      <c r="AT386" s="23">
        <f>IF(AR386="WAIT","",IF(AS386="",1,0.6))</f>
        <v/>
      </c>
      <c r="AU386" s="23">
        <f>IF(AS386="",0,0.4)</f>
        <v/>
      </c>
      <c r="AV386">
        <f>IF(AR386="WAIT","WAIT",IF(AP386="YES","BULL",IF(AQ386="YES","BEAR","WAIT")))</f>
        <v/>
      </c>
      <c r="AW386">
        <f>IF(AR386="WAIT","Low",IF(OR(AND(AV386="BULL",ABS(SUM(N(X386),N(Y386),N(Z386)))&gt;=0.15),AND(AV386="BEAR",ABS(SUM(N(AA386),N(AB386),N(AC386)))&gt;=0.15)),"Strong",IF(OR(AND(AV386="BULL",ABS(SUM(N(X386),N(Y386),N(Z386)))&gt;=0.05),AND(AV386="BEAR",ABS(SUM(N(AA386),N(AB386),N(AC386)))&gt;=0.05)),"Moderate","Low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13" t="n"/>
      <c r="AF387" s="23">
        <f>IF(OR(AD387="",AD386=""),"",IF(AD386=0,"",(AD387/AD386)-1))</f>
        <v/>
      </c>
      <c r="AG387" s="23">
        <f>IF(ROW()&lt;7,"",IF(OR(AD387="",AD384=""),"",IF(AD384=0,"",(AD387/AD384)-1)))</f>
        <v/>
      </c>
      <c r="AH387" s="23">
        <f>IF(ROW()&lt;9,"",IF(OR(AD387="",AD382=""),"",IF(AD382=0,"",(AD387/AD382)-1)))</f>
        <v/>
      </c>
      <c r="AJ387" s="23">
        <f>IF(OR(AE387="",AE386=""),"",IF(AE386=0,"",(AE387/AE386)-1))</f>
        <v/>
      </c>
      <c r="AK387" s="23">
        <f>IF(ROW()&lt;7,"",IF(OR(AE387="",AE384=""),"",IF(AE384=0,"",(AE387/AE384)-1)))</f>
        <v/>
      </c>
      <c r="AL387" s="23">
        <f>IF(ROW()&lt;9,"",IF(OR(AE387="",AE382=""),"",IF(AE382=0,"",(AE387/AE382)-1)))</f>
        <v/>
      </c>
      <c r="AN387">
        <f>IF(OR(AG387="",AH387=""),"",IF(AND(AG387&gt;0,AH387&gt;0),"Bull",IF(AND(AG387&lt;0,AH387&lt;0),"Bear","Mixed")))</f>
        <v/>
      </c>
      <c r="AO387">
        <f>IF(OR(AK387="",AL387=""),"",IF(AND(AK387&gt;0,AL387&gt;0),"Bull",IF(AND(AK387&lt;0,AL387&lt;0),"Bear","Mixed")))</f>
        <v/>
      </c>
      <c r="AP387">
        <f>IF(OR(AN387="",AO387=""),"",IF(AND(AN387="Bull",AO387="Bull"),"YES","NO"))</f>
        <v/>
      </c>
      <c r="AQ387">
        <f>IF(OR(AN387="",AO387=""),"",IF(AND(AN387="Bear",AO387="Bear"),"YES","NO"))</f>
        <v/>
      </c>
      <c r="AR387">
        <f>IF(AP387="YES",IF(SUM(N(X387),N(Y387),N(Z387))&gt;0,"SOXL","TQQQ"),IF(AQ387="YES",IF(SUM(N(AA387),N(AB387),N(AC387))&gt;0,"SOXS","SQQQ"),"WAIT"))</f>
        <v/>
      </c>
      <c r="AS387">
        <f>IF(AP387="YES",IF(SUM(N(X387),N(Y387),N(Z387))&gt;0,"TQQQ","SOXL"),IF(AQ387="YES",IF(SUM(N(AA387),N(AB387),N(AC387))&gt;0,"SQQQ","SOXS"),""))</f>
        <v/>
      </c>
      <c r="AT387" s="23">
        <f>IF(AR387="WAIT","",IF(AS387="",1,0.6))</f>
        <v/>
      </c>
      <c r="AU387" s="23">
        <f>IF(AS387="",0,0.4)</f>
        <v/>
      </c>
      <c r="AV387">
        <f>IF(AR387="WAIT","WAIT",IF(AP387="YES","BULL",IF(AQ387="YES","BEAR","WAIT")))</f>
        <v/>
      </c>
      <c r="AW387">
        <f>IF(AR387="WAIT","Low",IF(OR(AND(AV387="BULL",ABS(SUM(N(X387),N(Y387),N(Z387)))&gt;=0.15),AND(AV387="BEAR",ABS(SUM(N(AA387),N(AB387),N(AC387)))&gt;=0.15)),"Strong",IF(OR(AND(AV387="BULL",ABS(SUM(N(X387),N(Y387),N(Z387)))&gt;=0.05),AND(AV387="BEAR",ABS(SUM(N(AA387),N(AB387),N(AC387)))&gt;=0.05)),"Moderate","Low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13" t="n"/>
      <c r="AF388" s="23">
        <f>IF(OR(AD388="",AD387=""),"",IF(AD387=0,"",(AD388/AD387)-1))</f>
        <v/>
      </c>
      <c r="AG388" s="23">
        <f>IF(ROW()&lt;7,"",IF(OR(AD388="",AD385=""),"",IF(AD385=0,"",(AD388/AD385)-1)))</f>
        <v/>
      </c>
      <c r="AH388" s="23">
        <f>IF(ROW()&lt;9,"",IF(OR(AD388="",AD383=""),"",IF(AD383=0,"",(AD388/AD383)-1)))</f>
        <v/>
      </c>
      <c r="AJ388" s="23">
        <f>IF(OR(AE388="",AE387=""),"",IF(AE387=0,"",(AE388/AE387)-1))</f>
        <v/>
      </c>
      <c r="AK388" s="23">
        <f>IF(ROW()&lt;7,"",IF(OR(AE388="",AE385=""),"",IF(AE385=0,"",(AE388/AE385)-1)))</f>
        <v/>
      </c>
      <c r="AL388" s="23">
        <f>IF(ROW()&lt;9,"",IF(OR(AE388="",AE383=""),"",IF(AE383=0,"",(AE388/AE383)-1)))</f>
        <v/>
      </c>
      <c r="AN388">
        <f>IF(OR(AG388="",AH388=""),"",IF(AND(AG388&gt;0,AH388&gt;0),"Bull",IF(AND(AG388&lt;0,AH388&lt;0),"Bear","Mixed")))</f>
        <v/>
      </c>
      <c r="AO388">
        <f>IF(OR(AK388="",AL388=""),"",IF(AND(AK388&gt;0,AL388&gt;0),"Bull",IF(AND(AK388&lt;0,AL388&lt;0),"Bear","Mixed")))</f>
        <v/>
      </c>
      <c r="AP388">
        <f>IF(OR(AN388="",AO388=""),"",IF(AND(AN388="Bull",AO388="Bull"),"YES","NO"))</f>
        <v/>
      </c>
      <c r="AQ388">
        <f>IF(OR(AN388="",AO388=""),"",IF(AND(AN388="Bear",AO388="Bear"),"YES","NO"))</f>
        <v/>
      </c>
      <c r="AR388">
        <f>IF(AP388="YES",IF(SUM(N(X388),N(Y388),N(Z388))&gt;0,"SOXL","TQQQ"),IF(AQ388="YES",IF(SUM(N(AA388),N(AB388),N(AC388))&gt;0,"SOXS","SQQQ"),"WAIT"))</f>
        <v/>
      </c>
      <c r="AS388">
        <f>IF(AP388="YES",IF(SUM(N(X388),N(Y388),N(Z388))&gt;0,"TQQQ","SOXL"),IF(AQ388="YES",IF(SUM(N(AA388),N(AB388),N(AC388))&gt;0,"SQQQ","SOXS"),""))</f>
        <v/>
      </c>
      <c r="AT388" s="23">
        <f>IF(AR388="WAIT","",IF(AS388="",1,0.6))</f>
        <v/>
      </c>
      <c r="AU388" s="23">
        <f>IF(AS388="",0,0.4)</f>
        <v/>
      </c>
      <c r="AV388">
        <f>IF(AR388="WAIT","WAIT",IF(AP388="YES","BULL",IF(AQ388="YES","BEAR","WAIT")))</f>
        <v/>
      </c>
      <c r="AW388">
        <f>IF(AR388="WAIT","Low",IF(OR(AND(AV388="BULL",ABS(SUM(N(X388),N(Y388),N(Z388)))&gt;=0.15),AND(AV388="BEAR",ABS(SUM(N(AA388),N(AB388),N(AC388)))&gt;=0.15)),"Strong",IF(OR(AND(AV388="BULL",ABS(SUM(N(X388),N(Y388),N(Z388)))&gt;=0.05),AND(AV388="BEAR",ABS(SUM(N(AA388),N(AB388),N(AC388)))&gt;=0.05)),"Moderate","Low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13" t="n"/>
      <c r="AF389" s="23">
        <f>IF(OR(AD389="",AD388=""),"",IF(AD388=0,"",(AD389/AD388)-1))</f>
        <v/>
      </c>
      <c r="AG389" s="23">
        <f>IF(ROW()&lt;7,"",IF(OR(AD389="",AD386=""),"",IF(AD386=0,"",(AD389/AD386)-1)))</f>
        <v/>
      </c>
      <c r="AH389" s="23">
        <f>IF(ROW()&lt;9,"",IF(OR(AD389="",AD384=""),"",IF(AD384=0,"",(AD389/AD384)-1)))</f>
        <v/>
      </c>
      <c r="AJ389" s="23">
        <f>IF(OR(AE389="",AE388=""),"",IF(AE388=0,"",(AE389/AE388)-1))</f>
        <v/>
      </c>
      <c r="AK389" s="23">
        <f>IF(ROW()&lt;7,"",IF(OR(AE389="",AE386=""),"",IF(AE386=0,"",(AE389/AE386)-1)))</f>
        <v/>
      </c>
      <c r="AL389" s="23">
        <f>IF(ROW()&lt;9,"",IF(OR(AE389="",AE384=""),"",IF(AE384=0,"",(AE389/AE384)-1)))</f>
        <v/>
      </c>
      <c r="AN389">
        <f>IF(OR(AG389="",AH389=""),"",IF(AND(AG389&gt;0,AH389&gt;0),"Bull",IF(AND(AG389&lt;0,AH389&lt;0),"Bear","Mixed")))</f>
        <v/>
      </c>
      <c r="AO389">
        <f>IF(OR(AK389="",AL389=""),"",IF(AND(AK389&gt;0,AL389&gt;0),"Bull",IF(AND(AK389&lt;0,AL389&lt;0),"Bear","Mixed")))</f>
        <v/>
      </c>
      <c r="AP389">
        <f>IF(OR(AN389="",AO389=""),"",IF(AND(AN389="Bull",AO389="Bull"),"YES","NO"))</f>
        <v/>
      </c>
      <c r="AQ389">
        <f>IF(OR(AN389="",AO389=""),"",IF(AND(AN389="Bear",AO389="Bear"),"YES","NO"))</f>
        <v/>
      </c>
      <c r="AR389">
        <f>IF(AP389="YES",IF(SUM(N(X389),N(Y389),N(Z389))&gt;0,"SOXL","TQQQ"),IF(AQ389="YES",IF(SUM(N(AA389),N(AB389),N(AC389))&gt;0,"SOXS","SQQQ"),"WAIT"))</f>
        <v/>
      </c>
      <c r="AS389">
        <f>IF(AP389="YES",IF(SUM(N(X389),N(Y389),N(Z389))&gt;0,"TQQQ","SOXL"),IF(AQ389="YES",IF(SUM(N(AA389),N(AB389),N(AC389))&gt;0,"SQQQ","SOXS"),""))</f>
        <v/>
      </c>
      <c r="AT389" s="23">
        <f>IF(AR389="WAIT","",IF(AS389="",1,0.6))</f>
        <v/>
      </c>
      <c r="AU389" s="23">
        <f>IF(AS389="",0,0.4)</f>
        <v/>
      </c>
      <c r="AV389">
        <f>IF(AR389="WAIT","WAIT",IF(AP389="YES","BULL",IF(AQ389="YES","BEAR","WAIT")))</f>
        <v/>
      </c>
      <c r="AW389">
        <f>IF(AR389="WAIT","Low",IF(OR(AND(AV389="BULL",ABS(SUM(N(X389),N(Y389),N(Z389)))&gt;=0.15),AND(AV389="BEAR",ABS(SUM(N(AA389),N(AB389),N(AC389)))&gt;=0.15)),"Strong",IF(OR(AND(AV389="BULL",ABS(SUM(N(X389),N(Y389),N(Z389)))&gt;=0.05),AND(AV389="BEAR",ABS(SUM(N(AA389),N(AB389),N(AC389)))&gt;=0.05)),"Moderate","Low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13" t="n"/>
      <c r="AF390" s="23">
        <f>IF(OR(AD390="",AD389=""),"",IF(AD389=0,"",(AD390/AD389)-1))</f>
        <v/>
      </c>
      <c r="AG390" s="23">
        <f>IF(ROW()&lt;7,"",IF(OR(AD390="",AD387=""),"",IF(AD387=0,"",(AD390/AD387)-1)))</f>
        <v/>
      </c>
      <c r="AH390" s="23">
        <f>IF(ROW()&lt;9,"",IF(OR(AD390="",AD385=""),"",IF(AD385=0,"",(AD390/AD385)-1)))</f>
        <v/>
      </c>
      <c r="AJ390" s="23">
        <f>IF(OR(AE390="",AE389=""),"",IF(AE389=0,"",(AE390/AE389)-1))</f>
        <v/>
      </c>
      <c r="AK390" s="23">
        <f>IF(ROW()&lt;7,"",IF(OR(AE390="",AE387=""),"",IF(AE387=0,"",(AE390/AE387)-1)))</f>
        <v/>
      </c>
      <c r="AL390" s="23">
        <f>IF(ROW()&lt;9,"",IF(OR(AE390="",AE385=""),"",IF(AE385=0,"",(AE390/AE385)-1)))</f>
        <v/>
      </c>
      <c r="AN390">
        <f>IF(OR(AG390="",AH390=""),"",IF(AND(AG390&gt;0,AH390&gt;0),"Bull",IF(AND(AG390&lt;0,AH390&lt;0),"Bear","Mixed")))</f>
        <v/>
      </c>
      <c r="AO390">
        <f>IF(OR(AK390="",AL390=""),"",IF(AND(AK390&gt;0,AL390&gt;0),"Bull",IF(AND(AK390&lt;0,AL390&lt;0),"Bear","Mixed")))</f>
        <v/>
      </c>
      <c r="AP390">
        <f>IF(OR(AN390="",AO390=""),"",IF(AND(AN390="Bull",AO390="Bull"),"YES","NO"))</f>
        <v/>
      </c>
      <c r="AQ390">
        <f>IF(OR(AN390="",AO390=""),"",IF(AND(AN390="Bear",AO390="Bear"),"YES","NO"))</f>
        <v/>
      </c>
      <c r="AR390">
        <f>IF(AP390="YES",IF(SUM(N(X390),N(Y390),N(Z390))&gt;0,"SOXL","TQQQ"),IF(AQ390="YES",IF(SUM(N(AA390),N(AB390),N(AC390))&gt;0,"SOXS","SQQQ"),"WAIT"))</f>
        <v/>
      </c>
      <c r="AS390">
        <f>IF(AP390="YES",IF(SUM(N(X390),N(Y390),N(Z390))&gt;0,"TQQQ","SOXL"),IF(AQ390="YES",IF(SUM(N(AA390),N(AB390),N(AC390))&gt;0,"SQQQ","SOXS"),""))</f>
        <v/>
      </c>
      <c r="AT390" s="23">
        <f>IF(AR390="WAIT","",IF(AS390="",1,0.6))</f>
        <v/>
      </c>
      <c r="AU390" s="23">
        <f>IF(AS390="",0,0.4)</f>
        <v/>
      </c>
      <c r="AV390">
        <f>IF(AR390="WAIT","WAIT",IF(AP390="YES","BULL",IF(AQ390="YES","BEAR","WAIT")))</f>
        <v/>
      </c>
      <c r="AW390">
        <f>IF(AR390="WAIT","Low",IF(OR(AND(AV390="BULL",ABS(SUM(N(X390),N(Y390),N(Z390)))&gt;=0.15),AND(AV390="BEAR",ABS(SUM(N(AA390),N(AB390),N(AC390)))&gt;=0.15)),"Strong",IF(OR(AND(AV390="BULL",ABS(SUM(N(X390),N(Y390),N(Z390)))&gt;=0.05),AND(AV390="BEAR",ABS(SUM(N(AA390),N(AB390),N(AC390)))&gt;=0.05)),"Moderate","Low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13" t="n"/>
      <c r="AF391" s="23">
        <f>IF(OR(AD391="",AD390=""),"",IF(AD390=0,"",(AD391/AD390)-1))</f>
        <v/>
      </c>
      <c r="AG391" s="23">
        <f>IF(ROW()&lt;7,"",IF(OR(AD391="",AD388=""),"",IF(AD388=0,"",(AD391/AD388)-1)))</f>
        <v/>
      </c>
      <c r="AH391" s="23">
        <f>IF(ROW()&lt;9,"",IF(OR(AD391="",AD386=""),"",IF(AD386=0,"",(AD391/AD386)-1)))</f>
        <v/>
      </c>
      <c r="AJ391" s="23">
        <f>IF(OR(AE391="",AE390=""),"",IF(AE390=0,"",(AE391/AE390)-1))</f>
        <v/>
      </c>
      <c r="AK391" s="23">
        <f>IF(ROW()&lt;7,"",IF(OR(AE391="",AE388=""),"",IF(AE388=0,"",(AE391/AE388)-1)))</f>
        <v/>
      </c>
      <c r="AL391" s="23">
        <f>IF(ROW()&lt;9,"",IF(OR(AE391="",AE386=""),"",IF(AE386=0,"",(AE391/AE386)-1)))</f>
        <v/>
      </c>
      <c r="AN391">
        <f>IF(OR(AG391="",AH391=""),"",IF(AND(AG391&gt;0,AH391&gt;0),"Bull",IF(AND(AG391&lt;0,AH391&lt;0),"Bear","Mixed")))</f>
        <v/>
      </c>
      <c r="AO391">
        <f>IF(OR(AK391="",AL391=""),"",IF(AND(AK391&gt;0,AL391&gt;0),"Bull",IF(AND(AK391&lt;0,AL391&lt;0),"Bear","Mixed")))</f>
        <v/>
      </c>
      <c r="AP391">
        <f>IF(OR(AN391="",AO391=""),"",IF(AND(AN391="Bull",AO391="Bull"),"YES","NO"))</f>
        <v/>
      </c>
      <c r="AQ391">
        <f>IF(OR(AN391="",AO391=""),"",IF(AND(AN391="Bear",AO391="Bear"),"YES","NO"))</f>
        <v/>
      </c>
      <c r="AR391">
        <f>IF(AP391="YES",IF(SUM(N(X391),N(Y391),N(Z391))&gt;0,"SOXL","TQQQ"),IF(AQ391="YES",IF(SUM(N(AA391),N(AB391),N(AC391))&gt;0,"SOXS","SQQQ"),"WAIT"))</f>
        <v/>
      </c>
      <c r="AS391">
        <f>IF(AP391="YES",IF(SUM(N(X391),N(Y391),N(Z391))&gt;0,"TQQQ","SOXL"),IF(AQ391="YES",IF(SUM(N(AA391),N(AB391),N(AC391))&gt;0,"SQQQ","SOXS"),""))</f>
        <v/>
      </c>
      <c r="AT391" s="23">
        <f>IF(AR391="WAIT","",IF(AS391="",1,0.6))</f>
        <v/>
      </c>
      <c r="AU391" s="23">
        <f>IF(AS391="",0,0.4)</f>
        <v/>
      </c>
      <c r="AV391">
        <f>IF(AR391="WAIT","WAIT",IF(AP391="YES","BULL",IF(AQ391="YES","BEAR","WAIT")))</f>
        <v/>
      </c>
      <c r="AW391">
        <f>IF(AR391="WAIT","Low",IF(OR(AND(AV391="BULL",ABS(SUM(N(X391),N(Y391),N(Z391)))&gt;=0.15),AND(AV391="BEAR",ABS(SUM(N(AA391),N(AB391),N(AC391)))&gt;=0.15)),"Strong",IF(OR(AND(AV391="BULL",ABS(SUM(N(X391),N(Y391),N(Z391)))&gt;=0.05),AND(AV391="BEAR",ABS(SUM(N(AA391),N(AB391),N(AC391)))&gt;=0.05)),"Moderate","Low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13" t="n"/>
      <c r="AF392" s="23">
        <f>IF(OR(AD392="",AD391=""),"",IF(AD391=0,"",(AD392/AD391)-1))</f>
        <v/>
      </c>
      <c r="AG392" s="23">
        <f>IF(ROW()&lt;7,"",IF(OR(AD392="",AD389=""),"",IF(AD389=0,"",(AD392/AD389)-1)))</f>
        <v/>
      </c>
      <c r="AH392" s="23">
        <f>IF(ROW()&lt;9,"",IF(OR(AD392="",AD387=""),"",IF(AD387=0,"",(AD392/AD387)-1)))</f>
        <v/>
      </c>
      <c r="AJ392" s="23">
        <f>IF(OR(AE392="",AE391=""),"",IF(AE391=0,"",(AE392/AE391)-1))</f>
        <v/>
      </c>
      <c r="AK392" s="23">
        <f>IF(ROW()&lt;7,"",IF(OR(AE392="",AE389=""),"",IF(AE389=0,"",(AE392/AE389)-1)))</f>
        <v/>
      </c>
      <c r="AL392" s="23">
        <f>IF(ROW()&lt;9,"",IF(OR(AE392="",AE387=""),"",IF(AE387=0,"",(AE392/AE387)-1)))</f>
        <v/>
      </c>
      <c r="AN392">
        <f>IF(OR(AG392="",AH392=""),"",IF(AND(AG392&gt;0,AH392&gt;0),"Bull",IF(AND(AG392&lt;0,AH392&lt;0),"Bear","Mixed")))</f>
        <v/>
      </c>
      <c r="AO392">
        <f>IF(OR(AK392="",AL392=""),"",IF(AND(AK392&gt;0,AL392&gt;0),"Bull",IF(AND(AK392&lt;0,AL392&lt;0),"Bear","Mixed")))</f>
        <v/>
      </c>
      <c r="AP392">
        <f>IF(OR(AN392="",AO392=""),"",IF(AND(AN392="Bull",AO392="Bull"),"YES","NO"))</f>
        <v/>
      </c>
      <c r="AQ392">
        <f>IF(OR(AN392="",AO392=""),"",IF(AND(AN392="Bear",AO392="Bear"),"YES","NO"))</f>
        <v/>
      </c>
      <c r="AR392">
        <f>IF(AP392="YES",IF(SUM(N(X392),N(Y392),N(Z392))&gt;0,"SOXL","TQQQ"),IF(AQ392="YES",IF(SUM(N(AA392),N(AB392),N(AC392))&gt;0,"SOXS","SQQQ"),"WAIT"))</f>
        <v/>
      </c>
      <c r="AS392">
        <f>IF(AP392="YES",IF(SUM(N(X392),N(Y392),N(Z392))&gt;0,"TQQQ","SOXL"),IF(AQ392="YES",IF(SUM(N(AA392),N(AB392),N(AC392))&gt;0,"SQQQ","SOXS"),""))</f>
        <v/>
      </c>
      <c r="AT392" s="23">
        <f>IF(AR392="WAIT","",IF(AS392="",1,0.6))</f>
        <v/>
      </c>
      <c r="AU392" s="23">
        <f>IF(AS392="",0,0.4)</f>
        <v/>
      </c>
      <c r="AV392">
        <f>IF(AR392="WAIT","WAIT",IF(AP392="YES","BULL",IF(AQ392="YES","BEAR","WAIT")))</f>
        <v/>
      </c>
      <c r="AW392">
        <f>IF(AR392="WAIT","Low",IF(OR(AND(AV392="BULL",ABS(SUM(N(X392),N(Y392),N(Z392)))&gt;=0.15),AND(AV392="BEAR",ABS(SUM(N(AA392),N(AB392),N(AC392)))&gt;=0.15)),"Strong",IF(OR(AND(AV392="BULL",ABS(SUM(N(X392),N(Y392),N(Z392)))&gt;=0.05),AND(AV392="BEAR",ABS(SUM(N(AA392),N(AB392),N(AC392)))&gt;=0.05)),"Moderate","Low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13" t="n"/>
      <c r="AF393" s="23">
        <f>IF(OR(AD393="",AD392=""),"",IF(AD392=0,"",(AD393/AD392)-1))</f>
        <v/>
      </c>
      <c r="AG393" s="23">
        <f>IF(ROW()&lt;7,"",IF(OR(AD393="",AD390=""),"",IF(AD390=0,"",(AD393/AD390)-1)))</f>
        <v/>
      </c>
      <c r="AH393" s="23">
        <f>IF(ROW()&lt;9,"",IF(OR(AD393="",AD388=""),"",IF(AD388=0,"",(AD393/AD388)-1)))</f>
        <v/>
      </c>
      <c r="AJ393" s="23">
        <f>IF(OR(AE393="",AE392=""),"",IF(AE392=0,"",(AE393/AE392)-1))</f>
        <v/>
      </c>
      <c r="AK393" s="23">
        <f>IF(ROW()&lt;7,"",IF(OR(AE393="",AE390=""),"",IF(AE390=0,"",(AE393/AE390)-1)))</f>
        <v/>
      </c>
      <c r="AL393" s="23">
        <f>IF(ROW()&lt;9,"",IF(OR(AE393="",AE388=""),"",IF(AE388=0,"",(AE393/AE388)-1)))</f>
        <v/>
      </c>
      <c r="AN393">
        <f>IF(OR(AG393="",AH393=""),"",IF(AND(AG393&gt;0,AH393&gt;0),"Bull",IF(AND(AG393&lt;0,AH393&lt;0),"Bear","Mixed")))</f>
        <v/>
      </c>
      <c r="AO393">
        <f>IF(OR(AK393="",AL393=""),"",IF(AND(AK393&gt;0,AL393&gt;0),"Bull",IF(AND(AK393&lt;0,AL393&lt;0),"Bear","Mixed")))</f>
        <v/>
      </c>
      <c r="AP393">
        <f>IF(OR(AN393="",AO393=""),"",IF(AND(AN393="Bull",AO393="Bull"),"YES","NO"))</f>
        <v/>
      </c>
      <c r="AQ393">
        <f>IF(OR(AN393="",AO393=""),"",IF(AND(AN393="Bear",AO393="Bear"),"YES","NO"))</f>
        <v/>
      </c>
      <c r="AR393">
        <f>IF(AP393="YES",IF(SUM(N(X393),N(Y393),N(Z393))&gt;0,"SOXL","TQQQ"),IF(AQ393="YES",IF(SUM(N(AA393),N(AB393),N(AC393))&gt;0,"SOXS","SQQQ"),"WAIT"))</f>
        <v/>
      </c>
      <c r="AS393">
        <f>IF(AP393="YES",IF(SUM(N(X393),N(Y393),N(Z393))&gt;0,"TQQQ","SOXL"),IF(AQ393="YES",IF(SUM(N(AA393),N(AB393),N(AC393))&gt;0,"SQQQ","SOXS"),""))</f>
        <v/>
      </c>
      <c r="AT393" s="23">
        <f>IF(AR393="WAIT","",IF(AS393="",1,0.6))</f>
        <v/>
      </c>
      <c r="AU393" s="23">
        <f>IF(AS393="",0,0.4)</f>
        <v/>
      </c>
      <c r="AV393">
        <f>IF(AR393="WAIT","WAIT",IF(AP393="YES","BULL",IF(AQ393="YES","BEAR","WAIT")))</f>
        <v/>
      </c>
      <c r="AW393">
        <f>IF(AR393="WAIT","Low",IF(OR(AND(AV393="BULL",ABS(SUM(N(X393),N(Y393),N(Z393)))&gt;=0.15),AND(AV393="BEAR",ABS(SUM(N(AA393),N(AB393),N(AC393)))&gt;=0.15)),"Strong",IF(OR(AND(AV393="BULL",ABS(SUM(N(X393),N(Y393),N(Z393)))&gt;=0.05),AND(AV393="BEAR",ABS(SUM(N(AA393),N(AB393),N(AC393)))&gt;=0.05)),"Moderate","Low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13" t="n"/>
      <c r="AF394" s="23">
        <f>IF(OR(AD394="",AD393=""),"",IF(AD393=0,"",(AD394/AD393)-1))</f>
        <v/>
      </c>
      <c r="AG394" s="23">
        <f>IF(ROW()&lt;7,"",IF(OR(AD394="",AD391=""),"",IF(AD391=0,"",(AD394/AD391)-1)))</f>
        <v/>
      </c>
      <c r="AH394" s="23">
        <f>IF(ROW()&lt;9,"",IF(OR(AD394="",AD389=""),"",IF(AD389=0,"",(AD394/AD389)-1)))</f>
        <v/>
      </c>
      <c r="AJ394" s="23">
        <f>IF(OR(AE394="",AE393=""),"",IF(AE393=0,"",(AE394/AE393)-1))</f>
        <v/>
      </c>
      <c r="AK394" s="23">
        <f>IF(ROW()&lt;7,"",IF(OR(AE394="",AE391=""),"",IF(AE391=0,"",(AE394/AE391)-1)))</f>
        <v/>
      </c>
      <c r="AL394" s="23">
        <f>IF(ROW()&lt;9,"",IF(OR(AE394="",AE389=""),"",IF(AE389=0,"",(AE394/AE389)-1)))</f>
        <v/>
      </c>
      <c r="AN394">
        <f>IF(OR(AG394="",AH394=""),"",IF(AND(AG394&gt;0,AH394&gt;0),"Bull",IF(AND(AG394&lt;0,AH394&lt;0),"Bear","Mixed")))</f>
        <v/>
      </c>
      <c r="AO394">
        <f>IF(OR(AK394="",AL394=""),"",IF(AND(AK394&gt;0,AL394&gt;0),"Bull",IF(AND(AK394&lt;0,AL394&lt;0),"Bear","Mixed")))</f>
        <v/>
      </c>
      <c r="AP394">
        <f>IF(OR(AN394="",AO394=""),"",IF(AND(AN394="Bull",AO394="Bull"),"YES","NO"))</f>
        <v/>
      </c>
      <c r="AQ394">
        <f>IF(OR(AN394="",AO394=""),"",IF(AND(AN394="Bear",AO394="Bear"),"YES","NO"))</f>
        <v/>
      </c>
      <c r="AR394">
        <f>IF(AP394="YES",IF(SUM(N(X394),N(Y394),N(Z394))&gt;0,"SOXL","TQQQ"),IF(AQ394="YES",IF(SUM(N(AA394),N(AB394),N(AC394))&gt;0,"SOXS","SQQQ"),"WAIT"))</f>
        <v/>
      </c>
      <c r="AS394">
        <f>IF(AP394="YES",IF(SUM(N(X394),N(Y394),N(Z394))&gt;0,"TQQQ","SOXL"),IF(AQ394="YES",IF(SUM(N(AA394),N(AB394),N(AC394))&gt;0,"SQQQ","SOXS"),""))</f>
        <v/>
      </c>
      <c r="AT394" s="23">
        <f>IF(AR394="WAIT","",IF(AS394="",1,0.6))</f>
        <v/>
      </c>
      <c r="AU394" s="23">
        <f>IF(AS394="",0,0.4)</f>
        <v/>
      </c>
      <c r="AV394">
        <f>IF(AR394="WAIT","WAIT",IF(AP394="YES","BULL",IF(AQ394="YES","BEAR","WAIT")))</f>
        <v/>
      </c>
      <c r="AW394">
        <f>IF(AR394="WAIT","Low",IF(OR(AND(AV394="BULL",ABS(SUM(N(X394),N(Y394),N(Z394)))&gt;=0.15),AND(AV394="BEAR",ABS(SUM(N(AA394),N(AB394),N(AC394)))&gt;=0.15)),"Strong",IF(OR(AND(AV394="BULL",ABS(SUM(N(X394),N(Y394),N(Z394)))&gt;=0.05),AND(AV394="BEAR",ABS(SUM(N(AA394),N(AB394),N(AC394)))&gt;=0.05)),"Moderate","Low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13" t="n"/>
      <c r="AF395" s="23">
        <f>IF(OR(AD395="",AD394=""),"",IF(AD394=0,"",(AD395/AD394)-1))</f>
        <v/>
      </c>
      <c r="AG395" s="23">
        <f>IF(ROW()&lt;7,"",IF(OR(AD395="",AD392=""),"",IF(AD392=0,"",(AD395/AD392)-1)))</f>
        <v/>
      </c>
      <c r="AH395" s="23">
        <f>IF(ROW()&lt;9,"",IF(OR(AD395="",AD390=""),"",IF(AD390=0,"",(AD395/AD390)-1)))</f>
        <v/>
      </c>
      <c r="AJ395" s="23">
        <f>IF(OR(AE395="",AE394=""),"",IF(AE394=0,"",(AE395/AE394)-1))</f>
        <v/>
      </c>
      <c r="AK395" s="23">
        <f>IF(ROW()&lt;7,"",IF(OR(AE395="",AE392=""),"",IF(AE392=0,"",(AE395/AE392)-1)))</f>
        <v/>
      </c>
      <c r="AL395" s="23">
        <f>IF(ROW()&lt;9,"",IF(OR(AE395="",AE390=""),"",IF(AE390=0,"",(AE395/AE390)-1)))</f>
        <v/>
      </c>
      <c r="AN395">
        <f>IF(OR(AG395="",AH395=""),"",IF(AND(AG395&gt;0,AH395&gt;0),"Bull",IF(AND(AG395&lt;0,AH395&lt;0),"Bear","Mixed")))</f>
        <v/>
      </c>
      <c r="AO395">
        <f>IF(OR(AK395="",AL395=""),"",IF(AND(AK395&gt;0,AL395&gt;0),"Bull",IF(AND(AK395&lt;0,AL395&lt;0),"Bear","Mixed")))</f>
        <v/>
      </c>
      <c r="AP395">
        <f>IF(OR(AN395="",AO395=""),"",IF(AND(AN395="Bull",AO395="Bull"),"YES","NO"))</f>
        <v/>
      </c>
      <c r="AQ395">
        <f>IF(OR(AN395="",AO395=""),"",IF(AND(AN395="Bear",AO395="Bear"),"YES","NO"))</f>
        <v/>
      </c>
      <c r="AR395">
        <f>IF(AP395="YES",IF(SUM(N(X395),N(Y395),N(Z395))&gt;0,"SOXL","TQQQ"),IF(AQ395="YES",IF(SUM(N(AA395),N(AB395),N(AC395))&gt;0,"SOXS","SQQQ"),"WAIT"))</f>
        <v/>
      </c>
      <c r="AS395">
        <f>IF(AP395="YES",IF(SUM(N(X395),N(Y395),N(Z395))&gt;0,"TQQQ","SOXL"),IF(AQ395="YES",IF(SUM(N(AA395),N(AB395),N(AC395))&gt;0,"SQQQ","SOXS"),""))</f>
        <v/>
      </c>
      <c r="AT395" s="23">
        <f>IF(AR395="WAIT","",IF(AS395="",1,0.6))</f>
        <v/>
      </c>
      <c r="AU395" s="23">
        <f>IF(AS395="",0,0.4)</f>
        <v/>
      </c>
      <c r="AV395">
        <f>IF(AR395="WAIT","WAIT",IF(AP395="YES","BULL",IF(AQ395="YES","BEAR","WAIT")))</f>
        <v/>
      </c>
      <c r="AW395">
        <f>IF(AR395="WAIT","Low",IF(OR(AND(AV395="BULL",ABS(SUM(N(X395),N(Y395),N(Z395)))&gt;=0.15),AND(AV395="BEAR",ABS(SUM(N(AA395),N(AB395),N(AC395)))&gt;=0.15)),"Strong",IF(OR(AND(AV395="BULL",ABS(SUM(N(X395),N(Y395),N(Z395)))&gt;=0.05),AND(AV395="BEAR",ABS(SUM(N(AA395),N(AB395),N(AC395)))&gt;=0.05)),"Moderate","Low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13" t="n"/>
      <c r="AF396" s="23">
        <f>IF(OR(AD396="",AD395=""),"",IF(AD395=0,"",(AD396/AD395)-1))</f>
        <v/>
      </c>
      <c r="AG396" s="23">
        <f>IF(ROW()&lt;7,"",IF(OR(AD396="",AD393=""),"",IF(AD393=0,"",(AD396/AD393)-1)))</f>
        <v/>
      </c>
      <c r="AH396" s="23">
        <f>IF(ROW()&lt;9,"",IF(OR(AD396="",AD391=""),"",IF(AD391=0,"",(AD396/AD391)-1)))</f>
        <v/>
      </c>
      <c r="AJ396" s="23">
        <f>IF(OR(AE396="",AE395=""),"",IF(AE395=0,"",(AE396/AE395)-1))</f>
        <v/>
      </c>
      <c r="AK396" s="23">
        <f>IF(ROW()&lt;7,"",IF(OR(AE396="",AE393=""),"",IF(AE393=0,"",(AE396/AE393)-1)))</f>
        <v/>
      </c>
      <c r="AL396" s="23">
        <f>IF(ROW()&lt;9,"",IF(OR(AE396="",AE391=""),"",IF(AE391=0,"",(AE396/AE391)-1)))</f>
        <v/>
      </c>
      <c r="AN396">
        <f>IF(OR(AG396="",AH396=""),"",IF(AND(AG396&gt;0,AH396&gt;0),"Bull",IF(AND(AG396&lt;0,AH396&lt;0),"Bear","Mixed")))</f>
        <v/>
      </c>
      <c r="AO396">
        <f>IF(OR(AK396="",AL396=""),"",IF(AND(AK396&gt;0,AL396&gt;0),"Bull",IF(AND(AK396&lt;0,AL396&lt;0),"Bear","Mixed")))</f>
        <v/>
      </c>
      <c r="AP396">
        <f>IF(OR(AN396="",AO396=""),"",IF(AND(AN396="Bull",AO396="Bull"),"YES","NO"))</f>
        <v/>
      </c>
      <c r="AQ396">
        <f>IF(OR(AN396="",AO396=""),"",IF(AND(AN396="Bear",AO396="Bear"),"YES","NO"))</f>
        <v/>
      </c>
      <c r="AR396">
        <f>IF(AP396="YES",IF(SUM(N(X396),N(Y396),N(Z396))&gt;0,"SOXL","TQQQ"),IF(AQ396="YES",IF(SUM(N(AA396),N(AB396),N(AC396))&gt;0,"SOXS","SQQQ"),"WAIT"))</f>
        <v/>
      </c>
      <c r="AS396">
        <f>IF(AP396="YES",IF(SUM(N(X396),N(Y396),N(Z396))&gt;0,"TQQQ","SOXL"),IF(AQ396="YES",IF(SUM(N(AA396),N(AB396),N(AC396))&gt;0,"SQQQ","SOXS"),""))</f>
        <v/>
      </c>
      <c r="AT396" s="23">
        <f>IF(AR396="WAIT","",IF(AS396="",1,0.6))</f>
        <v/>
      </c>
      <c r="AU396" s="23">
        <f>IF(AS396="",0,0.4)</f>
        <v/>
      </c>
      <c r="AV396">
        <f>IF(AR396="WAIT","WAIT",IF(AP396="YES","BULL",IF(AQ396="YES","BEAR","WAIT")))</f>
        <v/>
      </c>
      <c r="AW396">
        <f>IF(AR396="WAIT","Low",IF(OR(AND(AV396="BULL",ABS(SUM(N(X396),N(Y396),N(Z396)))&gt;=0.15),AND(AV396="BEAR",ABS(SUM(N(AA396),N(AB396),N(AC396)))&gt;=0.15)),"Strong",IF(OR(AND(AV396="BULL",ABS(SUM(N(X396),N(Y396),N(Z396)))&gt;=0.05),AND(AV396="BEAR",ABS(SUM(N(AA396),N(AB396),N(AC396)))&gt;=0.05)),"Moderate","Low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13" t="n"/>
      <c r="AF397" s="23">
        <f>IF(OR(AD397="",AD396=""),"",IF(AD396=0,"",(AD397/AD396)-1))</f>
        <v/>
      </c>
      <c r="AG397" s="23">
        <f>IF(ROW()&lt;7,"",IF(OR(AD397="",AD394=""),"",IF(AD394=0,"",(AD397/AD394)-1)))</f>
        <v/>
      </c>
      <c r="AH397" s="23">
        <f>IF(ROW()&lt;9,"",IF(OR(AD397="",AD392=""),"",IF(AD392=0,"",(AD397/AD392)-1)))</f>
        <v/>
      </c>
      <c r="AJ397" s="23">
        <f>IF(OR(AE397="",AE396=""),"",IF(AE396=0,"",(AE397/AE396)-1))</f>
        <v/>
      </c>
      <c r="AK397" s="23">
        <f>IF(ROW()&lt;7,"",IF(OR(AE397="",AE394=""),"",IF(AE394=0,"",(AE397/AE394)-1)))</f>
        <v/>
      </c>
      <c r="AL397" s="23">
        <f>IF(ROW()&lt;9,"",IF(OR(AE397="",AE392=""),"",IF(AE392=0,"",(AE397/AE392)-1)))</f>
        <v/>
      </c>
      <c r="AN397">
        <f>IF(OR(AG397="",AH397=""),"",IF(AND(AG397&gt;0,AH397&gt;0),"Bull",IF(AND(AG397&lt;0,AH397&lt;0),"Bear","Mixed")))</f>
        <v/>
      </c>
      <c r="AO397">
        <f>IF(OR(AK397="",AL397=""),"",IF(AND(AK397&gt;0,AL397&gt;0),"Bull",IF(AND(AK397&lt;0,AL397&lt;0),"Bear","Mixed")))</f>
        <v/>
      </c>
      <c r="AP397">
        <f>IF(OR(AN397="",AO397=""),"",IF(AND(AN397="Bull",AO397="Bull"),"YES","NO"))</f>
        <v/>
      </c>
      <c r="AQ397">
        <f>IF(OR(AN397="",AO397=""),"",IF(AND(AN397="Bear",AO397="Bear"),"YES","NO"))</f>
        <v/>
      </c>
      <c r="AR397">
        <f>IF(AP397="YES",IF(SUM(N(X397),N(Y397),N(Z397))&gt;0,"SOXL","TQQQ"),IF(AQ397="YES",IF(SUM(N(AA397),N(AB397),N(AC397))&gt;0,"SOXS","SQQQ"),"WAIT"))</f>
        <v/>
      </c>
      <c r="AS397">
        <f>IF(AP397="YES",IF(SUM(N(X397),N(Y397),N(Z397))&gt;0,"TQQQ","SOXL"),IF(AQ397="YES",IF(SUM(N(AA397),N(AB397),N(AC397))&gt;0,"SQQQ","SOXS"),""))</f>
        <v/>
      </c>
      <c r="AT397" s="23">
        <f>IF(AR397="WAIT","",IF(AS397="",1,0.6))</f>
        <v/>
      </c>
      <c r="AU397" s="23">
        <f>IF(AS397="",0,0.4)</f>
        <v/>
      </c>
      <c r="AV397">
        <f>IF(AR397="WAIT","WAIT",IF(AP397="YES","BULL",IF(AQ397="YES","BEAR","WAIT")))</f>
        <v/>
      </c>
      <c r="AW397">
        <f>IF(AR397="WAIT","Low",IF(OR(AND(AV397="BULL",ABS(SUM(N(X397),N(Y397),N(Z397)))&gt;=0.15),AND(AV397="BEAR",ABS(SUM(N(AA397),N(AB397),N(AC397)))&gt;=0.15)),"Strong",IF(OR(AND(AV397="BULL",ABS(SUM(N(X397),N(Y397),N(Z397)))&gt;=0.05),AND(AV397="BEAR",ABS(SUM(N(AA397),N(AB397),N(AC397)))&gt;=0.05)),"Moderate","Low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13" t="n"/>
      <c r="AF398" s="23">
        <f>IF(OR(AD398="",AD397=""),"",IF(AD397=0,"",(AD398/AD397)-1))</f>
        <v/>
      </c>
      <c r="AG398" s="23">
        <f>IF(ROW()&lt;7,"",IF(OR(AD398="",AD395=""),"",IF(AD395=0,"",(AD398/AD395)-1)))</f>
        <v/>
      </c>
      <c r="AH398" s="23">
        <f>IF(ROW()&lt;9,"",IF(OR(AD398="",AD393=""),"",IF(AD393=0,"",(AD398/AD393)-1)))</f>
        <v/>
      </c>
      <c r="AJ398" s="23">
        <f>IF(OR(AE398="",AE397=""),"",IF(AE397=0,"",(AE398/AE397)-1))</f>
        <v/>
      </c>
      <c r="AK398" s="23">
        <f>IF(ROW()&lt;7,"",IF(OR(AE398="",AE395=""),"",IF(AE395=0,"",(AE398/AE395)-1)))</f>
        <v/>
      </c>
      <c r="AL398" s="23">
        <f>IF(ROW()&lt;9,"",IF(OR(AE398="",AE393=""),"",IF(AE393=0,"",(AE398/AE393)-1)))</f>
        <v/>
      </c>
      <c r="AN398">
        <f>IF(OR(AG398="",AH398=""),"",IF(AND(AG398&gt;0,AH398&gt;0),"Bull",IF(AND(AG398&lt;0,AH398&lt;0),"Bear","Mixed")))</f>
        <v/>
      </c>
      <c r="AO398">
        <f>IF(OR(AK398="",AL398=""),"",IF(AND(AK398&gt;0,AL398&gt;0),"Bull",IF(AND(AK398&lt;0,AL398&lt;0),"Bear","Mixed")))</f>
        <v/>
      </c>
      <c r="AP398">
        <f>IF(OR(AN398="",AO398=""),"",IF(AND(AN398="Bull",AO398="Bull"),"YES","NO"))</f>
        <v/>
      </c>
      <c r="AQ398">
        <f>IF(OR(AN398="",AO398=""),"",IF(AND(AN398="Bear",AO398="Bear"),"YES","NO"))</f>
        <v/>
      </c>
      <c r="AR398">
        <f>IF(AP398="YES",IF(SUM(N(X398),N(Y398),N(Z398))&gt;0,"SOXL","TQQQ"),IF(AQ398="YES",IF(SUM(N(AA398),N(AB398),N(AC398))&gt;0,"SOXS","SQQQ"),"WAIT"))</f>
        <v/>
      </c>
      <c r="AS398">
        <f>IF(AP398="YES",IF(SUM(N(X398),N(Y398),N(Z398))&gt;0,"TQQQ","SOXL"),IF(AQ398="YES",IF(SUM(N(AA398),N(AB398),N(AC398))&gt;0,"SQQQ","SOXS"),""))</f>
        <v/>
      </c>
      <c r="AT398" s="23">
        <f>IF(AR398="WAIT","",IF(AS398="",1,0.6))</f>
        <v/>
      </c>
      <c r="AU398" s="23">
        <f>IF(AS398="",0,0.4)</f>
        <v/>
      </c>
      <c r="AV398">
        <f>IF(AR398="WAIT","WAIT",IF(AP398="YES","BULL",IF(AQ398="YES","BEAR","WAIT")))</f>
        <v/>
      </c>
      <c r="AW398">
        <f>IF(AR398="WAIT","Low",IF(OR(AND(AV398="BULL",ABS(SUM(N(X398),N(Y398),N(Z398)))&gt;=0.15),AND(AV398="BEAR",ABS(SUM(N(AA398),N(AB398),N(AC398)))&gt;=0.15)),"Strong",IF(OR(AND(AV398="BULL",ABS(SUM(N(X398),N(Y398),N(Z398)))&gt;=0.05),AND(AV398="BEAR",ABS(SUM(N(AA398),N(AB398),N(AC398)))&gt;=0.05)),"Moderate","Low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13" t="n"/>
      <c r="AF399" s="23">
        <f>IF(OR(AD399="",AD398=""),"",IF(AD398=0,"",(AD399/AD398)-1))</f>
        <v/>
      </c>
      <c r="AG399" s="23">
        <f>IF(ROW()&lt;7,"",IF(OR(AD399="",AD396=""),"",IF(AD396=0,"",(AD399/AD396)-1)))</f>
        <v/>
      </c>
      <c r="AH399" s="23">
        <f>IF(ROW()&lt;9,"",IF(OR(AD399="",AD394=""),"",IF(AD394=0,"",(AD399/AD394)-1)))</f>
        <v/>
      </c>
      <c r="AJ399" s="23">
        <f>IF(OR(AE399="",AE398=""),"",IF(AE398=0,"",(AE399/AE398)-1))</f>
        <v/>
      </c>
      <c r="AK399" s="23">
        <f>IF(ROW()&lt;7,"",IF(OR(AE399="",AE396=""),"",IF(AE396=0,"",(AE399/AE396)-1)))</f>
        <v/>
      </c>
      <c r="AL399" s="23">
        <f>IF(ROW()&lt;9,"",IF(OR(AE399="",AE394=""),"",IF(AE394=0,"",(AE399/AE394)-1)))</f>
        <v/>
      </c>
      <c r="AN399">
        <f>IF(OR(AG399="",AH399=""),"",IF(AND(AG399&gt;0,AH399&gt;0),"Bull",IF(AND(AG399&lt;0,AH399&lt;0),"Bear","Mixed")))</f>
        <v/>
      </c>
      <c r="AO399">
        <f>IF(OR(AK399="",AL399=""),"",IF(AND(AK399&gt;0,AL399&gt;0),"Bull",IF(AND(AK399&lt;0,AL399&lt;0),"Bear","Mixed")))</f>
        <v/>
      </c>
      <c r="AP399">
        <f>IF(OR(AN399="",AO399=""),"",IF(AND(AN399="Bull",AO399="Bull"),"YES","NO"))</f>
        <v/>
      </c>
      <c r="AQ399">
        <f>IF(OR(AN399="",AO399=""),"",IF(AND(AN399="Bear",AO399="Bear"),"YES","NO"))</f>
        <v/>
      </c>
      <c r="AR399">
        <f>IF(AP399="YES",IF(SUM(N(X399),N(Y399),N(Z399))&gt;0,"SOXL","TQQQ"),IF(AQ399="YES",IF(SUM(N(AA399),N(AB399),N(AC399))&gt;0,"SOXS","SQQQ"),"WAIT"))</f>
        <v/>
      </c>
      <c r="AS399">
        <f>IF(AP399="YES",IF(SUM(N(X399),N(Y399),N(Z399))&gt;0,"TQQQ","SOXL"),IF(AQ399="YES",IF(SUM(N(AA399),N(AB399),N(AC399))&gt;0,"SQQQ","SOXS"),""))</f>
        <v/>
      </c>
      <c r="AT399" s="23">
        <f>IF(AR399="WAIT","",IF(AS399="",1,0.6))</f>
        <v/>
      </c>
      <c r="AU399" s="23">
        <f>IF(AS399="",0,0.4)</f>
        <v/>
      </c>
      <c r="AV399">
        <f>IF(AR399="WAIT","WAIT",IF(AP399="YES","BULL",IF(AQ399="YES","BEAR","WAIT")))</f>
        <v/>
      </c>
      <c r="AW399">
        <f>IF(AR399="WAIT","Low",IF(OR(AND(AV399="BULL",ABS(SUM(N(X399),N(Y399),N(Z399)))&gt;=0.15),AND(AV399="BEAR",ABS(SUM(N(AA399),N(AB399),N(AC399)))&gt;=0.15)),"Strong",IF(OR(AND(AV399="BULL",ABS(SUM(N(X399),N(Y399),N(Z399)))&gt;=0.05),AND(AV399="BEAR",ABS(SUM(N(AA399),N(AB399),N(AC399)))&gt;=0.05)),"Moderate","Low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13" t="n"/>
      <c r="AF400" s="23">
        <f>IF(OR(AD400="",AD399=""),"",IF(AD399=0,"",(AD400/AD399)-1))</f>
        <v/>
      </c>
      <c r="AG400" s="23">
        <f>IF(ROW()&lt;7,"",IF(OR(AD400="",AD397=""),"",IF(AD397=0,"",(AD400/AD397)-1)))</f>
        <v/>
      </c>
      <c r="AH400" s="23">
        <f>IF(ROW()&lt;9,"",IF(OR(AD400="",AD395=""),"",IF(AD395=0,"",(AD400/AD395)-1)))</f>
        <v/>
      </c>
      <c r="AJ400" s="23">
        <f>IF(OR(AE400="",AE399=""),"",IF(AE399=0,"",(AE400/AE399)-1))</f>
        <v/>
      </c>
      <c r="AK400" s="23">
        <f>IF(ROW()&lt;7,"",IF(OR(AE400="",AE397=""),"",IF(AE397=0,"",(AE400/AE397)-1)))</f>
        <v/>
      </c>
      <c r="AL400" s="23">
        <f>IF(ROW()&lt;9,"",IF(OR(AE400="",AE395=""),"",IF(AE395=0,"",(AE400/AE395)-1)))</f>
        <v/>
      </c>
      <c r="AN400">
        <f>IF(OR(AG400="",AH400=""),"",IF(AND(AG400&gt;0,AH400&gt;0),"Bull",IF(AND(AG400&lt;0,AH400&lt;0),"Bear","Mixed")))</f>
        <v/>
      </c>
      <c r="AO400">
        <f>IF(OR(AK400="",AL400=""),"",IF(AND(AK400&gt;0,AL400&gt;0),"Bull",IF(AND(AK400&lt;0,AL400&lt;0),"Bear","Mixed")))</f>
        <v/>
      </c>
      <c r="AP400">
        <f>IF(OR(AN400="",AO400=""),"",IF(AND(AN400="Bull",AO400="Bull"),"YES","NO"))</f>
        <v/>
      </c>
      <c r="AQ400">
        <f>IF(OR(AN400="",AO400=""),"",IF(AND(AN400="Bear",AO400="Bear"),"YES","NO"))</f>
        <v/>
      </c>
      <c r="AR400">
        <f>IF(AP400="YES",IF(SUM(N(X400),N(Y400),N(Z400))&gt;0,"SOXL","TQQQ"),IF(AQ400="YES",IF(SUM(N(AA400),N(AB400),N(AC400))&gt;0,"SOXS","SQQQ"),"WAIT"))</f>
        <v/>
      </c>
      <c r="AS400">
        <f>IF(AP400="YES",IF(SUM(N(X400),N(Y400),N(Z400))&gt;0,"TQQQ","SOXL"),IF(AQ400="YES",IF(SUM(N(AA400),N(AB400),N(AC400))&gt;0,"SQQQ","SOXS"),""))</f>
        <v/>
      </c>
      <c r="AT400" s="23">
        <f>IF(AR400="WAIT","",IF(AS400="",1,0.6))</f>
        <v/>
      </c>
      <c r="AU400" s="23">
        <f>IF(AS400="",0,0.4)</f>
        <v/>
      </c>
      <c r="AV400">
        <f>IF(AR400="WAIT","WAIT",IF(AP400="YES","BULL",IF(AQ400="YES","BEAR","WAIT")))</f>
        <v/>
      </c>
      <c r="AW400">
        <f>IF(AR400="WAIT","Low",IF(OR(AND(AV400="BULL",ABS(SUM(N(X400),N(Y400),N(Z400)))&gt;=0.15),AND(AV400="BEAR",ABS(SUM(N(AA400),N(AB400),N(AC400)))&gt;=0.15)),"Strong",IF(OR(AND(AV400="BULL",ABS(SUM(N(X400),N(Y400),N(Z400)))&gt;=0.05),AND(AV400="BEAR",ABS(SUM(N(AA400),N(AB400),N(AC400)))&gt;=0.05)),"Moderate","Low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1D %</t>
        </is>
      </c>
      <c r="B4" s="10">
        <f>IFERROR(LOOKUP(2,1/(Daily_Data!F:F&lt;&gt;""),Daily_Data!F:F),"")</f>
        <v/>
      </c>
    </row>
    <row r="5">
      <c r="A5" s="14" t="inlineStr">
        <is>
          <t>SOXS 1D %</t>
        </is>
      </c>
      <c r="B5" s="10">
        <f>IFERROR(LOOKUP(2,1/(Daily_Data!H:H&lt;&gt;""),Daily_Data!H:H),"")</f>
        <v/>
      </c>
    </row>
    <row r="6">
      <c r="A6" s="14" t="inlineStr">
        <is>
          <t>TQQQ 1D %</t>
        </is>
      </c>
      <c r="B6" s="10">
        <f>IFERROR(LOOKUP(2,1/(Daily_Data!M:M&lt;&gt;""),Daily_Data!M:M),"")</f>
        <v/>
      </c>
    </row>
    <row r="7">
      <c r="A7" s="14" t="inlineStr">
        <is>
          <t>SQQQ 1D %</t>
        </is>
      </c>
      <c r="B7" s="10">
        <f>IFERROR(LOOKUP(2,1/(Daily_Data!O:O&lt;&gt;""),Daily_Data!O:O),"")</f>
        <v/>
      </c>
    </row>
    <row r="8">
      <c r="A8" s="16" t="n"/>
      <c r="B8" s="17" t="n"/>
    </row>
    <row r="9">
      <c r="A9" s="14" t="inlineStr">
        <is>
          <t>SOXL 3D %</t>
        </is>
      </c>
      <c r="B9" s="10">
        <f>IFERROR(LOOKUP(2,1/(Daily_Data!P:P&lt;&gt;""),Daily_Data!P:P),"")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IFERROR(LOOKUP(2,1/(Daily_Data!T:T&lt;&gt;""),Daily_Data!T:T),"")</f>
        <v/>
      </c>
    </row>
    <row r="12">
      <c r="A12" s="14" t="inlineStr">
        <is>
          <t>SQQQ 3D %</t>
        </is>
      </c>
      <c r="B12" s="10">
        <f>IFERROR(LOOKUP(2,1/(Daily_Data!V:V&lt;&gt;""),Daily_Data!V:V),"")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9">
      <c r="A19" s="27" t="inlineStr">
        <is>
          <t>Daily Direction Score</t>
        </is>
      </c>
      <c r="B19" s="29">
        <f>IF(OR(B6="",B7=""),"",IF(AND(B6&gt;0,B7&lt;0),1,IF(AND(B6&lt;0,B7&gt;0),-1,0)))</f>
        <v/>
      </c>
    </row>
    <row r="20">
      <c r="A20" s="27" t="inlineStr">
        <is>
          <t>3D Direction Score</t>
        </is>
      </c>
      <c r="B20" s="29">
        <f>IF(OR(B11="",B12=""),"",IF(AND(B11&gt;0,B12&lt;0),1,IF(AND(B11&lt;0,B12&gt;0),-1,0)))</f>
        <v/>
      </c>
    </row>
    <row r="21">
      <c r="A21" s="27" t="inlineStr">
        <is>
          <t>5D Direction Score</t>
        </is>
      </c>
      <c r="B21" s="29">
        <f>IF(OR(B16="",B17=""),"",IF(AND(B16&gt;0,B17&lt;0),1,IF(AND(B16&lt;0,B17&gt;0),-1,0)))</f>
        <v/>
      </c>
    </row>
    <row r="22">
      <c r="A22" s="27" t="inlineStr">
        <is>
          <t>Total Direction Score</t>
        </is>
      </c>
      <c r="B22" s="29">
        <f>SUM(N(B19),N(B20),N(B21))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2026-03-15T23:57:30Z</dcterms:modified>
</cp:coreProperties>
</file>