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</row>
    <row r="4">
      <c r="A4" s="8" t="n"/>
      <c r="B4" s="9" t="n"/>
      <c r="C4" s="9" t="n"/>
      <c r="D4" s="9" t="n"/>
      <c r="E4" s="9" t="n"/>
      <c r="F4" s="10">
        <f>IF(OR(B4="",E4=""),"",IF(B4=0,"",(E4-B4)/B4))</f>
        <v/>
      </c>
      <c r="G4" s="9" t="n"/>
      <c r="H4" s="10">
        <f>""</f>
        <v/>
      </c>
      <c r="I4" s="9" t="n"/>
      <c r="J4" s="9" t="n"/>
      <c r="K4" s="9" t="n"/>
      <c r="L4" s="9" t="n"/>
      <c r="M4" s="23">
        <f>IF(OR(I4="",L4=""),"",IF(I4=0,"",(L4-I4)/I4))</f>
        <v/>
      </c>
      <c r="N4" s="27">
        <f>IFERROR((M4/M3)-1,"")</f>
        <v/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</row>
  </sheetData>
  <mergeCells count="5">
    <mergeCell ref="B2:G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3"/>
    <row r="14">
      <c r="A14" s="29" t="inlineStr">
        <is>
          <t>SOXL 5D %</t>
        </is>
      </c>
      <c r="B14" s="30">
        <f>IFERROR(LOOKUP(2,1/(Daily_Data!Q:Q&lt;&gt;""),Daily_Data!Q:Q),"")</f>
        <v/>
      </c>
    </row>
    <row r="15">
      <c r="A15" s="29" t="inlineStr">
        <is>
          <t>SOXS 5D %</t>
        </is>
      </c>
      <c r="B15" s="30">
        <f>IFERROR(LOOKUP(2,1/(Daily_Data!S:S&lt;&gt;""),Daily_Data!S:S),"")</f>
        <v/>
      </c>
    </row>
    <row r="16">
      <c r="A16" s="29" t="inlineStr">
        <is>
          <t>TQQQ 5D %</t>
        </is>
      </c>
      <c r="B16" s="30">
        <f>IFERROR(LOOKUP(2,1/(Daily_Data!U:U&lt;&gt;""),Daily_Data!U:U),"")</f>
        <v/>
      </c>
    </row>
    <row r="17">
      <c r="A17" s="29" t="inlineStr">
        <is>
          <t>SQQQ 5D %</t>
        </is>
      </c>
      <c r="B17" s="30">
        <f>IFERROR(LOOKUP(2,1/(Daily_Data!W:W&lt;&gt;""),Daily_Data!W:W),"")</f>
        <v/>
      </c>
    </row>
    <row r="18"/>
    <row r="19">
      <c r="A19" s="29" t="inlineStr">
        <is>
          <t>Daily Direction Score</t>
        </is>
      </c>
      <c r="B19" s="31">
        <f>IF(OR(B6="",B7=""),"",IF(AND(B6&gt;0,B7&lt;0),1,IF(AND(B6&lt;0,B7&gt;0),-1,0)))</f>
        <v/>
      </c>
    </row>
    <row r="20">
      <c r="A20" s="29" t="inlineStr">
        <is>
          <t>3D Direction Score</t>
        </is>
      </c>
      <c r="B20" s="31">
        <f>IF(OR(B11="",B12=""),"",IF(AND(B11&gt;0,B12&lt;0),1,IF(AND(B11&lt;0,B12&gt;0),-1,0)))</f>
        <v/>
      </c>
    </row>
    <row r="21">
      <c r="A21" s="29" t="inlineStr">
        <is>
          <t>5D Direction Score</t>
        </is>
      </c>
      <c r="B21" s="31">
        <f>IF(OR(B16="",B17=""),"",IF(AND(B16&gt;0,B17&lt;0),1,IF(AND(B16&lt;0,B17&gt;0),-1,0)))</f>
        <v/>
      </c>
    </row>
    <row r="22">
      <c r="A22" s="29" t="inlineStr">
        <is>
          <t>Total Direction Score</t>
        </is>
      </c>
      <c r="B22" s="31">
        <f>SUM(N(B19),N(B20),N(B21))</f>
        <v/>
      </c>
    </row>
    <row r="23">
      <c r="A23" s="29" t="inlineStr">
        <is>
          <t>Market Direction</t>
        </is>
      </c>
      <c r="B23" s="32">
        <f>IF(COUNTA(B19:B21)=0,"Need More Data",IF(B22&gt;0,"Bull",IF(B22&lt;0,"Bear","Mixed")))</f>
        <v/>
      </c>
    </row>
    <row r="24">
      <c r="A24" s="29" t="inlineStr">
        <is>
          <t>Bull Leadership Score</t>
        </is>
      </c>
      <c r="B24" s="33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9" t="inlineStr">
        <is>
          <t>Bear Leadership Score</t>
        </is>
      </c>
      <c r="B25" s="33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9" t="inlineStr">
        <is>
          <t>Sector Leadership</t>
        </is>
      </c>
      <c r="B26" s="32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9" t="inlineStr">
        <is>
          <t>Trade ETF</t>
        </is>
      </c>
      <c r="B27" s="32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9" t="inlineStr">
        <is>
          <t>Confidence</t>
        </is>
      </c>
      <c r="B28" s="32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9" t="inlineStr">
        <is>
          <t>Reason</t>
        </is>
      </c>
      <c r="B29" s="32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22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2026-03-15T21:21:09Z</dcterms:modified>
</cp:coreProperties>
</file>